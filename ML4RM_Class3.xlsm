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1EE2CAD8-55E1-DA49-B24B-F104DF3BB1DE}" xr6:coauthVersionLast="47" xr6:coauthVersionMax="47" xr10:uidLastSave="{00000000-0000-0000-0000-000000000000}"/>
  <bookViews>
    <workbookView xWindow="0" yWindow="0" windowWidth="28800" windowHeight="16720" xr2:uid="{2528C2F6-2D91-5941-BA0A-8E362C5A735B}"/>
  </bookViews>
  <sheets>
    <sheet name="Today" sheetId="6" r:id="rId1"/>
    <sheet name="Themes" sheetId="13" r:id="rId2"/>
    <sheet name="OutOfSampleTesting" sheetId="36" r:id="rId3"/>
    <sheet name="Setup_" sheetId="39" state="veryHidden" r:id="rId4"/>
    <sheet name="Explore" sheetId="40" state="veryHidden" r:id="rId5"/>
    <sheet name="Tools" sheetId="41" state="veryHidden" r:id="rId6"/>
    <sheet name="LM_InAndOut" sheetId="42" state="veryHidden" r:id="rId7"/>
    <sheet name="Optim_InAndOut" sheetId="43" state="veryHidden" r:id="rId8"/>
    <sheet name="Optim_Shrinkage" sheetId="44" state="veryHidden" r:id="rId9"/>
    <sheet name="Optim_LSearch" sheetId="81" state="veryHidden" r:id="rId10"/>
    <sheet name="AIC" sheetId="64" r:id="rId11"/>
    <sheet name="MLR_Step" sheetId="51" state="veryHidden" r:id="rId12"/>
    <sheet name="Data" sheetId="53" state="veryHidden" r:id="rId13"/>
    <sheet name="AIC_0" sheetId="62" state="veryHidden" r:id="rId14"/>
    <sheet name="AIC_1" sheetId="63" state="veryHidden" r:id="rId15"/>
    <sheet name="IndicatorVariables" sheetId="85" r:id="rId16"/>
    <sheet name="DiffB0_SameB1" sheetId="86" state="veryHidden" r:id="rId17"/>
    <sheet name="SameB0_DiffB1" sheetId="87" state="veryHidden" r:id="rId18"/>
    <sheet name="DiffB0_Diff_B1" sheetId="88" state="veryHidden" r:id="rId19"/>
    <sheet name="Character_Factor" sheetId="89" state="veryHidden" r:id="rId20"/>
    <sheet name="Indicators" sheetId="90" state="veryHidden" r:id="rId21"/>
    <sheet name="Interaction1" sheetId="91" state="veryHidden" r:id="rId22"/>
    <sheet name="Interaction2" sheetId="92" state="veryHidden" r:id="rId23"/>
    <sheet name="Diagnostics" sheetId="93" r:id="rId24"/>
    <sheet name="Sensitivity" sheetId="94" state="veryHidden" r:id="rId25"/>
    <sheet name="Specificity" sheetId="95" state="veryHidden" r:id="rId26"/>
    <sheet name="PPF_0" sheetId="96" state="veryHidden" r:id="rId27"/>
    <sheet name="PPF_1" sheetId="97" state="veryHidden" r:id="rId28"/>
    <sheet name="ROC_Curve" sheetId="98" state="veryHidden" r:id="rId29"/>
    <sheet name="ROC_Generator" sheetId="99" state="veryHidden" r:id="rId30"/>
    <sheet name="PreWork4NextClass" sheetId="27" r:id="rId31"/>
    <sheet name="InClassProjects" sheetId="26" r:id="rId32"/>
    <sheet name="Q_OOS" sheetId="33" r:id="rId33"/>
    <sheet name="Q_AIC" sheetId="65" r:id="rId34"/>
    <sheet name="Q_Diagnostics" sheetId="102" r:id="rId35"/>
    <sheet name="LendingClubData" sheetId="70" r:id="rId36"/>
    <sheet name="Hitters" sheetId="75" r:id="rId37"/>
    <sheet name="Hitters_Simple" sheetId="78" r:id="rId38"/>
  </sheets>
  <externalReferences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_r2" localSheetId="23">#REF!</definedName>
    <definedName name="_r2" localSheetId="24">#REF!</definedName>
    <definedName name="_r2">#REF!</definedName>
    <definedName name="_R2_orig">[1]RSquareAdj!$C$6</definedName>
    <definedName name="a" localSheetId="18">DiffB0_Diff_B1!$C$3:$G$3</definedName>
    <definedName name="a" localSheetId="16">DiffB0_SameB1!$C$3:$G$3</definedName>
    <definedName name="a" localSheetId="17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18">DiffB0_Diff_B1!$C$2:$G$2</definedName>
    <definedName name="b" localSheetId="16">DiffB0_SameB1!$C$2:$G$2</definedName>
    <definedName name="b" localSheetId="17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3">#REF!</definedName>
    <definedName name="beta" localSheetId="24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3">[8]Options2!#REF!</definedName>
    <definedName name="Cd" localSheetId="24">[8]Options2!#REF!</definedName>
    <definedName name="Cd">[8]Options2!#REF!</definedName>
    <definedName name="Change" localSheetId="23">[5]VaR0!#REF!</definedName>
    <definedName name="Change" localSheetId="24">[5]VaR0!#REF!</definedName>
    <definedName name="Change">[5]VaR0!#REF!</definedName>
    <definedName name="change1" localSheetId="23">#REF!</definedName>
    <definedName name="change1" localSheetId="24">#REF!</definedName>
    <definedName name="change1">#REF!</definedName>
    <definedName name="change2" localSheetId="23">#REF!</definedName>
    <definedName name="change2" localSheetId="24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ispl_Permute">#REF!</definedName>
    <definedName name="displ_RandPermute">#REF!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23">#REF!</definedName>
    <definedName name="Frequency" localSheetId="2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hwy_Permute">#REF!</definedName>
    <definedName name="hwy_RandPermute">#REF!</definedName>
    <definedName name="i">#REF!</definedName>
    <definedName name="idx" localSheetId="23">#REF!</definedName>
    <definedName name="idx" localSheetId="24">#REF!</definedName>
    <definedName name="idx">#REF!</definedName>
    <definedName name="Inflator">[1]RSquareAdj!$C$10</definedName>
    <definedName name="k" localSheetId="13">[2]Binomial!$C$14</definedName>
    <definedName name="k" localSheetId="14">[2]Binomial!$C$14</definedName>
    <definedName name="k" localSheetId="12">[2]Binomial!$C$14</definedName>
    <definedName name="k" localSheetId="23">[15]KNN_Vote!$AA$3</definedName>
    <definedName name="k" localSheetId="11">[2]Binomial!$C$14</definedName>
    <definedName name="k" localSheetId="24">[15]KNN_Vote!$AA$3</definedName>
    <definedName name="k">#REF!</definedName>
    <definedName name="L">#REF!</definedName>
    <definedName name="LL">#REF!</definedName>
    <definedName name="LN_Sim" localSheetId="23">#REF!</definedName>
    <definedName name="LN_Sim" localSheetId="24">#REF!</definedName>
    <definedName name="LN_Sim">#REF!</definedName>
    <definedName name="loss" localSheetId="23">#REF!</definedName>
    <definedName name="loss" localSheetId="24">#REF!</definedName>
    <definedName name="loss">#REF!</definedName>
    <definedName name="loss_30" localSheetId="23">#REF!</definedName>
    <definedName name="loss_30" localSheetId="24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SE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#REF!</definedName>
    <definedName name="n_" localSheetId="23">#REF!</definedName>
    <definedName name="n_" localSheetId="2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[2]Binomial!$C$13</definedName>
    <definedName name="p" localSheetId="14">[2]Binomial!$C$13</definedName>
    <definedName name="p" localSheetId="12">[2]Binomial!$C$13</definedName>
    <definedName name="p" localSheetId="23">[15]DurbinWatson!$B$3</definedName>
    <definedName name="p" localSheetId="11">[2]Binomial!$C$13</definedName>
    <definedName name="p" localSheetId="24">[15]DurbinWatson!$B$3</definedName>
    <definedName name="p">#REF!</definedName>
    <definedName name="PD">[4]CDS!$C$21:$C$25</definedName>
    <definedName name="PDF">[14]Calcs_Mean2!$K$10:$K$30</definedName>
    <definedName name="Period" localSheetId="23">#REF!</definedName>
    <definedName name="Period" localSheetId="24">#REF!</definedName>
    <definedName name="Period">#REF!</definedName>
    <definedName name="peso_rate">[12]FX_Intro!$C$66</definedName>
    <definedName name="Pij" localSheetId="23">#REF!</definedName>
    <definedName name="Pij" localSheetId="24">#REF!</definedName>
    <definedName name="Pij">#REF!</definedName>
    <definedName name="pmt" localSheetId="23">#REF!</definedName>
    <definedName name="pmt" localSheetId="24">#REF!</definedName>
    <definedName name="pmt">#REF!</definedName>
    <definedName name="pmt_" localSheetId="23">#REF!</definedName>
    <definedName name="pmt_" localSheetId="24">#REF!</definedName>
    <definedName name="pmt_">#REF!</definedName>
    <definedName name="pmtperyear">[17]Bond!$C$6</definedName>
    <definedName name="pmts">[17]Bond!$E$12:$E$25</definedName>
    <definedName name="price1" localSheetId="23">#REF!</definedName>
    <definedName name="price1" localSheetId="24">#REF!</definedName>
    <definedName name="price1">#REF!</definedName>
    <definedName name="price2" localSheetId="23">#REF!</definedName>
    <definedName name="price2" localSheetId="24">#REF!</definedName>
    <definedName name="price2">#REF!</definedName>
    <definedName name="price3" localSheetId="23">#REF!</definedName>
    <definedName name="price3" localSheetId="24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3">#REF!</definedName>
    <definedName name="risk1" localSheetId="24">#REF!</definedName>
    <definedName name="risk1">#REF!</definedName>
    <definedName name="risk2" localSheetId="23">#REF!</definedName>
    <definedName name="risk2" localSheetId="24">#REF!</definedName>
    <definedName name="risk2">#REF!</definedName>
    <definedName name="risk3" localSheetId="23">#REF!</definedName>
    <definedName name="risk3" localSheetId="24">#REF!</definedName>
    <definedName name="risk3">#REF!</definedName>
    <definedName name="RSE">#REF!</definedName>
    <definedName name="RSS">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3">#REF!</definedName>
    <definedName name="SD" localSheetId="24">#REF!</definedName>
    <definedName name="SD">#REF!</definedName>
    <definedName name="sd_x">[1]MaximumLikelihood!$C$3</definedName>
    <definedName name="SD_xbar">[14]Calcs_Mean2!$O$28</definedName>
    <definedName name="SE0" localSheetId="23">#REF!</definedName>
    <definedName name="SE0" localSheetId="24">#REF!</definedName>
    <definedName name="SE0">#REF!</definedName>
    <definedName name="SE1_" localSheetId="23">#REF!</definedName>
    <definedName name="SE1_" localSheetId="24">#REF!</definedName>
    <definedName name="SE1_">#REF!</definedName>
    <definedName name="SE2_" localSheetId="23">#REF!</definedName>
    <definedName name="SE2_" localSheetId="24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3">#REF!</definedName>
    <definedName name="stdev" localSheetId="24">#REF!</definedName>
    <definedName name="stdev">#REF!</definedName>
    <definedName name="Sum">[13]CentralLimitTheorem!$C$7:$C$106</definedName>
    <definedName name="t" localSheetId="23">#REF!</definedName>
    <definedName name="t" localSheetId="18">DiffB0_Diff_B1!$B$5:$B$34</definedName>
    <definedName name="t" localSheetId="16">DiffB0_SameB1!$B$5:$B$34</definedName>
    <definedName name="t" localSheetId="17">SameB0_DiffB1!$B$5:$B$34</definedName>
    <definedName name="t" localSheetId="24">#REF!</definedName>
    <definedName name="t">#REF!</definedName>
    <definedName name="t_">[4]CDS!$B$21:$B$25</definedName>
    <definedName name="table_asf">[19]ASF!$C$31:$D$34</definedName>
    <definedName name="Time" localSheetId="23">#REF!</definedName>
    <definedName name="Time" localSheetId="24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23">#REF!</definedName>
    <definedName name="value_lo" localSheetId="2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#REF!</definedName>
    <definedName name="x_draw">#REF!</definedName>
    <definedName name="X_e_rt">[7]OptionsHW!$C$18:$E$18</definedName>
    <definedName name="X_orig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#REF!</definedName>
    <definedName name="y_draw" localSheetId="23">#REF!</definedName>
    <definedName name="y_draw" localSheetId="24">#REF!</definedName>
    <definedName name="y_draw">#REF!</definedName>
    <definedName name="y_orig">#REF!</definedName>
    <definedName name="ybar" localSheetId="23">#REF!</definedName>
    <definedName name="ybar" localSheetId="24">#REF!</definedName>
    <definedName name="ybar">#REF!</definedName>
    <definedName name="year">Data!$D$2:$D$235</definedName>
    <definedName name="year_Permute">#REF!</definedName>
    <definedName name="year_RandPermute">#REF!</definedName>
    <definedName name="years">[17]Bond!$C$7</definedName>
    <definedName name="yhat" localSheetId="23">#REF!</definedName>
    <definedName name="yhat" localSheetId="24">#REF!</definedName>
    <definedName name="yhat">#REF!</definedName>
    <definedName name="yhat_i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99" l="1"/>
  <c r="B3" i="99" s="1"/>
  <c r="C3" i="98"/>
  <c r="B3" i="98" s="1"/>
  <c r="B4" i="98"/>
  <c r="B5" i="98"/>
  <c r="B6" i="98"/>
  <c r="B7" i="98"/>
  <c r="B8" i="98"/>
  <c r="B9" i="98"/>
  <c r="B10" i="98"/>
  <c r="B11" i="98"/>
  <c r="B12" i="98"/>
  <c r="B13" i="98"/>
  <c r="B14" i="98"/>
  <c r="B15" i="98"/>
  <c r="B16" i="98"/>
  <c r="B17" i="98"/>
  <c r="B18" i="98"/>
  <c r="B19" i="98"/>
  <c r="B20" i="98"/>
  <c r="B21" i="98"/>
  <c r="B22" i="98"/>
  <c r="B23" i="98"/>
  <c r="B24" i="98"/>
  <c r="B25" i="98"/>
  <c r="B26" i="98"/>
  <c r="B27" i="98"/>
  <c r="B28" i="98"/>
  <c r="B29" i="98"/>
  <c r="B30" i="98"/>
  <c r="B31" i="98"/>
  <c r="B32" i="98"/>
  <c r="B33" i="98"/>
  <c r="B34" i="98"/>
  <c r="B35" i="98"/>
  <c r="B36" i="98"/>
  <c r="B37" i="98"/>
  <c r="B38" i="98"/>
  <c r="B39" i="98"/>
  <c r="B40" i="98"/>
  <c r="B41" i="98"/>
  <c r="B42" i="98"/>
  <c r="B43" i="98"/>
  <c r="B44" i="98"/>
  <c r="B45" i="98"/>
  <c r="B46" i="98"/>
  <c r="B47" i="98"/>
  <c r="B48" i="98"/>
  <c r="B49" i="98"/>
  <c r="B50" i="98"/>
  <c r="B51" i="98"/>
  <c r="B52" i="98"/>
  <c r="B53" i="98"/>
  <c r="B54" i="98"/>
  <c r="B55" i="98"/>
  <c r="B56" i="98"/>
  <c r="B57" i="98"/>
  <c r="B58" i="98"/>
  <c r="B59" i="98"/>
  <c r="B60" i="98"/>
  <c r="B61" i="98"/>
  <c r="B62" i="98"/>
  <c r="B63" i="98"/>
  <c r="B64" i="98"/>
  <c r="B65" i="98"/>
  <c r="B66" i="98"/>
  <c r="B67" i="98"/>
  <c r="B68" i="98"/>
  <c r="B69" i="98"/>
  <c r="B70" i="98"/>
  <c r="B71" i="98"/>
  <c r="B72" i="98"/>
  <c r="B73" i="98"/>
  <c r="B74" i="98"/>
  <c r="B75" i="98"/>
  <c r="B76" i="98"/>
  <c r="B77" i="98"/>
  <c r="B78" i="98"/>
  <c r="B79" i="98"/>
  <c r="B80" i="98"/>
  <c r="B81" i="98"/>
  <c r="B82" i="98"/>
  <c r="B83" i="98"/>
  <c r="B84" i="98"/>
  <c r="B85" i="98"/>
  <c r="B86" i="98"/>
  <c r="B87" i="98"/>
  <c r="B88" i="98"/>
  <c r="B89" i="98"/>
  <c r="B90" i="98"/>
  <c r="B91" i="98"/>
  <c r="B92" i="98"/>
  <c r="B93" i="98"/>
  <c r="B94" i="98"/>
  <c r="B95" i="98"/>
  <c r="B96" i="98"/>
  <c r="B97" i="98"/>
  <c r="B98" i="98"/>
  <c r="B99" i="98"/>
  <c r="B100" i="98"/>
  <c r="B101" i="98"/>
  <c r="B102" i="98"/>
  <c r="B103" i="98"/>
  <c r="B104" i="98"/>
  <c r="B105" i="98"/>
  <c r="B106" i="98"/>
  <c r="B107" i="98"/>
  <c r="B108" i="98"/>
  <c r="B109" i="98"/>
  <c r="B110" i="98"/>
  <c r="B111" i="98"/>
  <c r="B112" i="98"/>
  <c r="B113" i="98"/>
  <c r="B114" i="98"/>
  <c r="B115" i="98"/>
  <c r="B116" i="98"/>
  <c r="B117" i="98"/>
  <c r="B118" i="98"/>
  <c r="B119" i="98"/>
  <c r="B120" i="98"/>
  <c r="B121" i="98"/>
  <c r="B122" i="98"/>
  <c r="B123" i="98"/>
  <c r="B124" i="98"/>
  <c r="B125" i="98"/>
  <c r="B126" i="98"/>
  <c r="B127" i="98"/>
  <c r="B128" i="98"/>
  <c r="B129" i="98"/>
  <c r="B130" i="98"/>
  <c r="B131" i="98"/>
  <c r="B132" i="98"/>
  <c r="B133" i="98"/>
  <c r="B134" i="98"/>
  <c r="B135" i="98"/>
  <c r="B136" i="98"/>
  <c r="B137" i="98"/>
  <c r="B138" i="98"/>
  <c r="B139" i="98"/>
  <c r="B140" i="98"/>
  <c r="B141" i="98"/>
  <c r="B142" i="98"/>
  <c r="B143" i="98"/>
  <c r="B144" i="98"/>
  <c r="B145" i="98"/>
  <c r="B146" i="98"/>
  <c r="B147" i="98"/>
  <c r="B148" i="98"/>
  <c r="B149" i="98"/>
  <c r="B150" i="98"/>
  <c r="B151" i="98"/>
  <c r="B152" i="98"/>
  <c r="B153" i="98"/>
  <c r="B154" i="98"/>
  <c r="B155" i="98"/>
  <c r="B156" i="98"/>
  <c r="B157" i="98"/>
  <c r="B158" i="98"/>
  <c r="B159" i="98"/>
  <c r="B160" i="98"/>
  <c r="B161" i="98"/>
  <c r="B162" i="98"/>
  <c r="B163" i="98"/>
  <c r="B164" i="98"/>
  <c r="B165" i="98"/>
  <c r="B166" i="98"/>
  <c r="B167" i="98"/>
  <c r="B168" i="98"/>
  <c r="B169" i="98"/>
  <c r="B170" i="98"/>
  <c r="B171" i="98"/>
  <c r="B172" i="98"/>
  <c r="B173" i="98"/>
  <c r="B174" i="98"/>
  <c r="B175" i="98"/>
  <c r="B176" i="98"/>
  <c r="B177" i="98"/>
  <c r="B178" i="98"/>
  <c r="B179" i="98"/>
  <c r="B180" i="98"/>
  <c r="B181" i="98"/>
  <c r="B182" i="98"/>
  <c r="B183" i="98"/>
  <c r="B184" i="98"/>
  <c r="B185" i="98"/>
  <c r="B186" i="98"/>
  <c r="B187" i="98"/>
  <c r="B188" i="98"/>
  <c r="B189" i="98"/>
  <c r="B190" i="98"/>
  <c r="B191" i="98"/>
  <c r="B192" i="98"/>
  <c r="B193" i="98"/>
  <c r="B194" i="98"/>
  <c r="B195" i="98"/>
  <c r="B196" i="98"/>
  <c r="B197" i="98"/>
  <c r="B198" i="98"/>
  <c r="B199" i="98"/>
  <c r="B200" i="98"/>
  <c r="B201" i="98"/>
  <c r="B202" i="98"/>
  <c r="B203" i="98"/>
  <c r="B204" i="98"/>
  <c r="B205" i="98"/>
  <c r="B206" i="98"/>
  <c r="B207" i="98"/>
  <c r="B208" i="98"/>
  <c r="B209" i="98"/>
  <c r="B210" i="98"/>
  <c r="B211" i="98"/>
  <c r="B212" i="98"/>
  <c r="B213" i="98"/>
  <c r="B214" i="98"/>
  <c r="B215" i="98"/>
  <c r="B216" i="98"/>
  <c r="B217" i="98"/>
  <c r="B218" i="98"/>
  <c r="B219" i="98"/>
  <c r="B220" i="98"/>
  <c r="B221" i="98"/>
  <c r="B222" i="98"/>
  <c r="B223" i="98"/>
  <c r="B224" i="98"/>
  <c r="B225" i="98"/>
  <c r="B226" i="98"/>
  <c r="B227" i="98"/>
  <c r="B228" i="98"/>
  <c r="B229" i="98"/>
  <c r="B230" i="98"/>
  <c r="B231" i="98"/>
  <c r="B232" i="98"/>
  <c r="B233" i="98"/>
  <c r="B234" i="98"/>
  <c r="B235" i="98"/>
  <c r="B236" i="98"/>
  <c r="B237" i="98"/>
  <c r="B238" i="98"/>
  <c r="B239" i="98"/>
  <c r="B240" i="98"/>
  <c r="B241" i="98"/>
  <c r="B242" i="98"/>
  <c r="B243" i="98"/>
  <c r="B244" i="98"/>
  <c r="B245" i="98"/>
  <c r="B246" i="98"/>
  <c r="B247" i="98"/>
  <c r="B248" i="98"/>
  <c r="B249" i="98"/>
  <c r="B250" i="98"/>
  <c r="B251" i="98"/>
  <c r="B252" i="98"/>
  <c r="B253" i="98"/>
  <c r="B254" i="98"/>
  <c r="B255" i="98"/>
  <c r="B256" i="98"/>
  <c r="B257" i="98"/>
  <c r="B258" i="98"/>
  <c r="B259" i="98"/>
  <c r="B260" i="98"/>
  <c r="B261" i="98"/>
  <c r="B262" i="98"/>
  <c r="B263" i="98"/>
  <c r="B264" i="98"/>
  <c r="B265" i="98"/>
  <c r="B266" i="98"/>
  <c r="B267" i="98"/>
  <c r="B268" i="98"/>
  <c r="B269" i="98"/>
  <c r="B270" i="98"/>
  <c r="B271" i="98"/>
  <c r="B272" i="98"/>
  <c r="B273" i="98"/>
  <c r="B274" i="98"/>
  <c r="B275" i="98"/>
  <c r="B276" i="98"/>
  <c r="B277" i="98"/>
  <c r="B278" i="98"/>
  <c r="B279" i="98"/>
  <c r="B280" i="98"/>
  <c r="B281" i="98"/>
  <c r="B282" i="98"/>
  <c r="B283" i="98"/>
  <c r="B284" i="98"/>
  <c r="B285" i="98"/>
  <c r="B286" i="98"/>
  <c r="B287" i="98"/>
  <c r="B288" i="98"/>
  <c r="B289" i="98"/>
  <c r="B290" i="98"/>
  <c r="B291" i="98"/>
  <c r="B292" i="98"/>
  <c r="B293" i="98"/>
  <c r="B294" i="98"/>
  <c r="B295" i="98"/>
  <c r="B296" i="98"/>
  <c r="B297" i="98"/>
  <c r="B298" i="98"/>
  <c r="B299" i="98"/>
  <c r="B300" i="98"/>
  <c r="B301" i="98"/>
  <c r="B302" i="98"/>
  <c r="B303" i="98"/>
  <c r="B304" i="98"/>
  <c r="B305" i="98"/>
  <c r="B306" i="98"/>
  <c r="B307" i="98"/>
  <c r="B308" i="98"/>
  <c r="B309" i="98"/>
  <c r="B310" i="98"/>
  <c r="B311" i="98"/>
  <c r="B312" i="98"/>
  <c r="B313" i="98"/>
  <c r="B314" i="98"/>
  <c r="B315" i="98"/>
  <c r="B316" i="98"/>
  <c r="B317" i="98"/>
  <c r="B318" i="98"/>
  <c r="B319" i="98"/>
  <c r="B320" i="98"/>
  <c r="B321" i="98"/>
  <c r="B322" i="98"/>
  <c r="B323" i="98"/>
  <c r="B324" i="98"/>
  <c r="B325" i="98"/>
  <c r="B326" i="98"/>
  <c r="B327" i="98"/>
  <c r="B328" i="98"/>
  <c r="B329" i="98"/>
  <c r="B330" i="98"/>
  <c r="B331" i="98"/>
  <c r="B332" i="98"/>
  <c r="B333" i="98"/>
  <c r="B334" i="98"/>
  <c r="B335" i="98"/>
  <c r="B336" i="98"/>
  <c r="B337" i="98"/>
  <c r="B338" i="98"/>
  <c r="B339" i="98"/>
  <c r="B340" i="98"/>
  <c r="B341" i="98"/>
  <c r="B342" i="98"/>
  <c r="B343" i="98"/>
  <c r="B344" i="98"/>
  <c r="B345" i="98"/>
  <c r="B346" i="98"/>
  <c r="B347" i="98"/>
  <c r="B348" i="98"/>
  <c r="B349" i="98"/>
  <c r="B350" i="98"/>
  <c r="B351" i="98"/>
  <c r="B352" i="98"/>
  <c r="B353" i="98"/>
  <c r="B354" i="98"/>
  <c r="B355" i="98"/>
  <c r="B356" i="98"/>
  <c r="B357" i="98"/>
  <c r="B358" i="98"/>
  <c r="B359" i="98"/>
  <c r="B360" i="98"/>
  <c r="B361" i="98"/>
  <c r="B362" i="98"/>
  <c r="B363" i="98"/>
  <c r="B364" i="98"/>
  <c r="B365" i="98"/>
  <c r="B366" i="98"/>
  <c r="B367" i="98"/>
  <c r="B368" i="98"/>
  <c r="B369" i="98"/>
  <c r="B370" i="98"/>
  <c r="B371" i="98"/>
  <c r="B372" i="98"/>
  <c r="B373" i="98"/>
  <c r="B374" i="98"/>
  <c r="B375" i="98"/>
  <c r="B376" i="98"/>
  <c r="B377" i="98"/>
  <c r="B378" i="98"/>
  <c r="B379" i="98"/>
  <c r="B380" i="98"/>
  <c r="B381" i="98"/>
  <c r="B382" i="98"/>
  <c r="B383" i="98"/>
  <c r="B384" i="98"/>
  <c r="B385" i="98"/>
  <c r="B386" i="98"/>
  <c r="B387" i="98"/>
  <c r="B388" i="98"/>
  <c r="B389" i="98"/>
  <c r="B390" i="98"/>
  <c r="B391" i="98"/>
  <c r="B392" i="98"/>
  <c r="B393" i="98"/>
  <c r="B394" i="98"/>
  <c r="B395" i="98"/>
  <c r="B396" i="98"/>
  <c r="B397" i="98"/>
  <c r="B398" i="98"/>
  <c r="B399" i="98"/>
  <c r="B400" i="98"/>
  <c r="B401" i="98"/>
  <c r="B402" i="98"/>
  <c r="B403" i="98"/>
  <c r="B404" i="98"/>
  <c r="B405" i="98"/>
  <c r="B406" i="98"/>
  <c r="B407" i="98"/>
  <c r="B408" i="98"/>
  <c r="B409" i="98"/>
  <c r="B410" i="98"/>
  <c r="B411" i="98"/>
  <c r="B412" i="98"/>
  <c r="B413" i="98"/>
  <c r="B414" i="98"/>
  <c r="B415" i="98"/>
  <c r="B416" i="98"/>
  <c r="B417" i="98"/>
  <c r="B418" i="98"/>
  <c r="B419" i="98"/>
  <c r="B420" i="98"/>
  <c r="B421" i="98"/>
  <c r="B422" i="98"/>
  <c r="B423" i="98"/>
  <c r="B424" i="98"/>
  <c r="B425" i="98"/>
  <c r="B426" i="98"/>
  <c r="B427" i="98"/>
  <c r="B428" i="98"/>
  <c r="B429" i="98"/>
  <c r="B430" i="98"/>
  <c r="B431" i="98"/>
  <c r="B432" i="98"/>
  <c r="B433" i="98"/>
  <c r="B434" i="98"/>
  <c r="B435" i="98"/>
  <c r="B436" i="98"/>
  <c r="B437" i="98"/>
  <c r="B438" i="98"/>
  <c r="B439" i="98"/>
  <c r="B440" i="98"/>
  <c r="B441" i="98"/>
  <c r="B442" i="98"/>
  <c r="B443" i="98"/>
  <c r="B444" i="98"/>
  <c r="B445" i="98"/>
  <c r="B446" i="98"/>
  <c r="B447" i="98"/>
  <c r="B448" i="98"/>
  <c r="B449" i="98"/>
  <c r="B450" i="98"/>
  <c r="B451" i="98"/>
  <c r="B452" i="98"/>
  <c r="B453" i="98"/>
  <c r="B454" i="98"/>
  <c r="B455" i="98"/>
  <c r="B456" i="98"/>
  <c r="B457" i="98"/>
  <c r="B458" i="98"/>
  <c r="B459" i="98"/>
  <c r="B460" i="98"/>
  <c r="B461" i="98"/>
  <c r="B462" i="98"/>
  <c r="B463" i="98"/>
  <c r="B464" i="98"/>
  <c r="B465" i="98"/>
  <c r="B466" i="98"/>
  <c r="B467" i="98"/>
  <c r="B468" i="98"/>
  <c r="B469" i="98"/>
  <c r="B470" i="98"/>
  <c r="B471" i="98"/>
  <c r="B472" i="98"/>
  <c r="B473" i="98"/>
  <c r="B474" i="98"/>
  <c r="B475" i="98"/>
  <c r="B476" i="98"/>
  <c r="B477" i="98"/>
  <c r="B478" i="98"/>
  <c r="B479" i="98"/>
  <c r="B480" i="98"/>
  <c r="B481" i="98"/>
  <c r="B482" i="98"/>
  <c r="B483" i="98"/>
  <c r="B484" i="98"/>
  <c r="B485" i="98"/>
  <c r="B486" i="98"/>
  <c r="B487" i="98"/>
  <c r="B488" i="98"/>
  <c r="B489" i="98"/>
  <c r="B490" i="98"/>
  <c r="B491" i="98"/>
  <c r="B492" i="98"/>
  <c r="B493" i="98"/>
  <c r="B494" i="98"/>
  <c r="B495" i="98"/>
  <c r="B496" i="98"/>
  <c r="B497" i="98"/>
  <c r="B498" i="98"/>
  <c r="B499" i="98"/>
  <c r="B500" i="98"/>
  <c r="B501" i="98"/>
  <c r="B502" i="98"/>
  <c r="B503" i="98"/>
  <c r="B504" i="98"/>
  <c r="B505" i="98"/>
  <c r="B506" i="98"/>
  <c r="B507" i="98"/>
  <c r="B508" i="98"/>
  <c r="B509" i="98"/>
  <c r="B510" i="98"/>
  <c r="B511" i="98"/>
  <c r="B512" i="98"/>
  <c r="B513" i="98"/>
  <c r="B514" i="98"/>
  <c r="B515" i="98"/>
  <c r="B516" i="98"/>
  <c r="B517" i="98"/>
  <c r="B518" i="98"/>
  <c r="B519" i="98"/>
  <c r="B520" i="98"/>
  <c r="B521" i="98"/>
  <c r="B522" i="98"/>
  <c r="B523" i="98"/>
  <c r="B524" i="98"/>
  <c r="B525" i="98"/>
  <c r="B526" i="98"/>
  <c r="B527" i="98"/>
  <c r="B528" i="98"/>
  <c r="B529" i="98"/>
  <c r="B530" i="98"/>
  <c r="B531" i="98"/>
  <c r="B532" i="98"/>
  <c r="B533" i="98"/>
  <c r="B534" i="98"/>
  <c r="B535" i="98"/>
  <c r="B536" i="98"/>
  <c r="B537" i="98"/>
  <c r="B538" i="98"/>
  <c r="B539" i="98"/>
  <c r="B540" i="98"/>
  <c r="B541" i="98"/>
  <c r="B542" i="98"/>
  <c r="B543" i="98"/>
  <c r="B544" i="98"/>
  <c r="B545" i="98"/>
  <c r="B546" i="98"/>
  <c r="B547" i="98"/>
  <c r="B548" i="98"/>
  <c r="B549" i="98"/>
  <c r="B550" i="98"/>
  <c r="B551" i="98"/>
  <c r="B552" i="98"/>
  <c r="B553" i="98"/>
  <c r="B554" i="98"/>
  <c r="B555" i="98"/>
  <c r="B556" i="98"/>
  <c r="B557" i="98"/>
  <c r="B558" i="98"/>
  <c r="B559" i="98"/>
  <c r="B560" i="98"/>
  <c r="B561" i="98"/>
  <c r="B562" i="98"/>
  <c r="B563" i="98"/>
  <c r="B564" i="98"/>
  <c r="B565" i="98"/>
  <c r="B566" i="98"/>
  <c r="B567" i="98"/>
  <c r="B568" i="98"/>
  <c r="B569" i="98"/>
  <c r="B570" i="98"/>
  <c r="B571" i="98"/>
  <c r="B572" i="98"/>
  <c r="B573" i="98"/>
  <c r="B574" i="98"/>
  <c r="B575" i="98"/>
  <c r="B576" i="98"/>
  <c r="B577" i="98"/>
  <c r="B578" i="98"/>
  <c r="B579" i="98"/>
  <c r="B580" i="98"/>
  <c r="B581" i="98"/>
  <c r="B582" i="98"/>
  <c r="B583" i="98"/>
  <c r="B584" i="98"/>
  <c r="B585" i="98"/>
  <c r="B586" i="98"/>
  <c r="B587" i="98"/>
  <c r="B588" i="98"/>
  <c r="B589" i="98"/>
  <c r="B590" i="98"/>
  <c r="B591" i="98"/>
  <c r="B592" i="98"/>
  <c r="B593" i="98"/>
  <c r="B594" i="98"/>
  <c r="B595" i="98"/>
  <c r="B596" i="98"/>
  <c r="B597" i="98"/>
  <c r="B598" i="98"/>
  <c r="B599" i="98"/>
  <c r="B600" i="98"/>
  <c r="B601" i="98"/>
  <c r="B602" i="98"/>
  <c r="B603" i="98"/>
  <c r="B604" i="98"/>
  <c r="B605" i="98"/>
  <c r="B606" i="98"/>
  <c r="B607" i="98"/>
  <c r="B608" i="98"/>
  <c r="B609" i="98"/>
  <c r="B610" i="98"/>
  <c r="B611" i="98"/>
  <c r="B612" i="98"/>
  <c r="B613" i="98"/>
  <c r="B614" i="98"/>
  <c r="B615" i="98"/>
  <c r="B616" i="98"/>
  <c r="B617" i="98"/>
  <c r="B618" i="98"/>
  <c r="B619" i="98"/>
  <c r="B620" i="98"/>
  <c r="B621" i="98"/>
  <c r="B622" i="98"/>
  <c r="B623" i="98"/>
  <c r="B624" i="98"/>
  <c r="B625" i="98"/>
  <c r="B626" i="98"/>
  <c r="B627" i="98"/>
  <c r="B628" i="98"/>
  <c r="B629" i="98"/>
  <c r="B630" i="98"/>
  <c r="B631" i="98"/>
  <c r="B632" i="98"/>
  <c r="B633" i="98"/>
  <c r="B634" i="98"/>
  <c r="B635" i="98"/>
  <c r="B636" i="98"/>
  <c r="B637" i="98"/>
  <c r="B638" i="98"/>
  <c r="B639" i="98"/>
  <c r="B640" i="98"/>
  <c r="B641" i="98"/>
  <c r="B642" i="98"/>
  <c r="B643" i="98"/>
  <c r="B644" i="98"/>
  <c r="B645" i="98"/>
  <c r="B646" i="98"/>
  <c r="B647" i="98"/>
  <c r="B648" i="98"/>
  <c r="B649" i="98"/>
  <c r="B650" i="98"/>
  <c r="B651" i="98"/>
  <c r="B652" i="98"/>
  <c r="B653" i="98"/>
  <c r="B654" i="98"/>
  <c r="B655" i="98"/>
  <c r="B656" i="98"/>
  <c r="B657" i="98"/>
  <c r="B658" i="98"/>
  <c r="B659" i="98"/>
  <c r="B660" i="98"/>
  <c r="B661" i="98"/>
  <c r="B662" i="98"/>
  <c r="B663" i="98"/>
  <c r="B664" i="98"/>
  <c r="B665" i="98"/>
  <c r="B666" i="98"/>
  <c r="B667" i="98"/>
  <c r="B668" i="98"/>
  <c r="B669" i="98"/>
  <c r="B670" i="98"/>
  <c r="B671" i="98"/>
  <c r="B672" i="98"/>
  <c r="B673" i="98"/>
  <c r="B674" i="98"/>
  <c r="B675" i="98"/>
  <c r="B676" i="98"/>
  <c r="B677" i="98"/>
  <c r="B678" i="98"/>
  <c r="B679" i="98"/>
  <c r="B680" i="98"/>
  <c r="B681" i="98"/>
  <c r="B682" i="98"/>
  <c r="B683" i="98"/>
  <c r="B684" i="98"/>
  <c r="B685" i="98"/>
  <c r="B686" i="98"/>
  <c r="B687" i="98"/>
  <c r="B688" i="98"/>
  <c r="B689" i="98"/>
  <c r="B690" i="98"/>
  <c r="B691" i="98"/>
  <c r="B692" i="98"/>
  <c r="B693" i="98"/>
  <c r="B694" i="98"/>
  <c r="B695" i="98"/>
  <c r="B696" i="98"/>
  <c r="B697" i="98"/>
  <c r="B698" i="98"/>
  <c r="B699" i="98"/>
  <c r="B700" i="98"/>
  <c r="B701" i="98"/>
  <c r="B702" i="98"/>
  <c r="B703" i="98"/>
  <c r="B704" i="98"/>
  <c r="B705" i="98"/>
  <c r="B706" i="98"/>
  <c r="B707" i="98"/>
  <c r="B708" i="98"/>
  <c r="B709" i="98"/>
  <c r="B710" i="98"/>
  <c r="B711" i="98"/>
  <c r="B712" i="98"/>
  <c r="B713" i="98"/>
  <c r="B714" i="98"/>
  <c r="B715" i="98"/>
  <c r="B716" i="98"/>
  <c r="B717" i="98"/>
  <c r="B718" i="98"/>
  <c r="B719" i="98"/>
  <c r="B720" i="98"/>
  <c r="B721" i="98"/>
  <c r="B722" i="98"/>
  <c r="B723" i="98"/>
  <c r="B724" i="98"/>
  <c r="B725" i="98"/>
  <c r="B726" i="98"/>
  <c r="B727" i="98"/>
  <c r="B728" i="98"/>
  <c r="B729" i="98"/>
  <c r="B730" i="98"/>
  <c r="B731" i="98"/>
  <c r="B732" i="98"/>
  <c r="B733" i="98"/>
  <c r="B734" i="98"/>
  <c r="B735" i="98"/>
  <c r="B736" i="98"/>
  <c r="B737" i="98"/>
  <c r="B738" i="98"/>
  <c r="B739" i="98"/>
  <c r="B740" i="98"/>
  <c r="B741" i="98"/>
  <c r="B742" i="98"/>
  <c r="B743" i="98"/>
  <c r="B744" i="98"/>
  <c r="B745" i="98"/>
  <c r="B746" i="98"/>
  <c r="B747" i="98"/>
  <c r="B748" i="98"/>
  <c r="B749" i="98"/>
  <c r="B750" i="98"/>
  <c r="B751" i="98"/>
  <c r="B752" i="98"/>
  <c r="B753" i="98"/>
  <c r="B754" i="98"/>
  <c r="B755" i="98"/>
  <c r="B756" i="98"/>
  <c r="B757" i="98"/>
  <c r="B758" i="98"/>
  <c r="B759" i="98"/>
  <c r="B760" i="98"/>
  <c r="B761" i="98"/>
  <c r="B762" i="98"/>
  <c r="B763" i="98"/>
  <c r="B764" i="98"/>
  <c r="B765" i="98"/>
  <c r="B766" i="98"/>
  <c r="B767" i="98"/>
  <c r="B768" i="98"/>
  <c r="B769" i="98"/>
  <c r="B770" i="98"/>
  <c r="B771" i="98"/>
  <c r="B772" i="98"/>
  <c r="B773" i="98"/>
  <c r="B774" i="98"/>
  <c r="B775" i="98"/>
  <c r="B776" i="98"/>
  <c r="B777" i="98"/>
  <c r="B778" i="98"/>
  <c r="B779" i="98"/>
  <c r="B780" i="98"/>
  <c r="B781" i="98"/>
  <c r="B782" i="98"/>
  <c r="B783" i="98"/>
  <c r="B784" i="98"/>
  <c r="B785" i="98"/>
  <c r="B786" i="98"/>
  <c r="B787" i="98"/>
  <c r="B788" i="98"/>
  <c r="B789" i="98"/>
  <c r="B790" i="98"/>
  <c r="B791" i="98"/>
  <c r="B792" i="98"/>
  <c r="B793" i="98"/>
  <c r="B794" i="98"/>
  <c r="B795" i="98"/>
  <c r="B796" i="98"/>
  <c r="B797" i="98"/>
  <c r="B798" i="98"/>
  <c r="B799" i="98"/>
  <c r="B800" i="98"/>
  <c r="B801" i="98"/>
  <c r="B802" i="98"/>
  <c r="B803" i="98"/>
  <c r="B804" i="98"/>
  <c r="B805" i="98"/>
  <c r="B806" i="98"/>
  <c r="B807" i="98"/>
  <c r="B808" i="98"/>
  <c r="B809" i="98"/>
  <c r="B810" i="98"/>
  <c r="B811" i="98"/>
  <c r="B812" i="98"/>
  <c r="B813" i="98"/>
  <c r="B814" i="98"/>
  <c r="B815" i="98"/>
  <c r="B816" i="98"/>
  <c r="B817" i="98"/>
  <c r="B818" i="98"/>
  <c r="B819" i="98"/>
  <c r="B820" i="98"/>
  <c r="B821" i="98"/>
  <c r="B822" i="98"/>
  <c r="B823" i="98"/>
  <c r="B824" i="98"/>
  <c r="B825" i="98"/>
  <c r="B826" i="98"/>
  <c r="B827" i="98"/>
  <c r="B828" i="98"/>
  <c r="B829" i="98"/>
  <c r="B830" i="98"/>
  <c r="B831" i="98"/>
  <c r="B832" i="98"/>
  <c r="B833" i="98"/>
  <c r="B834" i="98"/>
  <c r="B835" i="98"/>
  <c r="B836" i="98"/>
  <c r="B837" i="98"/>
  <c r="B838" i="98"/>
  <c r="B839" i="98"/>
  <c r="B840" i="98"/>
  <c r="B841" i="98"/>
  <c r="B842" i="98"/>
  <c r="B843" i="98"/>
  <c r="B844" i="98"/>
  <c r="B845" i="98"/>
  <c r="B846" i="98"/>
  <c r="B847" i="98"/>
  <c r="B848" i="98"/>
  <c r="B849" i="98"/>
  <c r="B850" i="98"/>
  <c r="B851" i="98"/>
  <c r="B852" i="98"/>
  <c r="B853" i="98"/>
  <c r="B854" i="98"/>
  <c r="B855" i="98"/>
  <c r="B856" i="98"/>
  <c r="B857" i="98"/>
  <c r="B858" i="98"/>
  <c r="B859" i="98"/>
  <c r="B860" i="98"/>
  <c r="B861" i="98"/>
  <c r="B862" i="98"/>
  <c r="B863" i="98"/>
  <c r="B864" i="98"/>
  <c r="B865" i="98"/>
  <c r="B866" i="98"/>
  <c r="B867" i="98"/>
  <c r="B868" i="98"/>
  <c r="B869" i="98"/>
  <c r="B870" i="98"/>
  <c r="B871" i="98"/>
  <c r="B872" i="98"/>
  <c r="B873" i="98"/>
  <c r="B874" i="98"/>
  <c r="B875" i="98"/>
  <c r="B876" i="98"/>
  <c r="B877" i="98"/>
  <c r="B878" i="98"/>
  <c r="B879" i="98"/>
  <c r="B880" i="98"/>
  <c r="B881" i="98"/>
  <c r="B882" i="98"/>
  <c r="B883" i="98"/>
  <c r="B884" i="98"/>
  <c r="B885" i="98"/>
  <c r="B886" i="98"/>
  <c r="B887" i="98"/>
  <c r="B888" i="98"/>
  <c r="B889" i="98"/>
  <c r="B890" i="98"/>
  <c r="B891" i="98"/>
  <c r="B892" i="98"/>
  <c r="B893" i="98"/>
  <c r="B894" i="98"/>
  <c r="B895" i="98"/>
  <c r="B896" i="98"/>
  <c r="B897" i="98"/>
  <c r="B898" i="98"/>
  <c r="B899" i="98"/>
  <c r="B900" i="98"/>
  <c r="B901" i="98"/>
  <c r="B902" i="98"/>
  <c r="B903" i="98"/>
  <c r="B904" i="98"/>
  <c r="B905" i="98"/>
  <c r="B906" i="98"/>
  <c r="B907" i="98"/>
  <c r="B908" i="98"/>
  <c r="B909" i="98"/>
  <c r="B910" i="98"/>
  <c r="B911" i="98"/>
  <c r="B912" i="98"/>
  <c r="B913" i="98"/>
  <c r="B914" i="98"/>
  <c r="B915" i="98"/>
  <c r="B916" i="98"/>
  <c r="B917" i="98"/>
  <c r="B918" i="98"/>
  <c r="B919" i="98"/>
  <c r="B920" i="98"/>
  <c r="B921" i="98"/>
  <c r="B922" i="98"/>
  <c r="B923" i="98"/>
  <c r="B924" i="98"/>
  <c r="B925" i="98"/>
  <c r="B926" i="98"/>
  <c r="B927" i="98"/>
  <c r="B928" i="98"/>
  <c r="B929" i="98"/>
  <c r="B930" i="98"/>
  <c r="B931" i="98"/>
  <c r="B932" i="98"/>
  <c r="B933" i="98"/>
  <c r="B934" i="98"/>
  <c r="B935" i="98"/>
  <c r="B936" i="98"/>
  <c r="B937" i="98"/>
  <c r="B938" i="98"/>
  <c r="B939" i="98"/>
  <c r="B940" i="98"/>
  <c r="B941" i="98"/>
  <c r="B942" i="98"/>
  <c r="B943" i="98"/>
  <c r="B944" i="98"/>
  <c r="B945" i="98"/>
  <c r="B946" i="98"/>
  <c r="B947" i="98"/>
  <c r="B948" i="98"/>
  <c r="B949" i="98"/>
  <c r="B950" i="98"/>
  <c r="B951" i="98"/>
  <c r="B952" i="98"/>
  <c r="B953" i="98"/>
  <c r="B954" i="98"/>
  <c r="B955" i="98"/>
  <c r="B956" i="98"/>
  <c r="B957" i="98"/>
  <c r="B958" i="98"/>
  <c r="B959" i="98"/>
  <c r="B960" i="98"/>
  <c r="B961" i="98"/>
  <c r="B962" i="98"/>
  <c r="B963" i="98"/>
  <c r="B964" i="98"/>
  <c r="B965" i="98"/>
  <c r="B966" i="98"/>
  <c r="B967" i="98"/>
  <c r="B968" i="98"/>
  <c r="B969" i="98"/>
  <c r="B970" i="98"/>
  <c r="B971" i="98"/>
  <c r="B972" i="98"/>
  <c r="B973" i="98"/>
  <c r="B974" i="98"/>
  <c r="B975" i="98"/>
  <c r="B976" i="98"/>
  <c r="B977" i="98"/>
  <c r="B978" i="98"/>
  <c r="B979" i="98"/>
  <c r="B980" i="98"/>
  <c r="B981" i="98"/>
  <c r="B982" i="98"/>
  <c r="B983" i="98"/>
  <c r="B984" i="98"/>
  <c r="B985" i="98"/>
  <c r="B986" i="98"/>
  <c r="B987" i="98"/>
  <c r="B988" i="98"/>
  <c r="B989" i="98"/>
  <c r="B990" i="98"/>
  <c r="B991" i="98"/>
  <c r="B992" i="98"/>
  <c r="B993" i="98"/>
  <c r="B994" i="98"/>
  <c r="B995" i="98"/>
  <c r="B996" i="98"/>
  <c r="B997" i="98"/>
  <c r="B998" i="98"/>
  <c r="B999" i="98"/>
  <c r="B1000" i="98"/>
  <c r="B1001" i="98"/>
  <c r="B1002" i="98"/>
  <c r="C3" i="97"/>
  <c r="B3" i="97" s="1"/>
  <c r="B4" i="97"/>
  <c r="B5" i="97"/>
  <c r="B6" i="97"/>
  <c r="B7" i="97"/>
  <c r="B8" i="97"/>
  <c r="B9" i="97"/>
  <c r="B10" i="97"/>
  <c r="B11" i="97"/>
  <c r="B12" i="97"/>
  <c r="B13" i="97"/>
  <c r="B14" i="97"/>
  <c r="B15" i="97"/>
  <c r="B16" i="97"/>
  <c r="B17" i="97"/>
  <c r="B18" i="97"/>
  <c r="B19" i="97"/>
  <c r="B20" i="97"/>
  <c r="B21" i="97"/>
  <c r="B22" i="97"/>
  <c r="B23" i="97"/>
  <c r="B24" i="97"/>
  <c r="B25" i="97"/>
  <c r="B26" i="97"/>
  <c r="B27" i="97"/>
  <c r="B28" i="97"/>
  <c r="B29" i="97"/>
  <c r="B30" i="97"/>
  <c r="B31" i="97"/>
  <c r="B32" i="97"/>
  <c r="B33" i="97"/>
  <c r="B34" i="97"/>
  <c r="B35" i="97"/>
  <c r="B36" i="97"/>
  <c r="B37" i="97"/>
  <c r="B38" i="97"/>
  <c r="B39" i="97"/>
  <c r="B40" i="97"/>
  <c r="B41" i="97"/>
  <c r="B42" i="97"/>
  <c r="B43" i="97"/>
  <c r="B44" i="97"/>
  <c r="B45" i="97"/>
  <c r="B46" i="97"/>
  <c r="B47" i="97"/>
  <c r="B48" i="97"/>
  <c r="B49" i="97"/>
  <c r="B50" i="97"/>
  <c r="B51" i="97"/>
  <c r="B52" i="97"/>
  <c r="B53" i="97"/>
  <c r="B54" i="97"/>
  <c r="B55" i="97"/>
  <c r="B56" i="97"/>
  <c r="B57" i="97"/>
  <c r="B58" i="97"/>
  <c r="B59" i="97"/>
  <c r="B60" i="97"/>
  <c r="B61" i="97"/>
  <c r="B62" i="97"/>
  <c r="B63" i="97"/>
  <c r="B64" i="97"/>
  <c r="B65" i="97"/>
  <c r="B66" i="97"/>
  <c r="B67" i="97"/>
  <c r="B68" i="97"/>
  <c r="B69" i="97"/>
  <c r="B70" i="97"/>
  <c r="B71" i="97"/>
  <c r="B72" i="97"/>
  <c r="B73" i="97"/>
  <c r="B74" i="97"/>
  <c r="B75" i="97"/>
  <c r="B76" i="97"/>
  <c r="B77" i="97"/>
  <c r="B78" i="97"/>
  <c r="B79" i="97"/>
  <c r="B80" i="97"/>
  <c r="B81" i="97"/>
  <c r="B82" i="97"/>
  <c r="B83" i="97"/>
  <c r="B84" i="97"/>
  <c r="B85" i="97"/>
  <c r="B86" i="97"/>
  <c r="B87" i="97"/>
  <c r="B88" i="97"/>
  <c r="B89" i="97"/>
  <c r="B90" i="97"/>
  <c r="B91" i="97"/>
  <c r="B92" i="97"/>
  <c r="B93" i="97"/>
  <c r="B94" i="97"/>
  <c r="B95" i="97"/>
  <c r="B96" i="97"/>
  <c r="B97" i="97"/>
  <c r="B98" i="97"/>
  <c r="B99" i="97"/>
  <c r="B100" i="97"/>
  <c r="B101" i="97"/>
  <c r="B102" i="97"/>
  <c r="B103" i="97"/>
  <c r="B104" i="97"/>
  <c r="B105" i="97"/>
  <c r="B106" i="97"/>
  <c r="B107" i="97"/>
  <c r="B108" i="97"/>
  <c r="B109" i="97"/>
  <c r="B110" i="97"/>
  <c r="B111" i="97"/>
  <c r="B112" i="97"/>
  <c r="B113" i="97"/>
  <c r="B114" i="97"/>
  <c r="B115" i="97"/>
  <c r="B116" i="97"/>
  <c r="B117" i="97"/>
  <c r="B118" i="97"/>
  <c r="B119" i="97"/>
  <c r="B120" i="97"/>
  <c r="B121" i="97"/>
  <c r="B122" i="97"/>
  <c r="B123" i="97"/>
  <c r="B124" i="97"/>
  <c r="B125" i="97"/>
  <c r="B126" i="97"/>
  <c r="B127" i="97"/>
  <c r="B128" i="97"/>
  <c r="B129" i="97"/>
  <c r="B130" i="97"/>
  <c r="B131" i="97"/>
  <c r="B132" i="97"/>
  <c r="B133" i="97"/>
  <c r="B134" i="97"/>
  <c r="B135" i="97"/>
  <c r="B136" i="97"/>
  <c r="B137" i="97"/>
  <c r="B138" i="97"/>
  <c r="B139" i="97"/>
  <c r="B140" i="97"/>
  <c r="B141" i="97"/>
  <c r="B142" i="97"/>
  <c r="B143" i="97"/>
  <c r="B144" i="97"/>
  <c r="B145" i="97"/>
  <c r="B146" i="97"/>
  <c r="B147" i="97"/>
  <c r="B148" i="97"/>
  <c r="B149" i="97"/>
  <c r="B150" i="97"/>
  <c r="B151" i="97"/>
  <c r="B152" i="97"/>
  <c r="B153" i="97"/>
  <c r="B154" i="97"/>
  <c r="B155" i="97"/>
  <c r="B156" i="97"/>
  <c r="B157" i="97"/>
  <c r="B158" i="97"/>
  <c r="B159" i="97"/>
  <c r="B160" i="97"/>
  <c r="B161" i="97"/>
  <c r="B162" i="97"/>
  <c r="B163" i="97"/>
  <c r="B164" i="97"/>
  <c r="B165" i="97"/>
  <c r="B166" i="97"/>
  <c r="B167" i="97"/>
  <c r="B168" i="97"/>
  <c r="B169" i="97"/>
  <c r="B170" i="97"/>
  <c r="B171" i="97"/>
  <c r="B172" i="97"/>
  <c r="B173" i="97"/>
  <c r="B174" i="97"/>
  <c r="B175" i="97"/>
  <c r="B176" i="97"/>
  <c r="B177" i="97"/>
  <c r="B178" i="97"/>
  <c r="B179" i="97"/>
  <c r="B180" i="97"/>
  <c r="B181" i="97"/>
  <c r="B182" i="97"/>
  <c r="B183" i="97"/>
  <c r="B184" i="97"/>
  <c r="B185" i="97"/>
  <c r="B186" i="97"/>
  <c r="B187" i="97"/>
  <c r="B188" i="97"/>
  <c r="B189" i="97"/>
  <c r="B190" i="97"/>
  <c r="B191" i="97"/>
  <c r="B192" i="97"/>
  <c r="B193" i="97"/>
  <c r="B194" i="97"/>
  <c r="B195" i="97"/>
  <c r="B196" i="97"/>
  <c r="B197" i="97"/>
  <c r="B198" i="97"/>
  <c r="B199" i="97"/>
  <c r="B200" i="97"/>
  <c r="B201" i="97"/>
  <c r="B202" i="97"/>
  <c r="B203" i="97"/>
  <c r="B204" i="97"/>
  <c r="B205" i="97"/>
  <c r="B206" i="97"/>
  <c r="B207" i="97"/>
  <c r="B208" i="97"/>
  <c r="B209" i="97"/>
  <c r="B210" i="97"/>
  <c r="B211" i="97"/>
  <c r="B212" i="97"/>
  <c r="B213" i="97"/>
  <c r="B214" i="97"/>
  <c r="B215" i="97"/>
  <c r="B216" i="97"/>
  <c r="B217" i="97"/>
  <c r="B218" i="97"/>
  <c r="B219" i="97"/>
  <c r="B220" i="97"/>
  <c r="B221" i="97"/>
  <c r="B222" i="97"/>
  <c r="B223" i="97"/>
  <c r="B224" i="97"/>
  <c r="B225" i="97"/>
  <c r="B226" i="97"/>
  <c r="B227" i="97"/>
  <c r="B228" i="97"/>
  <c r="B229" i="97"/>
  <c r="B230" i="97"/>
  <c r="B231" i="97"/>
  <c r="B232" i="97"/>
  <c r="B233" i="97"/>
  <c r="B234" i="97"/>
  <c r="B235" i="97"/>
  <c r="B236" i="97"/>
  <c r="B237" i="97"/>
  <c r="B238" i="97"/>
  <c r="B239" i="97"/>
  <c r="B240" i="97"/>
  <c r="B241" i="97"/>
  <c r="B242" i="97"/>
  <c r="B243" i="97"/>
  <c r="B244" i="97"/>
  <c r="B245" i="97"/>
  <c r="B246" i="97"/>
  <c r="B247" i="97"/>
  <c r="B248" i="97"/>
  <c r="B249" i="97"/>
  <c r="B250" i="97"/>
  <c r="B251" i="97"/>
  <c r="B252" i="97"/>
  <c r="B253" i="97"/>
  <c r="B254" i="97"/>
  <c r="B255" i="97"/>
  <c r="B256" i="97"/>
  <c r="B257" i="97"/>
  <c r="B258" i="97"/>
  <c r="B259" i="97"/>
  <c r="B260" i="97"/>
  <c r="B261" i="97"/>
  <c r="B262" i="97"/>
  <c r="B263" i="97"/>
  <c r="B264" i="97"/>
  <c r="B265" i="97"/>
  <c r="B266" i="97"/>
  <c r="B267" i="97"/>
  <c r="B268" i="97"/>
  <c r="B269" i="97"/>
  <c r="B270" i="97"/>
  <c r="B271" i="97"/>
  <c r="B272" i="97"/>
  <c r="B273" i="97"/>
  <c r="B274" i="97"/>
  <c r="B275" i="97"/>
  <c r="B276" i="97"/>
  <c r="B277" i="97"/>
  <c r="B278" i="97"/>
  <c r="B279" i="97"/>
  <c r="B280" i="97"/>
  <c r="B281" i="97"/>
  <c r="B282" i="97"/>
  <c r="B283" i="97"/>
  <c r="B284" i="97"/>
  <c r="B285" i="97"/>
  <c r="B286" i="97"/>
  <c r="B287" i="97"/>
  <c r="B288" i="97"/>
  <c r="B289" i="97"/>
  <c r="B290" i="97"/>
  <c r="B291" i="97"/>
  <c r="B292" i="97"/>
  <c r="B293" i="97"/>
  <c r="B294" i="97"/>
  <c r="B295" i="97"/>
  <c r="B296" i="97"/>
  <c r="B297" i="97"/>
  <c r="B298" i="97"/>
  <c r="B299" i="97"/>
  <c r="B300" i="97"/>
  <c r="B301" i="97"/>
  <c r="B302" i="97"/>
  <c r="B303" i="97"/>
  <c r="B304" i="97"/>
  <c r="B305" i="97"/>
  <c r="B306" i="97"/>
  <c r="B307" i="97"/>
  <c r="B308" i="97"/>
  <c r="B309" i="97"/>
  <c r="B310" i="97"/>
  <c r="B311" i="97"/>
  <c r="B312" i="97"/>
  <c r="B313" i="97"/>
  <c r="B314" i="97"/>
  <c r="B315" i="97"/>
  <c r="B316" i="97"/>
  <c r="B317" i="97"/>
  <c r="B318" i="97"/>
  <c r="B319" i="97"/>
  <c r="B320" i="97"/>
  <c r="B321" i="97"/>
  <c r="B322" i="97"/>
  <c r="B323" i="97"/>
  <c r="B324" i="97"/>
  <c r="B325" i="97"/>
  <c r="B326" i="97"/>
  <c r="B327" i="97"/>
  <c r="B328" i="97"/>
  <c r="B329" i="97"/>
  <c r="B330" i="97"/>
  <c r="B331" i="97"/>
  <c r="B332" i="97"/>
  <c r="B333" i="97"/>
  <c r="B334" i="97"/>
  <c r="B335" i="97"/>
  <c r="B336" i="97"/>
  <c r="B337" i="97"/>
  <c r="B338" i="97"/>
  <c r="B339" i="97"/>
  <c r="B340" i="97"/>
  <c r="B341" i="97"/>
  <c r="B342" i="97"/>
  <c r="B343" i="97"/>
  <c r="B344" i="97"/>
  <c r="B345" i="97"/>
  <c r="B346" i="97"/>
  <c r="B347" i="97"/>
  <c r="B348" i="97"/>
  <c r="B349" i="97"/>
  <c r="B350" i="97"/>
  <c r="B351" i="97"/>
  <c r="B352" i="97"/>
  <c r="B353" i="97"/>
  <c r="B354" i="97"/>
  <c r="B355" i="97"/>
  <c r="B356" i="97"/>
  <c r="B357" i="97"/>
  <c r="B358" i="97"/>
  <c r="B359" i="97"/>
  <c r="B360" i="97"/>
  <c r="B361" i="97"/>
  <c r="B362" i="97"/>
  <c r="B363" i="97"/>
  <c r="B364" i="97"/>
  <c r="B365" i="97"/>
  <c r="B366" i="97"/>
  <c r="B367" i="97"/>
  <c r="B368" i="97"/>
  <c r="B369" i="97"/>
  <c r="B370" i="97"/>
  <c r="B371" i="97"/>
  <c r="B372" i="97"/>
  <c r="B373" i="97"/>
  <c r="B374" i="97"/>
  <c r="B375" i="97"/>
  <c r="B376" i="97"/>
  <c r="B377" i="97"/>
  <c r="B378" i="97"/>
  <c r="B379" i="97"/>
  <c r="B380" i="97"/>
  <c r="B381" i="97"/>
  <c r="B382" i="97"/>
  <c r="B383" i="97"/>
  <c r="B384" i="97"/>
  <c r="B385" i="97"/>
  <c r="B386" i="97"/>
  <c r="B387" i="97"/>
  <c r="B388" i="97"/>
  <c r="B389" i="97"/>
  <c r="B390" i="97"/>
  <c r="B391" i="97"/>
  <c r="B392" i="97"/>
  <c r="B393" i="97"/>
  <c r="B394" i="97"/>
  <c r="B395" i="97"/>
  <c r="B396" i="97"/>
  <c r="B397" i="97"/>
  <c r="B398" i="97"/>
  <c r="B399" i="97"/>
  <c r="B400" i="97"/>
  <c r="B401" i="97"/>
  <c r="B402" i="97"/>
  <c r="B403" i="97"/>
  <c r="B404" i="97"/>
  <c r="B405" i="97"/>
  <c r="B406" i="97"/>
  <c r="B407" i="97"/>
  <c r="B408" i="97"/>
  <c r="B409" i="97"/>
  <c r="B410" i="97"/>
  <c r="B411" i="97"/>
  <c r="B412" i="97"/>
  <c r="B413" i="97"/>
  <c r="B414" i="97"/>
  <c r="B415" i="97"/>
  <c r="B416" i="97"/>
  <c r="B417" i="97"/>
  <c r="B418" i="97"/>
  <c r="B419" i="97"/>
  <c r="B420" i="97"/>
  <c r="B421" i="97"/>
  <c r="B422" i="97"/>
  <c r="B423" i="97"/>
  <c r="B424" i="97"/>
  <c r="B425" i="97"/>
  <c r="B426" i="97"/>
  <c r="B427" i="97"/>
  <c r="B428" i="97"/>
  <c r="B429" i="97"/>
  <c r="B430" i="97"/>
  <c r="B431" i="97"/>
  <c r="B432" i="97"/>
  <c r="B433" i="97"/>
  <c r="B434" i="97"/>
  <c r="B435" i="97"/>
  <c r="B436" i="97"/>
  <c r="B437" i="97"/>
  <c r="B438" i="97"/>
  <c r="B439" i="97"/>
  <c r="B440" i="97"/>
  <c r="B441" i="97"/>
  <c r="B442" i="97"/>
  <c r="B443" i="97"/>
  <c r="B444" i="97"/>
  <c r="B445" i="97"/>
  <c r="B446" i="97"/>
  <c r="B447" i="97"/>
  <c r="B448" i="97"/>
  <c r="B449" i="97"/>
  <c r="B450" i="97"/>
  <c r="B451" i="97"/>
  <c r="B452" i="97"/>
  <c r="B453" i="97"/>
  <c r="B454" i="97"/>
  <c r="B455" i="97"/>
  <c r="B456" i="97"/>
  <c r="B457" i="97"/>
  <c r="B458" i="97"/>
  <c r="B459" i="97"/>
  <c r="B460" i="97"/>
  <c r="B461" i="97"/>
  <c r="B462" i="97"/>
  <c r="B463" i="97"/>
  <c r="B464" i="97"/>
  <c r="B465" i="97"/>
  <c r="B466" i="97"/>
  <c r="B467" i="97"/>
  <c r="B468" i="97"/>
  <c r="B469" i="97"/>
  <c r="B470" i="97"/>
  <c r="B471" i="97"/>
  <c r="B472" i="97"/>
  <c r="B473" i="97"/>
  <c r="B474" i="97"/>
  <c r="B475" i="97"/>
  <c r="B476" i="97"/>
  <c r="B477" i="97"/>
  <c r="B478" i="97"/>
  <c r="B479" i="97"/>
  <c r="B480" i="97"/>
  <c r="B481" i="97"/>
  <c r="B482" i="97"/>
  <c r="B483" i="97"/>
  <c r="B484" i="97"/>
  <c r="B485" i="97"/>
  <c r="B486" i="97"/>
  <c r="B487" i="97"/>
  <c r="B488" i="97"/>
  <c r="B489" i="97"/>
  <c r="B490" i="97"/>
  <c r="B491" i="97"/>
  <c r="B492" i="97"/>
  <c r="B493" i="97"/>
  <c r="B494" i="97"/>
  <c r="B495" i="97"/>
  <c r="B496" i="97"/>
  <c r="B497" i="97"/>
  <c r="B498" i="97"/>
  <c r="B499" i="97"/>
  <c r="B500" i="97"/>
  <c r="B501" i="97"/>
  <c r="B502" i="97"/>
  <c r="B503" i="97"/>
  <c r="B504" i="97"/>
  <c r="B505" i="97"/>
  <c r="B506" i="97"/>
  <c r="B507" i="97"/>
  <c r="B508" i="97"/>
  <c r="B509" i="97"/>
  <c r="B510" i="97"/>
  <c r="B511" i="97"/>
  <c r="B512" i="97"/>
  <c r="B513" i="97"/>
  <c r="B514" i="97"/>
  <c r="B515" i="97"/>
  <c r="B516" i="97"/>
  <c r="B517" i="97"/>
  <c r="B518" i="97"/>
  <c r="B519" i="97"/>
  <c r="B520" i="97"/>
  <c r="B521" i="97"/>
  <c r="B522" i="97"/>
  <c r="B523" i="97"/>
  <c r="B524" i="97"/>
  <c r="B525" i="97"/>
  <c r="B526" i="97"/>
  <c r="B527" i="97"/>
  <c r="B528" i="97"/>
  <c r="B529" i="97"/>
  <c r="B530" i="97"/>
  <c r="B531" i="97"/>
  <c r="B532" i="97"/>
  <c r="B533" i="97"/>
  <c r="B534" i="97"/>
  <c r="B535" i="97"/>
  <c r="B536" i="97"/>
  <c r="B537" i="97"/>
  <c r="B538" i="97"/>
  <c r="B539" i="97"/>
  <c r="B540" i="97"/>
  <c r="B541" i="97"/>
  <c r="B542" i="97"/>
  <c r="B543" i="97"/>
  <c r="B544" i="97"/>
  <c r="B545" i="97"/>
  <c r="B546" i="97"/>
  <c r="B547" i="97"/>
  <c r="B548" i="97"/>
  <c r="B549" i="97"/>
  <c r="B550" i="97"/>
  <c r="B551" i="97"/>
  <c r="B552" i="97"/>
  <c r="B553" i="97"/>
  <c r="B554" i="97"/>
  <c r="B555" i="97"/>
  <c r="B556" i="97"/>
  <c r="B557" i="97"/>
  <c r="B558" i="97"/>
  <c r="B559" i="97"/>
  <c r="B560" i="97"/>
  <c r="B561" i="97"/>
  <c r="B562" i="97"/>
  <c r="B563" i="97"/>
  <c r="B564" i="97"/>
  <c r="B565" i="97"/>
  <c r="B566" i="97"/>
  <c r="B567" i="97"/>
  <c r="B568" i="97"/>
  <c r="B569" i="97"/>
  <c r="B570" i="97"/>
  <c r="B571" i="97"/>
  <c r="B572" i="97"/>
  <c r="B573" i="97"/>
  <c r="B574" i="97"/>
  <c r="B575" i="97"/>
  <c r="B576" i="97"/>
  <c r="B577" i="97"/>
  <c r="B578" i="97"/>
  <c r="B579" i="97"/>
  <c r="B580" i="97"/>
  <c r="B581" i="97"/>
  <c r="B582" i="97"/>
  <c r="B583" i="97"/>
  <c r="B584" i="97"/>
  <c r="B585" i="97"/>
  <c r="B586" i="97"/>
  <c r="B587" i="97"/>
  <c r="B588" i="97"/>
  <c r="B589" i="97"/>
  <c r="B590" i="97"/>
  <c r="B591" i="97"/>
  <c r="B592" i="97"/>
  <c r="B593" i="97"/>
  <c r="B594" i="97"/>
  <c r="B595" i="97"/>
  <c r="B596" i="97"/>
  <c r="B597" i="97"/>
  <c r="B598" i="97"/>
  <c r="B599" i="97"/>
  <c r="B600" i="97"/>
  <c r="B601" i="97"/>
  <c r="B602" i="97"/>
  <c r="B603" i="97"/>
  <c r="B604" i="97"/>
  <c r="B605" i="97"/>
  <c r="B606" i="97"/>
  <c r="B607" i="97"/>
  <c r="B608" i="97"/>
  <c r="B609" i="97"/>
  <c r="B610" i="97"/>
  <c r="B611" i="97"/>
  <c r="B612" i="97"/>
  <c r="B613" i="97"/>
  <c r="B614" i="97"/>
  <c r="B615" i="97"/>
  <c r="B616" i="97"/>
  <c r="B617" i="97"/>
  <c r="B618" i="97"/>
  <c r="B619" i="97"/>
  <c r="B620" i="97"/>
  <c r="B621" i="97"/>
  <c r="B622" i="97"/>
  <c r="B623" i="97"/>
  <c r="B624" i="97"/>
  <c r="B625" i="97"/>
  <c r="B626" i="97"/>
  <c r="B627" i="97"/>
  <c r="B628" i="97"/>
  <c r="B629" i="97"/>
  <c r="B630" i="97"/>
  <c r="B631" i="97"/>
  <c r="B632" i="97"/>
  <c r="B633" i="97"/>
  <c r="B634" i="97"/>
  <c r="B635" i="97"/>
  <c r="B636" i="97"/>
  <c r="B637" i="97"/>
  <c r="B638" i="97"/>
  <c r="B639" i="97"/>
  <c r="B640" i="97"/>
  <c r="B641" i="97"/>
  <c r="B642" i="97"/>
  <c r="B643" i="97"/>
  <c r="B644" i="97"/>
  <c r="B645" i="97"/>
  <c r="B646" i="97"/>
  <c r="B647" i="97"/>
  <c r="B648" i="97"/>
  <c r="B649" i="97"/>
  <c r="B650" i="97"/>
  <c r="B651" i="97"/>
  <c r="B652" i="97"/>
  <c r="B653" i="97"/>
  <c r="B654" i="97"/>
  <c r="B655" i="97"/>
  <c r="B656" i="97"/>
  <c r="B657" i="97"/>
  <c r="B658" i="97"/>
  <c r="B659" i="97"/>
  <c r="B660" i="97"/>
  <c r="B661" i="97"/>
  <c r="B662" i="97"/>
  <c r="B663" i="97"/>
  <c r="B664" i="97"/>
  <c r="B665" i="97"/>
  <c r="B666" i="97"/>
  <c r="B667" i="97"/>
  <c r="B668" i="97"/>
  <c r="B669" i="97"/>
  <c r="B670" i="97"/>
  <c r="B671" i="97"/>
  <c r="B672" i="97"/>
  <c r="B673" i="97"/>
  <c r="B674" i="97"/>
  <c r="B675" i="97"/>
  <c r="B676" i="97"/>
  <c r="B677" i="97"/>
  <c r="B678" i="97"/>
  <c r="B679" i="97"/>
  <c r="B680" i="97"/>
  <c r="B681" i="97"/>
  <c r="B682" i="97"/>
  <c r="B683" i="97"/>
  <c r="B684" i="97"/>
  <c r="B685" i="97"/>
  <c r="B686" i="97"/>
  <c r="B687" i="97"/>
  <c r="B688" i="97"/>
  <c r="B689" i="97"/>
  <c r="B690" i="97"/>
  <c r="B691" i="97"/>
  <c r="B692" i="97"/>
  <c r="B693" i="97"/>
  <c r="B694" i="97"/>
  <c r="B695" i="97"/>
  <c r="B696" i="97"/>
  <c r="B697" i="97"/>
  <c r="B698" i="97"/>
  <c r="B699" i="97"/>
  <c r="B700" i="97"/>
  <c r="B701" i="97"/>
  <c r="B702" i="97"/>
  <c r="B703" i="97"/>
  <c r="B704" i="97"/>
  <c r="B705" i="97"/>
  <c r="B706" i="97"/>
  <c r="B707" i="97"/>
  <c r="B708" i="97"/>
  <c r="B709" i="97"/>
  <c r="B710" i="97"/>
  <c r="B711" i="97"/>
  <c r="B712" i="97"/>
  <c r="B713" i="97"/>
  <c r="B714" i="97"/>
  <c r="B715" i="97"/>
  <c r="B716" i="97"/>
  <c r="B717" i="97"/>
  <c r="B718" i="97"/>
  <c r="B719" i="97"/>
  <c r="B720" i="97"/>
  <c r="B721" i="97"/>
  <c r="B722" i="97"/>
  <c r="B723" i="97"/>
  <c r="B724" i="97"/>
  <c r="B725" i="97"/>
  <c r="B726" i="97"/>
  <c r="B727" i="97"/>
  <c r="B728" i="97"/>
  <c r="B729" i="97"/>
  <c r="B730" i="97"/>
  <c r="B731" i="97"/>
  <c r="B732" i="97"/>
  <c r="B733" i="97"/>
  <c r="B734" i="97"/>
  <c r="B735" i="97"/>
  <c r="B736" i="97"/>
  <c r="B737" i="97"/>
  <c r="B738" i="97"/>
  <c r="B739" i="97"/>
  <c r="B740" i="97"/>
  <c r="B741" i="97"/>
  <c r="B742" i="97"/>
  <c r="B743" i="97"/>
  <c r="B744" i="97"/>
  <c r="B745" i="97"/>
  <c r="B746" i="97"/>
  <c r="B747" i="97"/>
  <c r="B748" i="97"/>
  <c r="B749" i="97"/>
  <c r="B750" i="97"/>
  <c r="B751" i="97"/>
  <c r="B752" i="97"/>
  <c r="B753" i="97"/>
  <c r="B754" i="97"/>
  <c r="B755" i="97"/>
  <c r="B756" i="97"/>
  <c r="B757" i="97"/>
  <c r="B758" i="97"/>
  <c r="B759" i="97"/>
  <c r="B760" i="97"/>
  <c r="B761" i="97"/>
  <c r="B762" i="97"/>
  <c r="B763" i="97"/>
  <c r="B764" i="97"/>
  <c r="B765" i="97"/>
  <c r="B766" i="97"/>
  <c r="B767" i="97"/>
  <c r="B768" i="97"/>
  <c r="B769" i="97"/>
  <c r="B770" i="97"/>
  <c r="B771" i="97"/>
  <c r="B772" i="97"/>
  <c r="B773" i="97"/>
  <c r="B774" i="97"/>
  <c r="B775" i="97"/>
  <c r="B776" i="97"/>
  <c r="B777" i="97"/>
  <c r="B778" i="97"/>
  <c r="B779" i="97"/>
  <c r="B780" i="97"/>
  <c r="B781" i="97"/>
  <c r="B782" i="97"/>
  <c r="B783" i="97"/>
  <c r="B784" i="97"/>
  <c r="B785" i="97"/>
  <c r="B786" i="97"/>
  <c r="B787" i="97"/>
  <c r="B788" i="97"/>
  <c r="B789" i="97"/>
  <c r="B790" i="97"/>
  <c r="B791" i="97"/>
  <c r="B792" i="97"/>
  <c r="B793" i="97"/>
  <c r="B794" i="97"/>
  <c r="B795" i="97"/>
  <c r="B796" i="97"/>
  <c r="B797" i="97"/>
  <c r="B798" i="97"/>
  <c r="B799" i="97"/>
  <c r="B800" i="97"/>
  <c r="B801" i="97"/>
  <c r="B802" i="97"/>
  <c r="B803" i="97"/>
  <c r="B804" i="97"/>
  <c r="B805" i="97"/>
  <c r="B806" i="97"/>
  <c r="B807" i="97"/>
  <c r="B808" i="97"/>
  <c r="B809" i="97"/>
  <c r="B810" i="97"/>
  <c r="B811" i="97"/>
  <c r="B812" i="97"/>
  <c r="B813" i="97"/>
  <c r="B814" i="97"/>
  <c r="B815" i="97"/>
  <c r="B816" i="97"/>
  <c r="B817" i="97"/>
  <c r="B818" i="97"/>
  <c r="B819" i="97"/>
  <c r="B820" i="97"/>
  <c r="B821" i="97"/>
  <c r="B822" i="97"/>
  <c r="B823" i="97"/>
  <c r="B824" i="97"/>
  <c r="B825" i="97"/>
  <c r="B826" i="97"/>
  <c r="B827" i="97"/>
  <c r="B828" i="97"/>
  <c r="B829" i="97"/>
  <c r="B830" i="97"/>
  <c r="B831" i="97"/>
  <c r="B832" i="97"/>
  <c r="B833" i="97"/>
  <c r="B834" i="97"/>
  <c r="B835" i="97"/>
  <c r="B836" i="97"/>
  <c r="B837" i="97"/>
  <c r="B838" i="97"/>
  <c r="B839" i="97"/>
  <c r="B840" i="97"/>
  <c r="B841" i="97"/>
  <c r="B842" i="97"/>
  <c r="B843" i="97"/>
  <c r="B844" i="97"/>
  <c r="B845" i="97"/>
  <c r="B846" i="97"/>
  <c r="B847" i="97"/>
  <c r="B848" i="97"/>
  <c r="B849" i="97"/>
  <c r="B850" i="97"/>
  <c r="B851" i="97"/>
  <c r="B852" i="97"/>
  <c r="B853" i="97"/>
  <c r="B854" i="97"/>
  <c r="B855" i="97"/>
  <c r="B856" i="97"/>
  <c r="B857" i="97"/>
  <c r="B858" i="97"/>
  <c r="B859" i="97"/>
  <c r="B860" i="97"/>
  <c r="B861" i="97"/>
  <c r="B862" i="97"/>
  <c r="B863" i="97"/>
  <c r="B864" i="97"/>
  <c r="B865" i="97"/>
  <c r="B866" i="97"/>
  <c r="B867" i="97"/>
  <c r="B868" i="97"/>
  <c r="B869" i="97"/>
  <c r="B870" i="97"/>
  <c r="B871" i="97"/>
  <c r="B872" i="97"/>
  <c r="B873" i="97"/>
  <c r="B874" i="97"/>
  <c r="B875" i="97"/>
  <c r="B876" i="97"/>
  <c r="B877" i="97"/>
  <c r="B878" i="97"/>
  <c r="B879" i="97"/>
  <c r="B880" i="97"/>
  <c r="B881" i="97"/>
  <c r="B882" i="97"/>
  <c r="B883" i="97"/>
  <c r="B884" i="97"/>
  <c r="B885" i="97"/>
  <c r="B886" i="97"/>
  <c r="B887" i="97"/>
  <c r="B888" i="97"/>
  <c r="B889" i="97"/>
  <c r="B890" i="97"/>
  <c r="B891" i="97"/>
  <c r="B892" i="97"/>
  <c r="B893" i="97"/>
  <c r="B894" i="97"/>
  <c r="B895" i="97"/>
  <c r="B896" i="97"/>
  <c r="B897" i="97"/>
  <c r="B898" i="97"/>
  <c r="B899" i="97"/>
  <c r="B900" i="97"/>
  <c r="B901" i="97"/>
  <c r="B902" i="97"/>
  <c r="B903" i="97"/>
  <c r="B904" i="97"/>
  <c r="B905" i="97"/>
  <c r="B906" i="97"/>
  <c r="B907" i="97"/>
  <c r="B908" i="97"/>
  <c r="B909" i="97"/>
  <c r="B910" i="97"/>
  <c r="B911" i="97"/>
  <c r="B912" i="97"/>
  <c r="B913" i="97"/>
  <c r="B914" i="97"/>
  <c r="B915" i="97"/>
  <c r="B916" i="97"/>
  <c r="B917" i="97"/>
  <c r="B918" i="97"/>
  <c r="B919" i="97"/>
  <c r="B920" i="97"/>
  <c r="B921" i="97"/>
  <c r="B922" i="97"/>
  <c r="B923" i="97"/>
  <c r="B924" i="97"/>
  <c r="B925" i="97"/>
  <c r="B926" i="97"/>
  <c r="B927" i="97"/>
  <c r="B928" i="97"/>
  <c r="B929" i="97"/>
  <c r="B930" i="97"/>
  <c r="B931" i="97"/>
  <c r="B932" i="97"/>
  <c r="B933" i="97"/>
  <c r="B934" i="97"/>
  <c r="B935" i="97"/>
  <c r="B936" i="97"/>
  <c r="B937" i="97"/>
  <c r="B938" i="97"/>
  <c r="B939" i="97"/>
  <c r="B940" i="97"/>
  <c r="B941" i="97"/>
  <c r="B942" i="97"/>
  <c r="B943" i="97"/>
  <c r="B944" i="97"/>
  <c r="B945" i="97"/>
  <c r="B946" i="97"/>
  <c r="B947" i="97"/>
  <c r="B948" i="97"/>
  <c r="B949" i="97"/>
  <c r="B950" i="97"/>
  <c r="B951" i="97"/>
  <c r="B952" i="97"/>
  <c r="B953" i="97"/>
  <c r="B954" i="97"/>
  <c r="B955" i="97"/>
  <c r="B956" i="97"/>
  <c r="B957" i="97"/>
  <c r="B958" i="97"/>
  <c r="B959" i="97"/>
  <c r="B960" i="97"/>
  <c r="B961" i="97"/>
  <c r="B962" i="97"/>
  <c r="B963" i="97"/>
  <c r="B964" i="97"/>
  <c r="B965" i="97"/>
  <c r="B966" i="97"/>
  <c r="B967" i="97"/>
  <c r="B968" i="97"/>
  <c r="B969" i="97"/>
  <c r="B970" i="97"/>
  <c r="B971" i="97"/>
  <c r="B972" i="97"/>
  <c r="B973" i="97"/>
  <c r="B974" i="97"/>
  <c r="B975" i="97"/>
  <c r="B976" i="97"/>
  <c r="B977" i="97"/>
  <c r="B978" i="97"/>
  <c r="B979" i="97"/>
  <c r="B980" i="97"/>
  <c r="B981" i="97"/>
  <c r="B982" i="97"/>
  <c r="B983" i="97"/>
  <c r="B984" i="97"/>
  <c r="B985" i="97"/>
  <c r="B986" i="97"/>
  <c r="B987" i="97"/>
  <c r="B988" i="97"/>
  <c r="B989" i="97"/>
  <c r="B990" i="97"/>
  <c r="B991" i="97"/>
  <c r="B992" i="97"/>
  <c r="B993" i="97"/>
  <c r="B994" i="97"/>
  <c r="B995" i="97"/>
  <c r="B996" i="97"/>
  <c r="B997" i="97"/>
  <c r="B998" i="97"/>
  <c r="B999" i="97"/>
  <c r="B1000" i="97"/>
  <c r="B1001" i="97"/>
  <c r="B1002" i="97"/>
  <c r="C3" i="96"/>
  <c r="B3" i="96" s="1"/>
  <c r="B4" i="96"/>
  <c r="B5" i="96"/>
  <c r="B6" i="96"/>
  <c r="B7" i="96"/>
  <c r="B8" i="96"/>
  <c r="B9" i="96"/>
  <c r="B10" i="96"/>
  <c r="B11" i="96"/>
  <c r="B12" i="96"/>
  <c r="B13" i="96"/>
  <c r="B14" i="96"/>
  <c r="B15" i="96"/>
  <c r="B16" i="96"/>
  <c r="B17" i="96"/>
  <c r="B18" i="96"/>
  <c r="B19" i="96"/>
  <c r="B20" i="96"/>
  <c r="B21" i="96"/>
  <c r="B22" i="96"/>
  <c r="B23" i="96"/>
  <c r="B24" i="96"/>
  <c r="B25" i="96"/>
  <c r="B26" i="96"/>
  <c r="B27" i="96"/>
  <c r="B28" i="96"/>
  <c r="B29" i="96"/>
  <c r="B30" i="96"/>
  <c r="B31" i="96"/>
  <c r="B32" i="96"/>
  <c r="B33" i="96"/>
  <c r="B34" i="96"/>
  <c r="B35" i="96"/>
  <c r="B36" i="96"/>
  <c r="B37" i="96"/>
  <c r="B38" i="96"/>
  <c r="B39" i="96"/>
  <c r="B40" i="96"/>
  <c r="B41" i="96"/>
  <c r="B42" i="96"/>
  <c r="B43" i="96"/>
  <c r="B44" i="96"/>
  <c r="B45" i="96"/>
  <c r="B46" i="96"/>
  <c r="B47" i="96"/>
  <c r="B48" i="96"/>
  <c r="B49" i="96"/>
  <c r="B50" i="96"/>
  <c r="B51" i="96"/>
  <c r="B52" i="96"/>
  <c r="B53" i="96"/>
  <c r="B54" i="96"/>
  <c r="B55" i="96"/>
  <c r="B56" i="96"/>
  <c r="B57" i="96"/>
  <c r="B58" i="96"/>
  <c r="B59" i="96"/>
  <c r="B60" i="96"/>
  <c r="B61" i="96"/>
  <c r="B62" i="96"/>
  <c r="B63" i="96"/>
  <c r="B64" i="96"/>
  <c r="B65" i="96"/>
  <c r="B66" i="96"/>
  <c r="B67" i="96"/>
  <c r="B68" i="96"/>
  <c r="B69" i="96"/>
  <c r="B70" i="96"/>
  <c r="B71" i="96"/>
  <c r="B72" i="96"/>
  <c r="B73" i="96"/>
  <c r="B74" i="96"/>
  <c r="B75" i="96"/>
  <c r="B76" i="96"/>
  <c r="B77" i="96"/>
  <c r="B78" i="96"/>
  <c r="B79" i="96"/>
  <c r="B80" i="96"/>
  <c r="B81" i="96"/>
  <c r="B82" i="96"/>
  <c r="B83" i="96"/>
  <c r="B84" i="96"/>
  <c r="B85" i="96"/>
  <c r="B86" i="96"/>
  <c r="B87" i="96"/>
  <c r="B88" i="96"/>
  <c r="B89" i="96"/>
  <c r="B90" i="96"/>
  <c r="B91" i="96"/>
  <c r="B92" i="96"/>
  <c r="B93" i="96"/>
  <c r="B94" i="96"/>
  <c r="B95" i="96"/>
  <c r="B96" i="96"/>
  <c r="B97" i="96"/>
  <c r="B98" i="96"/>
  <c r="B99" i="96"/>
  <c r="B100" i="96"/>
  <c r="B101" i="96"/>
  <c r="B102" i="96"/>
  <c r="B103" i="96"/>
  <c r="B104" i="96"/>
  <c r="B105" i="96"/>
  <c r="B106" i="96"/>
  <c r="B107" i="96"/>
  <c r="B108" i="96"/>
  <c r="B109" i="96"/>
  <c r="B110" i="96"/>
  <c r="B111" i="96"/>
  <c r="B112" i="96"/>
  <c r="B113" i="96"/>
  <c r="B114" i="96"/>
  <c r="B115" i="96"/>
  <c r="B116" i="96"/>
  <c r="B117" i="96"/>
  <c r="B118" i="96"/>
  <c r="B119" i="96"/>
  <c r="B120" i="96"/>
  <c r="B121" i="96"/>
  <c r="B122" i="96"/>
  <c r="B123" i="96"/>
  <c r="B124" i="96"/>
  <c r="B125" i="96"/>
  <c r="B126" i="96"/>
  <c r="B127" i="96"/>
  <c r="B128" i="96"/>
  <c r="B129" i="96"/>
  <c r="B130" i="96"/>
  <c r="B131" i="96"/>
  <c r="B132" i="96"/>
  <c r="B133" i="96"/>
  <c r="B134" i="96"/>
  <c r="B135" i="96"/>
  <c r="B136" i="96"/>
  <c r="B137" i="96"/>
  <c r="B138" i="96"/>
  <c r="B139" i="96"/>
  <c r="B140" i="96"/>
  <c r="B141" i="96"/>
  <c r="B142" i="96"/>
  <c r="B143" i="96"/>
  <c r="B144" i="96"/>
  <c r="B145" i="96"/>
  <c r="B146" i="96"/>
  <c r="B147" i="96"/>
  <c r="B148" i="96"/>
  <c r="B149" i="96"/>
  <c r="B150" i="96"/>
  <c r="B151" i="96"/>
  <c r="B152" i="96"/>
  <c r="B153" i="96"/>
  <c r="B154" i="96"/>
  <c r="B155" i="96"/>
  <c r="B156" i="96"/>
  <c r="B157" i="96"/>
  <c r="B158" i="96"/>
  <c r="B159" i="96"/>
  <c r="B160" i="96"/>
  <c r="B161" i="96"/>
  <c r="B162" i="96"/>
  <c r="B163" i="96"/>
  <c r="B164" i="96"/>
  <c r="B165" i="96"/>
  <c r="B166" i="96"/>
  <c r="B167" i="96"/>
  <c r="B168" i="96"/>
  <c r="B169" i="96"/>
  <c r="B170" i="96"/>
  <c r="B171" i="96"/>
  <c r="B172" i="96"/>
  <c r="B173" i="96"/>
  <c r="B174" i="96"/>
  <c r="B175" i="96"/>
  <c r="B176" i="96"/>
  <c r="B177" i="96"/>
  <c r="B178" i="96"/>
  <c r="B179" i="96"/>
  <c r="B180" i="96"/>
  <c r="B181" i="96"/>
  <c r="B182" i="96"/>
  <c r="B183" i="96"/>
  <c r="B184" i="96"/>
  <c r="B185" i="96"/>
  <c r="B186" i="96"/>
  <c r="B187" i="96"/>
  <c r="B188" i="96"/>
  <c r="B189" i="96"/>
  <c r="B190" i="96"/>
  <c r="B191" i="96"/>
  <c r="B192" i="96"/>
  <c r="B193" i="96"/>
  <c r="B194" i="96"/>
  <c r="B195" i="96"/>
  <c r="B196" i="96"/>
  <c r="B197" i="96"/>
  <c r="B198" i="96"/>
  <c r="B199" i="96"/>
  <c r="B200" i="96"/>
  <c r="B201" i="96"/>
  <c r="B202" i="96"/>
  <c r="B203" i="96"/>
  <c r="B204" i="96"/>
  <c r="B205" i="96"/>
  <c r="B206" i="96"/>
  <c r="B207" i="96"/>
  <c r="B208" i="96"/>
  <c r="B209" i="96"/>
  <c r="B210" i="96"/>
  <c r="B211" i="96"/>
  <c r="B212" i="96"/>
  <c r="B213" i="96"/>
  <c r="B214" i="96"/>
  <c r="B215" i="96"/>
  <c r="B216" i="96"/>
  <c r="B217" i="96"/>
  <c r="B218" i="96"/>
  <c r="B219" i="96"/>
  <c r="B220" i="96"/>
  <c r="B221" i="96"/>
  <c r="B222" i="96"/>
  <c r="B223" i="96"/>
  <c r="B224" i="96"/>
  <c r="B225" i="96"/>
  <c r="B226" i="96"/>
  <c r="B227" i="96"/>
  <c r="B228" i="96"/>
  <c r="B229" i="96"/>
  <c r="B230" i="96"/>
  <c r="B231" i="96"/>
  <c r="B232" i="96"/>
  <c r="B233" i="96"/>
  <c r="B234" i="96"/>
  <c r="B235" i="96"/>
  <c r="B236" i="96"/>
  <c r="B237" i="96"/>
  <c r="B238" i="96"/>
  <c r="B239" i="96"/>
  <c r="B240" i="96"/>
  <c r="B241" i="96"/>
  <c r="B242" i="96"/>
  <c r="B243" i="96"/>
  <c r="B244" i="96"/>
  <c r="B245" i="96"/>
  <c r="B246" i="96"/>
  <c r="B247" i="96"/>
  <c r="B248" i="96"/>
  <c r="B249" i="96"/>
  <c r="B250" i="96"/>
  <c r="B251" i="96"/>
  <c r="B252" i="96"/>
  <c r="B253" i="96"/>
  <c r="B254" i="96"/>
  <c r="B255" i="96"/>
  <c r="B256" i="96"/>
  <c r="B257" i="96"/>
  <c r="B258" i="96"/>
  <c r="B259" i="96"/>
  <c r="B260" i="96"/>
  <c r="B261" i="96"/>
  <c r="B262" i="96"/>
  <c r="B263" i="96"/>
  <c r="B264" i="96"/>
  <c r="B265" i="96"/>
  <c r="B266" i="96"/>
  <c r="B267" i="96"/>
  <c r="B268" i="96"/>
  <c r="B269" i="96"/>
  <c r="B270" i="96"/>
  <c r="B271" i="96"/>
  <c r="B272" i="96"/>
  <c r="B273" i="96"/>
  <c r="B274" i="96"/>
  <c r="B275" i="96"/>
  <c r="B276" i="96"/>
  <c r="B277" i="96"/>
  <c r="B278" i="96"/>
  <c r="B279" i="96"/>
  <c r="B280" i="96"/>
  <c r="B281" i="96"/>
  <c r="B282" i="96"/>
  <c r="B283" i="96"/>
  <c r="B284" i="96"/>
  <c r="B285" i="96"/>
  <c r="B286" i="96"/>
  <c r="B287" i="96"/>
  <c r="B288" i="96"/>
  <c r="B289" i="96"/>
  <c r="B290" i="96"/>
  <c r="B291" i="96"/>
  <c r="B292" i="96"/>
  <c r="B293" i="96"/>
  <c r="B294" i="96"/>
  <c r="B295" i="96"/>
  <c r="B296" i="96"/>
  <c r="B297" i="96"/>
  <c r="B298" i="96"/>
  <c r="B299" i="96"/>
  <c r="B300" i="96"/>
  <c r="B301" i="96"/>
  <c r="B302" i="96"/>
  <c r="B303" i="96"/>
  <c r="B304" i="96"/>
  <c r="B305" i="96"/>
  <c r="B306" i="96"/>
  <c r="B307" i="96"/>
  <c r="B308" i="96"/>
  <c r="B309" i="96"/>
  <c r="B310" i="96"/>
  <c r="B311" i="96"/>
  <c r="B312" i="96"/>
  <c r="B313" i="96"/>
  <c r="B314" i="96"/>
  <c r="B315" i="96"/>
  <c r="B316" i="96"/>
  <c r="B317" i="96"/>
  <c r="B318" i="96"/>
  <c r="B319" i="96"/>
  <c r="B320" i="96"/>
  <c r="B321" i="96"/>
  <c r="B322" i="96"/>
  <c r="B323" i="96"/>
  <c r="B324" i="96"/>
  <c r="B325" i="96"/>
  <c r="B326" i="96"/>
  <c r="B327" i="96"/>
  <c r="B328" i="96"/>
  <c r="B329" i="96"/>
  <c r="B330" i="96"/>
  <c r="B331" i="96"/>
  <c r="B332" i="96"/>
  <c r="B333" i="96"/>
  <c r="B334" i="96"/>
  <c r="B335" i="96"/>
  <c r="B336" i="96"/>
  <c r="B337" i="96"/>
  <c r="B338" i="96"/>
  <c r="B339" i="96"/>
  <c r="B340" i="96"/>
  <c r="B341" i="96"/>
  <c r="B342" i="96"/>
  <c r="B343" i="96"/>
  <c r="B344" i="96"/>
  <c r="B345" i="96"/>
  <c r="B346" i="96"/>
  <c r="B347" i="96"/>
  <c r="B348" i="96"/>
  <c r="B349" i="96"/>
  <c r="B350" i="96"/>
  <c r="B351" i="96"/>
  <c r="B352" i="96"/>
  <c r="B353" i="96"/>
  <c r="B354" i="96"/>
  <c r="B355" i="96"/>
  <c r="B356" i="96"/>
  <c r="B357" i="96"/>
  <c r="B358" i="96"/>
  <c r="B359" i="96"/>
  <c r="B360" i="96"/>
  <c r="B361" i="96"/>
  <c r="B362" i="96"/>
  <c r="B363" i="96"/>
  <c r="B364" i="96"/>
  <c r="B365" i="96"/>
  <c r="B366" i="96"/>
  <c r="B367" i="96"/>
  <c r="B368" i="96"/>
  <c r="B369" i="96"/>
  <c r="B370" i="96"/>
  <c r="B371" i="96"/>
  <c r="B372" i="96"/>
  <c r="B373" i="96"/>
  <c r="B374" i="96"/>
  <c r="B375" i="96"/>
  <c r="B376" i="96"/>
  <c r="B377" i="96"/>
  <c r="B378" i="96"/>
  <c r="B379" i="96"/>
  <c r="B380" i="96"/>
  <c r="B381" i="96"/>
  <c r="B382" i="96"/>
  <c r="B383" i="96"/>
  <c r="B384" i="96"/>
  <c r="B385" i="96"/>
  <c r="B386" i="96"/>
  <c r="B387" i="96"/>
  <c r="B388" i="96"/>
  <c r="B389" i="96"/>
  <c r="B390" i="96"/>
  <c r="B391" i="96"/>
  <c r="B392" i="96"/>
  <c r="B393" i="96"/>
  <c r="B394" i="96"/>
  <c r="B395" i="96"/>
  <c r="B396" i="96"/>
  <c r="B397" i="96"/>
  <c r="B398" i="96"/>
  <c r="B399" i="96"/>
  <c r="B400" i="96"/>
  <c r="B401" i="96"/>
  <c r="B402" i="96"/>
  <c r="B403" i="96"/>
  <c r="B404" i="96"/>
  <c r="B405" i="96"/>
  <c r="B406" i="96"/>
  <c r="B407" i="96"/>
  <c r="B408" i="96"/>
  <c r="B409" i="96"/>
  <c r="B410" i="96"/>
  <c r="B411" i="96"/>
  <c r="B412" i="96"/>
  <c r="B413" i="96"/>
  <c r="B414" i="96"/>
  <c r="B415" i="96"/>
  <c r="B416" i="96"/>
  <c r="B417" i="96"/>
  <c r="B418" i="96"/>
  <c r="B419" i="96"/>
  <c r="B420" i="96"/>
  <c r="B421" i="96"/>
  <c r="B422" i="96"/>
  <c r="B423" i="96"/>
  <c r="B424" i="96"/>
  <c r="B425" i="96"/>
  <c r="B426" i="96"/>
  <c r="B427" i="96"/>
  <c r="B428" i="96"/>
  <c r="B429" i="96"/>
  <c r="B430" i="96"/>
  <c r="B431" i="96"/>
  <c r="B432" i="96"/>
  <c r="B433" i="96"/>
  <c r="B434" i="96"/>
  <c r="B435" i="96"/>
  <c r="B436" i="96"/>
  <c r="B437" i="96"/>
  <c r="B438" i="96"/>
  <c r="B439" i="96"/>
  <c r="B440" i="96"/>
  <c r="B441" i="96"/>
  <c r="B442" i="96"/>
  <c r="B443" i="96"/>
  <c r="B444" i="96"/>
  <c r="B445" i="96"/>
  <c r="B446" i="96"/>
  <c r="B447" i="96"/>
  <c r="B448" i="96"/>
  <c r="B449" i="96"/>
  <c r="B450" i="96"/>
  <c r="B451" i="96"/>
  <c r="B452" i="96"/>
  <c r="B453" i="96"/>
  <c r="B454" i="96"/>
  <c r="B455" i="96"/>
  <c r="B456" i="96"/>
  <c r="B457" i="96"/>
  <c r="B458" i="96"/>
  <c r="B459" i="96"/>
  <c r="B460" i="96"/>
  <c r="B461" i="96"/>
  <c r="B462" i="96"/>
  <c r="B463" i="96"/>
  <c r="B464" i="96"/>
  <c r="B465" i="96"/>
  <c r="B466" i="96"/>
  <c r="B467" i="96"/>
  <c r="B468" i="96"/>
  <c r="B469" i="96"/>
  <c r="B470" i="96"/>
  <c r="B471" i="96"/>
  <c r="B472" i="96"/>
  <c r="B473" i="96"/>
  <c r="B474" i="96"/>
  <c r="B475" i="96"/>
  <c r="B476" i="96"/>
  <c r="B477" i="96"/>
  <c r="B478" i="96"/>
  <c r="B479" i="96"/>
  <c r="B480" i="96"/>
  <c r="B481" i="96"/>
  <c r="B482" i="96"/>
  <c r="B483" i="96"/>
  <c r="B484" i="96"/>
  <c r="B485" i="96"/>
  <c r="B486" i="96"/>
  <c r="B487" i="96"/>
  <c r="B488" i="96"/>
  <c r="B489" i="96"/>
  <c r="B490" i="96"/>
  <c r="B491" i="96"/>
  <c r="B492" i="96"/>
  <c r="B493" i="96"/>
  <c r="B494" i="96"/>
  <c r="B495" i="96"/>
  <c r="B496" i="96"/>
  <c r="B497" i="96"/>
  <c r="B498" i="96"/>
  <c r="B499" i="96"/>
  <c r="B500" i="96"/>
  <c r="B501" i="96"/>
  <c r="B502" i="96"/>
  <c r="B503" i="96"/>
  <c r="B504" i="96"/>
  <c r="B505" i="96"/>
  <c r="B506" i="96"/>
  <c r="B507" i="96"/>
  <c r="B508" i="96"/>
  <c r="B509" i="96"/>
  <c r="B510" i="96"/>
  <c r="B511" i="96"/>
  <c r="B512" i="96"/>
  <c r="B513" i="96"/>
  <c r="B514" i="96"/>
  <c r="B515" i="96"/>
  <c r="B516" i="96"/>
  <c r="B517" i="96"/>
  <c r="B518" i="96"/>
  <c r="B519" i="96"/>
  <c r="B520" i="96"/>
  <c r="B521" i="96"/>
  <c r="B522" i="96"/>
  <c r="B523" i="96"/>
  <c r="B524" i="96"/>
  <c r="B525" i="96"/>
  <c r="B526" i="96"/>
  <c r="B527" i="96"/>
  <c r="B528" i="96"/>
  <c r="B529" i="96"/>
  <c r="B530" i="96"/>
  <c r="B531" i="96"/>
  <c r="B532" i="96"/>
  <c r="B533" i="96"/>
  <c r="B534" i="96"/>
  <c r="B535" i="96"/>
  <c r="B536" i="96"/>
  <c r="B537" i="96"/>
  <c r="B538" i="96"/>
  <c r="B539" i="96"/>
  <c r="B540" i="96"/>
  <c r="B541" i="96"/>
  <c r="B542" i="96"/>
  <c r="B543" i="96"/>
  <c r="B544" i="96"/>
  <c r="B545" i="96"/>
  <c r="B546" i="96"/>
  <c r="B547" i="96"/>
  <c r="B548" i="96"/>
  <c r="B549" i="96"/>
  <c r="B550" i="96"/>
  <c r="B551" i="96"/>
  <c r="B552" i="96"/>
  <c r="B553" i="96"/>
  <c r="B554" i="96"/>
  <c r="B555" i="96"/>
  <c r="B556" i="96"/>
  <c r="B557" i="96"/>
  <c r="B558" i="96"/>
  <c r="B559" i="96"/>
  <c r="B560" i="96"/>
  <c r="B561" i="96"/>
  <c r="B562" i="96"/>
  <c r="B563" i="96"/>
  <c r="B564" i="96"/>
  <c r="B565" i="96"/>
  <c r="B566" i="96"/>
  <c r="B567" i="96"/>
  <c r="B568" i="96"/>
  <c r="B569" i="96"/>
  <c r="B570" i="96"/>
  <c r="B571" i="96"/>
  <c r="B572" i="96"/>
  <c r="B573" i="96"/>
  <c r="B574" i="96"/>
  <c r="B575" i="96"/>
  <c r="B576" i="96"/>
  <c r="B577" i="96"/>
  <c r="B578" i="96"/>
  <c r="B579" i="96"/>
  <c r="B580" i="96"/>
  <c r="B581" i="96"/>
  <c r="B582" i="96"/>
  <c r="B583" i="96"/>
  <c r="B584" i="96"/>
  <c r="B585" i="96"/>
  <c r="B586" i="96"/>
  <c r="B587" i="96"/>
  <c r="B588" i="96"/>
  <c r="B589" i="96"/>
  <c r="B590" i="96"/>
  <c r="B591" i="96"/>
  <c r="B592" i="96"/>
  <c r="B593" i="96"/>
  <c r="B594" i="96"/>
  <c r="B595" i="96"/>
  <c r="B596" i="96"/>
  <c r="B597" i="96"/>
  <c r="B598" i="96"/>
  <c r="B599" i="96"/>
  <c r="B600" i="96"/>
  <c r="B601" i="96"/>
  <c r="B602" i="96"/>
  <c r="B603" i="96"/>
  <c r="B604" i="96"/>
  <c r="B605" i="96"/>
  <c r="B606" i="96"/>
  <c r="B607" i="96"/>
  <c r="B608" i="96"/>
  <c r="B609" i="96"/>
  <c r="B610" i="96"/>
  <c r="B611" i="96"/>
  <c r="B612" i="96"/>
  <c r="B613" i="96"/>
  <c r="B614" i="96"/>
  <c r="B615" i="96"/>
  <c r="B616" i="96"/>
  <c r="B617" i="96"/>
  <c r="B618" i="96"/>
  <c r="B619" i="96"/>
  <c r="B620" i="96"/>
  <c r="B621" i="96"/>
  <c r="B622" i="96"/>
  <c r="B623" i="96"/>
  <c r="B624" i="96"/>
  <c r="B625" i="96"/>
  <c r="B626" i="96"/>
  <c r="B627" i="96"/>
  <c r="B628" i="96"/>
  <c r="B629" i="96"/>
  <c r="B630" i="96"/>
  <c r="B631" i="96"/>
  <c r="B632" i="96"/>
  <c r="B633" i="96"/>
  <c r="B634" i="96"/>
  <c r="B635" i="96"/>
  <c r="B636" i="96"/>
  <c r="B637" i="96"/>
  <c r="B638" i="96"/>
  <c r="B639" i="96"/>
  <c r="B640" i="96"/>
  <c r="B641" i="96"/>
  <c r="B642" i="96"/>
  <c r="B643" i="96"/>
  <c r="B644" i="96"/>
  <c r="B645" i="96"/>
  <c r="B646" i="96"/>
  <c r="B647" i="96"/>
  <c r="B648" i="96"/>
  <c r="B649" i="96"/>
  <c r="B650" i="96"/>
  <c r="B651" i="96"/>
  <c r="B652" i="96"/>
  <c r="B653" i="96"/>
  <c r="B654" i="96"/>
  <c r="B655" i="96"/>
  <c r="B656" i="96"/>
  <c r="B657" i="96"/>
  <c r="B658" i="96"/>
  <c r="B659" i="96"/>
  <c r="B660" i="96"/>
  <c r="B661" i="96"/>
  <c r="B662" i="96"/>
  <c r="B663" i="96"/>
  <c r="B664" i="96"/>
  <c r="B665" i="96"/>
  <c r="B666" i="96"/>
  <c r="B667" i="96"/>
  <c r="B668" i="96"/>
  <c r="B669" i="96"/>
  <c r="B670" i="96"/>
  <c r="B671" i="96"/>
  <c r="B672" i="96"/>
  <c r="B673" i="96"/>
  <c r="B674" i="96"/>
  <c r="B675" i="96"/>
  <c r="B676" i="96"/>
  <c r="B677" i="96"/>
  <c r="B678" i="96"/>
  <c r="B679" i="96"/>
  <c r="B680" i="96"/>
  <c r="B681" i="96"/>
  <c r="B682" i="96"/>
  <c r="B683" i="96"/>
  <c r="B684" i="96"/>
  <c r="B685" i="96"/>
  <c r="B686" i="96"/>
  <c r="B687" i="96"/>
  <c r="B688" i="96"/>
  <c r="B689" i="96"/>
  <c r="B690" i="96"/>
  <c r="B691" i="96"/>
  <c r="B692" i="96"/>
  <c r="B693" i="96"/>
  <c r="B694" i="96"/>
  <c r="B695" i="96"/>
  <c r="B696" i="96"/>
  <c r="B697" i="96"/>
  <c r="B698" i="96"/>
  <c r="B699" i="96"/>
  <c r="B700" i="96"/>
  <c r="B701" i="96"/>
  <c r="B702" i="96"/>
  <c r="B703" i="96"/>
  <c r="B704" i="96"/>
  <c r="B705" i="96"/>
  <c r="B706" i="96"/>
  <c r="B707" i="96"/>
  <c r="B708" i="96"/>
  <c r="B709" i="96"/>
  <c r="B710" i="96"/>
  <c r="B711" i="96"/>
  <c r="B712" i="96"/>
  <c r="B713" i="96"/>
  <c r="B714" i="96"/>
  <c r="B715" i="96"/>
  <c r="B716" i="96"/>
  <c r="B717" i="96"/>
  <c r="B718" i="96"/>
  <c r="B719" i="96"/>
  <c r="B720" i="96"/>
  <c r="B721" i="96"/>
  <c r="B722" i="96"/>
  <c r="B723" i="96"/>
  <c r="B724" i="96"/>
  <c r="B725" i="96"/>
  <c r="B726" i="96"/>
  <c r="B727" i="96"/>
  <c r="B728" i="96"/>
  <c r="B729" i="96"/>
  <c r="B730" i="96"/>
  <c r="B731" i="96"/>
  <c r="B732" i="96"/>
  <c r="B733" i="96"/>
  <c r="B734" i="96"/>
  <c r="B735" i="96"/>
  <c r="B736" i="96"/>
  <c r="B737" i="96"/>
  <c r="B738" i="96"/>
  <c r="B739" i="96"/>
  <c r="B740" i="96"/>
  <c r="B741" i="96"/>
  <c r="B742" i="96"/>
  <c r="B743" i="96"/>
  <c r="B744" i="96"/>
  <c r="B745" i="96"/>
  <c r="B746" i="96"/>
  <c r="B747" i="96"/>
  <c r="B748" i="96"/>
  <c r="B749" i="96"/>
  <c r="B750" i="96"/>
  <c r="B751" i="96"/>
  <c r="B752" i="96"/>
  <c r="B753" i="96"/>
  <c r="B754" i="96"/>
  <c r="B755" i="96"/>
  <c r="B756" i="96"/>
  <c r="B757" i="96"/>
  <c r="B758" i="96"/>
  <c r="B759" i="96"/>
  <c r="B760" i="96"/>
  <c r="B761" i="96"/>
  <c r="B762" i="96"/>
  <c r="B763" i="96"/>
  <c r="B764" i="96"/>
  <c r="B765" i="96"/>
  <c r="B766" i="96"/>
  <c r="B767" i="96"/>
  <c r="B768" i="96"/>
  <c r="B769" i="96"/>
  <c r="B770" i="96"/>
  <c r="B771" i="96"/>
  <c r="B772" i="96"/>
  <c r="B773" i="96"/>
  <c r="B774" i="96"/>
  <c r="B775" i="96"/>
  <c r="B776" i="96"/>
  <c r="B777" i="96"/>
  <c r="B778" i="96"/>
  <c r="B779" i="96"/>
  <c r="B780" i="96"/>
  <c r="B781" i="96"/>
  <c r="B782" i="96"/>
  <c r="B783" i="96"/>
  <c r="B784" i="96"/>
  <c r="B785" i="96"/>
  <c r="B786" i="96"/>
  <c r="B787" i="96"/>
  <c r="B788" i="96"/>
  <c r="B789" i="96"/>
  <c r="B790" i="96"/>
  <c r="B791" i="96"/>
  <c r="B792" i="96"/>
  <c r="B793" i="96"/>
  <c r="B794" i="96"/>
  <c r="B795" i="96"/>
  <c r="B796" i="96"/>
  <c r="B797" i="96"/>
  <c r="B798" i="96"/>
  <c r="B799" i="96"/>
  <c r="B800" i="96"/>
  <c r="B801" i="96"/>
  <c r="B802" i="96"/>
  <c r="B803" i="96"/>
  <c r="B804" i="96"/>
  <c r="B805" i="96"/>
  <c r="B806" i="96"/>
  <c r="B807" i="96"/>
  <c r="B808" i="96"/>
  <c r="B809" i="96"/>
  <c r="B810" i="96"/>
  <c r="B811" i="96"/>
  <c r="B812" i="96"/>
  <c r="B813" i="96"/>
  <c r="B814" i="96"/>
  <c r="B815" i="96"/>
  <c r="B816" i="96"/>
  <c r="B817" i="96"/>
  <c r="B818" i="96"/>
  <c r="B819" i="96"/>
  <c r="B820" i="96"/>
  <c r="B821" i="96"/>
  <c r="B822" i="96"/>
  <c r="B823" i="96"/>
  <c r="B824" i="96"/>
  <c r="B825" i="96"/>
  <c r="B826" i="96"/>
  <c r="B827" i="96"/>
  <c r="B828" i="96"/>
  <c r="B829" i="96"/>
  <c r="B830" i="96"/>
  <c r="B831" i="96"/>
  <c r="B832" i="96"/>
  <c r="B833" i="96"/>
  <c r="B834" i="96"/>
  <c r="B835" i="96"/>
  <c r="B836" i="96"/>
  <c r="B837" i="96"/>
  <c r="B838" i="96"/>
  <c r="B839" i="96"/>
  <c r="B840" i="96"/>
  <c r="B841" i="96"/>
  <c r="B842" i="96"/>
  <c r="B843" i="96"/>
  <c r="B844" i="96"/>
  <c r="B845" i="96"/>
  <c r="B846" i="96"/>
  <c r="B847" i="96"/>
  <c r="B848" i="96"/>
  <c r="B849" i="96"/>
  <c r="B850" i="96"/>
  <c r="B851" i="96"/>
  <c r="B852" i="96"/>
  <c r="B853" i="96"/>
  <c r="B854" i="96"/>
  <c r="B855" i="96"/>
  <c r="B856" i="96"/>
  <c r="B857" i="96"/>
  <c r="B858" i="96"/>
  <c r="B859" i="96"/>
  <c r="B860" i="96"/>
  <c r="B861" i="96"/>
  <c r="B862" i="96"/>
  <c r="B863" i="96"/>
  <c r="B864" i="96"/>
  <c r="B865" i="96"/>
  <c r="B866" i="96"/>
  <c r="B867" i="96"/>
  <c r="B868" i="96"/>
  <c r="B869" i="96"/>
  <c r="B870" i="96"/>
  <c r="B871" i="96"/>
  <c r="B872" i="96"/>
  <c r="B873" i="96"/>
  <c r="B874" i="96"/>
  <c r="B875" i="96"/>
  <c r="B876" i="96"/>
  <c r="B877" i="96"/>
  <c r="B878" i="96"/>
  <c r="B879" i="96"/>
  <c r="B880" i="96"/>
  <c r="B881" i="96"/>
  <c r="B882" i="96"/>
  <c r="B883" i="96"/>
  <c r="B884" i="96"/>
  <c r="B885" i="96"/>
  <c r="B886" i="96"/>
  <c r="B887" i="96"/>
  <c r="B888" i="96"/>
  <c r="B889" i="96"/>
  <c r="B890" i="96"/>
  <c r="B891" i="96"/>
  <c r="B892" i="96"/>
  <c r="B893" i="96"/>
  <c r="B894" i="96"/>
  <c r="B895" i="96"/>
  <c r="B896" i="96"/>
  <c r="B897" i="96"/>
  <c r="B898" i="96"/>
  <c r="B899" i="96"/>
  <c r="B900" i="96"/>
  <c r="B901" i="96"/>
  <c r="B902" i="96"/>
  <c r="B903" i="96"/>
  <c r="B904" i="96"/>
  <c r="B905" i="96"/>
  <c r="B906" i="96"/>
  <c r="B907" i="96"/>
  <c r="B908" i="96"/>
  <c r="B909" i="96"/>
  <c r="B910" i="96"/>
  <c r="B911" i="96"/>
  <c r="B912" i="96"/>
  <c r="B913" i="96"/>
  <c r="B914" i="96"/>
  <c r="B915" i="96"/>
  <c r="B916" i="96"/>
  <c r="B917" i="96"/>
  <c r="B918" i="96"/>
  <c r="B919" i="96"/>
  <c r="B920" i="96"/>
  <c r="B921" i="96"/>
  <c r="B922" i="96"/>
  <c r="B923" i="96"/>
  <c r="B924" i="96"/>
  <c r="B925" i="96"/>
  <c r="B926" i="96"/>
  <c r="B927" i="96"/>
  <c r="B928" i="96"/>
  <c r="B929" i="96"/>
  <c r="B930" i="96"/>
  <c r="B931" i="96"/>
  <c r="B932" i="96"/>
  <c r="B933" i="96"/>
  <c r="B934" i="96"/>
  <c r="B935" i="96"/>
  <c r="B936" i="96"/>
  <c r="B937" i="96"/>
  <c r="B938" i="96"/>
  <c r="B939" i="96"/>
  <c r="B940" i="96"/>
  <c r="B941" i="96"/>
  <c r="B942" i="96"/>
  <c r="B943" i="96"/>
  <c r="B944" i="96"/>
  <c r="B945" i="96"/>
  <c r="B946" i="96"/>
  <c r="B947" i="96"/>
  <c r="B948" i="96"/>
  <c r="B949" i="96"/>
  <c r="B950" i="96"/>
  <c r="B951" i="96"/>
  <c r="B952" i="96"/>
  <c r="B953" i="96"/>
  <c r="B954" i="96"/>
  <c r="B955" i="96"/>
  <c r="B956" i="96"/>
  <c r="B957" i="96"/>
  <c r="B958" i="96"/>
  <c r="B959" i="96"/>
  <c r="B960" i="96"/>
  <c r="B961" i="96"/>
  <c r="B962" i="96"/>
  <c r="B963" i="96"/>
  <c r="B964" i="96"/>
  <c r="B965" i="96"/>
  <c r="B966" i="96"/>
  <c r="B967" i="96"/>
  <c r="B968" i="96"/>
  <c r="B969" i="96"/>
  <c r="B970" i="96"/>
  <c r="B971" i="96"/>
  <c r="B972" i="96"/>
  <c r="B973" i="96"/>
  <c r="B974" i="96"/>
  <c r="B975" i="96"/>
  <c r="B976" i="96"/>
  <c r="B977" i="96"/>
  <c r="B978" i="96"/>
  <c r="B979" i="96"/>
  <c r="B980" i="96"/>
  <c r="B981" i="96"/>
  <c r="B982" i="96"/>
  <c r="B983" i="96"/>
  <c r="B984" i="96"/>
  <c r="B985" i="96"/>
  <c r="B986" i="96"/>
  <c r="B987" i="96"/>
  <c r="B988" i="96"/>
  <c r="B989" i="96"/>
  <c r="B990" i="96"/>
  <c r="B991" i="96"/>
  <c r="B992" i="96"/>
  <c r="B993" i="96"/>
  <c r="B994" i="96"/>
  <c r="B995" i="96"/>
  <c r="B996" i="96"/>
  <c r="B997" i="96"/>
  <c r="B998" i="96"/>
  <c r="B999" i="96"/>
  <c r="B1000" i="96"/>
  <c r="B1001" i="96"/>
  <c r="B1002" i="96"/>
  <c r="E8" i="95" a="1"/>
  <c r="E8" i="95"/>
  <c r="E8" i="94" a="1"/>
  <c r="E8" i="94" s="1"/>
  <c r="C5" i="88"/>
  <c r="D5" i="88"/>
  <c r="E5" i="88"/>
  <c r="F5" i="88"/>
  <c r="G5" i="88"/>
  <c r="C6" i="88"/>
  <c r="D6" i="88"/>
  <c r="E6" i="88"/>
  <c r="F6" i="88"/>
  <c r="G6" i="88"/>
  <c r="C7" i="88"/>
  <c r="D7" i="88"/>
  <c r="E7" i="88"/>
  <c r="F7" i="88"/>
  <c r="G7" i="88"/>
  <c r="C8" i="88"/>
  <c r="D8" i="88"/>
  <c r="E8" i="88"/>
  <c r="F8" i="88"/>
  <c r="G8" i="88"/>
  <c r="C9" i="88"/>
  <c r="D9" i="88"/>
  <c r="E9" i="88"/>
  <c r="F9" i="88"/>
  <c r="G9" i="88"/>
  <c r="C10" i="88"/>
  <c r="D10" i="88"/>
  <c r="E10" i="88"/>
  <c r="F10" i="88"/>
  <c r="G10" i="88"/>
  <c r="C11" i="88"/>
  <c r="D11" i="88"/>
  <c r="E11" i="88"/>
  <c r="F11" i="88"/>
  <c r="G11" i="88"/>
  <c r="C12" i="88"/>
  <c r="D12" i="88"/>
  <c r="E12" i="88"/>
  <c r="F12" i="88"/>
  <c r="G12" i="88"/>
  <c r="C13" i="88"/>
  <c r="D13" i="88"/>
  <c r="E13" i="88"/>
  <c r="F13" i="88"/>
  <c r="G13" i="88"/>
  <c r="C14" i="88"/>
  <c r="D14" i="88"/>
  <c r="E14" i="88"/>
  <c r="F14" i="88"/>
  <c r="G14" i="88"/>
  <c r="C15" i="88"/>
  <c r="D15" i="88"/>
  <c r="E15" i="88"/>
  <c r="F15" i="88"/>
  <c r="G15" i="88"/>
  <c r="C16" i="88"/>
  <c r="D16" i="88"/>
  <c r="E16" i="88"/>
  <c r="F16" i="88"/>
  <c r="G16" i="88"/>
  <c r="C17" i="88"/>
  <c r="D17" i="88"/>
  <c r="E17" i="88"/>
  <c r="F17" i="88"/>
  <c r="G17" i="88"/>
  <c r="C18" i="88"/>
  <c r="D18" i="88"/>
  <c r="E18" i="88"/>
  <c r="F18" i="88"/>
  <c r="G18" i="88"/>
  <c r="C19" i="88"/>
  <c r="D19" i="88"/>
  <c r="E19" i="88"/>
  <c r="F19" i="88"/>
  <c r="G19" i="88"/>
  <c r="C20" i="88"/>
  <c r="D20" i="88"/>
  <c r="E20" i="88"/>
  <c r="F20" i="88"/>
  <c r="G20" i="88"/>
  <c r="C21" i="88"/>
  <c r="D21" i="88"/>
  <c r="E21" i="88"/>
  <c r="F21" i="88"/>
  <c r="G21" i="88"/>
  <c r="C22" i="88"/>
  <c r="D22" i="88"/>
  <c r="E22" i="88"/>
  <c r="F22" i="88"/>
  <c r="G22" i="88"/>
  <c r="C23" i="88"/>
  <c r="D23" i="88"/>
  <c r="E23" i="88"/>
  <c r="F23" i="88"/>
  <c r="G23" i="88"/>
  <c r="C24" i="88"/>
  <c r="D24" i="88"/>
  <c r="E24" i="88"/>
  <c r="F24" i="88"/>
  <c r="G24" i="88"/>
  <c r="C25" i="88"/>
  <c r="D25" i="88"/>
  <c r="E25" i="88"/>
  <c r="F25" i="88"/>
  <c r="G25" i="88"/>
  <c r="C26" i="88"/>
  <c r="D26" i="88"/>
  <c r="E26" i="88"/>
  <c r="F26" i="88"/>
  <c r="G26" i="88"/>
  <c r="C27" i="88"/>
  <c r="D27" i="88"/>
  <c r="E27" i="88"/>
  <c r="F27" i="88"/>
  <c r="G27" i="88"/>
  <c r="C28" i="88"/>
  <c r="D28" i="88"/>
  <c r="E28" i="88"/>
  <c r="F28" i="88"/>
  <c r="G28" i="88"/>
  <c r="C29" i="88"/>
  <c r="D29" i="88"/>
  <c r="E29" i="88"/>
  <c r="F29" i="88"/>
  <c r="G29" i="88"/>
  <c r="C30" i="88"/>
  <c r="D30" i="88"/>
  <c r="E30" i="88"/>
  <c r="F30" i="88"/>
  <c r="G30" i="88"/>
  <c r="C31" i="88"/>
  <c r="D31" i="88"/>
  <c r="E31" i="88"/>
  <c r="F31" i="88"/>
  <c r="G31" i="88"/>
  <c r="C32" i="88"/>
  <c r="D32" i="88"/>
  <c r="E32" i="88"/>
  <c r="F32" i="88"/>
  <c r="G32" i="88"/>
  <c r="C33" i="88"/>
  <c r="D33" i="88"/>
  <c r="E33" i="88"/>
  <c r="F33" i="88"/>
  <c r="G33" i="88"/>
  <c r="C34" i="88"/>
  <c r="D34" i="88"/>
  <c r="E34" i="88"/>
  <c r="F34" i="88"/>
  <c r="G34" i="88"/>
  <c r="C5" i="87"/>
  <c r="D5" i="87"/>
  <c r="E5" i="87"/>
  <c r="F5" i="87"/>
  <c r="G5" i="87"/>
  <c r="C6" i="87"/>
  <c r="D6" i="87"/>
  <c r="E6" i="87"/>
  <c r="F6" i="87"/>
  <c r="G6" i="87"/>
  <c r="C7" i="87"/>
  <c r="D7" i="87"/>
  <c r="E7" i="87"/>
  <c r="F7" i="87"/>
  <c r="G7" i="87"/>
  <c r="C8" i="87"/>
  <c r="D8" i="87"/>
  <c r="E8" i="87"/>
  <c r="F8" i="87"/>
  <c r="G8" i="87"/>
  <c r="C9" i="87"/>
  <c r="D9" i="87"/>
  <c r="E9" i="87"/>
  <c r="F9" i="87"/>
  <c r="G9" i="87"/>
  <c r="C10" i="87"/>
  <c r="D10" i="87"/>
  <c r="E10" i="87"/>
  <c r="F10" i="87"/>
  <c r="G10" i="87"/>
  <c r="C11" i="87"/>
  <c r="D11" i="87"/>
  <c r="E11" i="87"/>
  <c r="F11" i="87"/>
  <c r="G11" i="87"/>
  <c r="C12" i="87"/>
  <c r="D12" i="87"/>
  <c r="E12" i="87"/>
  <c r="F12" i="87"/>
  <c r="G12" i="87"/>
  <c r="C13" i="87"/>
  <c r="D13" i="87"/>
  <c r="E13" i="87"/>
  <c r="F13" i="87"/>
  <c r="G13" i="87"/>
  <c r="C14" i="87"/>
  <c r="D14" i="87"/>
  <c r="E14" i="87"/>
  <c r="F14" i="87"/>
  <c r="G14" i="87"/>
  <c r="C15" i="87"/>
  <c r="D15" i="87"/>
  <c r="E15" i="87"/>
  <c r="F15" i="87"/>
  <c r="G15" i="87"/>
  <c r="C16" i="87"/>
  <c r="D16" i="87"/>
  <c r="E16" i="87"/>
  <c r="F16" i="87"/>
  <c r="G16" i="87"/>
  <c r="C17" i="87"/>
  <c r="D17" i="87"/>
  <c r="E17" i="87"/>
  <c r="F17" i="87"/>
  <c r="G17" i="87"/>
  <c r="C18" i="87"/>
  <c r="D18" i="87"/>
  <c r="E18" i="87"/>
  <c r="F18" i="87"/>
  <c r="G18" i="87"/>
  <c r="C19" i="87"/>
  <c r="D19" i="87"/>
  <c r="E19" i="87"/>
  <c r="F19" i="87"/>
  <c r="G19" i="87"/>
  <c r="C20" i="87"/>
  <c r="D20" i="87"/>
  <c r="E20" i="87"/>
  <c r="F20" i="87"/>
  <c r="G20" i="87"/>
  <c r="C21" i="87"/>
  <c r="D21" i="87"/>
  <c r="E21" i="87"/>
  <c r="F21" i="87"/>
  <c r="G21" i="87"/>
  <c r="C22" i="87"/>
  <c r="D22" i="87"/>
  <c r="E22" i="87"/>
  <c r="F22" i="87"/>
  <c r="G22" i="87"/>
  <c r="C23" i="87"/>
  <c r="D23" i="87"/>
  <c r="E23" i="87"/>
  <c r="F23" i="87"/>
  <c r="G23" i="87"/>
  <c r="C24" i="87"/>
  <c r="D24" i="87"/>
  <c r="E24" i="87"/>
  <c r="F24" i="87"/>
  <c r="G24" i="87"/>
  <c r="C25" i="87"/>
  <c r="D25" i="87"/>
  <c r="E25" i="87"/>
  <c r="F25" i="87"/>
  <c r="G25" i="87"/>
  <c r="C26" i="87"/>
  <c r="D26" i="87"/>
  <c r="E26" i="87"/>
  <c r="F26" i="87"/>
  <c r="G26" i="87"/>
  <c r="C27" i="87"/>
  <c r="D27" i="87"/>
  <c r="E27" i="87"/>
  <c r="F27" i="87"/>
  <c r="G27" i="87"/>
  <c r="C28" i="87"/>
  <c r="D28" i="87"/>
  <c r="E28" i="87"/>
  <c r="F28" i="87"/>
  <c r="G28" i="87"/>
  <c r="C29" i="87"/>
  <c r="D29" i="87"/>
  <c r="E29" i="87"/>
  <c r="F29" i="87"/>
  <c r="G29" i="87"/>
  <c r="C30" i="87"/>
  <c r="D30" i="87"/>
  <c r="E30" i="87"/>
  <c r="F30" i="87"/>
  <c r="G30" i="87"/>
  <c r="C31" i="87"/>
  <c r="D31" i="87"/>
  <c r="E31" i="87"/>
  <c r="F31" i="87"/>
  <c r="G31" i="87"/>
  <c r="C32" i="87"/>
  <c r="D32" i="87"/>
  <c r="E32" i="87"/>
  <c r="F32" i="87"/>
  <c r="G32" i="87"/>
  <c r="C33" i="87"/>
  <c r="D33" i="87"/>
  <c r="E33" i="87"/>
  <c r="F33" i="87"/>
  <c r="G33" i="87"/>
  <c r="C34" i="87"/>
  <c r="D34" i="87"/>
  <c r="E34" i="87"/>
  <c r="F34" i="87"/>
  <c r="G34" i="87"/>
  <c r="C5" i="86"/>
  <c r="D5" i="86"/>
  <c r="E5" i="86"/>
  <c r="F5" i="86"/>
  <c r="G5" i="86"/>
  <c r="C6" i="86"/>
  <c r="D6" i="86"/>
  <c r="E6" i="86"/>
  <c r="F6" i="86"/>
  <c r="G6" i="86"/>
  <c r="C7" i="86"/>
  <c r="D7" i="86"/>
  <c r="E7" i="86"/>
  <c r="F7" i="86"/>
  <c r="G7" i="86"/>
  <c r="C8" i="86"/>
  <c r="D8" i="86"/>
  <c r="E8" i="86"/>
  <c r="F8" i="86"/>
  <c r="G8" i="86"/>
  <c r="C9" i="86"/>
  <c r="D9" i="86"/>
  <c r="E9" i="86"/>
  <c r="F9" i="86"/>
  <c r="G9" i="86"/>
  <c r="C10" i="86"/>
  <c r="D10" i="86"/>
  <c r="E10" i="86"/>
  <c r="F10" i="86"/>
  <c r="G10" i="86"/>
  <c r="C11" i="86"/>
  <c r="D11" i="86"/>
  <c r="E11" i="86"/>
  <c r="F11" i="86"/>
  <c r="G11" i="86"/>
  <c r="C12" i="86"/>
  <c r="D12" i="86"/>
  <c r="E12" i="86"/>
  <c r="F12" i="86"/>
  <c r="G12" i="86"/>
  <c r="C13" i="86"/>
  <c r="D13" i="86"/>
  <c r="E13" i="86"/>
  <c r="F13" i="86"/>
  <c r="G13" i="86"/>
  <c r="C14" i="86"/>
  <c r="D14" i="86"/>
  <c r="E14" i="86"/>
  <c r="F14" i="86"/>
  <c r="G14" i="86"/>
  <c r="C15" i="86"/>
  <c r="D15" i="86"/>
  <c r="E15" i="86"/>
  <c r="F15" i="86"/>
  <c r="G15" i="86"/>
  <c r="C16" i="86"/>
  <c r="D16" i="86"/>
  <c r="E16" i="86"/>
  <c r="F16" i="86"/>
  <c r="G16" i="86"/>
  <c r="C17" i="86"/>
  <c r="D17" i="86"/>
  <c r="E17" i="86"/>
  <c r="F17" i="86"/>
  <c r="G17" i="86"/>
  <c r="C18" i="86"/>
  <c r="D18" i="86"/>
  <c r="E18" i="86"/>
  <c r="F18" i="86"/>
  <c r="G18" i="86"/>
  <c r="C19" i="86"/>
  <c r="D19" i="86"/>
  <c r="E19" i="86"/>
  <c r="F19" i="86"/>
  <c r="G19" i="86"/>
  <c r="C20" i="86"/>
  <c r="D20" i="86"/>
  <c r="E20" i="86"/>
  <c r="F20" i="86"/>
  <c r="G20" i="86"/>
  <c r="C21" i="86"/>
  <c r="D21" i="86"/>
  <c r="E21" i="86"/>
  <c r="F21" i="86"/>
  <c r="G21" i="86"/>
  <c r="C22" i="86"/>
  <c r="D22" i="86"/>
  <c r="E22" i="86"/>
  <c r="F22" i="86"/>
  <c r="G22" i="86"/>
  <c r="C23" i="86"/>
  <c r="D23" i="86"/>
  <c r="E23" i="86"/>
  <c r="F23" i="86"/>
  <c r="G23" i="86"/>
  <c r="C24" i="86"/>
  <c r="D24" i="86"/>
  <c r="E24" i="86"/>
  <c r="F24" i="86"/>
  <c r="G24" i="86"/>
  <c r="C25" i="86"/>
  <c r="D25" i="86"/>
  <c r="E25" i="86"/>
  <c r="F25" i="86"/>
  <c r="G25" i="86"/>
  <c r="C26" i="86"/>
  <c r="D26" i="86"/>
  <c r="E26" i="86"/>
  <c r="F26" i="86"/>
  <c r="G26" i="86"/>
  <c r="C27" i="86"/>
  <c r="D27" i="86"/>
  <c r="E27" i="86"/>
  <c r="F27" i="86"/>
  <c r="G27" i="86"/>
  <c r="C28" i="86"/>
  <c r="D28" i="86"/>
  <c r="E28" i="86"/>
  <c r="F28" i="86"/>
  <c r="G28" i="86"/>
  <c r="C29" i="86"/>
  <c r="D29" i="86"/>
  <c r="E29" i="86"/>
  <c r="F29" i="86"/>
  <c r="G29" i="86"/>
  <c r="C30" i="86"/>
  <c r="D30" i="86"/>
  <c r="E30" i="86"/>
  <c r="F30" i="86"/>
  <c r="G30" i="86"/>
  <c r="C31" i="86"/>
  <c r="D31" i="86"/>
  <c r="E31" i="86"/>
  <c r="F31" i="86"/>
  <c r="G31" i="86"/>
  <c r="C32" i="86"/>
  <c r="D32" i="86"/>
  <c r="E32" i="86"/>
  <c r="F32" i="86"/>
  <c r="G32" i="86"/>
  <c r="C33" i="86"/>
  <c r="D33" i="86"/>
  <c r="E33" i="86"/>
  <c r="F33" i="86"/>
  <c r="G33" i="86"/>
  <c r="C34" i="86"/>
  <c r="D34" i="86"/>
  <c r="E34" i="86"/>
  <c r="F34" i="86"/>
  <c r="G34" i="86"/>
  <c r="E7" i="96" l="1"/>
  <c r="K3" i="96" s="1"/>
  <c r="F7" i="96"/>
  <c r="J3" i="96" s="1"/>
  <c r="E7" i="97"/>
  <c r="K3" i="97" s="1"/>
  <c r="F7" i="97"/>
  <c r="J3" i="97" s="1"/>
  <c r="E7" i="98"/>
  <c r="E10" i="98" s="1"/>
  <c r="K3" i="98" s="1"/>
  <c r="F7" i="98"/>
  <c r="F10" i="98" s="1"/>
  <c r="J3" i="98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F2" i="62" l="1"/>
  <c r="G57" i="62" s="1"/>
  <c r="D2" i="63" a="1"/>
  <c r="H5" i="62"/>
  <c r="I5" i="62" s="1"/>
  <c r="H8" i="62" s="1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H2" i="62" l="1" a="1"/>
  <c r="H2" i="62" s="1"/>
  <c r="K2" i="62" s="1"/>
  <c r="F2" i="63"/>
  <c r="H5" i="63"/>
  <c r="I5" i="63" s="1"/>
  <c r="H8" i="63" l="1"/>
  <c r="K8" i="63" s="1"/>
  <c r="N3" i="63" s="1"/>
  <c r="H14" i="63" l="1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H2" i="63" l="1" a="1"/>
  <c r="H2" i="63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<sst xmlns="http://schemas.openxmlformats.org/spreadsheetml/2006/main" count="17902" uniqueCount="242">
  <si>
    <t>p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</si>
  <si>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</si>
  <si>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</si>
  <si>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</si>
  <si>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</si>
  <si>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</si>
  <si>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</si>
  <si>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</si>
  <si>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</si>
  <si>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</si>
  <si>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</si>
  <si>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</si>
  <si>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</si>
  <si>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</si>
  <si>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Fit a regression model and find the best lambda .</t>
  </si>
  <si>
    <t>Optim_Shrinkage</t>
  </si>
  <si>
    <t>Optim_InAndOut</t>
  </si>
  <si>
    <t>LM_InAndOut</t>
  </si>
  <si>
    <t>Tools</t>
  </si>
  <si>
    <t>Setup_</t>
  </si>
  <si>
    <t>Explore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</si>
  <si>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</si>
  <si>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</si>
  <si>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</si>
  <si>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</si>
  <si>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</si>
  <si>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</si>
  <si>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</si>
  <si>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</si>
  <si>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</si>
  <si>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</si>
  <si>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</si>
  <si>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</si>
  <si>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</si>
  <si>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</si>
  <si>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</si>
  <si>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</si>
  <si>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</si>
  <si>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</si>
  <si>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</si>
  <si>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</si>
  <si>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</si>
  <si>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</si>
  <si>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</si>
  <si>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</si>
  <si>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</si>
  <si>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</si>
  <si>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</si>
  <si>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</si>
  <si>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</si>
  <si>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</si>
  <si>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</si>
  <si>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</si>
  <si>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</si>
  <si>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</si>
  <si>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</si>
  <si>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</si>
  <si>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</si>
  <si>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</si>
  <si>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</si>
  <si>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</si>
  <si>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</si>
  <si>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</si>
  <si>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</si>
  <si>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</si>
  <si>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</si>
  <si>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</si>
  <si>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</si>
  <si>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</si>
  <si>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</si>
  <si>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</si>
  <si>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</si>
  <si>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</si>
  <si>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</si>
  <si>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</si>
  <si>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</si>
  <si>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</si>
  <si>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</si>
  <si>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</si>
  <si>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</si>
  <si>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</si>
  <si>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</si>
  <si>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</si>
  <si>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</si>
  <si>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</si>
  <si>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</si>
  <si>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</si>
  <si>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</si>
  <si>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</si>
  <si>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</si>
  <si>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</si>
  <si>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</si>
  <si>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</si>
  <si>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</si>
  <si>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</si>
  <si>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</si>
  <si>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</si>
  <si>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</si>
  <si>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</si>
  <si>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</si>
  <si>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</si>
  <si>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</si>
  <si>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</si>
  <si>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</si>
  <si>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</si>
  <si>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</si>
  <si>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</si>
  <si>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</si>
  <si>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</si>
  <si>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</si>
  <si>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</si>
  <si>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</si>
  <si>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</si>
  <si>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</si>
  <si>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</si>
  <si>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</si>
  <si>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</si>
  <si>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</si>
  <si>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</si>
  <si>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</si>
  <si>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</si>
  <si>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</si>
  <si>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</si>
  <si>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</si>
  <si>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</si>
  <si>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</si>
  <si>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Perform a stepwise regression.</t>
  </si>
  <si>
    <t>Take two steps from any starting place.</t>
  </si>
  <si>
    <t>Table of AICs and variables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</si>
  <si>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</si>
  <si>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</si>
  <si>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</si>
  <si>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</si>
  <si>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</si>
  <si>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</si>
  <si>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</si>
  <si>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</si>
  <si>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</si>
  <si>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</si>
  <si>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</si>
  <si>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</si>
  <si>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</si>
  <si>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</si>
  <si>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</si>
  <si>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</si>
  <si>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</si>
  <si>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</si>
  <si>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</si>
  <si>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</si>
  <si>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</si>
  <si>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</si>
  <si>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</si>
  <si>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</si>
  <si>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</si>
  <si>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</si>
  <si>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</si>
  <si>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</si>
  <si>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</si>
  <si>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</si>
  <si>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</si>
  <si>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</si>
  <si>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</si>
  <si>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</si>
  <si>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</si>
  <si>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</si>
  <si>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</si>
  <si>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</si>
  <si>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</si>
  <si>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</si>
  <si>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</si>
  <si>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</si>
  <si>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</si>
  <si>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</si>
  <si>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</si>
  <si>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</si>
  <si>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</si>
  <si>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</si>
  <si>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</si>
  <si>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In R: data(Hitters, package = "ISLR")</t>
  </si>
  <si>
    <t>Your answer should display the following in this tab.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</si>
  <si>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</si>
  <si>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</si>
  <si>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</si>
  <si>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</si>
  <si>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</si>
  <si>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</si>
  <si>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</si>
  <si>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</si>
  <si>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</si>
  <si>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</si>
  <si>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</si>
  <si>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</si>
  <si>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</si>
  <si>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</si>
  <si>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</si>
  <si>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</si>
  <si>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</si>
  <si>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</si>
  <si>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</si>
  <si>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</si>
  <si>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AIC0</t>
  </si>
  <si>
    <t>Video</t>
  </si>
  <si>
    <t>AIC1</t>
  </si>
  <si>
    <t>Interaction2</t>
  </si>
  <si>
    <t>Interaction1</t>
  </si>
  <si>
    <t>Indicators</t>
  </si>
  <si>
    <t>Character_Factor</t>
  </si>
  <si>
    <t>DiffB0_Diff_B1</t>
  </si>
  <si>
    <t>SameB0_DiffB1</t>
  </si>
  <si>
    <t>DiffB0_SameB1</t>
  </si>
  <si>
    <t>X5</t>
  </si>
  <si>
    <t>X4</t>
  </si>
  <si>
    <t>X3</t>
  </si>
  <si>
    <t>X2</t>
  </si>
  <si>
    <t>X1</t>
  </si>
  <si>
    <t>t</t>
  </si>
  <si>
    <t>a</t>
  </si>
  <si>
    <t>b</t>
  </si>
  <si>
    <t>ROC_Generator</t>
  </si>
  <si>
    <t>ROC_Curve</t>
  </si>
  <si>
    <t>PPF_1</t>
  </si>
  <si>
    <t>PPF_0</t>
  </si>
  <si>
    <t>Sensitivity</t>
  </si>
  <si>
    <t>You are looking for cases of sickness.</t>
  </si>
  <si>
    <t>Can you detect what you are looking for?</t>
  </si>
  <si>
    <t>https://en.wikipedia.org/wiki/Precision_and_recall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</si>
  <si>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</si>
  <si>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</si>
  <si>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</si>
  <si>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</si>
  <si>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</si>
  <si>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</si>
  <si>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</si>
  <si>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</si>
  <si>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</si>
  <si>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</si>
  <si>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</si>
  <si>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OOS</t>
  </si>
  <si>
    <t xml:space="preserve"> </t>
  </si>
  <si>
    <t xml:space="preserve">  </t>
  </si>
  <si>
    <t>FPR</t>
  </si>
  <si>
    <t>How does switching from TNR to FPR help interpret the ROC in terms of risk?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</si>
</sst>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5" borderId="0" xfId="0" applyFont="1" applyFill="1"/>
    <xf numFmtId="11" fontId="0" fillId="0" borderId="0" xfId="0" applyNumberForma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9" fillId="2" borderId="0" xfId="0" applyFont="1" applyFill="1"/>
    <xf numFmtId="9" fontId="9" fillId="2" borderId="0" xfId="0" applyNumberFormat="1" applyFont="1" applyFill="1"/>
    <xf numFmtId="9" fontId="9" fillId="2" borderId="0" xfId="2" applyFont="1" applyFill="1"/>
    <xf numFmtId="0" fontId="9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2" applyFont="1" applyFill="1"/>
    <xf numFmtId="9" fontId="0" fillId="3" borderId="0" xfId="2" applyFont="1" applyFill="1"/>
    <xf numFmtId="9" fontId="0" fillId="4" borderId="0" xfId="0" applyNumberFormat="1" applyFill="1"/>
    <xf numFmtId="0" fontId="1" fillId="6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externalLink" Target="externalLinks/externalLink9.xml"/><Relationship Id="rId50" Type="http://schemas.openxmlformats.org/officeDocument/2006/relationships/externalLink" Target="externalLinks/externalLink12.xml"/><Relationship Id="rId55" Type="http://schemas.openxmlformats.org/officeDocument/2006/relationships/externalLink" Target="externalLinks/externalLink17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externalLink" Target="externalLinks/externalLink7.xml"/><Relationship Id="rId53" Type="http://schemas.openxmlformats.org/officeDocument/2006/relationships/externalLink" Target="externalLinks/externalLink15.xml"/><Relationship Id="rId58" Type="http://schemas.openxmlformats.org/officeDocument/2006/relationships/externalLink" Target="externalLinks/externalLink20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openxmlformats.org/officeDocument/2006/relationships/externalLink" Target="externalLinks/externalLink10.xml"/><Relationship Id="rId56" Type="http://schemas.openxmlformats.org/officeDocument/2006/relationships/externalLink" Target="externalLinks/externalLink18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8.xml"/><Relationship Id="rId59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externalLink" Target="externalLinks/externalLink16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1.xml"/><Relationship Id="rId57" Type="http://schemas.openxmlformats.org/officeDocument/2006/relationships/externalLink" Target="externalLinks/externalLink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6.xml"/><Relationship Id="rId52" Type="http://schemas.openxmlformats.org/officeDocument/2006/relationships/externalLink" Target="externalLinks/externalLink14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19.799193491205124</c:v>
                </c:pt>
                <c:pt idx="1">
                  <c:v>5.9503078995818948</c:v>
                </c:pt>
                <c:pt idx="2">
                  <c:v>14.632688952099327</c:v>
                </c:pt>
                <c:pt idx="3">
                  <c:v>13.793641708426806</c:v>
                </c:pt>
                <c:pt idx="4">
                  <c:v>17.2101993929912</c:v>
                </c:pt>
                <c:pt idx="5">
                  <c:v>11.725083506003982</c:v>
                </c:pt>
                <c:pt idx="6">
                  <c:v>17.390997236451934</c:v>
                </c:pt>
                <c:pt idx="7">
                  <c:v>27.935786130220578</c:v>
                </c:pt>
                <c:pt idx="8">
                  <c:v>13.844042157540875</c:v>
                </c:pt>
                <c:pt idx="9">
                  <c:v>15.018707692830038</c:v>
                </c:pt>
                <c:pt idx="10">
                  <c:v>11.938988154527108</c:v>
                </c:pt>
                <c:pt idx="11">
                  <c:v>19.720250328938771</c:v>
                </c:pt>
                <c:pt idx="12">
                  <c:v>24.573429877274446</c:v>
                </c:pt>
                <c:pt idx="13">
                  <c:v>25.412893203215649</c:v>
                </c:pt>
                <c:pt idx="14">
                  <c:v>29.34435803053492</c:v>
                </c:pt>
                <c:pt idx="15">
                  <c:v>26.11650531121856</c:v>
                </c:pt>
                <c:pt idx="16">
                  <c:v>27.38921469643412</c:v>
                </c:pt>
                <c:pt idx="17">
                  <c:v>31.53299276511428</c:v>
                </c:pt>
                <c:pt idx="18">
                  <c:v>33.029913228249669</c:v>
                </c:pt>
                <c:pt idx="19">
                  <c:v>35.011234691223066</c:v>
                </c:pt>
                <c:pt idx="20">
                  <c:v>31.813887982263328</c:v>
                </c:pt>
                <c:pt idx="21">
                  <c:v>29.356779428814949</c:v>
                </c:pt>
                <c:pt idx="22">
                  <c:v>35.187599403547097</c:v>
                </c:pt>
                <c:pt idx="23">
                  <c:v>29.53249387823438</c:v>
                </c:pt>
                <c:pt idx="24">
                  <c:v>41.351382129946693</c:v>
                </c:pt>
                <c:pt idx="25">
                  <c:v>29.705450420272353</c:v>
                </c:pt>
                <c:pt idx="26">
                  <c:v>37.636250777751165</c:v>
                </c:pt>
                <c:pt idx="27">
                  <c:v>33.792964695086873</c:v>
                </c:pt>
                <c:pt idx="28">
                  <c:v>29.346593061930044</c:v>
                </c:pt>
                <c:pt idx="29">
                  <c:v>44.188380901825056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A-F94D-8410-A1C000950E5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20.290205597027615</c:v>
                </c:pt>
                <c:pt idx="1">
                  <c:v>23.35061937644106</c:v>
                </c:pt>
                <c:pt idx="2">
                  <c:v>17.895431282018315</c:v>
                </c:pt>
                <c:pt idx="3">
                  <c:v>27.8063424637742</c:v>
                </c:pt>
                <c:pt idx="4">
                  <c:v>23.442860752690528</c:v>
                </c:pt>
                <c:pt idx="5">
                  <c:v>27.227624516473199</c:v>
                </c:pt>
                <c:pt idx="6">
                  <c:v>25.139778069555234</c:v>
                </c:pt>
                <c:pt idx="7">
                  <c:v>27.004494790698626</c:v>
                </c:pt>
                <c:pt idx="8">
                  <c:v>24.499718186375421</c:v>
                </c:pt>
                <c:pt idx="9">
                  <c:v>33.04785353201644</c:v>
                </c:pt>
                <c:pt idx="10">
                  <c:v>29.27587239427459</c:v>
                </c:pt>
                <c:pt idx="11">
                  <c:v>36.906616544362493</c:v>
                </c:pt>
                <c:pt idx="12">
                  <c:v>32.816547860987953</c:v>
                </c:pt>
                <c:pt idx="13">
                  <c:v>33.998315107972836</c:v>
                </c:pt>
                <c:pt idx="14">
                  <c:v>32.942225591330192</c:v>
                </c:pt>
                <c:pt idx="15">
                  <c:v>34.839956303348529</c:v>
                </c:pt>
                <c:pt idx="16">
                  <c:v>38.055003797417925</c:v>
                </c:pt>
                <c:pt idx="17">
                  <c:v>37.88042961339557</c:v>
                </c:pt>
                <c:pt idx="18">
                  <c:v>40.42585433471244</c:v>
                </c:pt>
                <c:pt idx="19">
                  <c:v>38.278933892639799</c:v>
                </c:pt>
                <c:pt idx="20">
                  <c:v>39.52162991726054</c:v>
                </c:pt>
                <c:pt idx="21">
                  <c:v>49.55340250637618</c:v>
                </c:pt>
                <c:pt idx="22">
                  <c:v>48.805626029103379</c:v>
                </c:pt>
                <c:pt idx="23">
                  <c:v>48.066975492045202</c:v>
                </c:pt>
                <c:pt idx="24">
                  <c:v>45.121782622091303</c:v>
                </c:pt>
                <c:pt idx="25">
                  <c:v>47.500648846228174</c:v>
                </c:pt>
                <c:pt idx="26">
                  <c:v>48.242643402812654</c:v>
                </c:pt>
                <c:pt idx="27">
                  <c:v>42.877789136030302</c:v>
                </c:pt>
                <c:pt idx="28">
                  <c:v>55.185455335341288</c:v>
                </c:pt>
                <c:pt idx="29">
                  <c:v>54.64224439008828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CA-F94D-8410-A1C000950E5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24.71391133970889</c:v>
                </c:pt>
                <c:pt idx="1">
                  <c:v>32.532279271465434</c:v>
                </c:pt>
                <c:pt idx="2">
                  <c:v>32.032808243620515</c:v>
                </c:pt>
                <c:pt idx="3">
                  <c:v>35.334493793621498</c:v>
                </c:pt>
                <c:pt idx="4">
                  <c:v>33.544300592400127</c:v>
                </c:pt>
                <c:pt idx="5">
                  <c:v>36.591954919184076</c:v>
                </c:pt>
                <c:pt idx="6">
                  <c:v>29.976081342890843</c:v>
                </c:pt>
                <c:pt idx="7">
                  <c:v>36.671681066157319</c:v>
                </c:pt>
                <c:pt idx="8">
                  <c:v>41.934017752056889</c:v>
                </c:pt>
                <c:pt idx="9">
                  <c:v>44.215703621688142</c:v>
                </c:pt>
                <c:pt idx="10">
                  <c:v>45.325005121759588</c:v>
                </c:pt>
                <c:pt idx="11">
                  <c:v>43.061365464059442</c:v>
                </c:pt>
                <c:pt idx="12">
                  <c:v>46.409416947781828</c:v>
                </c:pt>
                <c:pt idx="13">
                  <c:v>42.594448858848565</c:v>
                </c:pt>
                <c:pt idx="14">
                  <c:v>40.722595963732758</c:v>
                </c:pt>
                <c:pt idx="15">
                  <c:v>49.35127761072355</c:v>
                </c:pt>
                <c:pt idx="16">
                  <c:v>49.566580703138861</c:v>
                </c:pt>
                <c:pt idx="17">
                  <c:v>45.966669357705591</c:v>
                </c:pt>
                <c:pt idx="18">
                  <c:v>49.28358847334902</c:v>
                </c:pt>
                <c:pt idx="19">
                  <c:v>46.019749050623759</c:v>
                </c:pt>
                <c:pt idx="20">
                  <c:v>48.068560512637397</c:v>
                </c:pt>
                <c:pt idx="21">
                  <c:v>44.361550749526828</c:v>
                </c:pt>
                <c:pt idx="22">
                  <c:v>50.256189487335341</c:v>
                </c:pt>
                <c:pt idx="23">
                  <c:v>50.312091983457819</c:v>
                </c:pt>
                <c:pt idx="24">
                  <c:v>57.542600729920011</c:v>
                </c:pt>
                <c:pt idx="25">
                  <c:v>58.21659400573364</c:v>
                </c:pt>
                <c:pt idx="26">
                  <c:v>58.498547180334306</c:v>
                </c:pt>
                <c:pt idx="27">
                  <c:v>58.866250874312023</c:v>
                </c:pt>
                <c:pt idx="28">
                  <c:v>56.930914219784462</c:v>
                </c:pt>
                <c:pt idx="29">
                  <c:v>61.208328917056065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CA-F94D-8410-A1C000950E5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44.360559566166536</c:v>
                </c:pt>
                <c:pt idx="1">
                  <c:v>47.63800805884113</c:v>
                </c:pt>
                <c:pt idx="2">
                  <c:v>44.338494240995715</c:v>
                </c:pt>
                <c:pt idx="3">
                  <c:v>49.881692627482977</c:v>
                </c:pt>
                <c:pt idx="4">
                  <c:v>43.529604391657003</c:v>
                </c:pt>
                <c:pt idx="5">
                  <c:v>42.6582882493772</c:v>
                </c:pt>
                <c:pt idx="6">
                  <c:v>49.029524027596743</c:v>
                </c:pt>
                <c:pt idx="7">
                  <c:v>47.750313389439178</c:v>
                </c:pt>
                <c:pt idx="8">
                  <c:v>48.269950688568052</c:v>
                </c:pt>
                <c:pt idx="9">
                  <c:v>52.700139378718532</c:v>
                </c:pt>
                <c:pt idx="10">
                  <c:v>50.719358658114544</c:v>
                </c:pt>
                <c:pt idx="11">
                  <c:v>51.617979571518838</c:v>
                </c:pt>
                <c:pt idx="12">
                  <c:v>52.272495410089391</c:v>
                </c:pt>
                <c:pt idx="13">
                  <c:v>66.03509154058672</c:v>
                </c:pt>
                <c:pt idx="14">
                  <c:v>47.034631145131797</c:v>
                </c:pt>
                <c:pt idx="15">
                  <c:v>51.420100815069816</c:v>
                </c:pt>
                <c:pt idx="16">
                  <c:v>60.698777507918223</c:v>
                </c:pt>
                <c:pt idx="17">
                  <c:v>56.040582421570669</c:v>
                </c:pt>
                <c:pt idx="18">
                  <c:v>53.526836356421015</c:v>
                </c:pt>
                <c:pt idx="19">
                  <c:v>62.820150446715459</c:v>
                </c:pt>
                <c:pt idx="20">
                  <c:v>59.518852253658778</c:v>
                </c:pt>
                <c:pt idx="21">
                  <c:v>66.78760793536361</c:v>
                </c:pt>
                <c:pt idx="22">
                  <c:v>65.555643940777472</c:v>
                </c:pt>
                <c:pt idx="23">
                  <c:v>63.860804155777139</c:v>
                </c:pt>
                <c:pt idx="24">
                  <c:v>65.964893197255861</c:v>
                </c:pt>
                <c:pt idx="25">
                  <c:v>62.49829216808277</c:v>
                </c:pt>
                <c:pt idx="26">
                  <c:v>64.581471690788476</c:v>
                </c:pt>
                <c:pt idx="27">
                  <c:v>63.848458529751028</c:v>
                </c:pt>
                <c:pt idx="28">
                  <c:v>71.346211793862579</c:v>
                </c:pt>
                <c:pt idx="29">
                  <c:v>71.784956209665395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CA-F94D-8410-A1C000950E5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49.25165293463003</c:v>
                </c:pt>
                <c:pt idx="1">
                  <c:v>56.534981496800228</c:v>
                </c:pt>
                <c:pt idx="2">
                  <c:v>45.643387082471008</c:v>
                </c:pt>
                <c:pt idx="3">
                  <c:v>54.613513977626738</c:v>
                </c:pt>
                <c:pt idx="4">
                  <c:v>54.883856691713035</c:v>
                </c:pt>
                <c:pt idx="5">
                  <c:v>50.202533798166286</c:v>
                </c:pt>
                <c:pt idx="6">
                  <c:v>54.112015241355977</c:v>
                </c:pt>
                <c:pt idx="7">
                  <c:v>54.04466344708699</c:v>
                </c:pt>
                <c:pt idx="8">
                  <c:v>61.691998918226581</c:v>
                </c:pt>
                <c:pt idx="9">
                  <c:v>52.951269055720701</c:v>
                </c:pt>
                <c:pt idx="10">
                  <c:v>60.036965969391325</c:v>
                </c:pt>
                <c:pt idx="11">
                  <c:v>66.171840991159357</c:v>
                </c:pt>
                <c:pt idx="12">
                  <c:v>59.594826048534998</c:v>
                </c:pt>
                <c:pt idx="13">
                  <c:v>64.836571254829963</c:v>
                </c:pt>
                <c:pt idx="14">
                  <c:v>68.348084209362099</c:v>
                </c:pt>
                <c:pt idx="15">
                  <c:v>69.229068828888487</c:v>
                </c:pt>
                <c:pt idx="16">
                  <c:v>66.27447590951364</c:v>
                </c:pt>
                <c:pt idx="17">
                  <c:v>74.44107131730425</c:v>
                </c:pt>
                <c:pt idx="18">
                  <c:v>63.592265854380102</c:v>
                </c:pt>
                <c:pt idx="19">
                  <c:v>64.55941688847841</c:v>
                </c:pt>
                <c:pt idx="20">
                  <c:v>73.794766330407469</c:v>
                </c:pt>
                <c:pt idx="21">
                  <c:v>68.77692153648205</c:v>
                </c:pt>
                <c:pt idx="22">
                  <c:v>72.773036014051115</c:v>
                </c:pt>
                <c:pt idx="23">
                  <c:v>78.247357025637314</c:v>
                </c:pt>
                <c:pt idx="24">
                  <c:v>73.653680188713722</c:v>
                </c:pt>
                <c:pt idx="25">
                  <c:v>75.186109559954886</c:v>
                </c:pt>
                <c:pt idx="26">
                  <c:v>71.994379751197044</c:v>
                </c:pt>
                <c:pt idx="27">
                  <c:v>81.792330676852629</c:v>
                </c:pt>
                <c:pt idx="28">
                  <c:v>81.462101757002671</c:v>
                </c:pt>
                <c:pt idx="29">
                  <c:v>78.50025290405955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CA-F94D-8410-A1C000950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7.5404520613520907</c:v>
                </c:pt>
                <c:pt idx="1">
                  <c:v>10.313027182261299</c:v>
                </c:pt>
                <c:pt idx="2">
                  <c:v>12.609907476759425</c:v>
                </c:pt>
                <c:pt idx="3">
                  <c:v>1.016976346204058</c:v>
                </c:pt>
                <c:pt idx="4">
                  <c:v>7.5747437867490071</c:v>
                </c:pt>
                <c:pt idx="5">
                  <c:v>12.517963087693666</c:v>
                </c:pt>
                <c:pt idx="6">
                  <c:v>6.3147949290736758</c:v>
                </c:pt>
                <c:pt idx="7">
                  <c:v>11.728860131401728</c:v>
                </c:pt>
                <c:pt idx="8">
                  <c:v>20.885868441424428</c:v>
                </c:pt>
                <c:pt idx="9">
                  <c:v>18.944928680247557</c:v>
                </c:pt>
                <c:pt idx="10">
                  <c:v>6.9789876381422804</c:v>
                </c:pt>
                <c:pt idx="11">
                  <c:v>14.922320503864539</c:v>
                </c:pt>
                <c:pt idx="12">
                  <c:v>18.311191318286184</c:v>
                </c:pt>
                <c:pt idx="13">
                  <c:v>17.002091011161028</c:v>
                </c:pt>
                <c:pt idx="14">
                  <c:v>15.340731662700303</c:v>
                </c:pt>
                <c:pt idx="15">
                  <c:v>24.097306298511903</c:v>
                </c:pt>
                <c:pt idx="16">
                  <c:v>15.91395195002198</c:v>
                </c:pt>
                <c:pt idx="17">
                  <c:v>19.537432502736504</c:v>
                </c:pt>
                <c:pt idx="18">
                  <c:v>23.809989092278304</c:v>
                </c:pt>
                <c:pt idx="19">
                  <c:v>15.010741465989714</c:v>
                </c:pt>
                <c:pt idx="20">
                  <c:v>18.019551495883309</c:v>
                </c:pt>
                <c:pt idx="21">
                  <c:v>26.359499256088696</c:v>
                </c:pt>
                <c:pt idx="22">
                  <c:v>37.872165760478794</c:v>
                </c:pt>
                <c:pt idx="23">
                  <c:v>32.97186966713079</c:v>
                </c:pt>
                <c:pt idx="24">
                  <c:v>30.573977329788704</c:v>
                </c:pt>
                <c:pt idx="25">
                  <c:v>20.311764967132678</c:v>
                </c:pt>
                <c:pt idx="26">
                  <c:v>32.922806503652303</c:v>
                </c:pt>
                <c:pt idx="27">
                  <c:v>26.155231518444047</c:v>
                </c:pt>
                <c:pt idx="28">
                  <c:v>28.743075491648103</c:v>
                </c:pt>
                <c:pt idx="29">
                  <c:v>30.312428868881312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2-174F-99A3-853DAB7CBDAE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4.0382625287275786</c:v>
                </c:pt>
                <c:pt idx="1">
                  <c:v>4.5873176486021645</c:v>
                </c:pt>
                <c:pt idx="2">
                  <c:v>8.9441750738211354</c:v>
                </c:pt>
                <c:pt idx="3">
                  <c:v>14.292466999571957</c:v>
                </c:pt>
                <c:pt idx="4">
                  <c:v>23.959683904500483</c:v>
                </c:pt>
                <c:pt idx="5">
                  <c:v>11.994690543240923</c:v>
                </c:pt>
                <c:pt idx="6">
                  <c:v>19.487827197763963</c:v>
                </c:pt>
                <c:pt idx="7">
                  <c:v>36.354020642724052</c:v>
                </c:pt>
                <c:pt idx="8">
                  <c:v>18.747772759087482</c:v>
                </c:pt>
                <c:pt idx="9">
                  <c:v>10.077827273039643</c:v>
                </c:pt>
                <c:pt idx="10">
                  <c:v>25.275459699248756</c:v>
                </c:pt>
                <c:pt idx="11">
                  <c:v>32.418222741807469</c:v>
                </c:pt>
                <c:pt idx="12">
                  <c:v>30.552540935146268</c:v>
                </c:pt>
                <c:pt idx="13">
                  <c:v>29.798795386135509</c:v>
                </c:pt>
                <c:pt idx="14">
                  <c:v>32.261893322800496</c:v>
                </c:pt>
                <c:pt idx="15">
                  <c:v>54.356047973982221</c:v>
                </c:pt>
                <c:pt idx="16">
                  <c:v>41.251747533046903</c:v>
                </c:pt>
                <c:pt idx="17">
                  <c:v>47.409550454268711</c:v>
                </c:pt>
                <c:pt idx="18">
                  <c:v>44.806415453272606</c:v>
                </c:pt>
                <c:pt idx="19">
                  <c:v>44.863495878075383</c:v>
                </c:pt>
                <c:pt idx="20">
                  <c:v>42.252940609778406</c:v>
                </c:pt>
                <c:pt idx="21">
                  <c:v>38.493017436892849</c:v>
                </c:pt>
                <c:pt idx="22">
                  <c:v>35.741746003946645</c:v>
                </c:pt>
                <c:pt idx="23">
                  <c:v>51.202601851685095</c:v>
                </c:pt>
                <c:pt idx="24">
                  <c:v>56.501693411074989</c:v>
                </c:pt>
                <c:pt idx="25">
                  <c:v>55.818621216930445</c:v>
                </c:pt>
                <c:pt idx="26">
                  <c:v>53.816404359311925</c:v>
                </c:pt>
                <c:pt idx="27">
                  <c:v>61.717800890756045</c:v>
                </c:pt>
                <c:pt idx="28">
                  <c:v>70.390473907811398</c:v>
                </c:pt>
                <c:pt idx="29">
                  <c:v>74.834048870350188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2-174F-99A3-853DAB7CBDAE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-1.8590209851564525</c:v>
                </c:pt>
                <c:pt idx="1">
                  <c:v>6.8572399083438658</c:v>
                </c:pt>
                <c:pt idx="2">
                  <c:v>2.5739926247441236</c:v>
                </c:pt>
                <c:pt idx="3">
                  <c:v>11.801747753142264</c:v>
                </c:pt>
                <c:pt idx="4">
                  <c:v>13.804584949897833</c:v>
                </c:pt>
                <c:pt idx="5">
                  <c:v>16.740355985712661</c:v>
                </c:pt>
                <c:pt idx="6">
                  <c:v>11.974483734478776</c:v>
                </c:pt>
                <c:pt idx="7">
                  <c:v>14.84320004460729</c:v>
                </c:pt>
                <c:pt idx="8">
                  <c:v>27.857874069144994</c:v>
                </c:pt>
                <c:pt idx="9">
                  <c:v>29.991777234006463</c:v>
                </c:pt>
                <c:pt idx="10">
                  <c:v>37.363415459056426</c:v>
                </c:pt>
                <c:pt idx="11">
                  <c:v>42.750741066540236</c:v>
                </c:pt>
                <c:pt idx="12">
                  <c:v>45.119719801559633</c:v>
                </c:pt>
                <c:pt idx="13">
                  <c:v>40.984609160422259</c:v>
                </c:pt>
                <c:pt idx="14">
                  <c:v>32.428959174017045</c:v>
                </c:pt>
                <c:pt idx="15">
                  <c:v>45.812263464407195</c:v>
                </c:pt>
                <c:pt idx="16">
                  <c:v>40.255465347747744</c:v>
                </c:pt>
                <c:pt idx="17">
                  <c:v>52.854046011348515</c:v>
                </c:pt>
                <c:pt idx="18">
                  <c:v>52.772080926808719</c:v>
                </c:pt>
                <c:pt idx="19">
                  <c:v>57.966305703477786</c:v>
                </c:pt>
                <c:pt idx="20">
                  <c:v>67.174531886192952</c:v>
                </c:pt>
                <c:pt idx="21">
                  <c:v>69.693247052404999</c:v>
                </c:pt>
                <c:pt idx="22">
                  <c:v>62.937064472320557</c:v>
                </c:pt>
                <c:pt idx="23">
                  <c:v>67.551998062308769</c:v>
                </c:pt>
                <c:pt idx="24">
                  <c:v>72.187014133669422</c:v>
                </c:pt>
                <c:pt idx="25">
                  <c:v>73.198488809296919</c:v>
                </c:pt>
                <c:pt idx="26">
                  <c:v>75.39394039360306</c:v>
                </c:pt>
                <c:pt idx="27">
                  <c:v>100.23198274100139</c:v>
                </c:pt>
                <c:pt idx="28">
                  <c:v>96.098360275137722</c:v>
                </c:pt>
                <c:pt idx="29">
                  <c:v>92.5611402062423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82-174F-99A3-853DAB7CBDAE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18.152260021906514</c:v>
                </c:pt>
                <c:pt idx="1">
                  <c:v>11.482842156962967</c:v>
                </c:pt>
                <c:pt idx="2">
                  <c:v>15.04324453680975</c:v>
                </c:pt>
                <c:pt idx="3">
                  <c:v>23.9340262716761</c:v>
                </c:pt>
                <c:pt idx="4">
                  <c:v>12.106987057040504</c:v>
                </c:pt>
                <c:pt idx="5">
                  <c:v>12.194937856797727</c:v>
                </c:pt>
                <c:pt idx="6">
                  <c:v>19.914945153407196</c:v>
                </c:pt>
                <c:pt idx="7">
                  <c:v>31.012725428272805</c:v>
                </c:pt>
                <c:pt idx="8">
                  <c:v>36.938696889268535</c:v>
                </c:pt>
                <c:pt idx="9">
                  <c:v>33.091013945796696</c:v>
                </c:pt>
                <c:pt idx="10">
                  <c:v>58.600302557686476</c:v>
                </c:pt>
                <c:pt idx="11">
                  <c:v>38.861283941966491</c:v>
                </c:pt>
                <c:pt idx="12">
                  <c:v>58.698202857072559</c:v>
                </c:pt>
                <c:pt idx="13">
                  <c:v>45.951272778970207</c:v>
                </c:pt>
                <c:pt idx="14">
                  <c:v>49.572121158554971</c:v>
                </c:pt>
                <c:pt idx="15">
                  <c:v>64.874571666218031</c:v>
                </c:pt>
                <c:pt idx="16">
                  <c:v>69.891242194501089</c:v>
                </c:pt>
                <c:pt idx="17">
                  <c:v>71.266811145357536</c:v>
                </c:pt>
                <c:pt idx="18">
                  <c:v>75.56294857257501</c:v>
                </c:pt>
                <c:pt idx="19">
                  <c:v>88.153185671327009</c:v>
                </c:pt>
                <c:pt idx="20">
                  <c:v>88.813816401201734</c:v>
                </c:pt>
                <c:pt idx="21">
                  <c:v>94.648860802992644</c:v>
                </c:pt>
                <c:pt idx="22">
                  <c:v>93.379187569720003</c:v>
                </c:pt>
                <c:pt idx="23">
                  <c:v>95.274136775316308</c:v>
                </c:pt>
                <c:pt idx="24">
                  <c:v>97.056718699496315</c:v>
                </c:pt>
                <c:pt idx="25">
                  <c:v>116.3422845549443</c:v>
                </c:pt>
                <c:pt idx="26">
                  <c:v>108.03949259985613</c:v>
                </c:pt>
                <c:pt idx="27">
                  <c:v>105.68139400789408</c:v>
                </c:pt>
                <c:pt idx="28">
                  <c:v>115.14746524486843</c:v>
                </c:pt>
                <c:pt idx="29">
                  <c:v>118.34021438930868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82-174F-99A3-853DAB7CBDAE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-12.258907947355727</c:v>
                </c:pt>
                <c:pt idx="1">
                  <c:v>10.987845858826748</c:v>
                </c:pt>
                <c:pt idx="2">
                  <c:v>13.534608000211145</c:v>
                </c:pt>
                <c:pt idx="3">
                  <c:v>32.820780756034146</c:v>
                </c:pt>
                <c:pt idx="4">
                  <c:v>18.268123614490769</c:v>
                </c:pt>
                <c:pt idx="5">
                  <c:v>34.812036948856132</c:v>
                </c:pt>
                <c:pt idx="6">
                  <c:v>36.0812187139164</c:v>
                </c:pt>
                <c:pt idx="7">
                  <c:v>40.401933496609438</c:v>
                </c:pt>
                <c:pt idx="8">
                  <c:v>33.288137990507742</c:v>
                </c:pt>
                <c:pt idx="9">
                  <c:v>39.905015513705891</c:v>
                </c:pt>
                <c:pt idx="10">
                  <c:v>56.144571824131248</c:v>
                </c:pt>
                <c:pt idx="11">
                  <c:v>60.690638716820487</c:v>
                </c:pt>
                <c:pt idx="12">
                  <c:v>59.628219540614168</c:v>
                </c:pt>
                <c:pt idx="13">
                  <c:v>73.877983577263592</c:v>
                </c:pt>
                <c:pt idx="14">
                  <c:v>90.807021704792618</c:v>
                </c:pt>
                <c:pt idx="15">
                  <c:v>66.845924270043298</c:v>
                </c:pt>
                <c:pt idx="16">
                  <c:v>92.13014446316059</c:v>
                </c:pt>
                <c:pt idx="17">
                  <c:v>92.904423809198121</c:v>
                </c:pt>
                <c:pt idx="18">
                  <c:v>89.41362058282435</c:v>
                </c:pt>
                <c:pt idx="19">
                  <c:v>92.106487342013381</c:v>
                </c:pt>
                <c:pt idx="20">
                  <c:v>108.05857327681076</c:v>
                </c:pt>
                <c:pt idx="21">
                  <c:v>105.290093251204</c:v>
                </c:pt>
                <c:pt idx="22">
                  <c:v>114.86208771605209</c:v>
                </c:pt>
                <c:pt idx="23">
                  <c:v>122.64158182838749</c:v>
                </c:pt>
                <c:pt idx="24">
                  <c:v>133.76746482473234</c:v>
                </c:pt>
                <c:pt idx="25">
                  <c:v>129.28308097388071</c:v>
                </c:pt>
                <c:pt idx="26">
                  <c:v>135.43583889828008</c:v>
                </c:pt>
                <c:pt idx="27">
                  <c:v>131.80383413571758</c:v>
                </c:pt>
                <c:pt idx="28">
                  <c:v>151.01032853667087</c:v>
                </c:pt>
                <c:pt idx="29">
                  <c:v>152.68183334350678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82-174F-99A3-853DAB7CB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14.728588781744179</c:v>
                </c:pt>
                <c:pt idx="1">
                  <c:v>12.983675048434392</c:v>
                </c:pt>
                <c:pt idx="2">
                  <c:v>8.8573469691630038</c:v>
                </c:pt>
                <c:pt idx="3">
                  <c:v>10.272497669264062</c:v>
                </c:pt>
                <c:pt idx="4">
                  <c:v>6.7334775050623499</c:v>
                </c:pt>
                <c:pt idx="5">
                  <c:v>18.926651220505924</c:v>
                </c:pt>
                <c:pt idx="6">
                  <c:v>20.349288500759368</c:v>
                </c:pt>
                <c:pt idx="7">
                  <c:v>18.845864605394304</c:v>
                </c:pt>
                <c:pt idx="8">
                  <c:v>16.306360771123408</c:v>
                </c:pt>
                <c:pt idx="9">
                  <c:v>23.595116110084035</c:v>
                </c:pt>
                <c:pt idx="10">
                  <c:v>21.583827884157909</c:v>
                </c:pt>
                <c:pt idx="11">
                  <c:v>17.436509255731583</c:v>
                </c:pt>
                <c:pt idx="12">
                  <c:v>18.607905872983309</c:v>
                </c:pt>
                <c:pt idx="13">
                  <c:v>24.925719339915837</c:v>
                </c:pt>
                <c:pt idx="14">
                  <c:v>26.889982206990222</c:v>
                </c:pt>
                <c:pt idx="15">
                  <c:v>36.437354855599395</c:v>
                </c:pt>
                <c:pt idx="16">
                  <c:v>33.352307552480731</c:v>
                </c:pt>
                <c:pt idx="17">
                  <c:v>30.990723913773007</c:v>
                </c:pt>
                <c:pt idx="18">
                  <c:v>28.557947694099049</c:v>
                </c:pt>
                <c:pt idx="19">
                  <c:v>20.907931169993255</c:v>
                </c:pt>
                <c:pt idx="20">
                  <c:v>32.843958335383348</c:v>
                </c:pt>
                <c:pt idx="21">
                  <c:v>43.685843750841713</c:v>
                </c:pt>
                <c:pt idx="22">
                  <c:v>28.301035885467137</c:v>
                </c:pt>
                <c:pt idx="23">
                  <c:v>44.891528645396498</c:v>
                </c:pt>
                <c:pt idx="24">
                  <c:v>49.568168128172218</c:v>
                </c:pt>
                <c:pt idx="25">
                  <c:v>42.106158206987203</c:v>
                </c:pt>
                <c:pt idx="26">
                  <c:v>35.166668104912361</c:v>
                </c:pt>
                <c:pt idx="27">
                  <c:v>44.407119378428142</c:v>
                </c:pt>
                <c:pt idx="28">
                  <c:v>38.357420365490633</c:v>
                </c:pt>
                <c:pt idx="29">
                  <c:v>41.366696744350484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7-1645-A60A-DA74A6C4C857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26.000041156668846</c:v>
                </c:pt>
                <c:pt idx="1">
                  <c:v>20.111412474597739</c:v>
                </c:pt>
                <c:pt idx="2">
                  <c:v>30.57007947426866</c:v>
                </c:pt>
                <c:pt idx="3">
                  <c:v>26.099176151970628</c:v>
                </c:pt>
                <c:pt idx="4">
                  <c:v>30.07043784959291</c:v>
                </c:pt>
                <c:pt idx="5">
                  <c:v>43.831803560788103</c:v>
                </c:pt>
                <c:pt idx="6">
                  <c:v>27.341841025951542</c:v>
                </c:pt>
                <c:pt idx="7">
                  <c:v>31.213773542566418</c:v>
                </c:pt>
                <c:pt idx="8">
                  <c:v>28.778991448461746</c:v>
                </c:pt>
                <c:pt idx="9">
                  <c:v>42.855450161550117</c:v>
                </c:pt>
                <c:pt idx="10">
                  <c:v>35.237084234426582</c:v>
                </c:pt>
                <c:pt idx="11">
                  <c:v>40.958329800394374</c:v>
                </c:pt>
                <c:pt idx="12">
                  <c:v>44.197117747425374</c:v>
                </c:pt>
                <c:pt idx="13">
                  <c:v>45.036621654387211</c:v>
                </c:pt>
                <c:pt idx="14">
                  <c:v>40.999411412061008</c:v>
                </c:pt>
                <c:pt idx="15">
                  <c:v>56.141204310678255</c:v>
                </c:pt>
                <c:pt idx="16">
                  <c:v>62.834715725866218</c:v>
                </c:pt>
                <c:pt idx="17">
                  <c:v>45.218878234320925</c:v>
                </c:pt>
                <c:pt idx="18">
                  <c:v>59.59899077359934</c:v>
                </c:pt>
                <c:pt idx="19">
                  <c:v>67.964530483865445</c:v>
                </c:pt>
                <c:pt idx="20">
                  <c:v>72.408972063542265</c:v>
                </c:pt>
                <c:pt idx="21">
                  <c:v>71.356795802378102</c:v>
                </c:pt>
                <c:pt idx="22">
                  <c:v>60.86847881109302</c:v>
                </c:pt>
                <c:pt idx="23">
                  <c:v>59.552547820012791</c:v>
                </c:pt>
                <c:pt idx="24">
                  <c:v>65.372134388474848</c:v>
                </c:pt>
                <c:pt idx="25">
                  <c:v>61.074111767697438</c:v>
                </c:pt>
                <c:pt idx="26">
                  <c:v>75.227292931256684</c:v>
                </c:pt>
                <c:pt idx="27">
                  <c:v>78.102080948005622</c:v>
                </c:pt>
                <c:pt idx="28">
                  <c:v>65.538027955935235</c:v>
                </c:pt>
                <c:pt idx="29">
                  <c:v>80.837651749402141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7-1645-A60A-DA74A6C4C857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43.948080668086526</c:v>
                </c:pt>
                <c:pt idx="1">
                  <c:v>30.8660267438548</c:v>
                </c:pt>
                <c:pt idx="2">
                  <c:v>41.402257621830906</c:v>
                </c:pt>
                <c:pt idx="3">
                  <c:v>54.33456058344575</c:v>
                </c:pt>
                <c:pt idx="4">
                  <c:v>36.288103326414948</c:v>
                </c:pt>
                <c:pt idx="5">
                  <c:v>35.607753338129022</c:v>
                </c:pt>
                <c:pt idx="6">
                  <c:v>56.210151082631853</c:v>
                </c:pt>
                <c:pt idx="7">
                  <c:v>60.813321024921429</c:v>
                </c:pt>
                <c:pt idx="8">
                  <c:v>59.90008569213731</c:v>
                </c:pt>
                <c:pt idx="9">
                  <c:v>62.339119503932203</c:v>
                </c:pt>
                <c:pt idx="10">
                  <c:v>66.490885973119418</c:v>
                </c:pt>
                <c:pt idx="11">
                  <c:v>47.381411504514588</c:v>
                </c:pt>
                <c:pt idx="12">
                  <c:v>69.779817404311586</c:v>
                </c:pt>
                <c:pt idx="13">
                  <c:v>76.892969749342015</c:v>
                </c:pt>
                <c:pt idx="14">
                  <c:v>68.026285776103705</c:v>
                </c:pt>
                <c:pt idx="15">
                  <c:v>78.085548982067024</c:v>
                </c:pt>
                <c:pt idx="16">
                  <c:v>79.648110596992581</c:v>
                </c:pt>
                <c:pt idx="17">
                  <c:v>79.047493953539501</c:v>
                </c:pt>
                <c:pt idx="18">
                  <c:v>78.603550740970633</c:v>
                </c:pt>
                <c:pt idx="19">
                  <c:v>98.95497219576221</c:v>
                </c:pt>
                <c:pt idx="20">
                  <c:v>94.051121518292817</c:v>
                </c:pt>
                <c:pt idx="21">
                  <c:v>102.58365508119589</c:v>
                </c:pt>
                <c:pt idx="22">
                  <c:v>103.35534997772807</c:v>
                </c:pt>
                <c:pt idx="23">
                  <c:v>95.77036000648215</c:v>
                </c:pt>
                <c:pt idx="24">
                  <c:v>101.21733578350992</c:v>
                </c:pt>
                <c:pt idx="25">
                  <c:v>100.66991788910055</c:v>
                </c:pt>
                <c:pt idx="26">
                  <c:v>114.65509968325807</c:v>
                </c:pt>
                <c:pt idx="27">
                  <c:v>125.67626541308128</c:v>
                </c:pt>
                <c:pt idx="28">
                  <c:v>124.48800808691698</c:v>
                </c:pt>
                <c:pt idx="29">
                  <c:v>117.00199590034627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7-1645-A60A-DA74A6C4C857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52.428947729108543</c:v>
                </c:pt>
                <c:pt idx="1">
                  <c:v>55.223606209865309</c:v>
                </c:pt>
                <c:pt idx="2">
                  <c:v>60.848479824664864</c:v>
                </c:pt>
                <c:pt idx="3">
                  <c:v>50.950721316190354</c:v>
                </c:pt>
                <c:pt idx="4">
                  <c:v>61.325617627453106</c:v>
                </c:pt>
                <c:pt idx="5">
                  <c:v>67.192548057516333</c:v>
                </c:pt>
                <c:pt idx="6">
                  <c:v>71.623011541725376</c:v>
                </c:pt>
                <c:pt idx="7">
                  <c:v>76.715697095652544</c:v>
                </c:pt>
                <c:pt idx="8">
                  <c:v>76.587098089693427</c:v>
                </c:pt>
                <c:pt idx="9">
                  <c:v>91.966617820646547</c:v>
                </c:pt>
                <c:pt idx="10">
                  <c:v>82.329204389641362</c:v>
                </c:pt>
                <c:pt idx="11">
                  <c:v>85.949679998271421</c:v>
                </c:pt>
                <c:pt idx="12">
                  <c:v>87.898585318806738</c:v>
                </c:pt>
                <c:pt idx="13">
                  <c:v>98.057107791724761</c:v>
                </c:pt>
                <c:pt idx="14">
                  <c:v>111.60676524043369</c:v>
                </c:pt>
                <c:pt idx="15">
                  <c:v>107.70551875015971</c:v>
                </c:pt>
                <c:pt idx="16">
                  <c:v>110.83366968104151</c:v>
                </c:pt>
                <c:pt idx="17">
                  <c:v>124.86867453763927</c:v>
                </c:pt>
                <c:pt idx="18">
                  <c:v>113.94447815913531</c:v>
                </c:pt>
                <c:pt idx="19">
                  <c:v>121.10251120093228</c:v>
                </c:pt>
                <c:pt idx="20">
                  <c:v>127.90887369033197</c:v>
                </c:pt>
                <c:pt idx="21">
                  <c:v>127.12551524811668</c:v>
                </c:pt>
                <c:pt idx="22">
                  <c:v>137.80373396353116</c:v>
                </c:pt>
                <c:pt idx="23">
                  <c:v>120.0865917688546</c:v>
                </c:pt>
                <c:pt idx="24">
                  <c:v>147.02234428079069</c:v>
                </c:pt>
                <c:pt idx="25">
                  <c:v>133.20718707326228</c:v>
                </c:pt>
                <c:pt idx="26">
                  <c:v>158.67673541723306</c:v>
                </c:pt>
                <c:pt idx="27">
                  <c:v>155.25279234240529</c:v>
                </c:pt>
                <c:pt idx="28">
                  <c:v>148.85181497247666</c:v>
                </c:pt>
                <c:pt idx="29">
                  <c:v>170.21953444062495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7-1645-A60A-DA74A6C4C857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43.026646554320003</c:v>
                </c:pt>
                <c:pt idx="1">
                  <c:v>77.452361596222872</c:v>
                </c:pt>
                <c:pt idx="2">
                  <c:v>72.076264640131711</c:v>
                </c:pt>
                <c:pt idx="3">
                  <c:v>78.551507998366972</c:v>
                </c:pt>
                <c:pt idx="4">
                  <c:v>77.119784076275181</c:v>
                </c:pt>
                <c:pt idx="5">
                  <c:v>71.607755620194695</c:v>
                </c:pt>
                <c:pt idx="6">
                  <c:v>89.455414507572002</c:v>
                </c:pt>
                <c:pt idx="7">
                  <c:v>88.697527208500034</c:v>
                </c:pt>
                <c:pt idx="8">
                  <c:v>85.835417558871299</c:v>
                </c:pt>
                <c:pt idx="9">
                  <c:v>89.400318173572131</c:v>
                </c:pt>
                <c:pt idx="10">
                  <c:v>119.31031106917426</c:v>
                </c:pt>
                <c:pt idx="11">
                  <c:v>104.71971184903893</c:v>
                </c:pt>
                <c:pt idx="12">
                  <c:v>99.838144127961598</c:v>
                </c:pt>
                <c:pt idx="13">
                  <c:v>115.88449005657397</c:v>
                </c:pt>
                <c:pt idx="14">
                  <c:v>117.5055480247218</c:v>
                </c:pt>
                <c:pt idx="15">
                  <c:v>124.88500906177889</c:v>
                </c:pt>
                <c:pt idx="16">
                  <c:v>132.25551932701063</c:v>
                </c:pt>
                <c:pt idx="17">
                  <c:v>137.9820507089151</c:v>
                </c:pt>
                <c:pt idx="18">
                  <c:v>149.69364203509824</c:v>
                </c:pt>
                <c:pt idx="19">
                  <c:v>141.09153282167946</c:v>
                </c:pt>
                <c:pt idx="20">
                  <c:v>166.28129475069682</c:v>
                </c:pt>
                <c:pt idx="21">
                  <c:v>159.5032607124931</c:v>
                </c:pt>
                <c:pt idx="22">
                  <c:v>177.2420048055298</c:v>
                </c:pt>
                <c:pt idx="23">
                  <c:v>165.87062398507848</c:v>
                </c:pt>
                <c:pt idx="24">
                  <c:v>169.76663873626362</c:v>
                </c:pt>
                <c:pt idx="25">
                  <c:v>187.66879841468182</c:v>
                </c:pt>
                <c:pt idx="26">
                  <c:v>196.19510171324958</c:v>
                </c:pt>
                <c:pt idx="27">
                  <c:v>192.27927187162692</c:v>
                </c:pt>
                <c:pt idx="28">
                  <c:v>185.86751654140011</c:v>
                </c:pt>
                <c:pt idx="29">
                  <c:v>191.74971715566264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07-1645-A60A-DA74A6C4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3.8910505836575876E-3</c:v>
                </c:pt>
                <c:pt idx="5">
                  <c:v>0</c:v>
                </c:pt>
                <c:pt idx="6">
                  <c:v>7.7972709551656916E-3</c:v>
                </c:pt>
                <c:pt idx="7">
                  <c:v>1.1695906432748537E-2</c:v>
                </c:pt>
                <c:pt idx="8">
                  <c:v>9.7465886939571145E-3</c:v>
                </c:pt>
                <c:pt idx="9">
                  <c:v>1.9455252918287938E-2</c:v>
                </c:pt>
                <c:pt idx="10">
                  <c:v>4.8732943469785572E-2</c:v>
                </c:pt>
                <c:pt idx="11">
                  <c:v>4.8732943469785572E-2</c:v>
                </c:pt>
                <c:pt idx="12">
                  <c:v>7.0038910505836577E-2</c:v>
                </c:pt>
                <c:pt idx="13">
                  <c:v>0.11673151750972763</c:v>
                </c:pt>
                <c:pt idx="14">
                  <c:v>0.12865497076023391</c:v>
                </c:pt>
                <c:pt idx="15">
                  <c:v>0.21011673151750973</c:v>
                </c:pt>
                <c:pt idx="16">
                  <c:v>0.28404669260700388</c:v>
                </c:pt>
                <c:pt idx="17">
                  <c:v>0.35019455252918286</c:v>
                </c:pt>
                <c:pt idx="18">
                  <c:v>0.43385214007782102</c:v>
                </c:pt>
                <c:pt idx="19">
                  <c:v>0.47470817120622566</c:v>
                </c:pt>
                <c:pt idx="20">
                  <c:v>0.58171206225680938</c:v>
                </c:pt>
                <c:pt idx="21">
                  <c:v>0.62962962962962965</c:v>
                </c:pt>
                <c:pt idx="22">
                  <c:v>0.71734892787524362</c:v>
                </c:pt>
                <c:pt idx="23">
                  <c:v>0.80116959064327486</c:v>
                </c:pt>
                <c:pt idx="24">
                  <c:v>0.84405458089668617</c:v>
                </c:pt>
                <c:pt idx="25">
                  <c:v>0.89083820662768032</c:v>
                </c:pt>
                <c:pt idx="26">
                  <c:v>0.91245136186770426</c:v>
                </c:pt>
                <c:pt idx="27">
                  <c:v>0.93762183235867447</c:v>
                </c:pt>
                <c:pt idx="28">
                  <c:v>0.9688715953307393</c:v>
                </c:pt>
                <c:pt idx="29">
                  <c:v>0.96686159844054576</c:v>
                </c:pt>
                <c:pt idx="30">
                  <c:v>0.98635477582845998</c:v>
                </c:pt>
                <c:pt idx="31">
                  <c:v>0.99416342412451364</c:v>
                </c:pt>
                <c:pt idx="32">
                  <c:v>0.99610136452241715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0.99588477366255146</c:v>
                </c:pt>
                <c:pt idx="14">
                  <c:v>0.99383983572895274</c:v>
                </c:pt>
                <c:pt idx="15">
                  <c:v>0.98765432098765427</c:v>
                </c:pt>
                <c:pt idx="16">
                  <c:v>0.96296296296296291</c:v>
                </c:pt>
                <c:pt idx="17">
                  <c:v>0.93827160493827155</c:v>
                </c:pt>
                <c:pt idx="18">
                  <c:v>0.92181069958847739</c:v>
                </c:pt>
                <c:pt idx="19">
                  <c:v>0.83744855967078191</c:v>
                </c:pt>
                <c:pt idx="20">
                  <c:v>0.76954732510288071</c:v>
                </c:pt>
                <c:pt idx="21">
                  <c:v>0.64887063655030797</c:v>
                </c:pt>
                <c:pt idx="22">
                  <c:v>0.55030800821355241</c:v>
                </c:pt>
                <c:pt idx="23">
                  <c:v>0.41889117043121149</c:v>
                </c:pt>
                <c:pt idx="24">
                  <c:v>0.3613963039014374</c:v>
                </c:pt>
                <c:pt idx="25">
                  <c:v>0.20123203285420946</c:v>
                </c:pt>
                <c:pt idx="26">
                  <c:v>0.1440329218106996</c:v>
                </c:pt>
                <c:pt idx="27">
                  <c:v>6.3655030800821355E-2</c:v>
                </c:pt>
                <c:pt idx="28">
                  <c:v>5.9670781893004114E-2</c:v>
                </c:pt>
                <c:pt idx="29">
                  <c:v>2.0533880903490759E-2</c:v>
                </c:pt>
                <c:pt idx="30">
                  <c:v>8.2135523613963042E-3</c:v>
                </c:pt>
                <c:pt idx="31">
                  <c:v>6.1728395061728392E-3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6-F648-9F77-44BB2F693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B14A20-DBD0-5140-8923-3C22797ECF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6C-B845-914C-9AF3BE267E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60C405-F1E0-AA4E-AA94-CFFFDCD8F3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6C-B845-914C-9AF3BE267E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122C32-345A-F946-AEC6-06A9BF68D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6C-B845-914C-9AF3BE267E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A68F89-AAFA-4242-A4DD-2B75F97F49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6C-B845-914C-9AF3BE267E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6777D3-9698-074F-B54D-C31368B283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6C-B845-914C-9AF3BE267E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0590CC-80EE-1246-9CD2-5204B6E8D9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6C-B845-914C-9AF3BE267E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3023E4-5DAF-BE41-89C8-B3DB807259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6C-B845-914C-9AF3BE267E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58E606-D8D3-844F-B55F-423A72674E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6C-B845-914C-9AF3BE267E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665C8A-1B00-0E49-9C1C-542955478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6C-B845-914C-9AF3BE267E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C2D8A8-E6EA-4342-BE9A-8C888A6C21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6C-B845-914C-9AF3BE267E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857F83-8B08-C340-9FB7-6FBA649417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6C-B845-914C-9AF3BE267E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3A5C54-C283-5246-8CFF-8BD733E31E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6C-B845-914C-9AF3BE267E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2C5749-16D1-B940-ADEF-F2B1E80523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6C-B845-914C-9AF3BE267E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A58281-8B53-2644-A257-CB223B1053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6C-B845-914C-9AF3BE267E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28F1BD-361F-7040-BD69-AF10CD0101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6C-B845-914C-9AF3BE267E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58A3A4-F3B4-5D4B-BC78-7D36247BED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6C-B845-914C-9AF3BE267E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AA3DEA-ABE2-9946-BE1A-B5DDB83799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6C-B845-914C-9AF3BE267E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5C15D3-67B6-3843-878B-1979B7C26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6C-B845-914C-9AF3BE267E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2B7621-BDE8-264E-B05C-DB3DB859D3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6C-B845-914C-9AF3BE267E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680FA7-C819-EB46-A5B9-36818C5DB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6C-B845-914C-9AF3BE267E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6F15D9-74DC-D04D-8E2D-92B3CC450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6C-B845-914C-9AF3BE267E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7F3B36-DCA1-FC48-9339-9CA325B98D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6C-B845-914C-9AF3BE267E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8EFB8B-4A7D-2542-8478-EDBFB4CBAB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6C-B845-914C-9AF3BE267E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FA32BA-AFF9-3A4C-8648-98BFEF2D7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6C-B845-914C-9AF3BE267E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9A9889-62BE-1F46-9263-9D3C9C6AB7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6C-B845-914C-9AF3BE267E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0E26EB-B414-DD42-BFCC-D94747BCEE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6C-B845-914C-9AF3BE267E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FC7687-62ED-2141-AA4B-4B17A6B76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6C-B845-914C-9AF3BE267E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3E7940-9A10-6D47-8EB0-94DDED2FE8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6C-B845-914C-9AF3BE267E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019491-5F4D-4244-B57E-3016CF52AC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6C-B845-914C-9AF3BE267E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31FE56-B487-F146-A041-B81FCC4B3B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6C-B845-914C-9AF3BE267E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83B340-1823-A248-8C9C-65CF9E5545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6C-B845-914C-9AF3BE267E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DC3F03-2BF8-E24A-AA63-AE8D590B5D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6C-B845-914C-9AF3BE267E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DF7B5F-DABE-F648-BEFC-AE55FAA101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6C-B845-914C-9AF3BE267E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1.9455252918287938E-3</c:v>
                </c:pt>
                <c:pt idx="4">
                  <c:v>1.9493177387914229E-3</c:v>
                </c:pt>
                <c:pt idx="5">
                  <c:v>0</c:v>
                </c:pt>
                <c:pt idx="6">
                  <c:v>9.727626459143969E-3</c:v>
                </c:pt>
                <c:pt idx="7">
                  <c:v>9.7465886939571145E-3</c:v>
                </c:pt>
                <c:pt idx="8">
                  <c:v>2.1400778210116732E-2</c:v>
                </c:pt>
                <c:pt idx="9">
                  <c:v>2.1442495126705652E-2</c:v>
                </c:pt>
                <c:pt idx="10">
                  <c:v>2.7237354085603113E-2</c:v>
                </c:pt>
                <c:pt idx="11">
                  <c:v>5.2529182879377433E-2</c:v>
                </c:pt>
                <c:pt idx="12">
                  <c:v>0.10526315789473684</c:v>
                </c:pt>
                <c:pt idx="13">
                  <c:v>0.14202334630350194</c:v>
                </c:pt>
                <c:pt idx="14">
                  <c:v>0.14814814814814814</c:v>
                </c:pt>
                <c:pt idx="15">
                  <c:v>0.19883040935672514</c:v>
                </c:pt>
                <c:pt idx="16">
                  <c:v>0.2723735408560311</c:v>
                </c:pt>
                <c:pt idx="17">
                  <c:v>0.34113060428849901</c:v>
                </c:pt>
                <c:pt idx="18">
                  <c:v>0.43274853801169588</c:v>
                </c:pt>
                <c:pt idx="19">
                  <c:v>0.51656920077972712</c:v>
                </c:pt>
                <c:pt idx="20">
                  <c:v>0.54385964912280704</c:v>
                </c:pt>
                <c:pt idx="21">
                  <c:v>0.65175097276264593</c:v>
                </c:pt>
                <c:pt idx="22">
                  <c:v>0.71150097465886941</c:v>
                </c:pt>
                <c:pt idx="23">
                  <c:v>0.74463937621832355</c:v>
                </c:pt>
                <c:pt idx="24">
                  <c:v>0.81871345029239762</c:v>
                </c:pt>
                <c:pt idx="25">
                  <c:v>0.91634241245136183</c:v>
                </c:pt>
                <c:pt idx="26">
                  <c:v>0.91634241245136183</c:v>
                </c:pt>
                <c:pt idx="27">
                  <c:v>0.95719844357976658</c:v>
                </c:pt>
                <c:pt idx="28">
                  <c:v>0.96498054474708173</c:v>
                </c:pt>
                <c:pt idx="29">
                  <c:v>0.98638132295719849</c:v>
                </c:pt>
                <c:pt idx="30">
                  <c:v>0.98832684824902728</c:v>
                </c:pt>
                <c:pt idx="31">
                  <c:v>0.99027237354085607</c:v>
                </c:pt>
                <c:pt idx="32">
                  <c:v>0.98440545808966862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0.99794661190965095</c:v>
                </c:pt>
                <c:pt idx="13">
                  <c:v>0.99588477366255146</c:v>
                </c:pt>
                <c:pt idx="14">
                  <c:v>0.99794661190965095</c:v>
                </c:pt>
                <c:pt idx="15">
                  <c:v>0.98151950718685832</c:v>
                </c:pt>
                <c:pt idx="16">
                  <c:v>0.97325102880658432</c:v>
                </c:pt>
                <c:pt idx="17">
                  <c:v>0.95687885010266938</c:v>
                </c:pt>
                <c:pt idx="18">
                  <c:v>0.90349075975359339</c:v>
                </c:pt>
                <c:pt idx="19">
                  <c:v>0.84804928131416835</c:v>
                </c:pt>
                <c:pt idx="20">
                  <c:v>0.76180698151950721</c:v>
                </c:pt>
                <c:pt idx="21">
                  <c:v>0.6831275720164609</c:v>
                </c:pt>
                <c:pt idx="22">
                  <c:v>0.56262833675564683</c:v>
                </c:pt>
                <c:pt idx="23">
                  <c:v>0.40451745379876797</c:v>
                </c:pt>
                <c:pt idx="24">
                  <c:v>0.27515400410677621</c:v>
                </c:pt>
                <c:pt idx="25">
                  <c:v>0.20987654320987653</c:v>
                </c:pt>
                <c:pt idx="26">
                  <c:v>0.1419753086419753</c:v>
                </c:pt>
                <c:pt idx="27">
                  <c:v>9.8765432098765427E-2</c:v>
                </c:pt>
                <c:pt idx="28">
                  <c:v>5.1440329218106998E-2</c:v>
                </c:pt>
                <c:pt idx="29">
                  <c:v>2.8806584362139918E-2</c:v>
                </c:pt>
                <c:pt idx="30">
                  <c:v>1.2345679012345678E-2</c:v>
                </c:pt>
                <c:pt idx="31">
                  <c:v>2.05761316872428E-3</c:v>
                </c:pt>
                <c:pt idx="32">
                  <c:v>4.1067761806981521E-3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7B6C-B845-914C-9AF3BE26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0AED5FA-221E-DF42-9808-AAF80BEE26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64-B84F-909B-3BF844208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C2C617-0B57-4A4D-B3B4-F7B9A35444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64-B84F-909B-3BF844208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B3846B-2360-9142-ADAC-CC7C181B6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64-B84F-909B-3BF844208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B2D034-D52B-AD44-917E-69FCD4C37A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64-B84F-909B-3BF844208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90B209-5023-2445-8432-98472E7B24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64-B84F-909B-3BF844208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4A4DF9-A781-F34B-93DA-6404E5051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64-B84F-909B-3BF844208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D5220D-35FE-384A-B485-8C1F2D80D8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64-B84F-909B-3BF844208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52BF22-783D-D840-82EE-3E48E63A24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64-B84F-909B-3BF844208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653E87-B9E0-B84B-8A02-9EC01E8E3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64-B84F-909B-3BF844208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C423E5-F9D4-004C-A6FB-87C4AFB6FC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64-B84F-909B-3BF844208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20335C-0568-A243-A2AA-C360A090C7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64-B84F-909B-3BF844208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EE5406-737B-BC4E-A82A-3967C9748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64-B84F-909B-3BF844208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5A2947-13A5-0742-B9C5-1781074C03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64-B84F-909B-3BF844208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56AF54-A878-764E-812B-DDC1EB0A81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64-B84F-909B-3BF844208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938D9E-0590-3141-9019-0D37928882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64-B84F-909B-3BF844208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1A1B43-7B15-1D4C-BB04-5873DAD4DE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64-B84F-909B-3BF844208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66CFD2-CCAD-B841-B4B3-49AF0F3005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64-B84F-909B-3BF844208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4033E3-579C-9749-A1D7-23D8747DA6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64-B84F-909B-3BF844208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BC85C5-0DFB-0C40-9B15-0BAD83991A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64-B84F-909B-3BF844208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BACAD2-6661-1D4D-A54C-AA1A9905D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64-B84F-909B-3BF844208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FBE96E-0446-524A-8C91-D97FEF7761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64-B84F-909B-3BF844208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719D7B-44FF-164E-AFBC-1518E07A6B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64-B84F-909B-3BF844208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4B202E-41E4-1145-80D1-37C4E8239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64-B84F-909B-3BF844208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372DBB-FF42-C249-9D23-B8A0490B1C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64-B84F-909B-3BF844208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34BABF-5F34-654E-AF82-17CB030AF7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64-B84F-909B-3BF844208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C7F2B4-6F8B-A140-A02D-E185D65A4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64-B84F-909B-3BF844208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C27921-A72A-9A4A-9437-D3F121892F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64-B84F-909B-3BF844208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C32CEF1-A0EF-224E-8D60-1ABCAB1551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64-B84F-909B-3BF844208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2BAF50-ACE9-8C4C-B82D-1655F92D2F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64-B84F-909B-3BF844208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1144C12-7986-5B46-893B-6606CE089C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64-B84F-909B-3BF844208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C5789F-C038-6E43-A5BF-88D960E78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64-B84F-909B-3BF844208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16F27C-BD77-3944-B0E3-11DFC4320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64-B84F-909B-3BF844208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42E29C-2387-5949-BF1C-C78A3F415B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64-B84F-909B-3BF844208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0.99805068226120852</c:v>
                </c:pt>
                <c:pt idx="4">
                  <c:v>1</c:v>
                </c:pt>
                <c:pt idx="5">
                  <c:v>0.99610136452241715</c:v>
                </c:pt>
                <c:pt idx="6">
                  <c:v>1</c:v>
                </c:pt>
                <c:pt idx="7">
                  <c:v>0.99416342412451364</c:v>
                </c:pt>
                <c:pt idx="8">
                  <c:v>0.98440545808966862</c:v>
                </c:pt>
                <c:pt idx="9">
                  <c:v>0.9688715953307393</c:v>
                </c:pt>
                <c:pt idx="10">
                  <c:v>0.98054474708171202</c:v>
                </c:pt>
                <c:pt idx="11">
                  <c:v>0.92397660818713456</c:v>
                </c:pt>
                <c:pt idx="12">
                  <c:v>0.91228070175438591</c:v>
                </c:pt>
                <c:pt idx="13">
                  <c:v>0.84824902723735407</c:v>
                </c:pt>
                <c:pt idx="14">
                  <c:v>0.82490272373540852</c:v>
                </c:pt>
                <c:pt idx="15">
                  <c:v>0.79727095516569202</c:v>
                </c:pt>
                <c:pt idx="16">
                  <c:v>0.74658869395711502</c:v>
                </c:pt>
                <c:pt idx="17">
                  <c:v>0.64912280701754388</c:v>
                </c:pt>
                <c:pt idx="18">
                  <c:v>0.58754863813229574</c:v>
                </c:pt>
                <c:pt idx="19">
                  <c:v>0.51167315175097272</c:v>
                </c:pt>
                <c:pt idx="20">
                  <c:v>0.42884990253411304</c:v>
                </c:pt>
                <c:pt idx="21">
                  <c:v>0.32295719844357973</c:v>
                </c:pt>
                <c:pt idx="22">
                  <c:v>0.29434697855750491</c:v>
                </c:pt>
                <c:pt idx="23">
                  <c:v>0.2042801556420234</c:v>
                </c:pt>
                <c:pt idx="24">
                  <c:v>0.1556420233463035</c:v>
                </c:pt>
                <c:pt idx="25">
                  <c:v>0.1364522417153996</c:v>
                </c:pt>
                <c:pt idx="26">
                  <c:v>7.9766536964980594E-2</c:v>
                </c:pt>
                <c:pt idx="27">
                  <c:v>4.8638132295719894E-2</c:v>
                </c:pt>
                <c:pt idx="28">
                  <c:v>3.8910505836575848E-2</c:v>
                </c:pt>
                <c:pt idx="29">
                  <c:v>1.5594541910331383E-2</c:v>
                </c:pt>
                <c:pt idx="30">
                  <c:v>1.5564202334630295E-2</c:v>
                </c:pt>
                <c:pt idx="31">
                  <c:v>7.7821011673151474E-3</c:v>
                </c:pt>
                <c:pt idx="32">
                  <c:v>7.7972709551656916E-3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0.99588477366255146</c:v>
                </c:pt>
                <c:pt idx="15">
                  <c:v>0.99178644763860369</c:v>
                </c:pt>
                <c:pt idx="16">
                  <c:v>0.9691991786447639</c:v>
                </c:pt>
                <c:pt idx="17">
                  <c:v>0.91581108829568791</c:v>
                </c:pt>
                <c:pt idx="18">
                  <c:v>0.90534979423868311</c:v>
                </c:pt>
                <c:pt idx="19">
                  <c:v>0.83950617283950613</c:v>
                </c:pt>
                <c:pt idx="20">
                  <c:v>0.74948665297741268</c:v>
                </c:pt>
                <c:pt idx="21">
                  <c:v>0.66666666666666663</c:v>
                </c:pt>
                <c:pt idx="22">
                  <c:v>0.5420944558521561</c:v>
                </c:pt>
                <c:pt idx="23">
                  <c:v>0.3888888888888889</c:v>
                </c:pt>
                <c:pt idx="24">
                  <c:v>0.31275720164609055</c:v>
                </c:pt>
                <c:pt idx="25">
                  <c:v>0.23408624229979466</c:v>
                </c:pt>
                <c:pt idx="26">
                  <c:v>0.12551440329218108</c:v>
                </c:pt>
                <c:pt idx="27">
                  <c:v>8.4362139917695478E-2</c:v>
                </c:pt>
                <c:pt idx="28">
                  <c:v>3.292181069958848E-2</c:v>
                </c:pt>
                <c:pt idx="29">
                  <c:v>3.2854209445585217E-2</c:v>
                </c:pt>
                <c:pt idx="30">
                  <c:v>8.23045267489712E-3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4964-B84F-909B-3BF844208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51659-D59B-FE45-80CD-08C055E91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EA9CC0-557A-654F-BDD3-5788FA9D6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2CAFD-1AFA-FA4F-9F7D-D268CF099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35F5B55-B79A-CE49-9072-6240AC0119CA}"/>
            </a:ext>
          </a:extLst>
        </xdr:cNvPr>
        <xdr:cNvSpPr txBox="1"/>
      </xdr:nvSpPr>
      <xdr:spPr>
        <a:xfrm>
          <a:off x="850900" y="2286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856970-5D05-4549-9D55-3AABA101553D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2EE9C5-8E89-2B46-B864-A249A193B3AA}"/>
            </a:ext>
          </a:extLst>
        </xdr:cNvPr>
        <xdr:cNvSpPr txBox="1"/>
      </xdr:nvSpPr>
      <xdr:spPr>
        <a:xfrm>
          <a:off x="825500" y="203200"/>
          <a:ext cx="77597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BD2DCF-20A6-384C-8157-8DC82FC7AAA0}"/>
            </a:ext>
          </a:extLst>
        </xdr:cNvPr>
        <xdr:cNvSpPr txBox="1"/>
      </xdr:nvSpPr>
      <xdr:spPr>
        <a:xfrm>
          <a:off x="825500" y="203200"/>
          <a:ext cx="9131300" cy="407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800100</xdr:colOff>
      <xdr:row>9</xdr:row>
      <xdr:rowOff>190500</xdr:rowOff>
    </xdr:from>
    <xdr:ext cx="74930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265278DC-0021-BA44-97A2-3F271B4D8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0193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1D5131AC-4DBC-414C-8F76-54AFB521E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79B380-2D0A-104D-940F-CEAA30506C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C1BEC266-1CEB-1745-B192-84520A0F2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B9397C5A-BD2E-3846-A270-DCC655BE5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0C38B-AA9A-5049-B93F-2014DEDC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B31E2-F250-F14D-A720-64077BEB3A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KFb259Iqbycx5GIi7An0ohUHUvoMh1EY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DWHVzjHwUwyr5gfDlQWSNJX6af-Lx3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KCNO7gwTwBj-8EpEmmW69RC9obXSilBW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A1:C15"/>
  <sheetViews>
    <sheetView tabSelected="1" workbookViewId="0"/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238</v>
      </c>
    </row>
    <row r="3" spans="1:3" x14ac:dyDescent="0.3">
      <c r="B3" s="1" t="s">
        <v>3</v>
      </c>
    </row>
    <row r="4" spans="1:3" x14ac:dyDescent="0.3">
      <c r="C4" s="1" t="s">
        <v>181</v>
      </c>
    </row>
    <row r="5" spans="1:3" x14ac:dyDescent="0.3">
      <c r="C5" s="1" t="s">
        <v>182</v>
      </c>
    </row>
    <row r="7" spans="1:3" x14ac:dyDescent="0.3">
      <c r="B7" s="1" t="s">
        <v>4</v>
      </c>
    </row>
    <row r="8" spans="1:3" x14ac:dyDescent="0.3">
      <c r="C8" s="1" t="s">
        <v>183</v>
      </c>
    </row>
    <row r="9" spans="1:3" x14ac:dyDescent="0.3">
      <c r="C9" s="1" t="s">
        <v>184</v>
      </c>
    </row>
    <row r="11" spans="1:3" x14ac:dyDescent="0.3">
      <c r="B11" s="1" t="s">
        <v>13</v>
      </c>
    </row>
    <row r="12" spans="1:3" x14ac:dyDescent="0.3">
      <c r="C12" s="1" t="s">
        <v>185</v>
      </c>
    </row>
    <row r="14" spans="1:3" x14ac:dyDescent="0.3">
      <c r="B14" s="1" t="s">
        <v>113</v>
      </c>
    </row>
    <row r="15" spans="1:3" x14ac:dyDescent="0.3">
      <c r="C15" s="1" t="s">
        <v>186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</v>
      </c>
    </row>
    <row r="4" spans="2:2" x14ac:dyDescent="0.3">
      <c r="B4" s="1" t="s">
        <v>6</v>
      </c>
    </row>
    <row r="6" spans="2:2" x14ac:dyDescent="0.3">
      <c r="B6" s="1" t="s">
        <v>7</v>
      </c>
    </row>
    <row r="8" spans="2:2" x14ac:dyDescent="0.3">
      <c r="B8" s="1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19</v>
      </c>
    </row>
    <row r="2" spans="1:1" x14ac:dyDescent="0.3">
      <c r="A2" s="1" t="s">
        <v>20</v>
      </c>
    </row>
    <row r="3" spans="1:1" x14ac:dyDescent="0.3">
      <c r="A3" s="1" t="s">
        <v>18</v>
      </c>
    </row>
    <row r="4" spans="1:1" x14ac:dyDescent="0.3">
      <c r="A4" s="1" t="s">
        <v>17</v>
      </c>
    </row>
    <row r="5" spans="1:1" x14ac:dyDescent="0.3">
      <c r="A5" s="1" t="s">
        <v>16</v>
      </c>
    </row>
    <row r="6" spans="1:1" x14ac:dyDescent="0.3">
      <c r="A6" s="1" t="s">
        <v>15</v>
      </c>
    </row>
    <row r="7" spans="1:1" x14ac:dyDescent="0.3">
      <c r="A7" s="1" t="s">
        <v>194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239</v>
      </c>
    </row>
  </sheetData>
  <hyperlinks>
    <hyperlink ref="A1" r:id="rId1" display="Setup" xr:uid="{609AAADD-BF1E-3F47-B22C-C95597AC3103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18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195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196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198</v>
      </c>
    </row>
    <row r="2" spans="1:1" x14ac:dyDescent="0.3">
      <c r="A2" s="6" t="s">
        <v>199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197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122</v>
      </c>
    </row>
    <row r="2" spans="1:1" x14ac:dyDescent="0.3">
      <c r="A2" s="1" t="s">
        <v>123</v>
      </c>
    </row>
    <row r="3" spans="1:1" x14ac:dyDescent="0.3">
      <c r="A3" s="1" t="s">
        <v>124</v>
      </c>
    </row>
    <row r="4" spans="1:1" x14ac:dyDescent="0.3">
      <c r="A4" s="1" t="s">
        <v>125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6" t="s">
        <v>122</v>
      </c>
    </row>
  </sheetData>
  <hyperlinks>
    <hyperlink ref="A1" r:id="rId1" xr:uid="{0D455476-1CBE-6349-9F99-F71F539EAA56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0"/>
    <col min="2" max="2" width="20.83203125" style="10" bestFit="1" customWidth="1"/>
    <col min="3" max="16384" width="14.5" style="10"/>
  </cols>
  <sheetData>
    <row r="1" spans="1:11" x14ac:dyDescent="0.2">
      <c r="A1" s="9" t="s">
        <v>21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s="9" t="s">
        <v>28</v>
      </c>
      <c r="I1" s="9" t="s">
        <v>29</v>
      </c>
      <c r="J1" s="9" t="s">
        <v>30</v>
      </c>
      <c r="K1" s="9" t="s">
        <v>31</v>
      </c>
    </row>
    <row r="2" spans="1:11" x14ac:dyDescent="0.2">
      <c r="A2" s="9" t="s">
        <v>32</v>
      </c>
      <c r="B2" s="9" t="s">
        <v>33</v>
      </c>
      <c r="C2" s="9">
        <v>1.8</v>
      </c>
      <c r="D2" s="9">
        <v>1999</v>
      </c>
      <c r="E2" s="9">
        <v>4</v>
      </c>
      <c r="F2" s="9" t="s">
        <v>34</v>
      </c>
      <c r="G2" s="9" t="s">
        <v>35</v>
      </c>
      <c r="H2" s="9">
        <v>18</v>
      </c>
      <c r="I2" s="9">
        <v>29</v>
      </c>
      <c r="J2" s="9" t="s">
        <v>0</v>
      </c>
      <c r="K2" s="9" t="s">
        <v>36</v>
      </c>
    </row>
    <row r="3" spans="1:11" x14ac:dyDescent="0.2">
      <c r="A3" s="9" t="s">
        <v>32</v>
      </c>
      <c r="B3" s="9" t="s">
        <v>33</v>
      </c>
      <c r="C3" s="9">
        <v>1.8</v>
      </c>
      <c r="D3" s="9">
        <v>1999</v>
      </c>
      <c r="E3" s="9">
        <v>4</v>
      </c>
      <c r="F3" s="9" t="s">
        <v>37</v>
      </c>
      <c r="G3" s="9" t="s">
        <v>35</v>
      </c>
      <c r="H3" s="9">
        <v>21</v>
      </c>
      <c r="I3" s="9">
        <v>29</v>
      </c>
      <c r="J3" s="9" t="s">
        <v>0</v>
      </c>
      <c r="K3" s="9" t="s">
        <v>36</v>
      </c>
    </row>
    <row r="4" spans="1:11" x14ac:dyDescent="0.2">
      <c r="A4" s="9" t="s">
        <v>32</v>
      </c>
      <c r="B4" s="9" t="s">
        <v>33</v>
      </c>
      <c r="C4" s="9">
        <v>2</v>
      </c>
      <c r="D4" s="9">
        <v>2008</v>
      </c>
      <c r="E4" s="9">
        <v>4</v>
      </c>
      <c r="F4" s="9" t="s">
        <v>38</v>
      </c>
      <c r="G4" s="9" t="s">
        <v>35</v>
      </c>
      <c r="H4" s="9">
        <v>20</v>
      </c>
      <c r="I4" s="9">
        <v>31</v>
      </c>
      <c r="J4" s="9" t="s">
        <v>0</v>
      </c>
      <c r="K4" s="9" t="s">
        <v>36</v>
      </c>
    </row>
    <row r="5" spans="1:11" x14ac:dyDescent="0.2">
      <c r="A5" s="9" t="s">
        <v>32</v>
      </c>
      <c r="B5" s="9" t="s">
        <v>33</v>
      </c>
      <c r="C5" s="9">
        <v>2</v>
      </c>
      <c r="D5" s="9">
        <v>2008</v>
      </c>
      <c r="E5" s="9">
        <v>4</v>
      </c>
      <c r="F5" s="9" t="s">
        <v>39</v>
      </c>
      <c r="G5" s="9" t="s">
        <v>35</v>
      </c>
      <c r="H5" s="9">
        <v>21</v>
      </c>
      <c r="I5" s="9">
        <v>30</v>
      </c>
      <c r="J5" s="9" t="s">
        <v>0</v>
      </c>
      <c r="K5" s="9" t="s">
        <v>36</v>
      </c>
    </row>
    <row r="6" spans="1:11" x14ac:dyDescent="0.2">
      <c r="A6" s="9" t="s">
        <v>32</v>
      </c>
      <c r="B6" s="9" t="s">
        <v>33</v>
      </c>
      <c r="C6" s="9">
        <v>2.8</v>
      </c>
      <c r="D6" s="9">
        <v>1999</v>
      </c>
      <c r="E6" s="9">
        <v>6</v>
      </c>
      <c r="F6" s="9" t="s">
        <v>34</v>
      </c>
      <c r="G6" s="9" t="s">
        <v>35</v>
      </c>
      <c r="H6" s="9">
        <v>16</v>
      </c>
      <c r="I6" s="9">
        <v>26</v>
      </c>
      <c r="J6" s="9" t="s">
        <v>0</v>
      </c>
      <c r="K6" s="9" t="s">
        <v>36</v>
      </c>
    </row>
    <row r="7" spans="1:11" x14ac:dyDescent="0.2">
      <c r="A7" s="9" t="s">
        <v>32</v>
      </c>
      <c r="B7" s="9" t="s">
        <v>33</v>
      </c>
      <c r="C7" s="9">
        <v>2.8</v>
      </c>
      <c r="D7" s="9">
        <v>1999</v>
      </c>
      <c r="E7" s="9">
        <v>6</v>
      </c>
      <c r="F7" s="9" t="s">
        <v>37</v>
      </c>
      <c r="G7" s="9" t="s">
        <v>35</v>
      </c>
      <c r="H7" s="9">
        <v>18</v>
      </c>
      <c r="I7" s="9">
        <v>26</v>
      </c>
      <c r="J7" s="9" t="s">
        <v>0</v>
      </c>
      <c r="K7" s="9" t="s">
        <v>36</v>
      </c>
    </row>
    <row r="8" spans="1:11" x14ac:dyDescent="0.2">
      <c r="A8" s="9" t="s">
        <v>32</v>
      </c>
      <c r="B8" s="9" t="s">
        <v>33</v>
      </c>
      <c r="C8" s="9">
        <v>3.1</v>
      </c>
      <c r="D8" s="9">
        <v>2008</v>
      </c>
      <c r="E8" s="9">
        <v>6</v>
      </c>
      <c r="F8" s="9" t="s">
        <v>39</v>
      </c>
      <c r="G8" s="9" t="s">
        <v>35</v>
      </c>
      <c r="H8" s="9">
        <v>18</v>
      </c>
      <c r="I8" s="9">
        <v>27</v>
      </c>
      <c r="J8" s="9" t="s">
        <v>0</v>
      </c>
      <c r="K8" s="9" t="s">
        <v>36</v>
      </c>
    </row>
    <row r="9" spans="1:11" x14ac:dyDescent="0.2">
      <c r="A9" s="9" t="s">
        <v>32</v>
      </c>
      <c r="B9" s="9" t="s">
        <v>40</v>
      </c>
      <c r="C9" s="9">
        <v>1.8</v>
      </c>
      <c r="D9" s="9">
        <v>1999</v>
      </c>
      <c r="E9" s="9">
        <v>4</v>
      </c>
      <c r="F9" s="9" t="s">
        <v>37</v>
      </c>
      <c r="G9" s="9">
        <v>4</v>
      </c>
      <c r="H9" s="9">
        <v>18</v>
      </c>
      <c r="I9" s="9">
        <v>26</v>
      </c>
      <c r="J9" s="9" t="s">
        <v>0</v>
      </c>
      <c r="K9" s="9" t="s">
        <v>36</v>
      </c>
    </row>
    <row r="10" spans="1:11" x14ac:dyDescent="0.2">
      <c r="A10" s="9" t="s">
        <v>32</v>
      </c>
      <c r="B10" s="9" t="s">
        <v>40</v>
      </c>
      <c r="C10" s="9">
        <v>1.8</v>
      </c>
      <c r="D10" s="9">
        <v>1999</v>
      </c>
      <c r="E10" s="9">
        <v>4</v>
      </c>
      <c r="F10" s="9" t="s">
        <v>34</v>
      </c>
      <c r="G10" s="9">
        <v>4</v>
      </c>
      <c r="H10" s="9">
        <v>16</v>
      </c>
      <c r="I10" s="9">
        <v>25</v>
      </c>
      <c r="J10" s="9" t="s">
        <v>0</v>
      </c>
      <c r="K10" s="9" t="s">
        <v>36</v>
      </c>
    </row>
    <row r="11" spans="1:11" x14ac:dyDescent="0.2">
      <c r="A11" s="9" t="s">
        <v>32</v>
      </c>
      <c r="B11" s="9" t="s">
        <v>40</v>
      </c>
      <c r="C11" s="9">
        <v>2</v>
      </c>
      <c r="D11" s="9">
        <v>2008</v>
      </c>
      <c r="E11" s="9">
        <v>4</v>
      </c>
      <c r="F11" s="9" t="s">
        <v>38</v>
      </c>
      <c r="G11" s="9">
        <v>4</v>
      </c>
      <c r="H11" s="9">
        <v>20</v>
      </c>
      <c r="I11" s="9">
        <v>28</v>
      </c>
      <c r="J11" s="9" t="s">
        <v>0</v>
      </c>
      <c r="K11" s="9" t="s">
        <v>36</v>
      </c>
    </row>
    <row r="12" spans="1:11" x14ac:dyDescent="0.2">
      <c r="A12" s="9" t="s">
        <v>32</v>
      </c>
      <c r="B12" s="9" t="s">
        <v>40</v>
      </c>
      <c r="C12" s="9">
        <v>2</v>
      </c>
      <c r="D12" s="9">
        <v>2008</v>
      </c>
      <c r="E12" s="9">
        <v>4</v>
      </c>
      <c r="F12" s="9" t="s">
        <v>41</v>
      </c>
      <c r="G12" s="9">
        <v>4</v>
      </c>
      <c r="H12" s="9">
        <v>19</v>
      </c>
      <c r="I12" s="9">
        <v>27</v>
      </c>
      <c r="J12" s="9" t="s">
        <v>0</v>
      </c>
      <c r="K12" s="9" t="s">
        <v>36</v>
      </c>
    </row>
    <row r="13" spans="1:11" x14ac:dyDescent="0.2">
      <c r="A13" s="9" t="s">
        <v>32</v>
      </c>
      <c r="B13" s="9" t="s">
        <v>40</v>
      </c>
      <c r="C13" s="9">
        <v>2.8</v>
      </c>
      <c r="D13" s="9">
        <v>1999</v>
      </c>
      <c r="E13" s="9">
        <v>6</v>
      </c>
      <c r="F13" s="9" t="s">
        <v>34</v>
      </c>
      <c r="G13" s="9">
        <v>4</v>
      </c>
      <c r="H13" s="9">
        <v>15</v>
      </c>
      <c r="I13" s="9">
        <v>25</v>
      </c>
      <c r="J13" s="9" t="s">
        <v>0</v>
      </c>
      <c r="K13" s="9" t="s">
        <v>36</v>
      </c>
    </row>
    <row r="14" spans="1:11" x14ac:dyDescent="0.2">
      <c r="A14" s="9" t="s">
        <v>32</v>
      </c>
      <c r="B14" s="9" t="s">
        <v>40</v>
      </c>
      <c r="C14" s="9">
        <v>2.8</v>
      </c>
      <c r="D14" s="9">
        <v>1999</v>
      </c>
      <c r="E14" s="9">
        <v>6</v>
      </c>
      <c r="F14" s="9" t="s">
        <v>37</v>
      </c>
      <c r="G14" s="9">
        <v>4</v>
      </c>
      <c r="H14" s="9">
        <v>17</v>
      </c>
      <c r="I14" s="9">
        <v>25</v>
      </c>
      <c r="J14" s="9" t="s">
        <v>0</v>
      </c>
      <c r="K14" s="9" t="s">
        <v>36</v>
      </c>
    </row>
    <row r="15" spans="1:11" x14ac:dyDescent="0.2">
      <c r="A15" s="9" t="s">
        <v>32</v>
      </c>
      <c r="B15" s="9" t="s">
        <v>40</v>
      </c>
      <c r="C15" s="9">
        <v>3.1</v>
      </c>
      <c r="D15" s="9">
        <v>2008</v>
      </c>
      <c r="E15" s="9">
        <v>6</v>
      </c>
      <c r="F15" s="9" t="s">
        <v>41</v>
      </c>
      <c r="G15" s="9">
        <v>4</v>
      </c>
      <c r="H15" s="9">
        <v>17</v>
      </c>
      <c r="I15" s="9">
        <v>25</v>
      </c>
      <c r="J15" s="9" t="s">
        <v>0</v>
      </c>
      <c r="K15" s="9" t="s">
        <v>36</v>
      </c>
    </row>
    <row r="16" spans="1:11" x14ac:dyDescent="0.2">
      <c r="A16" s="9" t="s">
        <v>32</v>
      </c>
      <c r="B16" s="9" t="s">
        <v>40</v>
      </c>
      <c r="C16" s="9">
        <v>3.1</v>
      </c>
      <c r="D16" s="9">
        <v>2008</v>
      </c>
      <c r="E16" s="9">
        <v>6</v>
      </c>
      <c r="F16" s="9" t="s">
        <v>38</v>
      </c>
      <c r="G16" s="9">
        <v>4</v>
      </c>
      <c r="H16" s="9">
        <v>15</v>
      </c>
      <c r="I16" s="9">
        <v>25</v>
      </c>
      <c r="J16" s="9" t="s">
        <v>0</v>
      </c>
      <c r="K16" s="9" t="s">
        <v>36</v>
      </c>
    </row>
    <row r="17" spans="1:11" x14ac:dyDescent="0.2">
      <c r="A17" s="9" t="s">
        <v>32</v>
      </c>
      <c r="B17" s="9" t="s">
        <v>42</v>
      </c>
      <c r="C17" s="9">
        <v>2.8</v>
      </c>
      <c r="D17" s="9">
        <v>1999</v>
      </c>
      <c r="E17" s="9">
        <v>6</v>
      </c>
      <c r="F17" s="9" t="s">
        <v>34</v>
      </c>
      <c r="G17" s="9">
        <v>4</v>
      </c>
      <c r="H17" s="9">
        <v>15</v>
      </c>
      <c r="I17" s="9">
        <v>24</v>
      </c>
      <c r="J17" s="9" t="s">
        <v>0</v>
      </c>
      <c r="K17" s="9" t="s">
        <v>43</v>
      </c>
    </row>
    <row r="18" spans="1:11" x14ac:dyDescent="0.2">
      <c r="A18" s="9" t="s">
        <v>32</v>
      </c>
      <c r="B18" s="9" t="s">
        <v>42</v>
      </c>
      <c r="C18" s="9">
        <v>3.1</v>
      </c>
      <c r="D18" s="9">
        <v>2008</v>
      </c>
      <c r="E18" s="9">
        <v>6</v>
      </c>
      <c r="F18" s="9" t="s">
        <v>41</v>
      </c>
      <c r="G18" s="9">
        <v>4</v>
      </c>
      <c r="H18" s="9">
        <v>17</v>
      </c>
      <c r="I18" s="9">
        <v>25</v>
      </c>
      <c r="J18" s="9" t="s">
        <v>0</v>
      </c>
      <c r="K18" s="9" t="s">
        <v>43</v>
      </c>
    </row>
    <row r="19" spans="1:11" x14ac:dyDescent="0.2">
      <c r="A19" s="9" t="s">
        <v>32</v>
      </c>
      <c r="B19" s="9" t="s">
        <v>42</v>
      </c>
      <c r="C19" s="9">
        <v>4.2</v>
      </c>
      <c r="D19" s="9">
        <v>2008</v>
      </c>
      <c r="E19" s="9">
        <v>8</v>
      </c>
      <c r="F19" s="9" t="s">
        <v>41</v>
      </c>
      <c r="G19" s="9">
        <v>4</v>
      </c>
      <c r="H19" s="9">
        <v>16</v>
      </c>
      <c r="I19" s="9">
        <v>23</v>
      </c>
      <c r="J19" s="9" t="s">
        <v>0</v>
      </c>
      <c r="K19" s="9" t="s">
        <v>43</v>
      </c>
    </row>
    <row r="20" spans="1:11" x14ac:dyDescent="0.2">
      <c r="A20" s="9" t="s">
        <v>44</v>
      </c>
      <c r="B20" s="9" t="s">
        <v>45</v>
      </c>
      <c r="C20" s="9">
        <v>5.3</v>
      </c>
      <c r="D20" s="9">
        <v>2008</v>
      </c>
      <c r="E20" s="9">
        <v>8</v>
      </c>
      <c r="F20" s="9" t="s">
        <v>46</v>
      </c>
      <c r="G20" s="9" t="s">
        <v>47</v>
      </c>
      <c r="H20" s="9">
        <v>14</v>
      </c>
      <c r="I20" s="9">
        <v>20</v>
      </c>
      <c r="J20" s="9" t="s">
        <v>47</v>
      </c>
      <c r="K20" s="9" t="s">
        <v>48</v>
      </c>
    </row>
    <row r="21" spans="1:11" x14ac:dyDescent="0.2">
      <c r="A21" s="9" t="s">
        <v>44</v>
      </c>
      <c r="B21" s="9" t="s">
        <v>45</v>
      </c>
      <c r="C21" s="9">
        <v>5.3</v>
      </c>
      <c r="D21" s="9">
        <v>2008</v>
      </c>
      <c r="E21" s="9">
        <v>8</v>
      </c>
      <c r="F21" s="9" t="s">
        <v>46</v>
      </c>
      <c r="G21" s="9" t="s">
        <v>47</v>
      </c>
      <c r="H21" s="9">
        <v>11</v>
      </c>
      <c r="I21" s="9">
        <v>15</v>
      </c>
      <c r="J21" s="9" t="s">
        <v>49</v>
      </c>
      <c r="K21" s="9" t="s">
        <v>48</v>
      </c>
    </row>
    <row r="22" spans="1:11" x14ac:dyDescent="0.2">
      <c r="A22" s="9" t="s">
        <v>44</v>
      </c>
      <c r="B22" s="9" t="s">
        <v>45</v>
      </c>
      <c r="C22" s="9">
        <v>5.3</v>
      </c>
      <c r="D22" s="9">
        <v>2008</v>
      </c>
      <c r="E22" s="9">
        <v>8</v>
      </c>
      <c r="F22" s="9" t="s">
        <v>46</v>
      </c>
      <c r="G22" s="9" t="s">
        <v>47</v>
      </c>
      <c r="H22" s="9">
        <v>14</v>
      </c>
      <c r="I22" s="9">
        <v>20</v>
      </c>
      <c r="J22" s="9" t="s">
        <v>47</v>
      </c>
      <c r="K22" s="9" t="s">
        <v>48</v>
      </c>
    </row>
    <row r="23" spans="1:11" x14ac:dyDescent="0.2">
      <c r="A23" s="9" t="s">
        <v>44</v>
      </c>
      <c r="B23" s="9" t="s">
        <v>45</v>
      </c>
      <c r="C23" s="9">
        <v>5.7</v>
      </c>
      <c r="D23" s="9">
        <v>1999</v>
      </c>
      <c r="E23" s="9">
        <v>8</v>
      </c>
      <c r="F23" s="9" t="s">
        <v>46</v>
      </c>
      <c r="G23" s="9" t="s">
        <v>47</v>
      </c>
      <c r="H23" s="9">
        <v>13</v>
      </c>
      <c r="I23" s="9">
        <v>17</v>
      </c>
      <c r="J23" s="9" t="s">
        <v>47</v>
      </c>
      <c r="K23" s="9" t="s">
        <v>48</v>
      </c>
    </row>
    <row r="24" spans="1:11" x14ac:dyDescent="0.2">
      <c r="A24" s="9" t="s">
        <v>44</v>
      </c>
      <c r="B24" s="9" t="s">
        <v>45</v>
      </c>
      <c r="C24" s="9">
        <v>6</v>
      </c>
      <c r="D24" s="9">
        <v>2008</v>
      </c>
      <c r="E24" s="9">
        <v>8</v>
      </c>
      <c r="F24" s="9" t="s">
        <v>46</v>
      </c>
      <c r="G24" s="9" t="s">
        <v>47</v>
      </c>
      <c r="H24" s="9">
        <v>12</v>
      </c>
      <c r="I24" s="9">
        <v>17</v>
      </c>
      <c r="J24" s="9" t="s">
        <v>47</v>
      </c>
      <c r="K24" s="9" t="s">
        <v>48</v>
      </c>
    </row>
    <row r="25" spans="1:11" x14ac:dyDescent="0.2">
      <c r="A25" s="9" t="s">
        <v>44</v>
      </c>
      <c r="B25" s="9" t="s">
        <v>50</v>
      </c>
      <c r="C25" s="9">
        <v>5.7</v>
      </c>
      <c r="D25" s="9">
        <v>1999</v>
      </c>
      <c r="E25" s="9">
        <v>8</v>
      </c>
      <c r="F25" s="9" t="s">
        <v>38</v>
      </c>
      <c r="G25" s="9" t="s">
        <v>47</v>
      </c>
      <c r="H25" s="9">
        <v>16</v>
      </c>
      <c r="I25" s="9">
        <v>26</v>
      </c>
      <c r="J25" s="9" t="s">
        <v>0</v>
      </c>
      <c r="K25" s="9" t="s">
        <v>51</v>
      </c>
    </row>
    <row r="26" spans="1:11" x14ac:dyDescent="0.2">
      <c r="A26" s="9" t="s">
        <v>44</v>
      </c>
      <c r="B26" s="9" t="s">
        <v>50</v>
      </c>
      <c r="C26" s="9">
        <v>5.7</v>
      </c>
      <c r="D26" s="9">
        <v>1999</v>
      </c>
      <c r="E26" s="9">
        <v>8</v>
      </c>
      <c r="F26" s="9" t="s">
        <v>46</v>
      </c>
      <c r="G26" s="9" t="s">
        <v>47</v>
      </c>
      <c r="H26" s="9">
        <v>15</v>
      </c>
      <c r="I26" s="9">
        <v>23</v>
      </c>
      <c r="J26" s="9" t="s">
        <v>0</v>
      </c>
      <c r="K26" s="9" t="s">
        <v>51</v>
      </c>
    </row>
    <row r="27" spans="1:11" x14ac:dyDescent="0.2">
      <c r="A27" s="9" t="s">
        <v>44</v>
      </c>
      <c r="B27" s="9" t="s">
        <v>50</v>
      </c>
      <c r="C27" s="9">
        <v>6.2</v>
      </c>
      <c r="D27" s="9">
        <v>2008</v>
      </c>
      <c r="E27" s="9">
        <v>8</v>
      </c>
      <c r="F27" s="9" t="s">
        <v>38</v>
      </c>
      <c r="G27" s="9" t="s">
        <v>47</v>
      </c>
      <c r="H27" s="9">
        <v>16</v>
      </c>
      <c r="I27" s="9">
        <v>26</v>
      </c>
      <c r="J27" s="9" t="s">
        <v>0</v>
      </c>
      <c r="K27" s="9" t="s">
        <v>51</v>
      </c>
    </row>
    <row r="28" spans="1:11" x14ac:dyDescent="0.2">
      <c r="A28" s="9" t="s">
        <v>44</v>
      </c>
      <c r="B28" s="9" t="s">
        <v>50</v>
      </c>
      <c r="C28" s="9">
        <v>6.2</v>
      </c>
      <c r="D28" s="9">
        <v>2008</v>
      </c>
      <c r="E28" s="9">
        <v>8</v>
      </c>
      <c r="F28" s="9" t="s">
        <v>41</v>
      </c>
      <c r="G28" s="9" t="s">
        <v>47</v>
      </c>
      <c r="H28" s="9">
        <v>15</v>
      </c>
      <c r="I28" s="9">
        <v>25</v>
      </c>
      <c r="J28" s="9" t="s">
        <v>0</v>
      </c>
      <c r="K28" s="9" t="s">
        <v>51</v>
      </c>
    </row>
    <row r="29" spans="1:11" x14ac:dyDescent="0.2">
      <c r="A29" s="9" t="s">
        <v>44</v>
      </c>
      <c r="B29" s="9" t="s">
        <v>50</v>
      </c>
      <c r="C29" s="9">
        <v>7</v>
      </c>
      <c r="D29" s="9">
        <v>2008</v>
      </c>
      <c r="E29" s="9">
        <v>8</v>
      </c>
      <c r="F29" s="9" t="s">
        <v>38</v>
      </c>
      <c r="G29" s="9" t="s">
        <v>47</v>
      </c>
      <c r="H29" s="9">
        <v>15</v>
      </c>
      <c r="I29" s="9">
        <v>24</v>
      </c>
      <c r="J29" s="9" t="s">
        <v>0</v>
      </c>
      <c r="K29" s="9" t="s">
        <v>51</v>
      </c>
    </row>
    <row r="30" spans="1:11" x14ac:dyDescent="0.2">
      <c r="A30" s="9" t="s">
        <v>44</v>
      </c>
      <c r="B30" s="9" t="s">
        <v>52</v>
      </c>
      <c r="C30" s="9">
        <v>5.3</v>
      </c>
      <c r="D30" s="9">
        <v>2008</v>
      </c>
      <c r="E30" s="9">
        <v>8</v>
      </c>
      <c r="F30" s="9" t="s">
        <v>46</v>
      </c>
      <c r="G30" s="9">
        <v>4</v>
      </c>
      <c r="H30" s="9">
        <v>14</v>
      </c>
      <c r="I30" s="9">
        <v>19</v>
      </c>
      <c r="J30" s="9" t="s">
        <v>47</v>
      </c>
      <c r="K30" s="9" t="s">
        <v>48</v>
      </c>
    </row>
    <row r="31" spans="1:11" x14ac:dyDescent="0.2">
      <c r="A31" s="9" t="s">
        <v>44</v>
      </c>
      <c r="B31" s="9" t="s">
        <v>52</v>
      </c>
      <c r="C31" s="9">
        <v>5.3</v>
      </c>
      <c r="D31" s="9">
        <v>2008</v>
      </c>
      <c r="E31" s="9">
        <v>8</v>
      </c>
      <c r="F31" s="9" t="s">
        <v>46</v>
      </c>
      <c r="G31" s="9">
        <v>4</v>
      </c>
      <c r="H31" s="9">
        <v>11</v>
      </c>
      <c r="I31" s="9">
        <v>14</v>
      </c>
      <c r="J31" s="9" t="s">
        <v>49</v>
      </c>
      <c r="K31" s="9" t="s">
        <v>48</v>
      </c>
    </row>
    <row r="32" spans="1:11" x14ac:dyDescent="0.2">
      <c r="A32" s="9" t="s">
        <v>44</v>
      </c>
      <c r="B32" s="9" t="s">
        <v>52</v>
      </c>
      <c r="C32" s="9">
        <v>5.7</v>
      </c>
      <c r="D32" s="9">
        <v>1999</v>
      </c>
      <c r="E32" s="9">
        <v>8</v>
      </c>
      <c r="F32" s="9" t="s">
        <v>46</v>
      </c>
      <c r="G32" s="9">
        <v>4</v>
      </c>
      <c r="H32" s="9">
        <v>11</v>
      </c>
      <c r="I32" s="9">
        <v>15</v>
      </c>
      <c r="J32" s="9" t="s">
        <v>47</v>
      </c>
      <c r="K32" s="9" t="s">
        <v>48</v>
      </c>
    </row>
    <row r="33" spans="1:11" x14ac:dyDescent="0.2">
      <c r="A33" s="9" t="s">
        <v>44</v>
      </c>
      <c r="B33" s="9" t="s">
        <v>52</v>
      </c>
      <c r="C33" s="9">
        <v>6.5</v>
      </c>
      <c r="D33" s="9">
        <v>1999</v>
      </c>
      <c r="E33" s="9">
        <v>8</v>
      </c>
      <c r="F33" s="9" t="s">
        <v>46</v>
      </c>
      <c r="G33" s="9">
        <v>4</v>
      </c>
      <c r="H33" s="9">
        <v>14</v>
      </c>
      <c r="I33" s="9">
        <v>17</v>
      </c>
      <c r="J33" s="9" t="s">
        <v>53</v>
      </c>
      <c r="K33" s="9" t="s">
        <v>48</v>
      </c>
    </row>
    <row r="34" spans="1:11" x14ac:dyDescent="0.2">
      <c r="A34" s="9" t="s">
        <v>44</v>
      </c>
      <c r="B34" s="9" t="s">
        <v>54</v>
      </c>
      <c r="C34" s="9">
        <v>2.4</v>
      </c>
      <c r="D34" s="9">
        <v>1999</v>
      </c>
      <c r="E34" s="9">
        <v>4</v>
      </c>
      <c r="F34" s="9" t="s">
        <v>46</v>
      </c>
      <c r="G34" s="9" t="s">
        <v>35</v>
      </c>
      <c r="H34" s="9">
        <v>19</v>
      </c>
      <c r="I34" s="9">
        <v>27</v>
      </c>
      <c r="J34" s="9" t="s">
        <v>47</v>
      </c>
      <c r="K34" s="9" t="s">
        <v>43</v>
      </c>
    </row>
    <row r="35" spans="1:11" x14ac:dyDescent="0.2">
      <c r="A35" s="9" t="s">
        <v>44</v>
      </c>
      <c r="B35" s="9" t="s">
        <v>54</v>
      </c>
      <c r="C35" s="9">
        <v>2.4</v>
      </c>
      <c r="D35" s="9">
        <v>2008</v>
      </c>
      <c r="E35" s="9">
        <v>4</v>
      </c>
      <c r="F35" s="9" t="s">
        <v>46</v>
      </c>
      <c r="G35" s="9" t="s">
        <v>35</v>
      </c>
      <c r="H35" s="9">
        <v>22</v>
      </c>
      <c r="I35" s="9">
        <v>30</v>
      </c>
      <c r="J35" s="9" t="s">
        <v>47</v>
      </c>
      <c r="K35" s="9" t="s">
        <v>43</v>
      </c>
    </row>
    <row r="36" spans="1:11" x14ac:dyDescent="0.2">
      <c r="A36" s="9" t="s">
        <v>44</v>
      </c>
      <c r="B36" s="9" t="s">
        <v>54</v>
      </c>
      <c r="C36" s="9">
        <v>3.1</v>
      </c>
      <c r="D36" s="9">
        <v>1999</v>
      </c>
      <c r="E36" s="9">
        <v>6</v>
      </c>
      <c r="F36" s="9" t="s">
        <v>46</v>
      </c>
      <c r="G36" s="9" t="s">
        <v>35</v>
      </c>
      <c r="H36" s="9">
        <v>18</v>
      </c>
      <c r="I36" s="9">
        <v>26</v>
      </c>
      <c r="J36" s="9" t="s">
        <v>47</v>
      </c>
      <c r="K36" s="9" t="s">
        <v>43</v>
      </c>
    </row>
    <row r="37" spans="1:11" x14ac:dyDescent="0.2">
      <c r="A37" s="9" t="s">
        <v>44</v>
      </c>
      <c r="B37" s="9" t="s">
        <v>54</v>
      </c>
      <c r="C37" s="9">
        <v>3.5</v>
      </c>
      <c r="D37" s="9">
        <v>2008</v>
      </c>
      <c r="E37" s="9">
        <v>6</v>
      </c>
      <c r="F37" s="9" t="s">
        <v>46</v>
      </c>
      <c r="G37" s="9" t="s">
        <v>35</v>
      </c>
      <c r="H37" s="9">
        <v>18</v>
      </c>
      <c r="I37" s="9">
        <v>29</v>
      </c>
      <c r="J37" s="9" t="s">
        <v>47</v>
      </c>
      <c r="K37" s="9" t="s">
        <v>43</v>
      </c>
    </row>
    <row r="38" spans="1:11" x14ac:dyDescent="0.2">
      <c r="A38" s="9" t="s">
        <v>44</v>
      </c>
      <c r="B38" s="9" t="s">
        <v>54</v>
      </c>
      <c r="C38" s="9">
        <v>3.6</v>
      </c>
      <c r="D38" s="9">
        <v>2008</v>
      </c>
      <c r="E38" s="9">
        <v>6</v>
      </c>
      <c r="F38" s="9" t="s">
        <v>41</v>
      </c>
      <c r="G38" s="9" t="s">
        <v>35</v>
      </c>
      <c r="H38" s="9">
        <v>17</v>
      </c>
      <c r="I38" s="9">
        <v>26</v>
      </c>
      <c r="J38" s="9" t="s">
        <v>47</v>
      </c>
      <c r="K38" s="9" t="s">
        <v>43</v>
      </c>
    </row>
    <row r="39" spans="1:11" x14ac:dyDescent="0.2">
      <c r="A39" s="9" t="s">
        <v>55</v>
      </c>
      <c r="B39" s="9" t="s">
        <v>56</v>
      </c>
      <c r="C39" s="9">
        <v>2.4</v>
      </c>
      <c r="D39" s="9">
        <v>1999</v>
      </c>
      <c r="E39" s="9">
        <v>4</v>
      </c>
      <c r="F39" s="9" t="s">
        <v>57</v>
      </c>
      <c r="G39" s="9" t="s">
        <v>35</v>
      </c>
      <c r="H39" s="9">
        <v>18</v>
      </c>
      <c r="I39" s="9">
        <v>24</v>
      </c>
      <c r="J39" s="9" t="s">
        <v>47</v>
      </c>
      <c r="K39" s="9" t="s">
        <v>58</v>
      </c>
    </row>
    <row r="40" spans="1:11" x14ac:dyDescent="0.2">
      <c r="A40" s="9" t="s">
        <v>55</v>
      </c>
      <c r="B40" s="9" t="s">
        <v>56</v>
      </c>
      <c r="C40" s="9">
        <v>3</v>
      </c>
      <c r="D40" s="9">
        <v>1999</v>
      </c>
      <c r="E40" s="9">
        <v>6</v>
      </c>
      <c r="F40" s="9" t="s">
        <v>46</v>
      </c>
      <c r="G40" s="9" t="s">
        <v>35</v>
      </c>
      <c r="H40" s="9">
        <v>17</v>
      </c>
      <c r="I40" s="9">
        <v>24</v>
      </c>
      <c r="J40" s="9" t="s">
        <v>47</v>
      </c>
      <c r="K40" s="9" t="s">
        <v>58</v>
      </c>
    </row>
    <row r="41" spans="1:11" x14ac:dyDescent="0.2">
      <c r="A41" s="9" t="s">
        <v>55</v>
      </c>
      <c r="B41" s="9" t="s">
        <v>56</v>
      </c>
      <c r="C41" s="9">
        <v>3.3</v>
      </c>
      <c r="D41" s="9">
        <v>1999</v>
      </c>
      <c r="E41" s="9">
        <v>6</v>
      </c>
      <c r="F41" s="9" t="s">
        <v>46</v>
      </c>
      <c r="G41" s="9" t="s">
        <v>35</v>
      </c>
      <c r="H41" s="9">
        <v>16</v>
      </c>
      <c r="I41" s="9">
        <v>22</v>
      </c>
      <c r="J41" s="9" t="s">
        <v>47</v>
      </c>
      <c r="K41" s="9" t="s">
        <v>58</v>
      </c>
    </row>
    <row r="42" spans="1:11" x14ac:dyDescent="0.2">
      <c r="A42" s="9" t="s">
        <v>55</v>
      </c>
      <c r="B42" s="9" t="s">
        <v>56</v>
      </c>
      <c r="C42" s="9">
        <v>3.3</v>
      </c>
      <c r="D42" s="9">
        <v>1999</v>
      </c>
      <c r="E42" s="9">
        <v>6</v>
      </c>
      <c r="F42" s="9" t="s">
        <v>46</v>
      </c>
      <c r="G42" s="9" t="s">
        <v>35</v>
      </c>
      <c r="H42" s="9">
        <v>16</v>
      </c>
      <c r="I42" s="9">
        <v>22</v>
      </c>
      <c r="J42" s="9" t="s">
        <v>47</v>
      </c>
      <c r="K42" s="9" t="s">
        <v>58</v>
      </c>
    </row>
    <row r="43" spans="1:11" x14ac:dyDescent="0.2">
      <c r="A43" s="9" t="s">
        <v>55</v>
      </c>
      <c r="B43" s="9" t="s">
        <v>56</v>
      </c>
      <c r="C43" s="9">
        <v>3.3</v>
      </c>
      <c r="D43" s="9">
        <v>2008</v>
      </c>
      <c r="E43" s="9">
        <v>6</v>
      </c>
      <c r="F43" s="9" t="s">
        <v>46</v>
      </c>
      <c r="G43" s="9" t="s">
        <v>35</v>
      </c>
      <c r="H43" s="9">
        <v>17</v>
      </c>
      <c r="I43" s="9">
        <v>24</v>
      </c>
      <c r="J43" s="9" t="s">
        <v>47</v>
      </c>
      <c r="K43" s="9" t="s">
        <v>58</v>
      </c>
    </row>
    <row r="44" spans="1:11" x14ac:dyDescent="0.2">
      <c r="A44" s="9" t="s">
        <v>55</v>
      </c>
      <c r="B44" s="9" t="s">
        <v>56</v>
      </c>
      <c r="C44" s="9">
        <v>3.3</v>
      </c>
      <c r="D44" s="9">
        <v>2008</v>
      </c>
      <c r="E44" s="9">
        <v>6</v>
      </c>
      <c r="F44" s="9" t="s">
        <v>46</v>
      </c>
      <c r="G44" s="9" t="s">
        <v>35</v>
      </c>
      <c r="H44" s="9">
        <v>17</v>
      </c>
      <c r="I44" s="9">
        <v>24</v>
      </c>
      <c r="J44" s="9" t="s">
        <v>47</v>
      </c>
      <c r="K44" s="9" t="s">
        <v>58</v>
      </c>
    </row>
    <row r="45" spans="1:11" x14ac:dyDescent="0.2">
      <c r="A45" s="9" t="s">
        <v>55</v>
      </c>
      <c r="B45" s="9" t="s">
        <v>56</v>
      </c>
      <c r="C45" s="9">
        <v>3.3</v>
      </c>
      <c r="D45" s="9">
        <v>2008</v>
      </c>
      <c r="E45" s="9">
        <v>6</v>
      </c>
      <c r="F45" s="9" t="s">
        <v>46</v>
      </c>
      <c r="G45" s="9" t="s">
        <v>35</v>
      </c>
      <c r="H45" s="9">
        <v>11</v>
      </c>
      <c r="I45" s="9">
        <v>17</v>
      </c>
      <c r="J45" s="9" t="s">
        <v>49</v>
      </c>
      <c r="K45" s="9" t="s">
        <v>58</v>
      </c>
    </row>
    <row r="46" spans="1:11" x14ac:dyDescent="0.2">
      <c r="A46" s="9" t="s">
        <v>55</v>
      </c>
      <c r="B46" s="9" t="s">
        <v>56</v>
      </c>
      <c r="C46" s="9">
        <v>3.8</v>
      </c>
      <c r="D46" s="9">
        <v>1999</v>
      </c>
      <c r="E46" s="9">
        <v>6</v>
      </c>
      <c r="F46" s="9" t="s">
        <v>46</v>
      </c>
      <c r="G46" s="9" t="s">
        <v>35</v>
      </c>
      <c r="H46" s="9">
        <v>15</v>
      </c>
      <c r="I46" s="9">
        <v>22</v>
      </c>
      <c r="J46" s="9" t="s">
        <v>47</v>
      </c>
      <c r="K46" s="9" t="s">
        <v>58</v>
      </c>
    </row>
    <row r="47" spans="1:11" x14ac:dyDescent="0.2">
      <c r="A47" s="9" t="s">
        <v>55</v>
      </c>
      <c r="B47" s="9" t="s">
        <v>56</v>
      </c>
      <c r="C47" s="9">
        <v>3.8</v>
      </c>
      <c r="D47" s="9">
        <v>1999</v>
      </c>
      <c r="E47" s="9">
        <v>6</v>
      </c>
      <c r="F47" s="9" t="s">
        <v>46</v>
      </c>
      <c r="G47" s="9" t="s">
        <v>35</v>
      </c>
      <c r="H47" s="9">
        <v>15</v>
      </c>
      <c r="I47" s="9">
        <v>21</v>
      </c>
      <c r="J47" s="9" t="s">
        <v>47</v>
      </c>
      <c r="K47" s="9" t="s">
        <v>58</v>
      </c>
    </row>
    <row r="48" spans="1:11" x14ac:dyDescent="0.2">
      <c r="A48" s="9" t="s">
        <v>55</v>
      </c>
      <c r="B48" s="9" t="s">
        <v>56</v>
      </c>
      <c r="C48" s="9">
        <v>3.8</v>
      </c>
      <c r="D48" s="9">
        <v>2008</v>
      </c>
      <c r="E48" s="9">
        <v>6</v>
      </c>
      <c r="F48" s="9" t="s">
        <v>59</v>
      </c>
      <c r="G48" s="9" t="s">
        <v>35</v>
      </c>
      <c r="H48" s="9">
        <v>16</v>
      </c>
      <c r="I48" s="9">
        <v>23</v>
      </c>
      <c r="J48" s="9" t="s">
        <v>47</v>
      </c>
      <c r="K48" s="9" t="s">
        <v>58</v>
      </c>
    </row>
    <row r="49" spans="1:11" x14ac:dyDescent="0.2">
      <c r="A49" s="9" t="s">
        <v>55</v>
      </c>
      <c r="B49" s="9" t="s">
        <v>56</v>
      </c>
      <c r="C49" s="9">
        <v>4</v>
      </c>
      <c r="D49" s="9">
        <v>2008</v>
      </c>
      <c r="E49" s="9">
        <v>6</v>
      </c>
      <c r="F49" s="9" t="s">
        <v>59</v>
      </c>
      <c r="G49" s="9" t="s">
        <v>35</v>
      </c>
      <c r="H49" s="9">
        <v>16</v>
      </c>
      <c r="I49" s="9">
        <v>23</v>
      </c>
      <c r="J49" s="9" t="s">
        <v>47</v>
      </c>
      <c r="K49" s="9" t="s">
        <v>58</v>
      </c>
    </row>
    <row r="50" spans="1:11" x14ac:dyDescent="0.2">
      <c r="A50" s="9" t="s">
        <v>55</v>
      </c>
      <c r="B50" s="9" t="s">
        <v>60</v>
      </c>
      <c r="C50" s="9">
        <v>3.7</v>
      </c>
      <c r="D50" s="9">
        <v>2008</v>
      </c>
      <c r="E50" s="9">
        <v>6</v>
      </c>
      <c r="F50" s="9" t="s">
        <v>38</v>
      </c>
      <c r="G50" s="9">
        <v>4</v>
      </c>
      <c r="H50" s="9">
        <v>15</v>
      </c>
      <c r="I50" s="9">
        <v>19</v>
      </c>
      <c r="J50" s="9" t="s">
        <v>47</v>
      </c>
      <c r="K50" s="9" t="s">
        <v>61</v>
      </c>
    </row>
    <row r="51" spans="1:11" x14ac:dyDescent="0.2">
      <c r="A51" s="9" t="s">
        <v>55</v>
      </c>
      <c r="B51" s="9" t="s">
        <v>60</v>
      </c>
      <c r="C51" s="9">
        <v>3.7</v>
      </c>
      <c r="D51" s="9">
        <v>2008</v>
      </c>
      <c r="E51" s="9">
        <v>6</v>
      </c>
      <c r="F51" s="9" t="s">
        <v>46</v>
      </c>
      <c r="G51" s="9">
        <v>4</v>
      </c>
      <c r="H51" s="9">
        <v>14</v>
      </c>
      <c r="I51" s="9">
        <v>18</v>
      </c>
      <c r="J51" s="9" t="s">
        <v>47</v>
      </c>
      <c r="K51" s="9" t="s">
        <v>61</v>
      </c>
    </row>
    <row r="52" spans="1:11" x14ac:dyDescent="0.2">
      <c r="A52" s="9" t="s">
        <v>55</v>
      </c>
      <c r="B52" s="9" t="s">
        <v>60</v>
      </c>
      <c r="C52" s="9">
        <v>3.9</v>
      </c>
      <c r="D52" s="9">
        <v>1999</v>
      </c>
      <c r="E52" s="9">
        <v>6</v>
      </c>
      <c r="F52" s="9" t="s">
        <v>46</v>
      </c>
      <c r="G52" s="9">
        <v>4</v>
      </c>
      <c r="H52" s="9">
        <v>13</v>
      </c>
      <c r="I52" s="9">
        <v>17</v>
      </c>
      <c r="J52" s="9" t="s">
        <v>47</v>
      </c>
      <c r="K52" s="9" t="s">
        <v>61</v>
      </c>
    </row>
    <row r="53" spans="1:11" x14ac:dyDescent="0.2">
      <c r="A53" s="9" t="s">
        <v>55</v>
      </c>
      <c r="B53" s="9" t="s">
        <v>60</v>
      </c>
      <c r="C53" s="9">
        <v>3.9</v>
      </c>
      <c r="D53" s="9">
        <v>1999</v>
      </c>
      <c r="E53" s="9">
        <v>6</v>
      </c>
      <c r="F53" s="9" t="s">
        <v>37</v>
      </c>
      <c r="G53" s="9">
        <v>4</v>
      </c>
      <c r="H53" s="9">
        <v>14</v>
      </c>
      <c r="I53" s="9">
        <v>17</v>
      </c>
      <c r="J53" s="9" t="s">
        <v>47</v>
      </c>
      <c r="K53" s="9" t="s">
        <v>61</v>
      </c>
    </row>
    <row r="54" spans="1:11" x14ac:dyDescent="0.2">
      <c r="A54" s="9" t="s">
        <v>55</v>
      </c>
      <c r="B54" s="9" t="s">
        <v>60</v>
      </c>
      <c r="C54" s="9">
        <v>4.7</v>
      </c>
      <c r="D54" s="9">
        <v>2008</v>
      </c>
      <c r="E54" s="9">
        <v>8</v>
      </c>
      <c r="F54" s="9" t="s">
        <v>34</v>
      </c>
      <c r="G54" s="9">
        <v>4</v>
      </c>
      <c r="H54" s="9">
        <v>14</v>
      </c>
      <c r="I54" s="9">
        <v>19</v>
      </c>
      <c r="J54" s="9" t="s">
        <v>47</v>
      </c>
      <c r="K54" s="9" t="s">
        <v>61</v>
      </c>
    </row>
    <row r="55" spans="1:11" x14ac:dyDescent="0.2">
      <c r="A55" s="9" t="s">
        <v>55</v>
      </c>
      <c r="B55" s="9" t="s">
        <v>60</v>
      </c>
      <c r="C55" s="9">
        <v>4.7</v>
      </c>
      <c r="D55" s="9">
        <v>2008</v>
      </c>
      <c r="E55" s="9">
        <v>8</v>
      </c>
      <c r="F55" s="9" t="s">
        <v>34</v>
      </c>
      <c r="G55" s="9">
        <v>4</v>
      </c>
      <c r="H55" s="9">
        <v>14</v>
      </c>
      <c r="I55" s="9">
        <v>19</v>
      </c>
      <c r="J55" s="9" t="s">
        <v>47</v>
      </c>
      <c r="K55" s="9" t="s">
        <v>61</v>
      </c>
    </row>
    <row r="56" spans="1:11" x14ac:dyDescent="0.2">
      <c r="A56" s="9" t="s">
        <v>55</v>
      </c>
      <c r="B56" s="9" t="s">
        <v>60</v>
      </c>
      <c r="C56" s="9">
        <v>4.7</v>
      </c>
      <c r="D56" s="9">
        <v>2008</v>
      </c>
      <c r="E56" s="9">
        <v>8</v>
      </c>
      <c r="F56" s="9" t="s">
        <v>34</v>
      </c>
      <c r="G56" s="9">
        <v>4</v>
      </c>
      <c r="H56" s="9">
        <v>9</v>
      </c>
      <c r="I56" s="9">
        <v>12</v>
      </c>
      <c r="J56" s="9" t="s">
        <v>49</v>
      </c>
      <c r="K56" s="9" t="s">
        <v>61</v>
      </c>
    </row>
    <row r="57" spans="1:11" x14ac:dyDescent="0.2">
      <c r="A57" s="9" t="s">
        <v>55</v>
      </c>
      <c r="B57" s="9" t="s">
        <v>60</v>
      </c>
      <c r="C57" s="9">
        <v>5.2</v>
      </c>
      <c r="D57" s="9">
        <v>1999</v>
      </c>
      <c r="E57" s="9">
        <v>8</v>
      </c>
      <c r="F57" s="9" t="s">
        <v>37</v>
      </c>
      <c r="G57" s="9">
        <v>4</v>
      </c>
      <c r="H57" s="9">
        <v>11</v>
      </c>
      <c r="I57" s="9">
        <v>17</v>
      </c>
      <c r="J57" s="9" t="s">
        <v>47</v>
      </c>
      <c r="K57" s="9" t="s">
        <v>61</v>
      </c>
    </row>
    <row r="58" spans="1:11" x14ac:dyDescent="0.2">
      <c r="A58" s="9" t="s">
        <v>55</v>
      </c>
      <c r="B58" s="9" t="s">
        <v>60</v>
      </c>
      <c r="C58" s="9">
        <v>5.2</v>
      </c>
      <c r="D58" s="9">
        <v>1999</v>
      </c>
      <c r="E58" s="9">
        <v>8</v>
      </c>
      <c r="F58" s="9" t="s">
        <v>46</v>
      </c>
      <c r="G58" s="9">
        <v>4</v>
      </c>
      <c r="H58" s="9">
        <v>11</v>
      </c>
      <c r="I58" s="9">
        <v>15</v>
      </c>
      <c r="J58" s="9" t="s">
        <v>47</v>
      </c>
      <c r="K58" s="9" t="s">
        <v>61</v>
      </c>
    </row>
    <row r="59" spans="1:11" x14ac:dyDescent="0.2">
      <c r="A59" s="9" t="s">
        <v>55</v>
      </c>
      <c r="B59" s="9" t="s">
        <v>62</v>
      </c>
      <c r="C59" s="9">
        <v>3.9</v>
      </c>
      <c r="D59" s="9">
        <v>1999</v>
      </c>
      <c r="E59" s="9">
        <v>6</v>
      </c>
      <c r="F59" s="9" t="s">
        <v>46</v>
      </c>
      <c r="G59" s="9">
        <v>4</v>
      </c>
      <c r="H59" s="9">
        <v>13</v>
      </c>
      <c r="I59" s="9">
        <v>17</v>
      </c>
      <c r="J59" s="9" t="s">
        <v>47</v>
      </c>
      <c r="K59" s="9" t="s">
        <v>48</v>
      </c>
    </row>
    <row r="60" spans="1:11" x14ac:dyDescent="0.2">
      <c r="A60" s="9" t="s">
        <v>55</v>
      </c>
      <c r="B60" s="9" t="s">
        <v>62</v>
      </c>
      <c r="C60" s="9">
        <v>4.7</v>
      </c>
      <c r="D60" s="9">
        <v>2008</v>
      </c>
      <c r="E60" s="9">
        <v>8</v>
      </c>
      <c r="F60" s="9" t="s">
        <v>34</v>
      </c>
      <c r="G60" s="9">
        <v>4</v>
      </c>
      <c r="H60" s="9">
        <v>13</v>
      </c>
      <c r="I60" s="9">
        <v>17</v>
      </c>
      <c r="J60" s="9" t="s">
        <v>47</v>
      </c>
      <c r="K60" s="9" t="s">
        <v>48</v>
      </c>
    </row>
    <row r="61" spans="1:11" x14ac:dyDescent="0.2">
      <c r="A61" s="9" t="s">
        <v>55</v>
      </c>
      <c r="B61" s="9" t="s">
        <v>62</v>
      </c>
      <c r="C61" s="9">
        <v>4.7</v>
      </c>
      <c r="D61" s="9">
        <v>2008</v>
      </c>
      <c r="E61" s="9">
        <v>8</v>
      </c>
      <c r="F61" s="9" t="s">
        <v>34</v>
      </c>
      <c r="G61" s="9">
        <v>4</v>
      </c>
      <c r="H61" s="9">
        <v>9</v>
      </c>
      <c r="I61" s="9">
        <v>12</v>
      </c>
      <c r="J61" s="9" t="s">
        <v>49</v>
      </c>
      <c r="K61" s="9" t="s">
        <v>48</v>
      </c>
    </row>
    <row r="62" spans="1:11" x14ac:dyDescent="0.2">
      <c r="A62" s="9" t="s">
        <v>55</v>
      </c>
      <c r="B62" s="9" t="s">
        <v>62</v>
      </c>
      <c r="C62" s="9">
        <v>4.7</v>
      </c>
      <c r="D62" s="9">
        <v>2008</v>
      </c>
      <c r="E62" s="9">
        <v>8</v>
      </c>
      <c r="F62" s="9" t="s">
        <v>34</v>
      </c>
      <c r="G62" s="9">
        <v>4</v>
      </c>
      <c r="H62" s="9">
        <v>13</v>
      </c>
      <c r="I62" s="9">
        <v>17</v>
      </c>
      <c r="J62" s="9" t="s">
        <v>47</v>
      </c>
      <c r="K62" s="9" t="s">
        <v>48</v>
      </c>
    </row>
    <row r="63" spans="1:11" x14ac:dyDescent="0.2">
      <c r="A63" s="9" t="s">
        <v>55</v>
      </c>
      <c r="B63" s="9" t="s">
        <v>62</v>
      </c>
      <c r="C63" s="9">
        <v>5.2</v>
      </c>
      <c r="D63" s="9">
        <v>1999</v>
      </c>
      <c r="E63" s="9">
        <v>8</v>
      </c>
      <c r="F63" s="9" t="s">
        <v>46</v>
      </c>
      <c r="G63" s="9">
        <v>4</v>
      </c>
      <c r="H63" s="9">
        <v>11</v>
      </c>
      <c r="I63" s="9">
        <v>16</v>
      </c>
      <c r="J63" s="9" t="s">
        <v>47</v>
      </c>
      <c r="K63" s="9" t="s">
        <v>48</v>
      </c>
    </row>
    <row r="64" spans="1:11" x14ac:dyDescent="0.2">
      <c r="A64" s="9" t="s">
        <v>55</v>
      </c>
      <c r="B64" s="9" t="s">
        <v>62</v>
      </c>
      <c r="C64" s="9">
        <v>5.7</v>
      </c>
      <c r="D64" s="9">
        <v>2008</v>
      </c>
      <c r="E64" s="9">
        <v>8</v>
      </c>
      <c r="F64" s="9" t="s">
        <v>34</v>
      </c>
      <c r="G64" s="9">
        <v>4</v>
      </c>
      <c r="H64" s="9">
        <v>13</v>
      </c>
      <c r="I64" s="9">
        <v>18</v>
      </c>
      <c r="J64" s="9" t="s">
        <v>47</v>
      </c>
      <c r="K64" s="9" t="s">
        <v>48</v>
      </c>
    </row>
    <row r="65" spans="1:11" x14ac:dyDescent="0.2">
      <c r="A65" s="9" t="s">
        <v>55</v>
      </c>
      <c r="B65" s="9" t="s">
        <v>62</v>
      </c>
      <c r="C65" s="9">
        <v>5.9</v>
      </c>
      <c r="D65" s="9">
        <v>1999</v>
      </c>
      <c r="E65" s="9">
        <v>8</v>
      </c>
      <c r="F65" s="9" t="s">
        <v>46</v>
      </c>
      <c r="G65" s="9">
        <v>4</v>
      </c>
      <c r="H65" s="9">
        <v>11</v>
      </c>
      <c r="I65" s="9">
        <v>15</v>
      </c>
      <c r="J65" s="9" t="s">
        <v>47</v>
      </c>
      <c r="K65" s="9" t="s">
        <v>48</v>
      </c>
    </row>
    <row r="66" spans="1:11" x14ac:dyDescent="0.2">
      <c r="A66" s="9" t="s">
        <v>55</v>
      </c>
      <c r="B66" s="9" t="s">
        <v>63</v>
      </c>
      <c r="C66" s="9">
        <v>4.7</v>
      </c>
      <c r="D66" s="9">
        <v>2008</v>
      </c>
      <c r="E66" s="9">
        <v>8</v>
      </c>
      <c r="F66" s="9" t="s">
        <v>38</v>
      </c>
      <c r="G66" s="9">
        <v>4</v>
      </c>
      <c r="H66" s="9">
        <v>12</v>
      </c>
      <c r="I66" s="9">
        <v>16</v>
      </c>
      <c r="J66" s="9" t="s">
        <v>47</v>
      </c>
      <c r="K66" s="9" t="s">
        <v>61</v>
      </c>
    </row>
    <row r="67" spans="1:11" x14ac:dyDescent="0.2">
      <c r="A67" s="9" t="s">
        <v>55</v>
      </c>
      <c r="B67" s="9" t="s">
        <v>63</v>
      </c>
      <c r="C67" s="9">
        <v>4.7</v>
      </c>
      <c r="D67" s="9">
        <v>2008</v>
      </c>
      <c r="E67" s="9">
        <v>8</v>
      </c>
      <c r="F67" s="9" t="s">
        <v>34</v>
      </c>
      <c r="G67" s="9">
        <v>4</v>
      </c>
      <c r="H67" s="9">
        <v>9</v>
      </c>
      <c r="I67" s="9">
        <v>12</v>
      </c>
      <c r="J67" s="9" t="s">
        <v>49</v>
      </c>
      <c r="K67" s="9" t="s">
        <v>61</v>
      </c>
    </row>
    <row r="68" spans="1:11" x14ac:dyDescent="0.2">
      <c r="A68" s="9" t="s">
        <v>55</v>
      </c>
      <c r="B68" s="9" t="s">
        <v>63</v>
      </c>
      <c r="C68" s="9">
        <v>4.7</v>
      </c>
      <c r="D68" s="9">
        <v>2008</v>
      </c>
      <c r="E68" s="9">
        <v>8</v>
      </c>
      <c r="F68" s="9" t="s">
        <v>34</v>
      </c>
      <c r="G68" s="9">
        <v>4</v>
      </c>
      <c r="H68" s="9">
        <v>13</v>
      </c>
      <c r="I68" s="9">
        <v>17</v>
      </c>
      <c r="J68" s="9" t="s">
        <v>47</v>
      </c>
      <c r="K68" s="9" t="s">
        <v>61</v>
      </c>
    </row>
    <row r="69" spans="1:11" x14ac:dyDescent="0.2">
      <c r="A69" s="9" t="s">
        <v>55</v>
      </c>
      <c r="B69" s="9" t="s">
        <v>63</v>
      </c>
      <c r="C69" s="9">
        <v>4.7</v>
      </c>
      <c r="D69" s="9">
        <v>2008</v>
      </c>
      <c r="E69" s="9">
        <v>8</v>
      </c>
      <c r="F69" s="9" t="s">
        <v>34</v>
      </c>
      <c r="G69" s="9">
        <v>4</v>
      </c>
      <c r="H69" s="9">
        <v>13</v>
      </c>
      <c r="I69" s="9">
        <v>17</v>
      </c>
      <c r="J69" s="9" t="s">
        <v>47</v>
      </c>
      <c r="K69" s="9" t="s">
        <v>61</v>
      </c>
    </row>
    <row r="70" spans="1:11" x14ac:dyDescent="0.2">
      <c r="A70" s="9" t="s">
        <v>55</v>
      </c>
      <c r="B70" s="9" t="s">
        <v>63</v>
      </c>
      <c r="C70" s="9">
        <v>4.7</v>
      </c>
      <c r="D70" s="9">
        <v>2008</v>
      </c>
      <c r="E70" s="9">
        <v>8</v>
      </c>
      <c r="F70" s="9" t="s">
        <v>38</v>
      </c>
      <c r="G70" s="9">
        <v>4</v>
      </c>
      <c r="H70" s="9">
        <v>12</v>
      </c>
      <c r="I70" s="9">
        <v>16</v>
      </c>
      <c r="J70" s="9" t="s">
        <v>47</v>
      </c>
      <c r="K70" s="9" t="s">
        <v>61</v>
      </c>
    </row>
    <row r="71" spans="1:11" x14ac:dyDescent="0.2">
      <c r="A71" s="9" t="s">
        <v>55</v>
      </c>
      <c r="B71" s="9" t="s">
        <v>63</v>
      </c>
      <c r="C71" s="9">
        <v>4.7</v>
      </c>
      <c r="D71" s="9">
        <v>2008</v>
      </c>
      <c r="E71" s="9">
        <v>8</v>
      </c>
      <c r="F71" s="9" t="s">
        <v>38</v>
      </c>
      <c r="G71" s="9">
        <v>4</v>
      </c>
      <c r="H71" s="9">
        <v>9</v>
      </c>
      <c r="I71" s="9">
        <v>12</v>
      </c>
      <c r="J71" s="9" t="s">
        <v>49</v>
      </c>
      <c r="K71" s="9" t="s">
        <v>61</v>
      </c>
    </row>
    <row r="72" spans="1:11" x14ac:dyDescent="0.2">
      <c r="A72" s="9" t="s">
        <v>55</v>
      </c>
      <c r="B72" s="9" t="s">
        <v>63</v>
      </c>
      <c r="C72" s="9">
        <v>5.2</v>
      </c>
      <c r="D72" s="9">
        <v>1999</v>
      </c>
      <c r="E72" s="9">
        <v>8</v>
      </c>
      <c r="F72" s="9" t="s">
        <v>46</v>
      </c>
      <c r="G72" s="9">
        <v>4</v>
      </c>
      <c r="H72" s="9">
        <v>11</v>
      </c>
      <c r="I72" s="9">
        <v>15</v>
      </c>
      <c r="J72" s="9" t="s">
        <v>47</v>
      </c>
      <c r="K72" s="9" t="s">
        <v>61</v>
      </c>
    </row>
    <row r="73" spans="1:11" x14ac:dyDescent="0.2">
      <c r="A73" s="9" t="s">
        <v>55</v>
      </c>
      <c r="B73" s="9" t="s">
        <v>63</v>
      </c>
      <c r="C73" s="9">
        <v>5.2</v>
      </c>
      <c r="D73" s="9">
        <v>1999</v>
      </c>
      <c r="E73" s="9">
        <v>8</v>
      </c>
      <c r="F73" s="9" t="s">
        <v>37</v>
      </c>
      <c r="G73" s="9">
        <v>4</v>
      </c>
      <c r="H73" s="9">
        <v>11</v>
      </c>
      <c r="I73" s="9">
        <v>16</v>
      </c>
      <c r="J73" s="9" t="s">
        <v>47</v>
      </c>
      <c r="K73" s="9" t="s">
        <v>61</v>
      </c>
    </row>
    <row r="74" spans="1:11" x14ac:dyDescent="0.2">
      <c r="A74" s="9" t="s">
        <v>55</v>
      </c>
      <c r="B74" s="9" t="s">
        <v>63</v>
      </c>
      <c r="C74" s="9">
        <v>5.7</v>
      </c>
      <c r="D74" s="9">
        <v>2008</v>
      </c>
      <c r="E74" s="9">
        <v>8</v>
      </c>
      <c r="F74" s="9" t="s">
        <v>34</v>
      </c>
      <c r="G74" s="9">
        <v>4</v>
      </c>
      <c r="H74" s="9">
        <v>13</v>
      </c>
      <c r="I74" s="9">
        <v>17</v>
      </c>
      <c r="J74" s="9" t="s">
        <v>47</v>
      </c>
      <c r="K74" s="9" t="s">
        <v>61</v>
      </c>
    </row>
    <row r="75" spans="1:11" x14ac:dyDescent="0.2">
      <c r="A75" s="9" t="s">
        <v>55</v>
      </c>
      <c r="B75" s="9" t="s">
        <v>63</v>
      </c>
      <c r="C75" s="9">
        <v>5.9</v>
      </c>
      <c r="D75" s="9">
        <v>1999</v>
      </c>
      <c r="E75" s="9">
        <v>8</v>
      </c>
      <c r="F75" s="9" t="s">
        <v>46</v>
      </c>
      <c r="G75" s="9">
        <v>4</v>
      </c>
      <c r="H75" s="9">
        <v>11</v>
      </c>
      <c r="I75" s="9">
        <v>15</v>
      </c>
      <c r="J75" s="9" t="s">
        <v>47</v>
      </c>
      <c r="K75" s="9" t="s">
        <v>61</v>
      </c>
    </row>
    <row r="76" spans="1:11" x14ac:dyDescent="0.2">
      <c r="A76" s="9" t="s">
        <v>64</v>
      </c>
      <c r="B76" s="9" t="s">
        <v>65</v>
      </c>
      <c r="C76" s="9">
        <v>4.5999999999999996</v>
      </c>
      <c r="D76" s="9">
        <v>1999</v>
      </c>
      <c r="E76" s="9">
        <v>8</v>
      </c>
      <c r="F76" s="9" t="s">
        <v>46</v>
      </c>
      <c r="G76" s="9" t="s">
        <v>47</v>
      </c>
      <c r="H76" s="9">
        <v>11</v>
      </c>
      <c r="I76" s="9">
        <v>17</v>
      </c>
      <c r="J76" s="9" t="s">
        <v>47</v>
      </c>
      <c r="K76" s="9" t="s">
        <v>48</v>
      </c>
    </row>
    <row r="77" spans="1:11" x14ac:dyDescent="0.2">
      <c r="A77" s="9" t="s">
        <v>64</v>
      </c>
      <c r="B77" s="9" t="s">
        <v>65</v>
      </c>
      <c r="C77" s="9">
        <v>5.4</v>
      </c>
      <c r="D77" s="9">
        <v>1999</v>
      </c>
      <c r="E77" s="9">
        <v>8</v>
      </c>
      <c r="F77" s="9" t="s">
        <v>46</v>
      </c>
      <c r="G77" s="9" t="s">
        <v>47</v>
      </c>
      <c r="H77" s="9">
        <v>11</v>
      </c>
      <c r="I77" s="9">
        <v>17</v>
      </c>
      <c r="J77" s="9" t="s">
        <v>47</v>
      </c>
      <c r="K77" s="9" t="s">
        <v>48</v>
      </c>
    </row>
    <row r="78" spans="1:11" x14ac:dyDescent="0.2">
      <c r="A78" s="9" t="s">
        <v>64</v>
      </c>
      <c r="B78" s="9" t="s">
        <v>65</v>
      </c>
      <c r="C78" s="9">
        <v>5.4</v>
      </c>
      <c r="D78" s="9">
        <v>2008</v>
      </c>
      <c r="E78" s="9">
        <v>8</v>
      </c>
      <c r="F78" s="9" t="s">
        <v>59</v>
      </c>
      <c r="G78" s="9" t="s">
        <v>47</v>
      </c>
      <c r="H78" s="9">
        <v>12</v>
      </c>
      <c r="I78" s="9">
        <v>18</v>
      </c>
      <c r="J78" s="9" t="s">
        <v>47</v>
      </c>
      <c r="K78" s="9" t="s">
        <v>48</v>
      </c>
    </row>
    <row r="79" spans="1:11" x14ac:dyDescent="0.2">
      <c r="A79" s="9" t="s">
        <v>64</v>
      </c>
      <c r="B79" s="9" t="s">
        <v>66</v>
      </c>
      <c r="C79" s="9">
        <v>4</v>
      </c>
      <c r="D79" s="9">
        <v>1999</v>
      </c>
      <c r="E79" s="9">
        <v>6</v>
      </c>
      <c r="F79" s="9" t="s">
        <v>34</v>
      </c>
      <c r="G79" s="9">
        <v>4</v>
      </c>
      <c r="H79" s="9">
        <v>14</v>
      </c>
      <c r="I79" s="9">
        <v>17</v>
      </c>
      <c r="J79" s="9" t="s">
        <v>47</v>
      </c>
      <c r="K79" s="9" t="s">
        <v>48</v>
      </c>
    </row>
    <row r="80" spans="1:11" x14ac:dyDescent="0.2">
      <c r="A80" s="9" t="s">
        <v>64</v>
      </c>
      <c r="B80" s="9" t="s">
        <v>66</v>
      </c>
      <c r="C80" s="9">
        <v>4</v>
      </c>
      <c r="D80" s="9">
        <v>1999</v>
      </c>
      <c r="E80" s="9">
        <v>6</v>
      </c>
      <c r="F80" s="9" t="s">
        <v>37</v>
      </c>
      <c r="G80" s="9">
        <v>4</v>
      </c>
      <c r="H80" s="9">
        <v>15</v>
      </c>
      <c r="I80" s="9">
        <v>19</v>
      </c>
      <c r="J80" s="9" t="s">
        <v>47</v>
      </c>
      <c r="K80" s="9" t="s">
        <v>48</v>
      </c>
    </row>
    <row r="81" spans="1:11" x14ac:dyDescent="0.2">
      <c r="A81" s="9" t="s">
        <v>64</v>
      </c>
      <c r="B81" s="9" t="s">
        <v>66</v>
      </c>
      <c r="C81" s="9">
        <v>4</v>
      </c>
      <c r="D81" s="9">
        <v>1999</v>
      </c>
      <c r="E81" s="9">
        <v>6</v>
      </c>
      <c r="F81" s="9" t="s">
        <v>34</v>
      </c>
      <c r="G81" s="9">
        <v>4</v>
      </c>
      <c r="H81" s="9">
        <v>14</v>
      </c>
      <c r="I81" s="9">
        <v>17</v>
      </c>
      <c r="J81" s="9" t="s">
        <v>47</v>
      </c>
      <c r="K81" s="9" t="s">
        <v>48</v>
      </c>
    </row>
    <row r="82" spans="1:11" x14ac:dyDescent="0.2">
      <c r="A82" s="9" t="s">
        <v>64</v>
      </c>
      <c r="B82" s="9" t="s">
        <v>66</v>
      </c>
      <c r="C82" s="9">
        <v>4</v>
      </c>
      <c r="D82" s="9">
        <v>2008</v>
      </c>
      <c r="E82" s="9">
        <v>6</v>
      </c>
      <c r="F82" s="9" t="s">
        <v>34</v>
      </c>
      <c r="G82" s="9">
        <v>4</v>
      </c>
      <c r="H82" s="9">
        <v>13</v>
      </c>
      <c r="I82" s="9">
        <v>19</v>
      </c>
      <c r="J82" s="9" t="s">
        <v>47</v>
      </c>
      <c r="K82" s="9" t="s">
        <v>48</v>
      </c>
    </row>
    <row r="83" spans="1:11" x14ac:dyDescent="0.2">
      <c r="A83" s="9" t="s">
        <v>64</v>
      </c>
      <c r="B83" s="9" t="s">
        <v>66</v>
      </c>
      <c r="C83" s="9">
        <v>4.5999999999999996</v>
      </c>
      <c r="D83" s="9">
        <v>2008</v>
      </c>
      <c r="E83" s="9">
        <v>8</v>
      </c>
      <c r="F83" s="9" t="s">
        <v>59</v>
      </c>
      <c r="G83" s="9">
        <v>4</v>
      </c>
      <c r="H83" s="9">
        <v>13</v>
      </c>
      <c r="I83" s="9">
        <v>19</v>
      </c>
      <c r="J83" s="9" t="s">
        <v>47</v>
      </c>
      <c r="K83" s="9" t="s">
        <v>48</v>
      </c>
    </row>
    <row r="84" spans="1:11" x14ac:dyDescent="0.2">
      <c r="A84" s="9" t="s">
        <v>64</v>
      </c>
      <c r="B84" s="9" t="s">
        <v>66</v>
      </c>
      <c r="C84" s="9">
        <v>5</v>
      </c>
      <c r="D84" s="9">
        <v>1999</v>
      </c>
      <c r="E84" s="9">
        <v>8</v>
      </c>
      <c r="F84" s="9" t="s">
        <v>46</v>
      </c>
      <c r="G84" s="9">
        <v>4</v>
      </c>
      <c r="H84" s="9">
        <v>13</v>
      </c>
      <c r="I84" s="9">
        <v>17</v>
      </c>
      <c r="J84" s="9" t="s">
        <v>47</v>
      </c>
      <c r="K84" s="9" t="s">
        <v>48</v>
      </c>
    </row>
    <row r="85" spans="1:11" x14ac:dyDescent="0.2">
      <c r="A85" s="9" t="s">
        <v>64</v>
      </c>
      <c r="B85" s="9" t="s">
        <v>67</v>
      </c>
      <c r="C85" s="9">
        <v>4.2</v>
      </c>
      <c r="D85" s="9">
        <v>1999</v>
      </c>
      <c r="E85" s="9">
        <v>6</v>
      </c>
      <c r="F85" s="9" t="s">
        <v>46</v>
      </c>
      <c r="G85" s="9">
        <v>4</v>
      </c>
      <c r="H85" s="9">
        <v>14</v>
      </c>
      <c r="I85" s="9">
        <v>17</v>
      </c>
      <c r="J85" s="9" t="s">
        <v>47</v>
      </c>
      <c r="K85" s="9" t="s">
        <v>61</v>
      </c>
    </row>
    <row r="86" spans="1:11" x14ac:dyDescent="0.2">
      <c r="A86" s="9" t="s">
        <v>64</v>
      </c>
      <c r="B86" s="9" t="s">
        <v>67</v>
      </c>
      <c r="C86" s="9">
        <v>4.2</v>
      </c>
      <c r="D86" s="9">
        <v>1999</v>
      </c>
      <c r="E86" s="9">
        <v>6</v>
      </c>
      <c r="F86" s="9" t="s">
        <v>37</v>
      </c>
      <c r="G86" s="9">
        <v>4</v>
      </c>
      <c r="H86" s="9">
        <v>14</v>
      </c>
      <c r="I86" s="9">
        <v>17</v>
      </c>
      <c r="J86" s="9" t="s">
        <v>47</v>
      </c>
      <c r="K86" s="9" t="s">
        <v>61</v>
      </c>
    </row>
    <row r="87" spans="1:11" x14ac:dyDescent="0.2">
      <c r="A87" s="9" t="s">
        <v>64</v>
      </c>
      <c r="B87" s="9" t="s">
        <v>67</v>
      </c>
      <c r="C87" s="9">
        <v>4.5999999999999996</v>
      </c>
      <c r="D87" s="9">
        <v>1999</v>
      </c>
      <c r="E87" s="9">
        <v>8</v>
      </c>
      <c r="F87" s="9" t="s">
        <v>37</v>
      </c>
      <c r="G87" s="9">
        <v>4</v>
      </c>
      <c r="H87" s="9">
        <v>13</v>
      </c>
      <c r="I87" s="9">
        <v>16</v>
      </c>
      <c r="J87" s="9" t="s">
        <v>47</v>
      </c>
      <c r="K87" s="9" t="s">
        <v>61</v>
      </c>
    </row>
    <row r="88" spans="1:11" x14ac:dyDescent="0.2">
      <c r="A88" s="9" t="s">
        <v>64</v>
      </c>
      <c r="B88" s="9" t="s">
        <v>67</v>
      </c>
      <c r="C88" s="9">
        <v>4.5999999999999996</v>
      </c>
      <c r="D88" s="9">
        <v>1999</v>
      </c>
      <c r="E88" s="9">
        <v>8</v>
      </c>
      <c r="F88" s="9" t="s">
        <v>46</v>
      </c>
      <c r="G88" s="9">
        <v>4</v>
      </c>
      <c r="H88" s="9">
        <v>13</v>
      </c>
      <c r="I88" s="9">
        <v>16</v>
      </c>
      <c r="J88" s="9" t="s">
        <v>47</v>
      </c>
      <c r="K88" s="9" t="s">
        <v>61</v>
      </c>
    </row>
    <row r="89" spans="1:11" x14ac:dyDescent="0.2">
      <c r="A89" s="9" t="s">
        <v>64</v>
      </c>
      <c r="B89" s="9" t="s">
        <v>67</v>
      </c>
      <c r="C89" s="9">
        <v>4.5999999999999996</v>
      </c>
      <c r="D89" s="9">
        <v>2008</v>
      </c>
      <c r="E89" s="9">
        <v>8</v>
      </c>
      <c r="F89" s="9" t="s">
        <v>46</v>
      </c>
      <c r="G89" s="9">
        <v>4</v>
      </c>
      <c r="H89" s="9">
        <v>13</v>
      </c>
      <c r="I89" s="9">
        <v>17</v>
      </c>
      <c r="J89" s="9" t="s">
        <v>47</v>
      </c>
      <c r="K89" s="9" t="s">
        <v>61</v>
      </c>
    </row>
    <row r="90" spans="1:11" x14ac:dyDescent="0.2">
      <c r="A90" s="9" t="s">
        <v>64</v>
      </c>
      <c r="B90" s="9" t="s">
        <v>67</v>
      </c>
      <c r="C90" s="9">
        <v>5.4</v>
      </c>
      <c r="D90" s="9">
        <v>1999</v>
      </c>
      <c r="E90" s="9">
        <v>8</v>
      </c>
      <c r="F90" s="9" t="s">
        <v>46</v>
      </c>
      <c r="G90" s="9">
        <v>4</v>
      </c>
      <c r="H90" s="9">
        <v>11</v>
      </c>
      <c r="I90" s="9">
        <v>15</v>
      </c>
      <c r="J90" s="9" t="s">
        <v>47</v>
      </c>
      <c r="K90" s="9" t="s">
        <v>61</v>
      </c>
    </row>
    <row r="91" spans="1:11" x14ac:dyDescent="0.2">
      <c r="A91" s="9" t="s">
        <v>64</v>
      </c>
      <c r="B91" s="9" t="s">
        <v>67</v>
      </c>
      <c r="C91" s="9">
        <v>5.4</v>
      </c>
      <c r="D91" s="9">
        <v>2008</v>
      </c>
      <c r="E91" s="9">
        <v>8</v>
      </c>
      <c r="F91" s="9" t="s">
        <v>46</v>
      </c>
      <c r="G91" s="9">
        <v>4</v>
      </c>
      <c r="H91" s="9">
        <v>13</v>
      </c>
      <c r="I91" s="9">
        <v>17</v>
      </c>
      <c r="J91" s="9" t="s">
        <v>47</v>
      </c>
      <c r="K91" s="9" t="s">
        <v>61</v>
      </c>
    </row>
    <row r="92" spans="1:11" x14ac:dyDescent="0.2">
      <c r="A92" s="9" t="s">
        <v>64</v>
      </c>
      <c r="B92" s="9" t="s">
        <v>68</v>
      </c>
      <c r="C92" s="9">
        <v>3.8</v>
      </c>
      <c r="D92" s="9">
        <v>1999</v>
      </c>
      <c r="E92" s="9">
        <v>6</v>
      </c>
      <c r="F92" s="9" t="s">
        <v>37</v>
      </c>
      <c r="G92" s="9" t="s">
        <v>47</v>
      </c>
      <c r="H92" s="9">
        <v>18</v>
      </c>
      <c r="I92" s="9">
        <v>26</v>
      </c>
      <c r="J92" s="9" t="s">
        <v>47</v>
      </c>
      <c r="K92" s="9" t="s">
        <v>69</v>
      </c>
    </row>
    <row r="93" spans="1:11" x14ac:dyDescent="0.2">
      <c r="A93" s="9" t="s">
        <v>64</v>
      </c>
      <c r="B93" s="9" t="s">
        <v>68</v>
      </c>
      <c r="C93" s="9">
        <v>3.8</v>
      </c>
      <c r="D93" s="9">
        <v>1999</v>
      </c>
      <c r="E93" s="9">
        <v>6</v>
      </c>
      <c r="F93" s="9" t="s">
        <v>46</v>
      </c>
      <c r="G93" s="9" t="s">
        <v>47</v>
      </c>
      <c r="H93" s="9">
        <v>18</v>
      </c>
      <c r="I93" s="9">
        <v>25</v>
      </c>
      <c r="J93" s="9" t="s">
        <v>47</v>
      </c>
      <c r="K93" s="9" t="s">
        <v>69</v>
      </c>
    </row>
    <row r="94" spans="1:11" x14ac:dyDescent="0.2">
      <c r="A94" s="9" t="s">
        <v>64</v>
      </c>
      <c r="B94" s="9" t="s">
        <v>68</v>
      </c>
      <c r="C94" s="9">
        <v>4</v>
      </c>
      <c r="D94" s="9">
        <v>2008</v>
      </c>
      <c r="E94" s="9">
        <v>6</v>
      </c>
      <c r="F94" s="9" t="s">
        <v>37</v>
      </c>
      <c r="G94" s="9" t="s">
        <v>47</v>
      </c>
      <c r="H94" s="9">
        <v>17</v>
      </c>
      <c r="I94" s="9">
        <v>26</v>
      </c>
      <c r="J94" s="9" t="s">
        <v>47</v>
      </c>
      <c r="K94" s="9" t="s">
        <v>69</v>
      </c>
    </row>
    <row r="95" spans="1:11" x14ac:dyDescent="0.2">
      <c r="A95" s="9" t="s">
        <v>64</v>
      </c>
      <c r="B95" s="9" t="s">
        <v>68</v>
      </c>
      <c r="C95" s="9">
        <v>4</v>
      </c>
      <c r="D95" s="9">
        <v>2008</v>
      </c>
      <c r="E95" s="9">
        <v>6</v>
      </c>
      <c r="F95" s="9" t="s">
        <v>34</v>
      </c>
      <c r="G95" s="9" t="s">
        <v>47</v>
      </c>
      <c r="H95" s="9">
        <v>16</v>
      </c>
      <c r="I95" s="9">
        <v>24</v>
      </c>
      <c r="J95" s="9" t="s">
        <v>47</v>
      </c>
      <c r="K95" s="9" t="s">
        <v>69</v>
      </c>
    </row>
    <row r="96" spans="1:11" x14ac:dyDescent="0.2">
      <c r="A96" s="9" t="s">
        <v>64</v>
      </c>
      <c r="B96" s="9" t="s">
        <v>68</v>
      </c>
      <c r="C96" s="9">
        <v>4.5999999999999996</v>
      </c>
      <c r="D96" s="9">
        <v>1999</v>
      </c>
      <c r="E96" s="9">
        <v>8</v>
      </c>
      <c r="F96" s="9" t="s">
        <v>46</v>
      </c>
      <c r="G96" s="9" t="s">
        <v>47</v>
      </c>
      <c r="H96" s="9">
        <v>15</v>
      </c>
      <c r="I96" s="9">
        <v>21</v>
      </c>
      <c r="J96" s="9" t="s">
        <v>47</v>
      </c>
      <c r="K96" s="9" t="s">
        <v>69</v>
      </c>
    </row>
    <row r="97" spans="1:11" x14ac:dyDescent="0.2">
      <c r="A97" s="9" t="s">
        <v>64</v>
      </c>
      <c r="B97" s="9" t="s">
        <v>68</v>
      </c>
      <c r="C97" s="9">
        <v>4.5999999999999996</v>
      </c>
      <c r="D97" s="9">
        <v>1999</v>
      </c>
      <c r="E97" s="9">
        <v>8</v>
      </c>
      <c r="F97" s="9" t="s">
        <v>37</v>
      </c>
      <c r="G97" s="9" t="s">
        <v>47</v>
      </c>
      <c r="H97" s="9">
        <v>15</v>
      </c>
      <c r="I97" s="9">
        <v>22</v>
      </c>
      <c r="J97" s="9" t="s">
        <v>47</v>
      </c>
      <c r="K97" s="9" t="s">
        <v>69</v>
      </c>
    </row>
    <row r="98" spans="1:11" x14ac:dyDescent="0.2">
      <c r="A98" s="9" t="s">
        <v>64</v>
      </c>
      <c r="B98" s="9" t="s">
        <v>68</v>
      </c>
      <c r="C98" s="9">
        <v>4.5999999999999996</v>
      </c>
      <c r="D98" s="9">
        <v>2008</v>
      </c>
      <c r="E98" s="9">
        <v>8</v>
      </c>
      <c r="F98" s="9" t="s">
        <v>37</v>
      </c>
      <c r="G98" s="9" t="s">
        <v>47</v>
      </c>
      <c r="H98" s="9">
        <v>15</v>
      </c>
      <c r="I98" s="9">
        <v>23</v>
      </c>
      <c r="J98" s="9" t="s">
        <v>47</v>
      </c>
      <c r="K98" s="9" t="s">
        <v>69</v>
      </c>
    </row>
    <row r="99" spans="1:11" x14ac:dyDescent="0.2">
      <c r="A99" s="9" t="s">
        <v>64</v>
      </c>
      <c r="B99" s="9" t="s">
        <v>68</v>
      </c>
      <c r="C99" s="9">
        <v>4.5999999999999996</v>
      </c>
      <c r="D99" s="9">
        <v>2008</v>
      </c>
      <c r="E99" s="9">
        <v>8</v>
      </c>
      <c r="F99" s="9" t="s">
        <v>34</v>
      </c>
      <c r="G99" s="9" t="s">
        <v>47</v>
      </c>
      <c r="H99" s="9">
        <v>15</v>
      </c>
      <c r="I99" s="9">
        <v>22</v>
      </c>
      <c r="J99" s="9" t="s">
        <v>47</v>
      </c>
      <c r="K99" s="9" t="s">
        <v>69</v>
      </c>
    </row>
    <row r="100" spans="1:11" x14ac:dyDescent="0.2">
      <c r="A100" s="9" t="s">
        <v>64</v>
      </c>
      <c r="B100" s="9" t="s">
        <v>68</v>
      </c>
      <c r="C100" s="9">
        <v>5.4</v>
      </c>
      <c r="D100" s="9">
        <v>2008</v>
      </c>
      <c r="E100" s="9">
        <v>8</v>
      </c>
      <c r="F100" s="9" t="s">
        <v>38</v>
      </c>
      <c r="G100" s="9" t="s">
        <v>47</v>
      </c>
      <c r="H100" s="9">
        <v>14</v>
      </c>
      <c r="I100" s="9">
        <v>20</v>
      </c>
      <c r="J100" s="9" t="s">
        <v>0</v>
      </c>
      <c r="K100" s="9" t="s">
        <v>69</v>
      </c>
    </row>
    <row r="101" spans="1:11" x14ac:dyDescent="0.2">
      <c r="A101" s="9" t="s">
        <v>70</v>
      </c>
      <c r="B101" s="9" t="s">
        <v>71</v>
      </c>
      <c r="C101" s="9">
        <v>1.6</v>
      </c>
      <c r="D101" s="9">
        <v>1999</v>
      </c>
      <c r="E101" s="9">
        <v>4</v>
      </c>
      <c r="F101" s="9" t="s">
        <v>37</v>
      </c>
      <c r="G101" s="9" t="s">
        <v>35</v>
      </c>
      <c r="H101" s="9">
        <v>28</v>
      </c>
      <c r="I101" s="9">
        <v>33</v>
      </c>
      <c r="J101" s="9" t="s">
        <v>47</v>
      </c>
      <c r="K101" s="9" t="s">
        <v>69</v>
      </c>
    </row>
    <row r="102" spans="1:11" x14ac:dyDescent="0.2">
      <c r="A102" s="9" t="s">
        <v>70</v>
      </c>
      <c r="B102" s="9" t="s">
        <v>71</v>
      </c>
      <c r="C102" s="9">
        <v>1.6</v>
      </c>
      <c r="D102" s="9">
        <v>1999</v>
      </c>
      <c r="E102" s="9">
        <v>4</v>
      </c>
      <c r="F102" s="9" t="s">
        <v>46</v>
      </c>
      <c r="G102" s="9" t="s">
        <v>35</v>
      </c>
      <c r="H102" s="9">
        <v>24</v>
      </c>
      <c r="I102" s="9">
        <v>32</v>
      </c>
      <c r="J102" s="9" t="s">
        <v>47</v>
      </c>
      <c r="K102" s="9" t="s">
        <v>69</v>
      </c>
    </row>
    <row r="103" spans="1:11" x14ac:dyDescent="0.2">
      <c r="A103" s="9" t="s">
        <v>70</v>
      </c>
      <c r="B103" s="9" t="s">
        <v>71</v>
      </c>
      <c r="C103" s="9">
        <v>1.6</v>
      </c>
      <c r="D103" s="9">
        <v>1999</v>
      </c>
      <c r="E103" s="9">
        <v>4</v>
      </c>
      <c r="F103" s="9" t="s">
        <v>37</v>
      </c>
      <c r="G103" s="9" t="s">
        <v>35</v>
      </c>
      <c r="H103" s="9">
        <v>25</v>
      </c>
      <c r="I103" s="9">
        <v>32</v>
      </c>
      <c r="J103" s="9" t="s">
        <v>47</v>
      </c>
      <c r="K103" s="9" t="s">
        <v>69</v>
      </c>
    </row>
    <row r="104" spans="1:11" x14ac:dyDescent="0.2">
      <c r="A104" s="9" t="s">
        <v>70</v>
      </c>
      <c r="B104" s="9" t="s">
        <v>71</v>
      </c>
      <c r="C104" s="9">
        <v>1.6</v>
      </c>
      <c r="D104" s="9">
        <v>1999</v>
      </c>
      <c r="E104" s="9">
        <v>4</v>
      </c>
      <c r="F104" s="9" t="s">
        <v>37</v>
      </c>
      <c r="G104" s="9" t="s">
        <v>35</v>
      </c>
      <c r="H104" s="9">
        <v>23</v>
      </c>
      <c r="I104" s="9">
        <v>29</v>
      </c>
      <c r="J104" s="9" t="s">
        <v>0</v>
      </c>
      <c r="K104" s="9" t="s">
        <v>69</v>
      </c>
    </row>
    <row r="105" spans="1:11" x14ac:dyDescent="0.2">
      <c r="A105" s="9" t="s">
        <v>70</v>
      </c>
      <c r="B105" s="9" t="s">
        <v>71</v>
      </c>
      <c r="C105" s="9">
        <v>1.6</v>
      </c>
      <c r="D105" s="9">
        <v>1999</v>
      </c>
      <c r="E105" s="9">
        <v>4</v>
      </c>
      <c r="F105" s="9" t="s">
        <v>46</v>
      </c>
      <c r="G105" s="9" t="s">
        <v>35</v>
      </c>
      <c r="H105" s="9">
        <v>24</v>
      </c>
      <c r="I105" s="9">
        <v>32</v>
      </c>
      <c r="J105" s="9" t="s">
        <v>47</v>
      </c>
      <c r="K105" s="9" t="s">
        <v>69</v>
      </c>
    </row>
    <row r="106" spans="1:11" x14ac:dyDescent="0.2">
      <c r="A106" s="9" t="s">
        <v>70</v>
      </c>
      <c r="B106" s="9" t="s">
        <v>71</v>
      </c>
      <c r="C106" s="9">
        <v>1.8</v>
      </c>
      <c r="D106" s="9">
        <v>2008</v>
      </c>
      <c r="E106" s="9">
        <v>4</v>
      </c>
      <c r="F106" s="9" t="s">
        <v>37</v>
      </c>
      <c r="G106" s="9" t="s">
        <v>35</v>
      </c>
      <c r="H106" s="9">
        <v>26</v>
      </c>
      <c r="I106" s="9">
        <v>34</v>
      </c>
      <c r="J106" s="9" t="s">
        <v>47</v>
      </c>
      <c r="K106" s="9" t="s">
        <v>69</v>
      </c>
    </row>
    <row r="107" spans="1:11" x14ac:dyDescent="0.2">
      <c r="A107" s="9" t="s">
        <v>70</v>
      </c>
      <c r="B107" s="9" t="s">
        <v>71</v>
      </c>
      <c r="C107" s="9">
        <v>1.8</v>
      </c>
      <c r="D107" s="9">
        <v>2008</v>
      </c>
      <c r="E107" s="9">
        <v>4</v>
      </c>
      <c r="F107" s="9" t="s">
        <v>34</v>
      </c>
      <c r="G107" s="9" t="s">
        <v>35</v>
      </c>
      <c r="H107" s="9">
        <v>25</v>
      </c>
      <c r="I107" s="9">
        <v>36</v>
      </c>
      <c r="J107" s="9" t="s">
        <v>47</v>
      </c>
      <c r="K107" s="9" t="s">
        <v>69</v>
      </c>
    </row>
    <row r="108" spans="1:11" x14ac:dyDescent="0.2">
      <c r="A108" s="9" t="s">
        <v>70</v>
      </c>
      <c r="B108" s="9" t="s">
        <v>71</v>
      </c>
      <c r="C108" s="9">
        <v>1.8</v>
      </c>
      <c r="D108" s="9">
        <v>2008</v>
      </c>
      <c r="E108" s="9">
        <v>4</v>
      </c>
      <c r="F108" s="9" t="s">
        <v>34</v>
      </c>
      <c r="G108" s="9" t="s">
        <v>35</v>
      </c>
      <c r="H108" s="9">
        <v>24</v>
      </c>
      <c r="I108" s="9">
        <v>36</v>
      </c>
      <c r="J108" s="9" t="s">
        <v>72</v>
      </c>
      <c r="K108" s="9" t="s">
        <v>69</v>
      </c>
    </row>
    <row r="109" spans="1:11" x14ac:dyDescent="0.2">
      <c r="A109" s="9" t="s">
        <v>70</v>
      </c>
      <c r="B109" s="9" t="s">
        <v>71</v>
      </c>
      <c r="C109" s="9">
        <v>2</v>
      </c>
      <c r="D109" s="9">
        <v>2008</v>
      </c>
      <c r="E109" s="9">
        <v>4</v>
      </c>
      <c r="F109" s="9" t="s">
        <v>38</v>
      </c>
      <c r="G109" s="9" t="s">
        <v>35</v>
      </c>
      <c r="H109" s="9">
        <v>21</v>
      </c>
      <c r="I109" s="9">
        <v>29</v>
      </c>
      <c r="J109" s="9" t="s">
        <v>0</v>
      </c>
      <c r="K109" s="9" t="s">
        <v>69</v>
      </c>
    </row>
    <row r="110" spans="1:11" x14ac:dyDescent="0.2">
      <c r="A110" s="9" t="s">
        <v>73</v>
      </c>
      <c r="B110" s="9" t="s">
        <v>74</v>
      </c>
      <c r="C110" s="9">
        <v>2.4</v>
      </c>
      <c r="D110" s="9">
        <v>1999</v>
      </c>
      <c r="E110" s="9">
        <v>4</v>
      </c>
      <c r="F110" s="9" t="s">
        <v>46</v>
      </c>
      <c r="G110" s="9" t="s">
        <v>35</v>
      </c>
      <c r="H110" s="9">
        <v>18</v>
      </c>
      <c r="I110" s="9">
        <v>26</v>
      </c>
      <c r="J110" s="9" t="s">
        <v>47</v>
      </c>
      <c r="K110" s="9" t="s">
        <v>43</v>
      </c>
    </row>
    <row r="111" spans="1:11" x14ac:dyDescent="0.2">
      <c r="A111" s="9" t="s">
        <v>73</v>
      </c>
      <c r="B111" s="9" t="s">
        <v>74</v>
      </c>
      <c r="C111" s="9">
        <v>2.4</v>
      </c>
      <c r="D111" s="9">
        <v>1999</v>
      </c>
      <c r="E111" s="9">
        <v>4</v>
      </c>
      <c r="F111" s="9" t="s">
        <v>37</v>
      </c>
      <c r="G111" s="9" t="s">
        <v>35</v>
      </c>
      <c r="H111" s="9">
        <v>18</v>
      </c>
      <c r="I111" s="9">
        <v>27</v>
      </c>
      <c r="J111" s="9" t="s">
        <v>47</v>
      </c>
      <c r="K111" s="9" t="s">
        <v>43</v>
      </c>
    </row>
    <row r="112" spans="1:11" x14ac:dyDescent="0.2">
      <c r="A112" s="9" t="s">
        <v>73</v>
      </c>
      <c r="B112" s="9" t="s">
        <v>74</v>
      </c>
      <c r="C112" s="9">
        <v>2.4</v>
      </c>
      <c r="D112" s="9">
        <v>2008</v>
      </c>
      <c r="E112" s="9">
        <v>4</v>
      </c>
      <c r="F112" s="9" t="s">
        <v>46</v>
      </c>
      <c r="G112" s="9" t="s">
        <v>35</v>
      </c>
      <c r="H112" s="9">
        <v>21</v>
      </c>
      <c r="I112" s="9">
        <v>30</v>
      </c>
      <c r="J112" s="9" t="s">
        <v>47</v>
      </c>
      <c r="K112" s="9" t="s">
        <v>43</v>
      </c>
    </row>
    <row r="113" spans="1:11" x14ac:dyDescent="0.2">
      <c r="A113" s="9" t="s">
        <v>73</v>
      </c>
      <c r="B113" s="9" t="s">
        <v>74</v>
      </c>
      <c r="C113" s="9">
        <v>2.4</v>
      </c>
      <c r="D113" s="9">
        <v>2008</v>
      </c>
      <c r="E113" s="9">
        <v>4</v>
      </c>
      <c r="F113" s="9" t="s">
        <v>37</v>
      </c>
      <c r="G113" s="9" t="s">
        <v>35</v>
      </c>
      <c r="H113" s="9">
        <v>21</v>
      </c>
      <c r="I113" s="9">
        <v>31</v>
      </c>
      <c r="J113" s="9" t="s">
        <v>47</v>
      </c>
      <c r="K113" s="9" t="s">
        <v>43</v>
      </c>
    </row>
    <row r="114" spans="1:11" x14ac:dyDescent="0.2">
      <c r="A114" s="9" t="s">
        <v>73</v>
      </c>
      <c r="B114" s="9" t="s">
        <v>74</v>
      </c>
      <c r="C114" s="9">
        <v>2.5</v>
      </c>
      <c r="D114" s="9">
        <v>1999</v>
      </c>
      <c r="E114" s="9">
        <v>6</v>
      </c>
      <c r="F114" s="9" t="s">
        <v>46</v>
      </c>
      <c r="G114" s="9" t="s">
        <v>35</v>
      </c>
      <c r="H114" s="9">
        <v>18</v>
      </c>
      <c r="I114" s="9">
        <v>26</v>
      </c>
      <c r="J114" s="9" t="s">
        <v>47</v>
      </c>
      <c r="K114" s="9" t="s">
        <v>43</v>
      </c>
    </row>
    <row r="115" spans="1:11" x14ac:dyDescent="0.2">
      <c r="A115" s="9" t="s">
        <v>73</v>
      </c>
      <c r="B115" s="9" t="s">
        <v>74</v>
      </c>
      <c r="C115" s="9">
        <v>2.5</v>
      </c>
      <c r="D115" s="9">
        <v>1999</v>
      </c>
      <c r="E115" s="9">
        <v>6</v>
      </c>
      <c r="F115" s="9" t="s">
        <v>37</v>
      </c>
      <c r="G115" s="9" t="s">
        <v>35</v>
      </c>
      <c r="H115" s="9">
        <v>18</v>
      </c>
      <c r="I115" s="9">
        <v>26</v>
      </c>
      <c r="J115" s="9" t="s">
        <v>47</v>
      </c>
      <c r="K115" s="9" t="s">
        <v>43</v>
      </c>
    </row>
    <row r="116" spans="1:11" x14ac:dyDescent="0.2">
      <c r="A116" s="9" t="s">
        <v>73</v>
      </c>
      <c r="B116" s="9" t="s">
        <v>74</v>
      </c>
      <c r="C116" s="9">
        <v>3.3</v>
      </c>
      <c r="D116" s="9">
        <v>2008</v>
      </c>
      <c r="E116" s="9">
        <v>6</v>
      </c>
      <c r="F116" s="9" t="s">
        <v>34</v>
      </c>
      <c r="G116" s="9" t="s">
        <v>35</v>
      </c>
      <c r="H116" s="9">
        <v>19</v>
      </c>
      <c r="I116" s="9">
        <v>28</v>
      </c>
      <c r="J116" s="9" t="s">
        <v>47</v>
      </c>
      <c r="K116" s="9" t="s">
        <v>43</v>
      </c>
    </row>
    <row r="117" spans="1:11" x14ac:dyDescent="0.2">
      <c r="A117" s="9" t="s">
        <v>73</v>
      </c>
      <c r="B117" s="9" t="s">
        <v>75</v>
      </c>
      <c r="C117" s="9">
        <v>2</v>
      </c>
      <c r="D117" s="9">
        <v>1999</v>
      </c>
      <c r="E117" s="9">
        <v>4</v>
      </c>
      <c r="F117" s="9" t="s">
        <v>46</v>
      </c>
      <c r="G117" s="9" t="s">
        <v>35</v>
      </c>
      <c r="H117" s="9">
        <v>19</v>
      </c>
      <c r="I117" s="9">
        <v>26</v>
      </c>
      <c r="J117" s="9" t="s">
        <v>47</v>
      </c>
      <c r="K117" s="9" t="s">
        <v>69</v>
      </c>
    </row>
    <row r="118" spans="1:11" x14ac:dyDescent="0.2">
      <c r="A118" s="9" t="s">
        <v>73</v>
      </c>
      <c r="B118" s="9" t="s">
        <v>75</v>
      </c>
      <c r="C118" s="9">
        <v>2</v>
      </c>
      <c r="D118" s="9">
        <v>1999</v>
      </c>
      <c r="E118" s="9">
        <v>4</v>
      </c>
      <c r="F118" s="9" t="s">
        <v>37</v>
      </c>
      <c r="G118" s="9" t="s">
        <v>35</v>
      </c>
      <c r="H118" s="9">
        <v>19</v>
      </c>
      <c r="I118" s="9">
        <v>29</v>
      </c>
      <c r="J118" s="9" t="s">
        <v>47</v>
      </c>
      <c r="K118" s="9" t="s">
        <v>69</v>
      </c>
    </row>
    <row r="119" spans="1:11" x14ac:dyDescent="0.2">
      <c r="A119" s="9" t="s">
        <v>73</v>
      </c>
      <c r="B119" s="9" t="s">
        <v>75</v>
      </c>
      <c r="C119" s="9">
        <v>2</v>
      </c>
      <c r="D119" s="9">
        <v>2008</v>
      </c>
      <c r="E119" s="9">
        <v>4</v>
      </c>
      <c r="F119" s="9" t="s">
        <v>37</v>
      </c>
      <c r="G119" s="9" t="s">
        <v>35</v>
      </c>
      <c r="H119" s="9">
        <v>20</v>
      </c>
      <c r="I119" s="9">
        <v>28</v>
      </c>
      <c r="J119" s="9" t="s">
        <v>47</v>
      </c>
      <c r="K119" s="9" t="s">
        <v>69</v>
      </c>
    </row>
    <row r="120" spans="1:11" x14ac:dyDescent="0.2">
      <c r="A120" s="9" t="s">
        <v>73</v>
      </c>
      <c r="B120" s="9" t="s">
        <v>75</v>
      </c>
      <c r="C120" s="9">
        <v>2</v>
      </c>
      <c r="D120" s="9">
        <v>2008</v>
      </c>
      <c r="E120" s="9">
        <v>4</v>
      </c>
      <c r="F120" s="9" t="s">
        <v>46</v>
      </c>
      <c r="G120" s="9" t="s">
        <v>35</v>
      </c>
      <c r="H120" s="9">
        <v>20</v>
      </c>
      <c r="I120" s="9">
        <v>27</v>
      </c>
      <c r="J120" s="9" t="s">
        <v>47</v>
      </c>
      <c r="K120" s="9" t="s">
        <v>69</v>
      </c>
    </row>
    <row r="121" spans="1:11" x14ac:dyDescent="0.2">
      <c r="A121" s="9" t="s">
        <v>73</v>
      </c>
      <c r="B121" s="9" t="s">
        <v>75</v>
      </c>
      <c r="C121" s="9">
        <v>2.7</v>
      </c>
      <c r="D121" s="9">
        <v>2008</v>
      </c>
      <c r="E121" s="9">
        <v>6</v>
      </c>
      <c r="F121" s="9" t="s">
        <v>46</v>
      </c>
      <c r="G121" s="9" t="s">
        <v>35</v>
      </c>
      <c r="H121" s="9">
        <v>17</v>
      </c>
      <c r="I121" s="9">
        <v>24</v>
      </c>
      <c r="J121" s="9" t="s">
        <v>47</v>
      </c>
      <c r="K121" s="9" t="s">
        <v>69</v>
      </c>
    </row>
    <row r="122" spans="1:11" x14ac:dyDescent="0.2">
      <c r="A122" s="9" t="s">
        <v>73</v>
      </c>
      <c r="B122" s="9" t="s">
        <v>75</v>
      </c>
      <c r="C122" s="9">
        <v>2.7</v>
      </c>
      <c r="D122" s="9">
        <v>2008</v>
      </c>
      <c r="E122" s="9">
        <v>6</v>
      </c>
      <c r="F122" s="9" t="s">
        <v>38</v>
      </c>
      <c r="G122" s="9" t="s">
        <v>35</v>
      </c>
      <c r="H122" s="9">
        <v>16</v>
      </c>
      <c r="I122" s="9">
        <v>24</v>
      </c>
      <c r="J122" s="9" t="s">
        <v>47</v>
      </c>
      <c r="K122" s="9" t="s">
        <v>69</v>
      </c>
    </row>
    <row r="123" spans="1:11" x14ac:dyDescent="0.2">
      <c r="A123" s="9" t="s">
        <v>73</v>
      </c>
      <c r="B123" s="9" t="s">
        <v>75</v>
      </c>
      <c r="C123" s="9">
        <v>2.7</v>
      </c>
      <c r="D123" s="9">
        <v>2008</v>
      </c>
      <c r="E123" s="9">
        <v>6</v>
      </c>
      <c r="F123" s="9" t="s">
        <v>37</v>
      </c>
      <c r="G123" s="9" t="s">
        <v>35</v>
      </c>
      <c r="H123" s="9">
        <v>17</v>
      </c>
      <c r="I123" s="9">
        <v>24</v>
      </c>
      <c r="J123" s="9" t="s">
        <v>47</v>
      </c>
      <c r="K123" s="9" t="s">
        <v>69</v>
      </c>
    </row>
    <row r="124" spans="1:11" x14ac:dyDescent="0.2">
      <c r="A124" s="9" t="s">
        <v>76</v>
      </c>
      <c r="B124" s="9" t="s">
        <v>77</v>
      </c>
      <c r="C124" s="9">
        <v>3</v>
      </c>
      <c r="D124" s="9">
        <v>2008</v>
      </c>
      <c r="E124" s="9">
        <v>6</v>
      </c>
      <c r="F124" s="9" t="s">
        <v>34</v>
      </c>
      <c r="G124" s="9">
        <v>4</v>
      </c>
      <c r="H124" s="9">
        <v>17</v>
      </c>
      <c r="I124" s="9">
        <v>22</v>
      </c>
      <c r="J124" s="9" t="s">
        <v>53</v>
      </c>
      <c r="K124" s="9" t="s">
        <v>48</v>
      </c>
    </row>
    <row r="125" spans="1:11" x14ac:dyDescent="0.2">
      <c r="A125" s="9" t="s">
        <v>76</v>
      </c>
      <c r="B125" s="9" t="s">
        <v>77</v>
      </c>
      <c r="C125" s="9">
        <v>3.7</v>
      </c>
      <c r="D125" s="9">
        <v>2008</v>
      </c>
      <c r="E125" s="9">
        <v>6</v>
      </c>
      <c r="F125" s="9" t="s">
        <v>34</v>
      </c>
      <c r="G125" s="9">
        <v>4</v>
      </c>
      <c r="H125" s="9">
        <v>15</v>
      </c>
      <c r="I125" s="9">
        <v>19</v>
      </c>
      <c r="J125" s="9" t="s">
        <v>47</v>
      </c>
      <c r="K125" s="9" t="s">
        <v>48</v>
      </c>
    </row>
    <row r="126" spans="1:11" x14ac:dyDescent="0.2">
      <c r="A126" s="9" t="s">
        <v>76</v>
      </c>
      <c r="B126" s="9" t="s">
        <v>77</v>
      </c>
      <c r="C126" s="9">
        <v>4</v>
      </c>
      <c r="D126" s="9">
        <v>1999</v>
      </c>
      <c r="E126" s="9">
        <v>6</v>
      </c>
      <c r="F126" s="9" t="s">
        <v>46</v>
      </c>
      <c r="G126" s="9">
        <v>4</v>
      </c>
      <c r="H126" s="9">
        <v>15</v>
      </c>
      <c r="I126" s="9">
        <v>20</v>
      </c>
      <c r="J126" s="9" t="s">
        <v>47</v>
      </c>
      <c r="K126" s="9" t="s">
        <v>48</v>
      </c>
    </row>
    <row r="127" spans="1:11" x14ac:dyDescent="0.2">
      <c r="A127" s="9" t="s">
        <v>76</v>
      </c>
      <c r="B127" s="9" t="s">
        <v>77</v>
      </c>
      <c r="C127" s="9">
        <v>4.7</v>
      </c>
      <c r="D127" s="9">
        <v>1999</v>
      </c>
      <c r="E127" s="9">
        <v>8</v>
      </c>
      <c r="F127" s="9" t="s">
        <v>46</v>
      </c>
      <c r="G127" s="9">
        <v>4</v>
      </c>
      <c r="H127" s="9">
        <v>14</v>
      </c>
      <c r="I127" s="9">
        <v>17</v>
      </c>
      <c r="J127" s="9" t="s">
        <v>47</v>
      </c>
      <c r="K127" s="9" t="s">
        <v>48</v>
      </c>
    </row>
    <row r="128" spans="1:11" x14ac:dyDescent="0.2">
      <c r="A128" s="9" t="s">
        <v>76</v>
      </c>
      <c r="B128" s="9" t="s">
        <v>77</v>
      </c>
      <c r="C128" s="9">
        <v>4.7</v>
      </c>
      <c r="D128" s="9">
        <v>2008</v>
      </c>
      <c r="E128" s="9">
        <v>8</v>
      </c>
      <c r="F128" s="9" t="s">
        <v>34</v>
      </c>
      <c r="G128" s="9">
        <v>4</v>
      </c>
      <c r="H128" s="9">
        <v>9</v>
      </c>
      <c r="I128" s="9">
        <v>12</v>
      </c>
      <c r="J128" s="9" t="s">
        <v>49</v>
      </c>
      <c r="K128" s="9" t="s">
        <v>48</v>
      </c>
    </row>
    <row r="129" spans="1:11" x14ac:dyDescent="0.2">
      <c r="A129" s="9" t="s">
        <v>76</v>
      </c>
      <c r="B129" s="9" t="s">
        <v>77</v>
      </c>
      <c r="C129" s="9">
        <v>4.7</v>
      </c>
      <c r="D129" s="9">
        <v>2008</v>
      </c>
      <c r="E129" s="9">
        <v>8</v>
      </c>
      <c r="F129" s="9" t="s">
        <v>34</v>
      </c>
      <c r="G129" s="9">
        <v>4</v>
      </c>
      <c r="H129" s="9">
        <v>14</v>
      </c>
      <c r="I129" s="9">
        <v>19</v>
      </c>
      <c r="J129" s="9" t="s">
        <v>47</v>
      </c>
      <c r="K129" s="9" t="s">
        <v>48</v>
      </c>
    </row>
    <row r="130" spans="1:11" x14ac:dyDescent="0.2">
      <c r="A130" s="9" t="s">
        <v>76</v>
      </c>
      <c r="B130" s="9" t="s">
        <v>77</v>
      </c>
      <c r="C130" s="9">
        <v>5.7</v>
      </c>
      <c r="D130" s="9">
        <v>2008</v>
      </c>
      <c r="E130" s="9">
        <v>8</v>
      </c>
      <c r="F130" s="9" t="s">
        <v>34</v>
      </c>
      <c r="G130" s="9">
        <v>4</v>
      </c>
      <c r="H130" s="9">
        <v>13</v>
      </c>
      <c r="I130" s="9">
        <v>18</v>
      </c>
      <c r="J130" s="9" t="s">
        <v>47</v>
      </c>
      <c r="K130" s="9" t="s">
        <v>48</v>
      </c>
    </row>
    <row r="131" spans="1:11" x14ac:dyDescent="0.2">
      <c r="A131" s="9" t="s">
        <v>76</v>
      </c>
      <c r="B131" s="9" t="s">
        <v>77</v>
      </c>
      <c r="C131" s="9">
        <v>6.1</v>
      </c>
      <c r="D131" s="9">
        <v>2008</v>
      </c>
      <c r="E131" s="9">
        <v>8</v>
      </c>
      <c r="F131" s="9" t="s">
        <v>34</v>
      </c>
      <c r="G131" s="9">
        <v>4</v>
      </c>
      <c r="H131" s="9">
        <v>11</v>
      </c>
      <c r="I131" s="9">
        <v>14</v>
      </c>
      <c r="J131" s="9" t="s">
        <v>0</v>
      </c>
      <c r="K131" s="9" t="s">
        <v>48</v>
      </c>
    </row>
    <row r="132" spans="1:11" x14ac:dyDescent="0.2">
      <c r="A132" s="9" t="s">
        <v>78</v>
      </c>
      <c r="B132" s="9" t="s">
        <v>79</v>
      </c>
      <c r="C132" s="9">
        <v>4</v>
      </c>
      <c r="D132" s="9">
        <v>1999</v>
      </c>
      <c r="E132" s="9">
        <v>8</v>
      </c>
      <c r="F132" s="9" t="s">
        <v>46</v>
      </c>
      <c r="G132" s="9">
        <v>4</v>
      </c>
      <c r="H132" s="9">
        <v>11</v>
      </c>
      <c r="I132" s="9">
        <v>15</v>
      </c>
      <c r="J132" s="9" t="s">
        <v>0</v>
      </c>
      <c r="K132" s="9" t="s">
        <v>48</v>
      </c>
    </row>
    <row r="133" spans="1:11" x14ac:dyDescent="0.2">
      <c r="A133" s="9" t="s">
        <v>78</v>
      </c>
      <c r="B133" s="9" t="s">
        <v>79</v>
      </c>
      <c r="C133" s="9">
        <v>4.2</v>
      </c>
      <c r="D133" s="9">
        <v>2008</v>
      </c>
      <c r="E133" s="9">
        <v>8</v>
      </c>
      <c r="F133" s="9" t="s">
        <v>41</v>
      </c>
      <c r="G133" s="9">
        <v>4</v>
      </c>
      <c r="H133" s="9">
        <v>12</v>
      </c>
      <c r="I133" s="9">
        <v>18</v>
      </c>
      <c r="J133" s="9" t="s">
        <v>47</v>
      </c>
      <c r="K133" s="9" t="s">
        <v>48</v>
      </c>
    </row>
    <row r="134" spans="1:11" x14ac:dyDescent="0.2">
      <c r="A134" s="9" t="s">
        <v>78</v>
      </c>
      <c r="B134" s="9" t="s">
        <v>79</v>
      </c>
      <c r="C134" s="9">
        <v>4.4000000000000004</v>
      </c>
      <c r="D134" s="9">
        <v>2008</v>
      </c>
      <c r="E134" s="9">
        <v>8</v>
      </c>
      <c r="F134" s="9" t="s">
        <v>41</v>
      </c>
      <c r="G134" s="9">
        <v>4</v>
      </c>
      <c r="H134" s="9">
        <v>12</v>
      </c>
      <c r="I134" s="9">
        <v>18</v>
      </c>
      <c r="J134" s="9" t="s">
        <v>47</v>
      </c>
      <c r="K134" s="9" t="s">
        <v>48</v>
      </c>
    </row>
    <row r="135" spans="1:11" x14ac:dyDescent="0.2">
      <c r="A135" s="9" t="s">
        <v>78</v>
      </c>
      <c r="B135" s="9" t="s">
        <v>79</v>
      </c>
      <c r="C135" s="9">
        <v>4.5999999999999996</v>
      </c>
      <c r="D135" s="9">
        <v>1999</v>
      </c>
      <c r="E135" s="9">
        <v>8</v>
      </c>
      <c r="F135" s="9" t="s">
        <v>46</v>
      </c>
      <c r="G135" s="9">
        <v>4</v>
      </c>
      <c r="H135" s="9">
        <v>11</v>
      </c>
      <c r="I135" s="9">
        <v>15</v>
      </c>
      <c r="J135" s="9" t="s">
        <v>0</v>
      </c>
      <c r="K135" s="9" t="s">
        <v>48</v>
      </c>
    </row>
    <row r="136" spans="1:11" x14ac:dyDescent="0.2">
      <c r="A136" s="9" t="s">
        <v>80</v>
      </c>
      <c r="B136" s="9" t="s">
        <v>81</v>
      </c>
      <c r="C136" s="9">
        <v>5.4</v>
      </c>
      <c r="D136" s="9">
        <v>1999</v>
      </c>
      <c r="E136" s="9">
        <v>8</v>
      </c>
      <c r="F136" s="9" t="s">
        <v>46</v>
      </c>
      <c r="G136" s="9" t="s">
        <v>47</v>
      </c>
      <c r="H136" s="9">
        <v>11</v>
      </c>
      <c r="I136" s="9">
        <v>17</v>
      </c>
      <c r="J136" s="9" t="s">
        <v>47</v>
      </c>
      <c r="K136" s="9" t="s">
        <v>48</v>
      </c>
    </row>
    <row r="137" spans="1:11" x14ac:dyDescent="0.2">
      <c r="A137" s="9" t="s">
        <v>80</v>
      </c>
      <c r="B137" s="9" t="s">
        <v>81</v>
      </c>
      <c r="C137" s="9">
        <v>5.4</v>
      </c>
      <c r="D137" s="9">
        <v>1999</v>
      </c>
      <c r="E137" s="9">
        <v>8</v>
      </c>
      <c r="F137" s="9" t="s">
        <v>46</v>
      </c>
      <c r="G137" s="9" t="s">
        <v>47</v>
      </c>
      <c r="H137" s="9">
        <v>11</v>
      </c>
      <c r="I137" s="9">
        <v>16</v>
      </c>
      <c r="J137" s="9" t="s">
        <v>0</v>
      </c>
      <c r="K137" s="9" t="s">
        <v>48</v>
      </c>
    </row>
    <row r="138" spans="1:11" x14ac:dyDescent="0.2">
      <c r="A138" s="9" t="s">
        <v>80</v>
      </c>
      <c r="B138" s="9" t="s">
        <v>81</v>
      </c>
      <c r="C138" s="9">
        <v>5.4</v>
      </c>
      <c r="D138" s="9">
        <v>2008</v>
      </c>
      <c r="E138" s="9">
        <v>8</v>
      </c>
      <c r="F138" s="9" t="s">
        <v>59</v>
      </c>
      <c r="G138" s="9" t="s">
        <v>47</v>
      </c>
      <c r="H138" s="9">
        <v>12</v>
      </c>
      <c r="I138" s="9">
        <v>18</v>
      </c>
      <c r="J138" s="9" t="s">
        <v>47</v>
      </c>
      <c r="K138" s="9" t="s">
        <v>48</v>
      </c>
    </row>
    <row r="139" spans="1:11" x14ac:dyDescent="0.2">
      <c r="A139" s="9" t="s">
        <v>82</v>
      </c>
      <c r="B139" s="9" t="s">
        <v>83</v>
      </c>
      <c r="C139" s="9">
        <v>4</v>
      </c>
      <c r="D139" s="9">
        <v>1999</v>
      </c>
      <c r="E139" s="9">
        <v>6</v>
      </c>
      <c r="F139" s="9" t="s">
        <v>34</v>
      </c>
      <c r="G139" s="9">
        <v>4</v>
      </c>
      <c r="H139" s="9">
        <v>14</v>
      </c>
      <c r="I139" s="9">
        <v>17</v>
      </c>
      <c r="J139" s="9" t="s">
        <v>47</v>
      </c>
      <c r="K139" s="9" t="s">
        <v>48</v>
      </c>
    </row>
    <row r="140" spans="1:11" x14ac:dyDescent="0.2">
      <c r="A140" s="9" t="s">
        <v>82</v>
      </c>
      <c r="B140" s="9" t="s">
        <v>83</v>
      </c>
      <c r="C140" s="9">
        <v>4</v>
      </c>
      <c r="D140" s="9">
        <v>2008</v>
      </c>
      <c r="E140" s="9">
        <v>6</v>
      </c>
      <c r="F140" s="9" t="s">
        <v>34</v>
      </c>
      <c r="G140" s="9">
        <v>4</v>
      </c>
      <c r="H140" s="9">
        <v>13</v>
      </c>
      <c r="I140" s="9">
        <v>19</v>
      </c>
      <c r="J140" s="9" t="s">
        <v>47</v>
      </c>
      <c r="K140" s="9" t="s">
        <v>48</v>
      </c>
    </row>
    <row r="141" spans="1:11" x14ac:dyDescent="0.2">
      <c r="A141" s="9" t="s">
        <v>82</v>
      </c>
      <c r="B141" s="9" t="s">
        <v>83</v>
      </c>
      <c r="C141" s="9">
        <v>4.5999999999999996</v>
      </c>
      <c r="D141" s="9">
        <v>2008</v>
      </c>
      <c r="E141" s="9">
        <v>8</v>
      </c>
      <c r="F141" s="9" t="s">
        <v>59</v>
      </c>
      <c r="G141" s="9">
        <v>4</v>
      </c>
      <c r="H141" s="9">
        <v>13</v>
      </c>
      <c r="I141" s="9">
        <v>19</v>
      </c>
      <c r="J141" s="9" t="s">
        <v>47</v>
      </c>
      <c r="K141" s="9" t="s">
        <v>48</v>
      </c>
    </row>
    <row r="142" spans="1:11" x14ac:dyDescent="0.2">
      <c r="A142" s="9" t="s">
        <v>82</v>
      </c>
      <c r="B142" s="9" t="s">
        <v>83</v>
      </c>
      <c r="C142" s="9">
        <v>5</v>
      </c>
      <c r="D142" s="9">
        <v>1999</v>
      </c>
      <c r="E142" s="9">
        <v>8</v>
      </c>
      <c r="F142" s="9" t="s">
        <v>46</v>
      </c>
      <c r="G142" s="9">
        <v>4</v>
      </c>
      <c r="H142" s="9">
        <v>13</v>
      </c>
      <c r="I142" s="9">
        <v>17</v>
      </c>
      <c r="J142" s="9" t="s">
        <v>47</v>
      </c>
      <c r="K142" s="9" t="s">
        <v>48</v>
      </c>
    </row>
    <row r="143" spans="1:11" x14ac:dyDescent="0.2">
      <c r="A143" s="9" t="s">
        <v>84</v>
      </c>
      <c r="B143" s="9" t="s">
        <v>85</v>
      </c>
      <c r="C143" s="9">
        <v>2.4</v>
      </c>
      <c r="D143" s="9">
        <v>1999</v>
      </c>
      <c r="E143" s="9">
        <v>4</v>
      </c>
      <c r="F143" s="9" t="s">
        <v>37</v>
      </c>
      <c r="G143" s="9" t="s">
        <v>35</v>
      </c>
      <c r="H143" s="9">
        <v>21</v>
      </c>
      <c r="I143" s="9">
        <v>29</v>
      </c>
      <c r="J143" s="9" t="s">
        <v>47</v>
      </c>
      <c r="K143" s="9" t="s">
        <v>36</v>
      </c>
    </row>
    <row r="144" spans="1:11" x14ac:dyDescent="0.2">
      <c r="A144" s="9" t="s">
        <v>84</v>
      </c>
      <c r="B144" s="9" t="s">
        <v>85</v>
      </c>
      <c r="C144" s="9">
        <v>2.4</v>
      </c>
      <c r="D144" s="9">
        <v>1999</v>
      </c>
      <c r="E144" s="9">
        <v>4</v>
      </c>
      <c r="F144" s="9" t="s">
        <v>46</v>
      </c>
      <c r="G144" s="9" t="s">
        <v>35</v>
      </c>
      <c r="H144" s="9">
        <v>19</v>
      </c>
      <c r="I144" s="9">
        <v>27</v>
      </c>
      <c r="J144" s="9" t="s">
        <v>47</v>
      </c>
      <c r="K144" s="9" t="s">
        <v>36</v>
      </c>
    </row>
    <row r="145" spans="1:11" x14ac:dyDescent="0.2">
      <c r="A145" s="9" t="s">
        <v>84</v>
      </c>
      <c r="B145" s="9" t="s">
        <v>85</v>
      </c>
      <c r="C145" s="9">
        <v>2.5</v>
      </c>
      <c r="D145" s="9">
        <v>2008</v>
      </c>
      <c r="E145" s="9">
        <v>4</v>
      </c>
      <c r="F145" s="9" t="s">
        <v>39</v>
      </c>
      <c r="G145" s="9" t="s">
        <v>35</v>
      </c>
      <c r="H145" s="9">
        <v>23</v>
      </c>
      <c r="I145" s="9">
        <v>31</v>
      </c>
      <c r="J145" s="9" t="s">
        <v>47</v>
      </c>
      <c r="K145" s="9" t="s">
        <v>43</v>
      </c>
    </row>
    <row r="146" spans="1:11" x14ac:dyDescent="0.2">
      <c r="A146" s="9" t="s">
        <v>84</v>
      </c>
      <c r="B146" s="9" t="s">
        <v>85</v>
      </c>
      <c r="C146" s="9">
        <v>2.5</v>
      </c>
      <c r="D146" s="9">
        <v>2008</v>
      </c>
      <c r="E146" s="9">
        <v>4</v>
      </c>
      <c r="F146" s="9" t="s">
        <v>38</v>
      </c>
      <c r="G146" s="9" t="s">
        <v>35</v>
      </c>
      <c r="H146" s="9">
        <v>23</v>
      </c>
      <c r="I146" s="9">
        <v>32</v>
      </c>
      <c r="J146" s="9" t="s">
        <v>47</v>
      </c>
      <c r="K146" s="9" t="s">
        <v>43</v>
      </c>
    </row>
    <row r="147" spans="1:11" x14ac:dyDescent="0.2">
      <c r="A147" s="9" t="s">
        <v>84</v>
      </c>
      <c r="B147" s="9" t="s">
        <v>85</v>
      </c>
      <c r="C147" s="9">
        <v>3.5</v>
      </c>
      <c r="D147" s="9">
        <v>2008</v>
      </c>
      <c r="E147" s="9">
        <v>6</v>
      </c>
      <c r="F147" s="9" t="s">
        <v>38</v>
      </c>
      <c r="G147" s="9" t="s">
        <v>35</v>
      </c>
      <c r="H147" s="9">
        <v>19</v>
      </c>
      <c r="I147" s="9">
        <v>27</v>
      </c>
      <c r="J147" s="9" t="s">
        <v>0</v>
      </c>
      <c r="K147" s="9" t="s">
        <v>43</v>
      </c>
    </row>
    <row r="148" spans="1:11" x14ac:dyDescent="0.2">
      <c r="A148" s="9" t="s">
        <v>84</v>
      </c>
      <c r="B148" s="9" t="s">
        <v>85</v>
      </c>
      <c r="C148" s="9">
        <v>3.5</v>
      </c>
      <c r="D148" s="9">
        <v>2008</v>
      </c>
      <c r="E148" s="9">
        <v>6</v>
      </c>
      <c r="F148" s="9" t="s">
        <v>39</v>
      </c>
      <c r="G148" s="9" t="s">
        <v>35</v>
      </c>
      <c r="H148" s="9">
        <v>19</v>
      </c>
      <c r="I148" s="9">
        <v>26</v>
      </c>
      <c r="J148" s="9" t="s">
        <v>0</v>
      </c>
      <c r="K148" s="9" t="s">
        <v>43</v>
      </c>
    </row>
    <row r="149" spans="1:11" x14ac:dyDescent="0.2">
      <c r="A149" s="9" t="s">
        <v>84</v>
      </c>
      <c r="B149" s="9" t="s">
        <v>86</v>
      </c>
      <c r="C149" s="9">
        <v>3</v>
      </c>
      <c r="D149" s="9">
        <v>1999</v>
      </c>
      <c r="E149" s="9">
        <v>6</v>
      </c>
      <c r="F149" s="9" t="s">
        <v>46</v>
      </c>
      <c r="G149" s="9" t="s">
        <v>35</v>
      </c>
      <c r="H149" s="9">
        <v>18</v>
      </c>
      <c r="I149" s="9">
        <v>26</v>
      </c>
      <c r="J149" s="9" t="s">
        <v>47</v>
      </c>
      <c r="K149" s="9" t="s">
        <v>43</v>
      </c>
    </row>
    <row r="150" spans="1:11" x14ac:dyDescent="0.2">
      <c r="A150" s="9" t="s">
        <v>84</v>
      </c>
      <c r="B150" s="9" t="s">
        <v>86</v>
      </c>
      <c r="C150" s="9">
        <v>3</v>
      </c>
      <c r="D150" s="9">
        <v>1999</v>
      </c>
      <c r="E150" s="9">
        <v>6</v>
      </c>
      <c r="F150" s="9" t="s">
        <v>37</v>
      </c>
      <c r="G150" s="9" t="s">
        <v>35</v>
      </c>
      <c r="H150" s="9">
        <v>19</v>
      </c>
      <c r="I150" s="9">
        <v>25</v>
      </c>
      <c r="J150" s="9" t="s">
        <v>47</v>
      </c>
      <c r="K150" s="9" t="s">
        <v>43</v>
      </c>
    </row>
    <row r="151" spans="1:11" x14ac:dyDescent="0.2">
      <c r="A151" s="9" t="s">
        <v>84</v>
      </c>
      <c r="B151" s="9" t="s">
        <v>86</v>
      </c>
      <c r="C151" s="9">
        <v>3.5</v>
      </c>
      <c r="D151" s="9">
        <v>2008</v>
      </c>
      <c r="E151" s="9">
        <v>6</v>
      </c>
      <c r="F151" s="9" t="s">
        <v>39</v>
      </c>
      <c r="G151" s="9" t="s">
        <v>35</v>
      </c>
      <c r="H151" s="9">
        <v>19</v>
      </c>
      <c r="I151" s="9">
        <v>25</v>
      </c>
      <c r="J151" s="9" t="s">
        <v>0</v>
      </c>
      <c r="K151" s="9" t="s">
        <v>43</v>
      </c>
    </row>
    <row r="152" spans="1:11" x14ac:dyDescent="0.2">
      <c r="A152" s="9" t="s">
        <v>84</v>
      </c>
      <c r="B152" s="9" t="s">
        <v>87</v>
      </c>
      <c r="C152" s="9">
        <v>3.3</v>
      </c>
      <c r="D152" s="9">
        <v>1999</v>
      </c>
      <c r="E152" s="9">
        <v>6</v>
      </c>
      <c r="F152" s="9" t="s">
        <v>46</v>
      </c>
      <c r="G152" s="9">
        <v>4</v>
      </c>
      <c r="H152" s="9">
        <v>14</v>
      </c>
      <c r="I152" s="9">
        <v>17</v>
      </c>
      <c r="J152" s="9" t="s">
        <v>47</v>
      </c>
      <c r="K152" s="9" t="s">
        <v>48</v>
      </c>
    </row>
    <row r="153" spans="1:11" x14ac:dyDescent="0.2">
      <c r="A153" s="9" t="s">
        <v>84</v>
      </c>
      <c r="B153" s="9" t="s">
        <v>87</v>
      </c>
      <c r="C153" s="9">
        <v>3.3</v>
      </c>
      <c r="D153" s="9">
        <v>1999</v>
      </c>
      <c r="E153" s="9">
        <v>6</v>
      </c>
      <c r="F153" s="9" t="s">
        <v>37</v>
      </c>
      <c r="G153" s="9">
        <v>4</v>
      </c>
      <c r="H153" s="9">
        <v>15</v>
      </c>
      <c r="I153" s="9">
        <v>17</v>
      </c>
      <c r="J153" s="9" t="s">
        <v>47</v>
      </c>
      <c r="K153" s="9" t="s">
        <v>48</v>
      </c>
    </row>
    <row r="154" spans="1:11" x14ac:dyDescent="0.2">
      <c r="A154" s="9" t="s">
        <v>84</v>
      </c>
      <c r="B154" s="9" t="s">
        <v>87</v>
      </c>
      <c r="C154" s="9">
        <v>4</v>
      </c>
      <c r="D154" s="9">
        <v>2008</v>
      </c>
      <c r="E154" s="9">
        <v>6</v>
      </c>
      <c r="F154" s="9" t="s">
        <v>34</v>
      </c>
      <c r="G154" s="9">
        <v>4</v>
      </c>
      <c r="H154" s="9">
        <v>14</v>
      </c>
      <c r="I154" s="9">
        <v>20</v>
      </c>
      <c r="J154" s="9" t="s">
        <v>0</v>
      </c>
      <c r="K154" s="9" t="s">
        <v>48</v>
      </c>
    </row>
    <row r="155" spans="1:11" x14ac:dyDescent="0.2">
      <c r="A155" s="9" t="s">
        <v>84</v>
      </c>
      <c r="B155" s="9" t="s">
        <v>87</v>
      </c>
      <c r="C155" s="9">
        <v>5.6</v>
      </c>
      <c r="D155" s="9">
        <v>2008</v>
      </c>
      <c r="E155" s="9">
        <v>8</v>
      </c>
      <c r="F155" s="9" t="s">
        <v>88</v>
      </c>
      <c r="G155" s="9">
        <v>4</v>
      </c>
      <c r="H155" s="9">
        <v>12</v>
      </c>
      <c r="I155" s="9">
        <v>18</v>
      </c>
      <c r="J155" s="9" t="s">
        <v>0</v>
      </c>
      <c r="K155" s="9" t="s">
        <v>48</v>
      </c>
    </row>
    <row r="156" spans="1:11" x14ac:dyDescent="0.2">
      <c r="A156" s="9" t="s">
        <v>89</v>
      </c>
      <c r="B156" s="9" t="s">
        <v>90</v>
      </c>
      <c r="C156" s="9">
        <v>3.1</v>
      </c>
      <c r="D156" s="9">
        <v>1999</v>
      </c>
      <c r="E156" s="9">
        <v>6</v>
      </c>
      <c r="F156" s="9" t="s">
        <v>46</v>
      </c>
      <c r="G156" s="9" t="s">
        <v>35</v>
      </c>
      <c r="H156" s="9">
        <v>18</v>
      </c>
      <c r="I156" s="9">
        <v>26</v>
      </c>
      <c r="J156" s="9" t="s">
        <v>47</v>
      </c>
      <c r="K156" s="9" t="s">
        <v>43</v>
      </c>
    </row>
    <row r="157" spans="1:11" x14ac:dyDescent="0.2">
      <c r="A157" s="9" t="s">
        <v>89</v>
      </c>
      <c r="B157" s="9" t="s">
        <v>90</v>
      </c>
      <c r="C157" s="9">
        <v>3.8</v>
      </c>
      <c r="D157" s="9">
        <v>1999</v>
      </c>
      <c r="E157" s="9">
        <v>6</v>
      </c>
      <c r="F157" s="9" t="s">
        <v>46</v>
      </c>
      <c r="G157" s="9" t="s">
        <v>35</v>
      </c>
      <c r="H157" s="9">
        <v>16</v>
      </c>
      <c r="I157" s="9">
        <v>26</v>
      </c>
      <c r="J157" s="9" t="s">
        <v>0</v>
      </c>
      <c r="K157" s="9" t="s">
        <v>43</v>
      </c>
    </row>
    <row r="158" spans="1:11" x14ac:dyDescent="0.2">
      <c r="A158" s="9" t="s">
        <v>89</v>
      </c>
      <c r="B158" s="9" t="s">
        <v>90</v>
      </c>
      <c r="C158" s="9">
        <v>3.8</v>
      </c>
      <c r="D158" s="9">
        <v>1999</v>
      </c>
      <c r="E158" s="9">
        <v>6</v>
      </c>
      <c r="F158" s="9" t="s">
        <v>46</v>
      </c>
      <c r="G158" s="9" t="s">
        <v>35</v>
      </c>
      <c r="H158" s="9">
        <v>17</v>
      </c>
      <c r="I158" s="9">
        <v>27</v>
      </c>
      <c r="J158" s="9" t="s">
        <v>47</v>
      </c>
      <c r="K158" s="9" t="s">
        <v>43</v>
      </c>
    </row>
    <row r="159" spans="1:11" x14ac:dyDescent="0.2">
      <c r="A159" s="9" t="s">
        <v>89</v>
      </c>
      <c r="B159" s="9" t="s">
        <v>90</v>
      </c>
      <c r="C159" s="9">
        <v>3.8</v>
      </c>
      <c r="D159" s="9">
        <v>2008</v>
      </c>
      <c r="E159" s="9">
        <v>6</v>
      </c>
      <c r="F159" s="9" t="s">
        <v>46</v>
      </c>
      <c r="G159" s="9" t="s">
        <v>35</v>
      </c>
      <c r="H159" s="9">
        <v>18</v>
      </c>
      <c r="I159" s="9">
        <v>28</v>
      </c>
      <c r="J159" s="9" t="s">
        <v>47</v>
      </c>
      <c r="K159" s="9" t="s">
        <v>43</v>
      </c>
    </row>
    <row r="160" spans="1:11" x14ac:dyDescent="0.2">
      <c r="A160" s="9" t="s">
        <v>89</v>
      </c>
      <c r="B160" s="9" t="s">
        <v>90</v>
      </c>
      <c r="C160" s="9">
        <v>5.3</v>
      </c>
      <c r="D160" s="9">
        <v>2008</v>
      </c>
      <c r="E160" s="9">
        <v>8</v>
      </c>
      <c r="F160" s="9" t="s">
        <v>91</v>
      </c>
      <c r="G160" s="9" t="s">
        <v>35</v>
      </c>
      <c r="H160" s="9">
        <v>16</v>
      </c>
      <c r="I160" s="9">
        <v>25</v>
      </c>
      <c r="J160" s="9" t="s">
        <v>0</v>
      </c>
      <c r="K160" s="9" t="s">
        <v>43</v>
      </c>
    </row>
    <row r="161" spans="1:11" x14ac:dyDescent="0.2">
      <c r="A161" s="9" t="s">
        <v>92</v>
      </c>
      <c r="B161" s="9" t="s">
        <v>93</v>
      </c>
      <c r="C161" s="9">
        <v>2.5</v>
      </c>
      <c r="D161" s="9">
        <v>1999</v>
      </c>
      <c r="E161" s="9">
        <v>4</v>
      </c>
      <c r="F161" s="9" t="s">
        <v>37</v>
      </c>
      <c r="G161" s="9">
        <v>4</v>
      </c>
      <c r="H161" s="9">
        <v>18</v>
      </c>
      <c r="I161" s="9">
        <v>25</v>
      </c>
      <c r="J161" s="9" t="s">
        <v>47</v>
      </c>
      <c r="K161" s="9" t="s">
        <v>48</v>
      </c>
    </row>
    <row r="162" spans="1:11" x14ac:dyDescent="0.2">
      <c r="A162" s="9" t="s">
        <v>92</v>
      </c>
      <c r="B162" s="9" t="s">
        <v>93</v>
      </c>
      <c r="C162" s="9">
        <v>2.5</v>
      </c>
      <c r="D162" s="9">
        <v>1999</v>
      </c>
      <c r="E162" s="9">
        <v>4</v>
      </c>
      <c r="F162" s="9" t="s">
        <v>46</v>
      </c>
      <c r="G162" s="9">
        <v>4</v>
      </c>
      <c r="H162" s="9">
        <v>18</v>
      </c>
      <c r="I162" s="9">
        <v>24</v>
      </c>
      <c r="J162" s="9" t="s">
        <v>47</v>
      </c>
      <c r="K162" s="9" t="s">
        <v>48</v>
      </c>
    </row>
    <row r="163" spans="1:11" x14ac:dyDescent="0.2">
      <c r="A163" s="9" t="s">
        <v>92</v>
      </c>
      <c r="B163" s="9" t="s">
        <v>93</v>
      </c>
      <c r="C163" s="9">
        <v>2.5</v>
      </c>
      <c r="D163" s="9">
        <v>2008</v>
      </c>
      <c r="E163" s="9">
        <v>4</v>
      </c>
      <c r="F163" s="9" t="s">
        <v>37</v>
      </c>
      <c r="G163" s="9">
        <v>4</v>
      </c>
      <c r="H163" s="9">
        <v>20</v>
      </c>
      <c r="I163" s="9">
        <v>27</v>
      </c>
      <c r="J163" s="9" t="s">
        <v>47</v>
      </c>
      <c r="K163" s="9" t="s">
        <v>48</v>
      </c>
    </row>
    <row r="164" spans="1:11" x14ac:dyDescent="0.2">
      <c r="A164" s="9" t="s">
        <v>92</v>
      </c>
      <c r="B164" s="9" t="s">
        <v>93</v>
      </c>
      <c r="C164" s="9">
        <v>2.5</v>
      </c>
      <c r="D164" s="9">
        <v>2008</v>
      </c>
      <c r="E164" s="9">
        <v>4</v>
      </c>
      <c r="F164" s="9" t="s">
        <v>37</v>
      </c>
      <c r="G164" s="9">
        <v>4</v>
      </c>
      <c r="H164" s="9">
        <v>19</v>
      </c>
      <c r="I164" s="9">
        <v>25</v>
      </c>
      <c r="J164" s="9" t="s">
        <v>0</v>
      </c>
      <c r="K164" s="9" t="s">
        <v>48</v>
      </c>
    </row>
    <row r="165" spans="1:11" x14ac:dyDescent="0.2">
      <c r="A165" s="9" t="s">
        <v>92</v>
      </c>
      <c r="B165" s="9" t="s">
        <v>93</v>
      </c>
      <c r="C165" s="9">
        <v>2.5</v>
      </c>
      <c r="D165" s="9">
        <v>2008</v>
      </c>
      <c r="E165" s="9">
        <v>4</v>
      </c>
      <c r="F165" s="9" t="s">
        <v>46</v>
      </c>
      <c r="G165" s="9">
        <v>4</v>
      </c>
      <c r="H165" s="9">
        <v>20</v>
      </c>
      <c r="I165" s="9">
        <v>26</v>
      </c>
      <c r="J165" s="9" t="s">
        <v>47</v>
      </c>
      <c r="K165" s="9" t="s">
        <v>48</v>
      </c>
    </row>
    <row r="166" spans="1:11" x14ac:dyDescent="0.2">
      <c r="A166" s="9" t="s">
        <v>92</v>
      </c>
      <c r="B166" s="9" t="s">
        <v>93</v>
      </c>
      <c r="C166" s="9">
        <v>2.5</v>
      </c>
      <c r="D166" s="9">
        <v>2008</v>
      </c>
      <c r="E166" s="9">
        <v>4</v>
      </c>
      <c r="F166" s="9" t="s">
        <v>46</v>
      </c>
      <c r="G166" s="9">
        <v>4</v>
      </c>
      <c r="H166" s="9">
        <v>18</v>
      </c>
      <c r="I166" s="9">
        <v>23</v>
      </c>
      <c r="J166" s="9" t="s">
        <v>0</v>
      </c>
      <c r="K166" s="9" t="s">
        <v>48</v>
      </c>
    </row>
    <row r="167" spans="1:11" x14ac:dyDescent="0.2">
      <c r="A167" s="9" t="s">
        <v>92</v>
      </c>
      <c r="B167" s="9" t="s">
        <v>94</v>
      </c>
      <c r="C167" s="9">
        <v>2.2000000000000002</v>
      </c>
      <c r="D167" s="9">
        <v>1999</v>
      </c>
      <c r="E167" s="9">
        <v>4</v>
      </c>
      <c r="F167" s="9" t="s">
        <v>46</v>
      </c>
      <c r="G167" s="9">
        <v>4</v>
      </c>
      <c r="H167" s="9">
        <v>21</v>
      </c>
      <c r="I167" s="9">
        <v>26</v>
      </c>
      <c r="J167" s="9" t="s">
        <v>47</v>
      </c>
      <c r="K167" s="9" t="s">
        <v>69</v>
      </c>
    </row>
    <row r="168" spans="1:11" x14ac:dyDescent="0.2">
      <c r="A168" s="9" t="s">
        <v>92</v>
      </c>
      <c r="B168" s="9" t="s">
        <v>94</v>
      </c>
      <c r="C168" s="9">
        <v>2.2000000000000002</v>
      </c>
      <c r="D168" s="9">
        <v>1999</v>
      </c>
      <c r="E168" s="9">
        <v>4</v>
      </c>
      <c r="F168" s="9" t="s">
        <v>37</v>
      </c>
      <c r="G168" s="9">
        <v>4</v>
      </c>
      <c r="H168" s="9">
        <v>19</v>
      </c>
      <c r="I168" s="9">
        <v>26</v>
      </c>
      <c r="J168" s="9" t="s">
        <v>47</v>
      </c>
      <c r="K168" s="9" t="s">
        <v>69</v>
      </c>
    </row>
    <row r="169" spans="1:11" x14ac:dyDescent="0.2">
      <c r="A169" s="9" t="s">
        <v>92</v>
      </c>
      <c r="B169" s="9" t="s">
        <v>94</v>
      </c>
      <c r="C169" s="9">
        <v>2.5</v>
      </c>
      <c r="D169" s="9">
        <v>1999</v>
      </c>
      <c r="E169" s="9">
        <v>4</v>
      </c>
      <c r="F169" s="9" t="s">
        <v>37</v>
      </c>
      <c r="G169" s="9">
        <v>4</v>
      </c>
      <c r="H169" s="9">
        <v>19</v>
      </c>
      <c r="I169" s="9">
        <v>26</v>
      </c>
      <c r="J169" s="9" t="s">
        <v>47</v>
      </c>
      <c r="K169" s="9" t="s">
        <v>69</v>
      </c>
    </row>
    <row r="170" spans="1:11" x14ac:dyDescent="0.2">
      <c r="A170" s="9" t="s">
        <v>92</v>
      </c>
      <c r="B170" s="9" t="s">
        <v>94</v>
      </c>
      <c r="C170" s="9">
        <v>2.5</v>
      </c>
      <c r="D170" s="9">
        <v>1999</v>
      </c>
      <c r="E170" s="9">
        <v>4</v>
      </c>
      <c r="F170" s="9" t="s">
        <v>46</v>
      </c>
      <c r="G170" s="9">
        <v>4</v>
      </c>
      <c r="H170" s="9">
        <v>19</v>
      </c>
      <c r="I170" s="9">
        <v>26</v>
      </c>
      <c r="J170" s="9" t="s">
        <v>47</v>
      </c>
      <c r="K170" s="9" t="s">
        <v>69</v>
      </c>
    </row>
    <row r="171" spans="1:11" x14ac:dyDescent="0.2">
      <c r="A171" s="9" t="s">
        <v>92</v>
      </c>
      <c r="B171" s="9" t="s">
        <v>94</v>
      </c>
      <c r="C171" s="9">
        <v>2.5</v>
      </c>
      <c r="D171" s="9">
        <v>2008</v>
      </c>
      <c r="E171" s="9">
        <v>4</v>
      </c>
      <c r="F171" s="9" t="s">
        <v>91</v>
      </c>
      <c r="G171" s="9">
        <v>4</v>
      </c>
      <c r="H171" s="9">
        <v>20</v>
      </c>
      <c r="I171" s="9">
        <v>25</v>
      </c>
      <c r="J171" s="9" t="s">
        <v>0</v>
      </c>
      <c r="K171" s="9" t="s">
        <v>36</v>
      </c>
    </row>
    <row r="172" spans="1:11" x14ac:dyDescent="0.2">
      <c r="A172" s="9" t="s">
        <v>92</v>
      </c>
      <c r="B172" s="9" t="s">
        <v>94</v>
      </c>
      <c r="C172" s="9">
        <v>2.5</v>
      </c>
      <c r="D172" s="9">
        <v>2008</v>
      </c>
      <c r="E172" s="9">
        <v>4</v>
      </c>
      <c r="F172" s="9" t="s">
        <v>91</v>
      </c>
      <c r="G172" s="9">
        <v>4</v>
      </c>
      <c r="H172" s="9">
        <v>20</v>
      </c>
      <c r="I172" s="9">
        <v>27</v>
      </c>
      <c r="J172" s="9" t="s">
        <v>47</v>
      </c>
      <c r="K172" s="9" t="s">
        <v>36</v>
      </c>
    </row>
    <row r="173" spans="1:11" x14ac:dyDescent="0.2">
      <c r="A173" s="9" t="s">
        <v>92</v>
      </c>
      <c r="B173" s="9" t="s">
        <v>94</v>
      </c>
      <c r="C173" s="9">
        <v>2.5</v>
      </c>
      <c r="D173" s="9">
        <v>2008</v>
      </c>
      <c r="E173" s="9">
        <v>4</v>
      </c>
      <c r="F173" s="9" t="s">
        <v>37</v>
      </c>
      <c r="G173" s="9">
        <v>4</v>
      </c>
      <c r="H173" s="9">
        <v>19</v>
      </c>
      <c r="I173" s="9">
        <v>25</v>
      </c>
      <c r="J173" s="9" t="s">
        <v>0</v>
      </c>
      <c r="K173" s="9" t="s">
        <v>36</v>
      </c>
    </row>
    <row r="174" spans="1:11" x14ac:dyDescent="0.2">
      <c r="A174" s="9" t="s">
        <v>92</v>
      </c>
      <c r="B174" s="9" t="s">
        <v>94</v>
      </c>
      <c r="C174" s="9">
        <v>2.5</v>
      </c>
      <c r="D174" s="9">
        <v>2008</v>
      </c>
      <c r="E174" s="9">
        <v>4</v>
      </c>
      <c r="F174" s="9" t="s">
        <v>37</v>
      </c>
      <c r="G174" s="9">
        <v>4</v>
      </c>
      <c r="H174" s="9">
        <v>20</v>
      </c>
      <c r="I174" s="9">
        <v>27</v>
      </c>
      <c r="J174" s="9" t="s">
        <v>47</v>
      </c>
      <c r="K174" s="9" t="s">
        <v>36</v>
      </c>
    </row>
    <row r="175" spans="1:11" x14ac:dyDescent="0.2">
      <c r="A175" s="9" t="s">
        <v>95</v>
      </c>
      <c r="B175" s="9" t="s">
        <v>96</v>
      </c>
      <c r="C175" s="9">
        <v>2.7</v>
      </c>
      <c r="D175" s="9">
        <v>1999</v>
      </c>
      <c r="E175" s="9">
        <v>4</v>
      </c>
      <c r="F175" s="9" t="s">
        <v>37</v>
      </c>
      <c r="G175" s="9">
        <v>4</v>
      </c>
      <c r="H175" s="9">
        <v>15</v>
      </c>
      <c r="I175" s="9">
        <v>20</v>
      </c>
      <c r="J175" s="9" t="s">
        <v>47</v>
      </c>
      <c r="K175" s="9" t="s">
        <v>48</v>
      </c>
    </row>
    <row r="176" spans="1:11" x14ac:dyDescent="0.2">
      <c r="A176" s="9" t="s">
        <v>95</v>
      </c>
      <c r="B176" s="9" t="s">
        <v>96</v>
      </c>
      <c r="C176" s="9">
        <v>2.7</v>
      </c>
      <c r="D176" s="9">
        <v>1999</v>
      </c>
      <c r="E176" s="9">
        <v>4</v>
      </c>
      <c r="F176" s="9" t="s">
        <v>46</v>
      </c>
      <c r="G176" s="9">
        <v>4</v>
      </c>
      <c r="H176" s="9">
        <v>16</v>
      </c>
      <c r="I176" s="9">
        <v>20</v>
      </c>
      <c r="J176" s="9" t="s">
        <v>47</v>
      </c>
      <c r="K176" s="9" t="s">
        <v>48</v>
      </c>
    </row>
    <row r="177" spans="1:11" x14ac:dyDescent="0.2">
      <c r="A177" s="9" t="s">
        <v>95</v>
      </c>
      <c r="B177" s="9" t="s">
        <v>96</v>
      </c>
      <c r="C177" s="9">
        <v>3.4</v>
      </c>
      <c r="D177" s="9">
        <v>1999</v>
      </c>
      <c r="E177" s="9">
        <v>6</v>
      </c>
      <c r="F177" s="9" t="s">
        <v>46</v>
      </c>
      <c r="G177" s="9">
        <v>4</v>
      </c>
      <c r="H177" s="9">
        <v>15</v>
      </c>
      <c r="I177" s="9">
        <v>19</v>
      </c>
      <c r="J177" s="9" t="s">
        <v>47</v>
      </c>
      <c r="K177" s="9" t="s">
        <v>48</v>
      </c>
    </row>
    <row r="178" spans="1:11" x14ac:dyDescent="0.2">
      <c r="A178" s="9" t="s">
        <v>95</v>
      </c>
      <c r="B178" s="9" t="s">
        <v>96</v>
      </c>
      <c r="C178" s="9">
        <v>3.4</v>
      </c>
      <c r="D178" s="9">
        <v>1999</v>
      </c>
      <c r="E178" s="9">
        <v>6</v>
      </c>
      <c r="F178" s="9" t="s">
        <v>37</v>
      </c>
      <c r="G178" s="9">
        <v>4</v>
      </c>
      <c r="H178" s="9">
        <v>15</v>
      </c>
      <c r="I178" s="9">
        <v>17</v>
      </c>
      <c r="J178" s="9" t="s">
        <v>47</v>
      </c>
      <c r="K178" s="9" t="s">
        <v>48</v>
      </c>
    </row>
    <row r="179" spans="1:11" x14ac:dyDescent="0.2">
      <c r="A179" s="9" t="s">
        <v>95</v>
      </c>
      <c r="B179" s="9" t="s">
        <v>96</v>
      </c>
      <c r="C179" s="9">
        <v>4</v>
      </c>
      <c r="D179" s="9">
        <v>2008</v>
      </c>
      <c r="E179" s="9">
        <v>6</v>
      </c>
      <c r="F179" s="9" t="s">
        <v>34</v>
      </c>
      <c r="G179" s="9">
        <v>4</v>
      </c>
      <c r="H179" s="9">
        <v>16</v>
      </c>
      <c r="I179" s="9">
        <v>20</v>
      </c>
      <c r="J179" s="9" t="s">
        <v>47</v>
      </c>
      <c r="K179" s="9" t="s">
        <v>48</v>
      </c>
    </row>
    <row r="180" spans="1:11" x14ac:dyDescent="0.2">
      <c r="A180" s="9" t="s">
        <v>95</v>
      </c>
      <c r="B180" s="9" t="s">
        <v>96</v>
      </c>
      <c r="C180" s="9">
        <v>4.7</v>
      </c>
      <c r="D180" s="9">
        <v>2008</v>
      </c>
      <c r="E180" s="9">
        <v>8</v>
      </c>
      <c r="F180" s="9" t="s">
        <v>34</v>
      </c>
      <c r="G180" s="9">
        <v>4</v>
      </c>
      <c r="H180" s="9">
        <v>14</v>
      </c>
      <c r="I180" s="9">
        <v>17</v>
      </c>
      <c r="J180" s="9" t="s">
        <v>47</v>
      </c>
      <c r="K180" s="9" t="s">
        <v>48</v>
      </c>
    </row>
    <row r="181" spans="1:11" x14ac:dyDescent="0.2">
      <c r="A181" s="9" t="s">
        <v>95</v>
      </c>
      <c r="B181" s="9" t="s">
        <v>97</v>
      </c>
      <c r="C181" s="9">
        <v>2.2000000000000002</v>
      </c>
      <c r="D181" s="9">
        <v>1999</v>
      </c>
      <c r="E181" s="9">
        <v>4</v>
      </c>
      <c r="F181" s="9" t="s">
        <v>37</v>
      </c>
      <c r="G181" s="9" t="s">
        <v>35</v>
      </c>
      <c r="H181" s="9">
        <v>21</v>
      </c>
      <c r="I181" s="9">
        <v>29</v>
      </c>
      <c r="J181" s="9" t="s">
        <v>47</v>
      </c>
      <c r="K181" s="9" t="s">
        <v>43</v>
      </c>
    </row>
    <row r="182" spans="1:11" x14ac:dyDescent="0.2">
      <c r="A182" s="9" t="s">
        <v>95</v>
      </c>
      <c r="B182" s="9" t="s">
        <v>97</v>
      </c>
      <c r="C182" s="9">
        <v>2.2000000000000002</v>
      </c>
      <c r="D182" s="9">
        <v>1999</v>
      </c>
      <c r="E182" s="9">
        <v>4</v>
      </c>
      <c r="F182" s="9" t="s">
        <v>46</v>
      </c>
      <c r="G182" s="9" t="s">
        <v>35</v>
      </c>
      <c r="H182" s="9">
        <v>21</v>
      </c>
      <c r="I182" s="9">
        <v>27</v>
      </c>
      <c r="J182" s="9" t="s">
        <v>47</v>
      </c>
      <c r="K182" s="9" t="s">
        <v>43</v>
      </c>
    </row>
    <row r="183" spans="1:11" x14ac:dyDescent="0.2">
      <c r="A183" s="9" t="s">
        <v>95</v>
      </c>
      <c r="B183" s="9" t="s">
        <v>97</v>
      </c>
      <c r="C183" s="9">
        <v>2.4</v>
      </c>
      <c r="D183" s="9">
        <v>2008</v>
      </c>
      <c r="E183" s="9">
        <v>4</v>
      </c>
      <c r="F183" s="9" t="s">
        <v>37</v>
      </c>
      <c r="G183" s="9" t="s">
        <v>35</v>
      </c>
      <c r="H183" s="9">
        <v>21</v>
      </c>
      <c r="I183" s="9">
        <v>31</v>
      </c>
      <c r="J183" s="9" t="s">
        <v>47</v>
      </c>
      <c r="K183" s="9" t="s">
        <v>43</v>
      </c>
    </row>
    <row r="184" spans="1:11" x14ac:dyDescent="0.2">
      <c r="A184" s="9" t="s">
        <v>95</v>
      </c>
      <c r="B184" s="9" t="s">
        <v>97</v>
      </c>
      <c r="C184" s="9">
        <v>2.4</v>
      </c>
      <c r="D184" s="9">
        <v>2008</v>
      </c>
      <c r="E184" s="9">
        <v>4</v>
      </c>
      <c r="F184" s="9" t="s">
        <v>34</v>
      </c>
      <c r="G184" s="9" t="s">
        <v>35</v>
      </c>
      <c r="H184" s="9">
        <v>21</v>
      </c>
      <c r="I184" s="9">
        <v>31</v>
      </c>
      <c r="J184" s="9" t="s">
        <v>47</v>
      </c>
      <c r="K184" s="9" t="s">
        <v>43</v>
      </c>
    </row>
    <row r="185" spans="1:11" x14ac:dyDescent="0.2">
      <c r="A185" s="9" t="s">
        <v>95</v>
      </c>
      <c r="B185" s="9" t="s">
        <v>97</v>
      </c>
      <c r="C185" s="9">
        <v>3</v>
      </c>
      <c r="D185" s="9">
        <v>1999</v>
      </c>
      <c r="E185" s="9">
        <v>6</v>
      </c>
      <c r="F185" s="9" t="s">
        <v>46</v>
      </c>
      <c r="G185" s="9" t="s">
        <v>35</v>
      </c>
      <c r="H185" s="9">
        <v>18</v>
      </c>
      <c r="I185" s="9">
        <v>26</v>
      </c>
      <c r="J185" s="9" t="s">
        <v>47</v>
      </c>
      <c r="K185" s="9" t="s">
        <v>43</v>
      </c>
    </row>
    <row r="186" spans="1:11" x14ac:dyDescent="0.2">
      <c r="A186" s="9" t="s">
        <v>95</v>
      </c>
      <c r="B186" s="9" t="s">
        <v>97</v>
      </c>
      <c r="C186" s="9">
        <v>3</v>
      </c>
      <c r="D186" s="9">
        <v>1999</v>
      </c>
      <c r="E186" s="9">
        <v>6</v>
      </c>
      <c r="F186" s="9" t="s">
        <v>37</v>
      </c>
      <c r="G186" s="9" t="s">
        <v>35</v>
      </c>
      <c r="H186" s="9">
        <v>18</v>
      </c>
      <c r="I186" s="9">
        <v>26</v>
      </c>
      <c r="J186" s="9" t="s">
        <v>47</v>
      </c>
      <c r="K186" s="9" t="s">
        <v>43</v>
      </c>
    </row>
    <row r="187" spans="1:11" x14ac:dyDescent="0.2">
      <c r="A187" s="9" t="s">
        <v>95</v>
      </c>
      <c r="B187" s="9" t="s">
        <v>97</v>
      </c>
      <c r="C187" s="9">
        <v>3.5</v>
      </c>
      <c r="D187" s="9">
        <v>2008</v>
      </c>
      <c r="E187" s="9">
        <v>6</v>
      </c>
      <c r="F187" s="9" t="s">
        <v>41</v>
      </c>
      <c r="G187" s="9" t="s">
        <v>35</v>
      </c>
      <c r="H187" s="9">
        <v>19</v>
      </c>
      <c r="I187" s="9">
        <v>28</v>
      </c>
      <c r="J187" s="9" t="s">
        <v>47</v>
      </c>
      <c r="K187" s="9" t="s">
        <v>43</v>
      </c>
    </row>
    <row r="188" spans="1:11" x14ac:dyDescent="0.2">
      <c r="A188" s="9" t="s">
        <v>95</v>
      </c>
      <c r="B188" s="9" t="s">
        <v>98</v>
      </c>
      <c r="C188" s="9">
        <v>2.2000000000000002</v>
      </c>
      <c r="D188" s="9">
        <v>1999</v>
      </c>
      <c r="E188" s="9">
        <v>4</v>
      </c>
      <c r="F188" s="9" t="s">
        <v>46</v>
      </c>
      <c r="G188" s="9" t="s">
        <v>35</v>
      </c>
      <c r="H188" s="9">
        <v>21</v>
      </c>
      <c r="I188" s="9">
        <v>27</v>
      </c>
      <c r="J188" s="9" t="s">
        <v>47</v>
      </c>
      <c r="K188" s="9" t="s">
        <v>36</v>
      </c>
    </row>
    <row r="189" spans="1:11" x14ac:dyDescent="0.2">
      <c r="A189" s="9" t="s">
        <v>95</v>
      </c>
      <c r="B189" s="9" t="s">
        <v>98</v>
      </c>
      <c r="C189" s="9">
        <v>2.2000000000000002</v>
      </c>
      <c r="D189" s="9">
        <v>1999</v>
      </c>
      <c r="E189" s="9">
        <v>4</v>
      </c>
      <c r="F189" s="9" t="s">
        <v>37</v>
      </c>
      <c r="G189" s="9" t="s">
        <v>35</v>
      </c>
      <c r="H189" s="9">
        <v>21</v>
      </c>
      <c r="I189" s="9">
        <v>29</v>
      </c>
      <c r="J189" s="9" t="s">
        <v>47</v>
      </c>
      <c r="K189" s="9" t="s">
        <v>36</v>
      </c>
    </row>
    <row r="190" spans="1:11" x14ac:dyDescent="0.2">
      <c r="A190" s="9" t="s">
        <v>95</v>
      </c>
      <c r="B190" s="9" t="s">
        <v>98</v>
      </c>
      <c r="C190" s="9">
        <v>2.4</v>
      </c>
      <c r="D190" s="9">
        <v>2008</v>
      </c>
      <c r="E190" s="9">
        <v>4</v>
      </c>
      <c r="F190" s="9" t="s">
        <v>37</v>
      </c>
      <c r="G190" s="9" t="s">
        <v>35</v>
      </c>
      <c r="H190" s="9">
        <v>21</v>
      </c>
      <c r="I190" s="9">
        <v>31</v>
      </c>
      <c r="J190" s="9" t="s">
        <v>47</v>
      </c>
      <c r="K190" s="9" t="s">
        <v>36</v>
      </c>
    </row>
    <row r="191" spans="1:11" x14ac:dyDescent="0.2">
      <c r="A191" s="9" t="s">
        <v>95</v>
      </c>
      <c r="B191" s="9" t="s">
        <v>98</v>
      </c>
      <c r="C191" s="9">
        <v>2.4</v>
      </c>
      <c r="D191" s="9">
        <v>2008</v>
      </c>
      <c r="E191" s="9">
        <v>4</v>
      </c>
      <c r="F191" s="9" t="s">
        <v>88</v>
      </c>
      <c r="G191" s="9" t="s">
        <v>35</v>
      </c>
      <c r="H191" s="9">
        <v>22</v>
      </c>
      <c r="I191" s="9">
        <v>31</v>
      </c>
      <c r="J191" s="9" t="s">
        <v>47</v>
      </c>
      <c r="K191" s="9" t="s">
        <v>36</v>
      </c>
    </row>
    <row r="192" spans="1:11" x14ac:dyDescent="0.2">
      <c r="A192" s="9" t="s">
        <v>95</v>
      </c>
      <c r="B192" s="9" t="s">
        <v>98</v>
      </c>
      <c r="C192" s="9">
        <v>3</v>
      </c>
      <c r="D192" s="9">
        <v>1999</v>
      </c>
      <c r="E192" s="9">
        <v>6</v>
      </c>
      <c r="F192" s="9" t="s">
        <v>46</v>
      </c>
      <c r="G192" s="9" t="s">
        <v>35</v>
      </c>
      <c r="H192" s="9">
        <v>18</v>
      </c>
      <c r="I192" s="9">
        <v>26</v>
      </c>
      <c r="J192" s="9" t="s">
        <v>47</v>
      </c>
      <c r="K192" s="9" t="s">
        <v>36</v>
      </c>
    </row>
    <row r="193" spans="1:11" x14ac:dyDescent="0.2">
      <c r="A193" s="9" t="s">
        <v>95</v>
      </c>
      <c r="B193" s="9" t="s">
        <v>98</v>
      </c>
      <c r="C193" s="9">
        <v>3</v>
      </c>
      <c r="D193" s="9">
        <v>1999</v>
      </c>
      <c r="E193" s="9">
        <v>6</v>
      </c>
      <c r="F193" s="9" t="s">
        <v>37</v>
      </c>
      <c r="G193" s="9" t="s">
        <v>35</v>
      </c>
      <c r="H193" s="9">
        <v>18</v>
      </c>
      <c r="I193" s="9">
        <v>26</v>
      </c>
      <c r="J193" s="9" t="s">
        <v>47</v>
      </c>
      <c r="K193" s="9" t="s">
        <v>36</v>
      </c>
    </row>
    <row r="194" spans="1:11" x14ac:dyDescent="0.2">
      <c r="A194" s="9" t="s">
        <v>95</v>
      </c>
      <c r="B194" s="9" t="s">
        <v>98</v>
      </c>
      <c r="C194" s="9">
        <v>3.3</v>
      </c>
      <c r="D194" s="9">
        <v>2008</v>
      </c>
      <c r="E194" s="9">
        <v>6</v>
      </c>
      <c r="F194" s="9" t="s">
        <v>88</v>
      </c>
      <c r="G194" s="9" t="s">
        <v>35</v>
      </c>
      <c r="H194" s="9">
        <v>18</v>
      </c>
      <c r="I194" s="9">
        <v>27</v>
      </c>
      <c r="J194" s="9" t="s">
        <v>47</v>
      </c>
      <c r="K194" s="9" t="s">
        <v>36</v>
      </c>
    </row>
    <row r="195" spans="1:11" x14ac:dyDescent="0.2">
      <c r="A195" s="9" t="s">
        <v>95</v>
      </c>
      <c r="B195" s="9" t="s">
        <v>99</v>
      </c>
      <c r="C195" s="9">
        <v>1.8</v>
      </c>
      <c r="D195" s="9">
        <v>1999</v>
      </c>
      <c r="E195" s="9">
        <v>4</v>
      </c>
      <c r="F195" s="9" t="s">
        <v>57</v>
      </c>
      <c r="G195" s="9" t="s">
        <v>35</v>
      </c>
      <c r="H195" s="9">
        <v>24</v>
      </c>
      <c r="I195" s="9">
        <v>30</v>
      </c>
      <c r="J195" s="9" t="s">
        <v>47</v>
      </c>
      <c r="K195" s="9" t="s">
        <v>36</v>
      </c>
    </row>
    <row r="196" spans="1:11" x14ac:dyDescent="0.2">
      <c r="A196" s="9" t="s">
        <v>95</v>
      </c>
      <c r="B196" s="9" t="s">
        <v>99</v>
      </c>
      <c r="C196" s="9">
        <v>1.8</v>
      </c>
      <c r="D196" s="9">
        <v>1999</v>
      </c>
      <c r="E196" s="9">
        <v>4</v>
      </c>
      <c r="F196" s="9" t="s">
        <v>46</v>
      </c>
      <c r="G196" s="9" t="s">
        <v>35</v>
      </c>
      <c r="H196" s="9">
        <v>24</v>
      </c>
      <c r="I196" s="9">
        <v>33</v>
      </c>
      <c r="J196" s="9" t="s">
        <v>47</v>
      </c>
      <c r="K196" s="9" t="s">
        <v>36</v>
      </c>
    </row>
    <row r="197" spans="1:11" x14ac:dyDescent="0.2">
      <c r="A197" s="9" t="s">
        <v>95</v>
      </c>
      <c r="B197" s="9" t="s">
        <v>99</v>
      </c>
      <c r="C197" s="9">
        <v>1.8</v>
      </c>
      <c r="D197" s="9">
        <v>1999</v>
      </c>
      <c r="E197" s="9">
        <v>4</v>
      </c>
      <c r="F197" s="9" t="s">
        <v>37</v>
      </c>
      <c r="G197" s="9" t="s">
        <v>35</v>
      </c>
      <c r="H197" s="9">
        <v>26</v>
      </c>
      <c r="I197" s="9">
        <v>35</v>
      </c>
      <c r="J197" s="9" t="s">
        <v>47</v>
      </c>
      <c r="K197" s="9" t="s">
        <v>36</v>
      </c>
    </row>
    <row r="198" spans="1:11" x14ac:dyDescent="0.2">
      <c r="A198" s="9" t="s">
        <v>95</v>
      </c>
      <c r="B198" s="9" t="s">
        <v>99</v>
      </c>
      <c r="C198" s="9">
        <v>1.8</v>
      </c>
      <c r="D198" s="9">
        <v>2008</v>
      </c>
      <c r="E198" s="9">
        <v>4</v>
      </c>
      <c r="F198" s="9" t="s">
        <v>37</v>
      </c>
      <c r="G198" s="9" t="s">
        <v>35</v>
      </c>
      <c r="H198" s="9">
        <v>28</v>
      </c>
      <c r="I198" s="9">
        <v>37</v>
      </c>
      <c r="J198" s="9" t="s">
        <v>47</v>
      </c>
      <c r="K198" s="9" t="s">
        <v>36</v>
      </c>
    </row>
    <row r="199" spans="1:11" x14ac:dyDescent="0.2">
      <c r="A199" s="9" t="s">
        <v>95</v>
      </c>
      <c r="B199" s="9" t="s">
        <v>99</v>
      </c>
      <c r="C199" s="9">
        <v>1.8</v>
      </c>
      <c r="D199" s="9">
        <v>2008</v>
      </c>
      <c r="E199" s="9">
        <v>4</v>
      </c>
      <c r="F199" s="9" t="s">
        <v>46</v>
      </c>
      <c r="G199" s="9" t="s">
        <v>35</v>
      </c>
      <c r="H199" s="9">
        <v>26</v>
      </c>
      <c r="I199" s="9">
        <v>35</v>
      </c>
      <c r="J199" s="9" t="s">
        <v>47</v>
      </c>
      <c r="K199" s="9" t="s">
        <v>36</v>
      </c>
    </row>
    <row r="200" spans="1:11" x14ac:dyDescent="0.2">
      <c r="A200" s="9" t="s">
        <v>95</v>
      </c>
      <c r="B200" s="9" t="s">
        <v>100</v>
      </c>
      <c r="C200" s="9">
        <v>4.7</v>
      </c>
      <c r="D200" s="9">
        <v>1999</v>
      </c>
      <c r="E200" s="9">
        <v>8</v>
      </c>
      <c r="F200" s="9" t="s">
        <v>46</v>
      </c>
      <c r="G200" s="9">
        <v>4</v>
      </c>
      <c r="H200" s="9">
        <v>11</v>
      </c>
      <c r="I200" s="9">
        <v>15</v>
      </c>
      <c r="J200" s="9" t="s">
        <v>47</v>
      </c>
      <c r="K200" s="9" t="s">
        <v>48</v>
      </c>
    </row>
    <row r="201" spans="1:11" x14ac:dyDescent="0.2">
      <c r="A201" s="9" t="s">
        <v>95</v>
      </c>
      <c r="B201" s="9" t="s">
        <v>100</v>
      </c>
      <c r="C201" s="9">
        <v>5.7</v>
      </c>
      <c r="D201" s="9">
        <v>2008</v>
      </c>
      <c r="E201" s="9">
        <v>8</v>
      </c>
      <c r="F201" s="9" t="s">
        <v>41</v>
      </c>
      <c r="G201" s="9">
        <v>4</v>
      </c>
      <c r="H201" s="9">
        <v>13</v>
      </c>
      <c r="I201" s="9">
        <v>18</v>
      </c>
      <c r="J201" s="9" t="s">
        <v>47</v>
      </c>
      <c r="K201" s="9" t="s">
        <v>48</v>
      </c>
    </row>
    <row r="202" spans="1:11" x14ac:dyDescent="0.2">
      <c r="A202" s="9" t="s">
        <v>95</v>
      </c>
      <c r="B202" s="9" t="s">
        <v>101</v>
      </c>
      <c r="C202" s="9">
        <v>2.7</v>
      </c>
      <c r="D202" s="9">
        <v>1999</v>
      </c>
      <c r="E202" s="9">
        <v>4</v>
      </c>
      <c r="F202" s="9" t="s">
        <v>37</v>
      </c>
      <c r="G202" s="9">
        <v>4</v>
      </c>
      <c r="H202" s="9">
        <v>15</v>
      </c>
      <c r="I202" s="9">
        <v>20</v>
      </c>
      <c r="J202" s="9" t="s">
        <v>47</v>
      </c>
      <c r="K202" s="9" t="s">
        <v>61</v>
      </c>
    </row>
    <row r="203" spans="1:11" x14ac:dyDescent="0.2">
      <c r="A203" s="9" t="s">
        <v>95</v>
      </c>
      <c r="B203" s="9" t="s">
        <v>101</v>
      </c>
      <c r="C203" s="9">
        <v>2.7</v>
      </c>
      <c r="D203" s="9">
        <v>1999</v>
      </c>
      <c r="E203" s="9">
        <v>4</v>
      </c>
      <c r="F203" s="9" t="s">
        <v>46</v>
      </c>
      <c r="G203" s="9">
        <v>4</v>
      </c>
      <c r="H203" s="9">
        <v>16</v>
      </c>
      <c r="I203" s="9">
        <v>20</v>
      </c>
      <c r="J203" s="9" t="s">
        <v>47</v>
      </c>
      <c r="K203" s="9" t="s">
        <v>61</v>
      </c>
    </row>
    <row r="204" spans="1:11" x14ac:dyDescent="0.2">
      <c r="A204" s="9" t="s">
        <v>95</v>
      </c>
      <c r="B204" s="9" t="s">
        <v>101</v>
      </c>
      <c r="C204" s="9">
        <v>2.7</v>
      </c>
      <c r="D204" s="9">
        <v>2008</v>
      </c>
      <c r="E204" s="9">
        <v>4</v>
      </c>
      <c r="F204" s="9" t="s">
        <v>37</v>
      </c>
      <c r="G204" s="9">
        <v>4</v>
      </c>
      <c r="H204" s="9">
        <v>17</v>
      </c>
      <c r="I204" s="9">
        <v>22</v>
      </c>
      <c r="J204" s="9" t="s">
        <v>47</v>
      </c>
      <c r="K204" s="9" t="s">
        <v>61</v>
      </c>
    </row>
    <row r="205" spans="1:11" x14ac:dyDescent="0.2">
      <c r="A205" s="9" t="s">
        <v>95</v>
      </c>
      <c r="B205" s="9" t="s">
        <v>101</v>
      </c>
      <c r="C205" s="9">
        <v>3.4</v>
      </c>
      <c r="D205" s="9">
        <v>1999</v>
      </c>
      <c r="E205" s="9">
        <v>6</v>
      </c>
      <c r="F205" s="9" t="s">
        <v>37</v>
      </c>
      <c r="G205" s="9">
        <v>4</v>
      </c>
      <c r="H205" s="9">
        <v>15</v>
      </c>
      <c r="I205" s="9">
        <v>17</v>
      </c>
      <c r="J205" s="9" t="s">
        <v>47</v>
      </c>
      <c r="K205" s="9" t="s">
        <v>61</v>
      </c>
    </row>
    <row r="206" spans="1:11" x14ac:dyDescent="0.2">
      <c r="A206" s="9" t="s">
        <v>95</v>
      </c>
      <c r="B206" s="9" t="s">
        <v>101</v>
      </c>
      <c r="C206" s="9">
        <v>3.4</v>
      </c>
      <c r="D206" s="9">
        <v>1999</v>
      </c>
      <c r="E206" s="9">
        <v>6</v>
      </c>
      <c r="F206" s="9" t="s">
        <v>46</v>
      </c>
      <c r="G206" s="9">
        <v>4</v>
      </c>
      <c r="H206" s="9">
        <v>15</v>
      </c>
      <c r="I206" s="9">
        <v>19</v>
      </c>
      <c r="J206" s="9" t="s">
        <v>47</v>
      </c>
      <c r="K206" s="9" t="s">
        <v>61</v>
      </c>
    </row>
    <row r="207" spans="1:11" x14ac:dyDescent="0.2">
      <c r="A207" s="9" t="s">
        <v>95</v>
      </c>
      <c r="B207" s="9" t="s">
        <v>101</v>
      </c>
      <c r="C207" s="9">
        <v>4</v>
      </c>
      <c r="D207" s="9">
        <v>2008</v>
      </c>
      <c r="E207" s="9">
        <v>6</v>
      </c>
      <c r="F207" s="9" t="s">
        <v>38</v>
      </c>
      <c r="G207" s="9">
        <v>4</v>
      </c>
      <c r="H207" s="9">
        <v>15</v>
      </c>
      <c r="I207" s="9">
        <v>18</v>
      </c>
      <c r="J207" s="9" t="s">
        <v>47</v>
      </c>
      <c r="K207" s="9" t="s">
        <v>61</v>
      </c>
    </row>
    <row r="208" spans="1:11" x14ac:dyDescent="0.2">
      <c r="A208" s="9" t="s">
        <v>95</v>
      </c>
      <c r="B208" s="9" t="s">
        <v>101</v>
      </c>
      <c r="C208" s="9">
        <v>4</v>
      </c>
      <c r="D208" s="9">
        <v>2008</v>
      </c>
      <c r="E208" s="9">
        <v>6</v>
      </c>
      <c r="F208" s="9" t="s">
        <v>34</v>
      </c>
      <c r="G208" s="9">
        <v>4</v>
      </c>
      <c r="H208" s="9">
        <v>16</v>
      </c>
      <c r="I208" s="9">
        <v>20</v>
      </c>
      <c r="J208" s="9" t="s">
        <v>47</v>
      </c>
      <c r="K208" s="9" t="s">
        <v>61</v>
      </c>
    </row>
    <row r="209" spans="1:11" x14ac:dyDescent="0.2">
      <c r="A209" s="9" t="s">
        <v>102</v>
      </c>
      <c r="B209" s="9" t="s">
        <v>103</v>
      </c>
      <c r="C209" s="9">
        <v>2</v>
      </c>
      <c r="D209" s="9">
        <v>1999</v>
      </c>
      <c r="E209" s="9">
        <v>4</v>
      </c>
      <c r="F209" s="9" t="s">
        <v>37</v>
      </c>
      <c r="G209" s="9" t="s">
        <v>35</v>
      </c>
      <c r="H209" s="9">
        <v>21</v>
      </c>
      <c r="I209" s="9">
        <v>29</v>
      </c>
      <c r="J209" s="9" t="s">
        <v>47</v>
      </c>
      <c r="K209" s="9" t="s">
        <v>36</v>
      </c>
    </row>
    <row r="210" spans="1:11" x14ac:dyDescent="0.2">
      <c r="A210" s="9" t="s">
        <v>102</v>
      </c>
      <c r="B210" s="9" t="s">
        <v>103</v>
      </c>
      <c r="C210" s="9">
        <v>2</v>
      </c>
      <c r="D210" s="9">
        <v>1999</v>
      </c>
      <c r="E210" s="9">
        <v>4</v>
      </c>
      <c r="F210" s="9" t="s">
        <v>46</v>
      </c>
      <c r="G210" s="9" t="s">
        <v>35</v>
      </c>
      <c r="H210" s="9">
        <v>19</v>
      </c>
      <c r="I210" s="9">
        <v>26</v>
      </c>
      <c r="J210" s="9" t="s">
        <v>47</v>
      </c>
      <c r="K210" s="9" t="s">
        <v>36</v>
      </c>
    </row>
    <row r="211" spans="1:11" x14ac:dyDescent="0.2">
      <c r="A211" s="9" t="s">
        <v>102</v>
      </c>
      <c r="B211" s="9" t="s">
        <v>103</v>
      </c>
      <c r="C211" s="9">
        <v>2</v>
      </c>
      <c r="D211" s="9">
        <v>2008</v>
      </c>
      <c r="E211" s="9">
        <v>4</v>
      </c>
      <c r="F211" s="9" t="s">
        <v>38</v>
      </c>
      <c r="G211" s="9" t="s">
        <v>35</v>
      </c>
      <c r="H211" s="9">
        <v>21</v>
      </c>
      <c r="I211" s="9">
        <v>29</v>
      </c>
      <c r="J211" s="9" t="s">
        <v>0</v>
      </c>
      <c r="K211" s="9" t="s">
        <v>36</v>
      </c>
    </row>
    <row r="212" spans="1:11" x14ac:dyDescent="0.2">
      <c r="A212" s="9" t="s">
        <v>102</v>
      </c>
      <c r="B212" s="9" t="s">
        <v>103</v>
      </c>
      <c r="C212" s="9">
        <v>2</v>
      </c>
      <c r="D212" s="9">
        <v>2008</v>
      </c>
      <c r="E212" s="9">
        <v>4</v>
      </c>
      <c r="F212" s="9" t="s">
        <v>41</v>
      </c>
      <c r="G212" s="9" t="s">
        <v>35</v>
      </c>
      <c r="H212" s="9">
        <v>22</v>
      </c>
      <c r="I212" s="9">
        <v>29</v>
      </c>
      <c r="J212" s="9" t="s">
        <v>0</v>
      </c>
      <c r="K212" s="9" t="s">
        <v>36</v>
      </c>
    </row>
    <row r="213" spans="1:11" x14ac:dyDescent="0.2">
      <c r="A213" s="9" t="s">
        <v>102</v>
      </c>
      <c r="B213" s="9" t="s">
        <v>103</v>
      </c>
      <c r="C213" s="9">
        <v>2.8</v>
      </c>
      <c r="D213" s="9">
        <v>1999</v>
      </c>
      <c r="E213" s="9">
        <v>6</v>
      </c>
      <c r="F213" s="9" t="s">
        <v>37</v>
      </c>
      <c r="G213" s="9" t="s">
        <v>35</v>
      </c>
      <c r="H213" s="9">
        <v>17</v>
      </c>
      <c r="I213" s="9">
        <v>24</v>
      </c>
      <c r="J213" s="9" t="s">
        <v>47</v>
      </c>
      <c r="K213" s="9" t="s">
        <v>36</v>
      </c>
    </row>
    <row r="214" spans="1:11" x14ac:dyDescent="0.2">
      <c r="A214" s="9" t="s">
        <v>102</v>
      </c>
      <c r="B214" s="9" t="s">
        <v>104</v>
      </c>
      <c r="C214" s="9">
        <v>1.9</v>
      </c>
      <c r="D214" s="9">
        <v>1999</v>
      </c>
      <c r="E214" s="9">
        <v>4</v>
      </c>
      <c r="F214" s="9" t="s">
        <v>37</v>
      </c>
      <c r="G214" s="9" t="s">
        <v>35</v>
      </c>
      <c r="H214" s="9">
        <v>33</v>
      </c>
      <c r="I214" s="9">
        <v>44</v>
      </c>
      <c r="J214" s="9" t="s">
        <v>53</v>
      </c>
      <c r="K214" s="9" t="s">
        <v>36</v>
      </c>
    </row>
    <row r="215" spans="1:11" x14ac:dyDescent="0.2">
      <c r="A215" s="9" t="s">
        <v>102</v>
      </c>
      <c r="B215" s="9" t="s">
        <v>104</v>
      </c>
      <c r="C215" s="9">
        <v>2</v>
      </c>
      <c r="D215" s="9">
        <v>1999</v>
      </c>
      <c r="E215" s="9">
        <v>4</v>
      </c>
      <c r="F215" s="9" t="s">
        <v>37</v>
      </c>
      <c r="G215" s="9" t="s">
        <v>35</v>
      </c>
      <c r="H215" s="9">
        <v>21</v>
      </c>
      <c r="I215" s="9">
        <v>29</v>
      </c>
      <c r="J215" s="9" t="s">
        <v>47</v>
      </c>
      <c r="K215" s="9" t="s">
        <v>36</v>
      </c>
    </row>
    <row r="216" spans="1:11" x14ac:dyDescent="0.2">
      <c r="A216" s="9" t="s">
        <v>102</v>
      </c>
      <c r="B216" s="9" t="s">
        <v>104</v>
      </c>
      <c r="C216" s="9">
        <v>2</v>
      </c>
      <c r="D216" s="9">
        <v>1999</v>
      </c>
      <c r="E216" s="9">
        <v>4</v>
      </c>
      <c r="F216" s="9" t="s">
        <v>46</v>
      </c>
      <c r="G216" s="9" t="s">
        <v>35</v>
      </c>
      <c r="H216" s="9">
        <v>19</v>
      </c>
      <c r="I216" s="9">
        <v>26</v>
      </c>
      <c r="J216" s="9" t="s">
        <v>47</v>
      </c>
      <c r="K216" s="9" t="s">
        <v>36</v>
      </c>
    </row>
    <row r="217" spans="1:11" x14ac:dyDescent="0.2">
      <c r="A217" s="9" t="s">
        <v>102</v>
      </c>
      <c r="B217" s="9" t="s">
        <v>104</v>
      </c>
      <c r="C217" s="9">
        <v>2</v>
      </c>
      <c r="D217" s="9">
        <v>2008</v>
      </c>
      <c r="E217" s="9">
        <v>4</v>
      </c>
      <c r="F217" s="9" t="s">
        <v>41</v>
      </c>
      <c r="G217" s="9" t="s">
        <v>35</v>
      </c>
      <c r="H217" s="9">
        <v>22</v>
      </c>
      <c r="I217" s="9">
        <v>29</v>
      </c>
      <c r="J217" s="9" t="s">
        <v>0</v>
      </c>
      <c r="K217" s="9" t="s">
        <v>36</v>
      </c>
    </row>
    <row r="218" spans="1:11" x14ac:dyDescent="0.2">
      <c r="A218" s="9" t="s">
        <v>102</v>
      </c>
      <c r="B218" s="9" t="s">
        <v>104</v>
      </c>
      <c r="C218" s="9">
        <v>2</v>
      </c>
      <c r="D218" s="9">
        <v>2008</v>
      </c>
      <c r="E218" s="9">
        <v>4</v>
      </c>
      <c r="F218" s="9" t="s">
        <v>38</v>
      </c>
      <c r="G218" s="9" t="s">
        <v>35</v>
      </c>
      <c r="H218" s="9">
        <v>21</v>
      </c>
      <c r="I218" s="9">
        <v>29</v>
      </c>
      <c r="J218" s="9" t="s">
        <v>0</v>
      </c>
      <c r="K218" s="9" t="s">
        <v>36</v>
      </c>
    </row>
    <row r="219" spans="1:11" x14ac:dyDescent="0.2">
      <c r="A219" s="9" t="s">
        <v>102</v>
      </c>
      <c r="B219" s="9" t="s">
        <v>104</v>
      </c>
      <c r="C219" s="9">
        <v>2.5</v>
      </c>
      <c r="D219" s="9">
        <v>2008</v>
      </c>
      <c r="E219" s="9">
        <v>5</v>
      </c>
      <c r="F219" s="9" t="s">
        <v>41</v>
      </c>
      <c r="G219" s="9" t="s">
        <v>35</v>
      </c>
      <c r="H219" s="9">
        <v>21</v>
      </c>
      <c r="I219" s="9">
        <v>29</v>
      </c>
      <c r="J219" s="9" t="s">
        <v>47</v>
      </c>
      <c r="K219" s="9" t="s">
        <v>36</v>
      </c>
    </row>
    <row r="220" spans="1:11" x14ac:dyDescent="0.2">
      <c r="A220" s="9" t="s">
        <v>102</v>
      </c>
      <c r="B220" s="9" t="s">
        <v>104</v>
      </c>
      <c r="C220" s="9">
        <v>2.5</v>
      </c>
      <c r="D220" s="9">
        <v>2008</v>
      </c>
      <c r="E220" s="9">
        <v>5</v>
      </c>
      <c r="F220" s="9" t="s">
        <v>37</v>
      </c>
      <c r="G220" s="9" t="s">
        <v>35</v>
      </c>
      <c r="H220" s="9">
        <v>21</v>
      </c>
      <c r="I220" s="9">
        <v>29</v>
      </c>
      <c r="J220" s="9" t="s">
        <v>47</v>
      </c>
      <c r="K220" s="9" t="s">
        <v>36</v>
      </c>
    </row>
    <row r="221" spans="1:11" x14ac:dyDescent="0.2">
      <c r="A221" s="9" t="s">
        <v>102</v>
      </c>
      <c r="B221" s="9" t="s">
        <v>104</v>
      </c>
      <c r="C221" s="9">
        <v>2.8</v>
      </c>
      <c r="D221" s="9">
        <v>1999</v>
      </c>
      <c r="E221" s="9">
        <v>6</v>
      </c>
      <c r="F221" s="9" t="s">
        <v>46</v>
      </c>
      <c r="G221" s="9" t="s">
        <v>35</v>
      </c>
      <c r="H221" s="9">
        <v>16</v>
      </c>
      <c r="I221" s="9">
        <v>23</v>
      </c>
      <c r="J221" s="9" t="s">
        <v>47</v>
      </c>
      <c r="K221" s="9" t="s">
        <v>36</v>
      </c>
    </row>
    <row r="222" spans="1:11" x14ac:dyDescent="0.2">
      <c r="A222" s="9" t="s">
        <v>102</v>
      </c>
      <c r="B222" s="9" t="s">
        <v>104</v>
      </c>
      <c r="C222" s="9">
        <v>2.8</v>
      </c>
      <c r="D222" s="9">
        <v>1999</v>
      </c>
      <c r="E222" s="9">
        <v>6</v>
      </c>
      <c r="F222" s="9" t="s">
        <v>37</v>
      </c>
      <c r="G222" s="9" t="s">
        <v>35</v>
      </c>
      <c r="H222" s="9">
        <v>17</v>
      </c>
      <c r="I222" s="9">
        <v>24</v>
      </c>
      <c r="J222" s="9" t="s">
        <v>47</v>
      </c>
      <c r="K222" s="9" t="s">
        <v>36</v>
      </c>
    </row>
    <row r="223" spans="1:11" x14ac:dyDescent="0.2">
      <c r="A223" s="9" t="s">
        <v>102</v>
      </c>
      <c r="B223" s="9" t="s">
        <v>105</v>
      </c>
      <c r="C223" s="9">
        <v>1.9</v>
      </c>
      <c r="D223" s="9">
        <v>1999</v>
      </c>
      <c r="E223" s="9">
        <v>4</v>
      </c>
      <c r="F223" s="9" t="s">
        <v>37</v>
      </c>
      <c r="G223" s="9" t="s">
        <v>35</v>
      </c>
      <c r="H223" s="9">
        <v>35</v>
      </c>
      <c r="I223" s="9">
        <v>44</v>
      </c>
      <c r="J223" s="9" t="s">
        <v>53</v>
      </c>
      <c r="K223" s="9" t="s">
        <v>69</v>
      </c>
    </row>
    <row r="224" spans="1:11" x14ac:dyDescent="0.2">
      <c r="A224" s="9" t="s">
        <v>102</v>
      </c>
      <c r="B224" s="9" t="s">
        <v>105</v>
      </c>
      <c r="C224" s="9">
        <v>1.9</v>
      </c>
      <c r="D224" s="9">
        <v>1999</v>
      </c>
      <c r="E224" s="9">
        <v>4</v>
      </c>
      <c r="F224" s="9" t="s">
        <v>46</v>
      </c>
      <c r="G224" s="9" t="s">
        <v>35</v>
      </c>
      <c r="H224" s="9">
        <v>29</v>
      </c>
      <c r="I224" s="9">
        <v>41</v>
      </c>
      <c r="J224" s="9" t="s">
        <v>53</v>
      </c>
      <c r="K224" s="9" t="s">
        <v>69</v>
      </c>
    </row>
    <row r="225" spans="1:11" x14ac:dyDescent="0.2">
      <c r="A225" s="9" t="s">
        <v>102</v>
      </c>
      <c r="B225" s="9" t="s">
        <v>105</v>
      </c>
      <c r="C225" s="9">
        <v>2</v>
      </c>
      <c r="D225" s="9">
        <v>1999</v>
      </c>
      <c r="E225" s="9">
        <v>4</v>
      </c>
      <c r="F225" s="9" t="s">
        <v>37</v>
      </c>
      <c r="G225" s="9" t="s">
        <v>35</v>
      </c>
      <c r="H225" s="9">
        <v>21</v>
      </c>
      <c r="I225" s="9">
        <v>29</v>
      </c>
      <c r="J225" s="9" t="s">
        <v>47</v>
      </c>
      <c r="K225" s="9" t="s">
        <v>69</v>
      </c>
    </row>
    <row r="226" spans="1:11" x14ac:dyDescent="0.2">
      <c r="A226" s="9" t="s">
        <v>102</v>
      </c>
      <c r="B226" s="9" t="s">
        <v>105</v>
      </c>
      <c r="C226" s="9">
        <v>2</v>
      </c>
      <c r="D226" s="9">
        <v>1999</v>
      </c>
      <c r="E226" s="9">
        <v>4</v>
      </c>
      <c r="F226" s="9" t="s">
        <v>46</v>
      </c>
      <c r="G226" s="9" t="s">
        <v>35</v>
      </c>
      <c r="H226" s="9">
        <v>19</v>
      </c>
      <c r="I226" s="9">
        <v>26</v>
      </c>
      <c r="J226" s="9" t="s">
        <v>47</v>
      </c>
      <c r="K226" s="9" t="s">
        <v>69</v>
      </c>
    </row>
    <row r="227" spans="1:11" x14ac:dyDescent="0.2">
      <c r="A227" s="9" t="s">
        <v>102</v>
      </c>
      <c r="B227" s="9" t="s">
        <v>105</v>
      </c>
      <c r="C227" s="9">
        <v>2.5</v>
      </c>
      <c r="D227" s="9">
        <v>2008</v>
      </c>
      <c r="E227" s="9">
        <v>5</v>
      </c>
      <c r="F227" s="9" t="s">
        <v>37</v>
      </c>
      <c r="G227" s="9" t="s">
        <v>35</v>
      </c>
      <c r="H227" s="9">
        <v>20</v>
      </c>
      <c r="I227" s="9">
        <v>28</v>
      </c>
      <c r="J227" s="9" t="s">
        <v>47</v>
      </c>
      <c r="K227" s="9" t="s">
        <v>69</v>
      </c>
    </row>
    <row r="228" spans="1:11" x14ac:dyDescent="0.2">
      <c r="A228" s="9" t="s">
        <v>102</v>
      </c>
      <c r="B228" s="9" t="s">
        <v>105</v>
      </c>
      <c r="C228" s="9">
        <v>2.5</v>
      </c>
      <c r="D228" s="9">
        <v>2008</v>
      </c>
      <c r="E228" s="9">
        <v>5</v>
      </c>
      <c r="F228" s="9" t="s">
        <v>41</v>
      </c>
      <c r="G228" s="9" t="s">
        <v>35</v>
      </c>
      <c r="H228" s="9">
        <v>20</v>
      </c>
      <c r="I228" s="9">
        <v>29</v>
      </c>
      <c r="J228" s="9" t="s">
        <v>47</v>
      </c>
      <c r="K228" s="9" t="s">
        <v>69</v>
      </c>
    </row>
    <row r="229" spans="1:11" x14ac:dyDescent="0.2">
      <c r="A229" s="9" t="s">
        <v>102</v>
      </c>
      <c r="B229" s="9" t="s">
        <v>106</v>
      </c>
      <c r="C229" s="9">
        <v>1.8</v>
      </c>
      <c r="D229" s="9">
        <v>1999</v>
      </c>
      <c r="E229" s="9">
        <v>4</v>
      </c>
      <c r="F229" s="9" t="s">
        <v>37</v>
      </c>
      <c r="G229" s="9" t="s">
        <v>35</v>
      </c>
      <c r="H229" s="9">
        <v>21</v>
      </c>
      <c r="I229" s="9">
        <v>29</v>
      </c>
      <c r="J229" s="9" t="s">
        <v>0</v>
      </c>
      <c r="K229" s="9" t="s">
        <v>43</v>
      </c>
    </row>
    <row r="230" spans="1:11" x14ac:dyDescent="0.2">
      <c r="A230" s="9" t="s">
        <v>102</v>
      </c>
      <c r="B230" s="9" t="s">
        <v>106</v>
      </c>
      <c r="C230" s="9">
        <v>1.8</v>
      </c>
      <c r="D230" s="9">
        <v>1999</v>
      </c>
      <c r="E230" s="9">
        <v>4</v>
      </c>
      <c r="F230" s="9" t="s">
        <v>34</v>
      </c>
      <c r="G230" s="9" t="s">
        <v>35</v>
      </c>
      <c r="H230" s="9">
        <v>18</v>
      </c>
      <c r="I230" s="9">
        <v>29</v>
      </c>
      <c r="J230" s="9" t="s">
        <v>0</v>
      </c>
      <c r="K230" s="9" t="s">
        <v>43</v>
      </c>
    </row>
    <row r="231" spans="1:11" x14ac:dyDescent="0.2">
      <c r="A231" s="9" t="s">
        <v>102</v>
      </c>
      <c r="B231" s="9" t="s">
        <v>106</v>
      </c>
      <c r="C231" s="9">
        <v>2</v>
      </c>
      <c r="D231" s="9">
        <v>2008</v>
      </c>
      <c r="E231" s="9">
        <v>4</v>
      </c>
      <c r="F231" s="9" t="s">
        <v>41</v>
      </c>
      <c r="G231" s="9" t="s">
        <v>35</v>
      </c>
      <c r="H231" s="9">
        <v>19</v>
      </c>
      <c r="I231" s="9">
        <v>28</v>
      </c>
      <c r="J231" s="9" t="s">
        <v>0</v>
      </c>
      <c r="K231" s="9" t="s">
        <v>43</v>
      </c>
    </row>
    <row r="232" spans="1:11" x14ac:dyDescent="0.2">
      <c r="A232" s="9" t="s">
        <v>102</v>
      </c>
      <c r="B232" s="9" t="s">
        <v>106</v>
      </c>
      <c r="C232" s="9">
        <v>2</v>
      </c>
      <c r="D232" s="9">
        <v>2008</v>
      </c>
      <c r="E232" s="9">
        <v>4</v>
      </c>
      <c r="F232" s="9" t="s">
        <v>38</v>
      </c>
      <c r="G232" s="9" t="s">
        <v>35</v>
      </c>
      <c r="H232" s="9">
        <v>21</v>
      </c>
      <c r="I232" s="9">
        <v>29</v>
      </c>
      <c r="J232" s="9" t="s">
        <v>0</v>
      </c>
      <c r="K232" s="9" t="s">
        <v>43</v>
      </c>
    </row>
    <row r="233" spans="1:11" x14ac:dyDescent="0.2">
      <c r="A233" s="9" t="s">
        <v>102</v>
      </c>
      <c r="B233" s="9" t="s">
        <v>106</v>
      </c>
      <c r="C233" s="9">
        <v>2.8</v>
      </c>
      <c r="D233" s="9">
        <v>1999</v>
      </c>
      <c r="E233" s="9">
        <v>6</v>
      </c>
      <c r="F233" s="9" t="s">
        <v>34</v>
      </c>
      <c r="G233" s="9" t="s">
        <v>35</v>
      </c>
      <c r="H233" s="9">
        <v>16</v>
      </c>
      <c r="I233" s="9">
        <v>26</v>
      </c>
      <c r="J233" s="9" t="s">
        <v>0</v>
      </c>
      <c r="K233" s="9" t="s">
        <v>43</v>
      </c>
    </row>
    <row r="234" spans="1:11" x14ac:dyDescent="0.2">
      <c r="A234" s="9" t="s">
        <v>102</v>
      </c>
      <c r="B234" s="9" t="s">
        <v>106</v>
      </c>
      <c r="C234" s="9">
        <v>2.8</v>
      </c>
      <c r="D234" s="9">
        <v>1999</v>
      </c>
      <c r="E234" s="9">
        <v>6</v>
      </c>
      <c r="F234" s="9" t="s">
        <v>37</v>
      </c>
      <c r="G234" s="9" t="s">
        <v>35</v>
      </c>
      <c r="H234" s="9">
        <v>18</v>
      </c>
      <c r="I234" s="9">
        <v>26</v>
      </c>
      <c r="J234" s="9" t="s">
        <v>0</v>
      </c>
      <c r="K234" s="9" t="s">
        <v>43</v>
      </c>
    </row>
    <row r="235" spans="1:11" x14ac:dyDescent="0.2">
      <c r="A235" s="9" t="s">
        <v>102</v>
      </c>
      <c r="B235" s="9" t="s">
        <v>106</v>
      </c>
      <c r="C235" s="9">
        <v>3.6</v>
      </c>
      <c r="D235" s="9">
        <v>2008</v>
      </c>
      <c r="E235" s="9">
        <v>6</v>
      </c>
      <c r="F235" s="9" t="s">
        <v>41</v>
      </c>
      <c r="G235" s="9" t="s">
        <v>35</v>
      </c>
      <c r="H235" s="9">
        <v>17</v>
      </c>
      <c r="I235" s="9">
        <v>26</v>
      </c>
      <c r="J235" s="9" t="s">
        <v>0</v>
      </c>
      <c r="K235" s="9" t="s">
        <v>43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2" x14ac:dyDescent="0.2">
      <c r="A1" s="9" t="s">
        <v>28</v>
      </c>
      <c r="B1" s="9" t="s">
        <v>107</v>
      </c>
      <c r="C1" s="9"/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</row>
    <row r="2" spans="1:12" x14ac:dyDescent="0.2">
      <c r="A2" s="9">
        <v>18</v>
      </c>
      <c r="B2" s="9">
        <v>1</v>
      </c>
      <c r="C2" s="9"/>
      <c r="D2" s="10" cm="1">
        <f t="array" ref="D2:D235">TREND(A2:A235,B2:B235,B2:B235,FALSE)</f>
        <v>16.858974358974358</v>
      </c>
      <c r="E2" s="10">
        <f>D2-A2</f>
        <v>-1.1410256410256423</v>
      </c>
      <c r="F2" s="10">
        <f>STDEV(E2:E235)</f>
        <v>4.2559456788893932</v>
      </c>
      <c r="G2" s="10">
        <f>_xlfn.NORM.DIST(E2,0,$F$2,FALSE)</f>
        <v>9.0428595220514676E-2</v>
      </c>
      <c r="H2" s="10" cm="1">
        <f t="array" ref="H2">SUM(LN(G2:G235))</f>
        <v>-670.43779208802937</v>
      </c>
      <c r="I2" s="10">
        <f>COUNT(A2:A235)</f>
        <v>234</v>
      </c>
      <c r="J2" s="10">
        <v>1</v>
      </c>
      <c r="K2" s="10">
        <f>-2*H2+2*J2</f>
        <v>1342.8755841760587</v>
      </c>
      <c r="L2" s="10"/>
    </row>
    <row r="3" spans="1:12" x14ac:dyDescent="0.2">
      <c r="A3" s="9">
        <v>21</v>
      </c>
      <c r="B3" s="9">
        <v>1</v>
      </c>
      <c r="C3" s="9"/>
      <c r="D3" s="10">
        <v>16.858974358974358</v>
      </c>
      <c r="E3" s="10">
        <f t="shared" ref="E3:E66" si="0">D3-A3</f>
        <v>-4.1410256410256423</v>
      </c>
      <c r="G3" s="10">
        <f t="shared" ref="G3:G66" si="1">_xlfn.NORM.DIST(E3,0,$F$2,FALSE)</f>
        <v>5.8389578885814829E-2</v>
      </c>
      <c r="L3" s="10"/>
    </row>
    <row r="4" spans="1:12" x14ac:dyDescent="0.2">
      <c r="A4" s="9">
        <v>20</v>
      </c>
      <c r="B4" s="9">
        <v>1</v>
      </c>
      <c r="C4" s="9"/>
      <c r="D4" s="10">
        <v>16.858974358974358</v>
      </c>
      <c r="E4" s="10">
        <f t="shared" si="0"/>
        <v>-3.1410256410256423</v>
      </c>
      <c r="G4" s="10">
        <f t="shared" si="1"/>
        <v>7.138971945227178E-2</v>
      </c>
      <c r="H4" s="10" t="s">
        <v>115</v>
      </c>
      <c r="I4" s="10" t="s">
        <v>116</v>
      </c>
      <c r="L4" s="10"/>
    </row>
    <row r="5" spans="1:12" x14ac:dyDescent="0.2">
      <c r="A5" s="9">
        <v>21</v>
      </c>
      <c r="B5" s="9">
        <v>1</v>
      </c>
      <c r="C5" s="9"/>
      <c r="D5" s="10">
        <v>16.858974358974358</v>
      </c>
      <c r="E5" s="10">
        <f t="shared" si="0"/>
        <v>-4.1410256410256423</v>
      </c>
      <c r="G5" s="10">
        <f t="shared" si="1"/>
        <v>5.8389578885814829E-2</v>
      </c>
      <c r="H5" s="10">
        <f>SUMSQ(E2:E235)</f>
        <v>4220.3461538461506</v>
      </c>
      <c r="I5" s="10">
        <f>H5/I2</f>
        <v>18.035667324128848</v>
      </c>
      <c r="L5" s="10"/>
    </row>
    <row r="6" spans="1:12" x14ac:dyDescent="0.2">
      <c r="A6" s="9">
        <v>16</v>
      </c>
      <c r="B6" s="9">
        <v>1</v>
      </c>
      <c r="C6" s="9"/>
      <c r="D6" s="10">
        <v>16.858974358974358</v>
      </c>
      <c r="E6" s="10">
        <f t="shared" si="0"/>
        <v>0.8589743589743577</v>
      </c>
      <c r="G6" s="10">
        <f t="shared" si="1"/>
        <v>9.1847742433773194E-2</v>
      </c>
      <c r="L6" s="10"/>
    </row>
    <row r="7" spans="1:12" x14ac:dyDescent="0.2">
      <c r="A7" s="9">
        <v>18</v>
      </c>
      <c r="B7" s="9">
        <v>1</v>
      </c>
      <c r="C7" s="9"/>
      <c r="D7" s="10">
        <v>16.858974358974358</v>
      </c>
      <c r="E7" s="10">
        <f t="shared" si="0"/>
        <v>-1.1410256410256423</v>
      </c>
      <c r="G7" s="10">
        <f t="shared" si="1"/>
        <v>9.0428595220514676E-2</v>
      </c>
      <c r="H7" s="10" t="s">
        <v>118</v>
      </c>
      <c r="K7" s="10" t="s">
        <v>120</v>
      </c>
      <c r="L7" s="10"/>
    </row>
    <row r="8" spans="1:12" x14ac:dyDescent="0.2">
      <c r="A8" s="9">
        <v>18</v>
      </c>
      <c r="B8" s="9">
        <v>1</v>
      </c>
      <c r="C8" s="9"/>
      <c r="D8" s="10">
        <v>16.858974358974358</v>
      </c>
      <c r="E8" s="10">
        <f t="shared" si="0"/>
        <v>-1.1410256410256423</v>
      </c>
      <c r="G8" s="10">
        <f t="shared" si="1"/>
        <v>9.0428595220514676E-2</v>
      </c>
      <c r="H8" s="10">
        <f>I2*LN(I5)</f>
        <v>676.81020777694471</v>
      </c>
      <c r="K8" s="10">
        <f>H8+2*J2</f>
        <v>678.81020777694471</v>
      </c>
      <c r="L8" s="10"/>
    </row>
    <row r="9" spans="1:12" x14ac:dyDescent="0.2">
      <c r="A9" s="9">
        <v>18</v>
      </c>
      <c r="B9" s="9">
        <v>1</v>
      </c>
      <c r="C9" s="9"/>
      <c r="D9" s="10">
        <v>16.858974358974358</v>
      </c>
      <c r="E9" s="10">
        <f t="shared" si="0"/>
        <v>-1.1410256410256423</v>
      </c>
      <c r="G9" s="10">
        <f t="shared" si="1"/>
        <v>9.0428595220514676E-2</v>
      </c>
      <c r="L9" s="10"/>
    </row>
    <row r="10" spans="1:12" x14ac:dyDescent="0.2">
      <c r="A10" s="9">
        <v>16</v>
      </c>
      <c r="B10" s="9">
        <v>1</v>
      </c>
      <c r="C10" s="9"/>
      <c r="D10" s="10">
        <v>16.858974358974358</v>
      </c>
      <c r="E10" s="10">
        <f t="shared" si="0"/>
        <v>0.8589743589743577</v>
      </c>
      <c r="G10" s="10">
        <f t="shared" si="1"/>
        <v>9.1847742433773194E-2</v>
      </c>
      <c r="H10" s="10" t="s">
        <v>119</v>
      </c>
      <c r="L10" s="10"/>
    </row>
    <row r="11" spans="1:12" x14ac:dyDescent="0.2">
      <c r="A11" s="9">
        <v>20</v>
      </c>
      <c r="B11" s="9">
        <v>1</v>
      </c>
      <c r="C11" s="9"/>
      <c r="D11" s="10">
        <v>16.858974358974358</v>
      </c>
      <c r="E11" s="10">
        <f t="shared" si="0"/>
        <v>-3.1410256410256423</v>
      </c>
      <c r="G11" s="10">
        <f t="shared" si="1"/>
        <v>7.138971945227178E-2</v>
      </c>
      <c r="H11" s="10">
        <f>I2*LN(2*PI())</f>
        <v>430.06323353978684</v>
      </c>
      <c r="L11" s="10"/>
    </row>
    <row r="12" spans="1:12" x14ac:dyDescent="0.2">
      <c r="A12" s="9">
        <v>19</v>
      </c>
      <c r="B12" s="9">
        <v>1</v>
      </c>
      <c r="C12" s="9"/>
      <c r="D12" s="10">
        <v>16.858974358974358</v>
      </c>
      <c r="E12" s="10">
        <f t="shared" si="0"/>
        <v>-2.1410256410256423</v>
      </c>
      <c r="G12" s="10">
        <f t="shared" si="1"/>
        <v>8.2596026638649928E-2</v>
      </c>
      <c r="L12" s="10"/>
    </row>
    <row r="13" spans="1:12" x14ac:dyDescent="0.2">
      <c r="A13" s="9">
        <v>15</v>
      </c>
      <c r="B13" s="9">
        <v>1</v>
      </c>
      <c r="C13" s="9"/>
      <c r="D13" s="10">
        <v>16.858974358974358</v>
      </c>
      <c r="E13" s="10">
        <f t="shared" si="0"/>
        <v>1.8589743589743577</v>
      </c>
      <c r="G13" s="10">
        <f t="shared" si="1"/>
        <v>8.5208821600122359E-2</v>
      </c>
      <c r="H13" s="10" t="s">
        <v>117</v>
      </c>
      <c r="K13" s="10" t="s">
        <v>113</v>
      </c>
      <c r="L13" s="10"/>
    </row>
    <row r="14" spans="1:12" x14ac:dyDescent="0.2">
      <c r="A14" s="9">
        <v>17</v>
      </c>
      <c r="B14" s="9">
        <v>1</v>
      </c>
      <c r="C14" s="9"/>
      <c r="D14" s="10">
        <v>16.858974358974358</v>
      </c>
      <c r="E14" s="10">
        <f t="shared" si="0"/>
        <v>-0.1410256410256423</v>
      </c>
      <c r="G14" s="10">
        <f t="shared" si="1"/>
        <v>9.3686186441259228E-2</v>
      </c>
      <c r="H14" s="10">
        <f>H8+H11+I2</f>
        <v>1340.8734413167315</v>
      </c>
      <c r="K14" s="10">
        <f>H14+2*J2</f>
        <v>1342.8734413167315</v>
      </c>
      <c r="L14" s="10"/>
    </row>
    <row r="15" spans="1:12" x14ac:dyDescent="0.2">
      <c r="A15" s="9">
        <v>17</v>
      </c>
      <c r="B15" s="9">
        <v>1</v>
      </c>
      <c r="C15" s="9"/>
      <c r="D15" s="10">
        <v>16.858974358974358</v>
      </c>
      <c r="E15" s="10">
        <f t="shared" si="0"/>
        <v>-0.1410256410256423</v>
      </c>
      <c r="G15" s="10">
        <f t="shared" si="1"/>
        <v>9.3686186441259228E-2</v>
      </c>
      <c r="L15" s="10"/>
    </row>
    <row r="16" spans="1:12" x14ac:dyDescent="0.2">
      <c r="A16" s="9">
        <v>15</v>
      </c>
      <c r="B16" s="9">
        <v>1</v>
      </c>
      <c r="C16" s="9"/>
      <c r="D16" s="10">
        <v>16.858974358974358</v>
      </c>
      <c r="E16" s="10">
        <f t="shared" si="0"/>
        <v>1.8589743589743577</v>
      </c>
      <c r="G16" s="10">
        <f t="shared" si="1"/>
        <v>8.5208821600122359E-2</v>
      </c>
      <c r="L16" s="10"/>
    </row>
    <row r="17" spans="1:12" x14ac:dyDescent="0.2">
      <c r="A17" s="9">
        <v>15</v>
      </c>
      <c r="B17" s="9">
        <v>1</v>
      </c>
      <c r="C17" s="9"/>
      <c r="D17" s="10">
        <v>16.858974358974358</v>
      </c>
      <c r="E17" s="10">
        <f t="shared" si="0"/>
        <v>1.8589743589743577</v>
      </c>
      <c r="G17" s="10">
        <f t="shared" si="1"/>
        <v>8.5208821600122359E-2</v>
      </c>
      <c r="L17" s="10"/>
    </row>
    <row r="18" spans="1:12" x14ac:dyDescent="0.2">
      <c r="A18" s="9">
        <v>17</v>
      </c>
      <c r="B18" s="9">
        <v>1</v>
      </c>
      <c r="C18" s="9"/>
      <c r="D18" s="10">
        <v>16.858974358974358</v>
      </c>
      <c r="E18" s="10">
        <f t="shared" si="0"/>
        <v>-0.1410256410256423</v>
      </c>
      <c r="G18" s="10">
        <f t="shared" si="1"/>
        <v>9.3686186441259228E-2</v>
      </c>
      <c r="L18" s="10"/>
    </row>
    <row r="19" spans="1:12" x14ac:dyDescent="0.2">
      <c r="A19" s="9">
        <v>16</v>
      </c>
      <c r="B19" s="9">
        <v>1</v>
      </c>
      <c r="C19" s="9"/>
      <c r="D19" s="10">
        <v>16.858974358974358</v>
      </c>
      <c r="E19" s="10">
        <f t="shared" si="0"/>
        <v>0.8589743589743577</v>
      </c>
      <c r="G19" s="10">
        <f t="shared" si="1"/>
        <v>9.1847742433773194E-2</v>
      </c>
      <c r="L19" s="10"/>
    </row>
    <row r="20" spans="1:12" x14ac:dyDescent="0.2">
      <c r="A20" s="9">
        <v>14</v>
      </c>
      <c r="B20" s="9">
        <v>1</v>
      </c>
      <c r="C20" s="9"/>
      <c r="D20" s="10">
        <v>16.858974358974358</v>
      </c>
      <c r="E20" s="10">
        <f t="shared" si="0"/>
        <v>2.8589743589743577</v>
      </c>
      <c r="G20" s="10">
        <f t="shared" si="1"/>
        <v>7.4803820711623142E-2</v>
      </c>
      <c r="L20" s="10"/>
    </row>
    <row r="21" spans="1:12" x14ac:dyDescent="0.2">
      <c r="A21" s="9">
        <v>11</v>
      </c>
      <c r="B21" s="9">
        <v>1</v>
      </c>
      <c r="C21" s="9"/>
      <c r="D21" s="10">
        <v>16.858974358974358</v>
      </c>
      <c r="E21" s="10">
        <f t="shared" si="0"/>
        <v>5.8589743589743577</v>
      </c>
      <c r="G21" s="10">
        <f t="shared" si="1"/>
        <v>3.6339616015446226E-2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/>
      <c r="D22" s="10">
        <v>16.858974358974358</v>
      </c>
      <c r="E22" s="10">
        <f t="shared" si="0"/>
        <v>2.8589743589743577</v>
      </c>
      <c r="G22" s="10">
        <f t="shared" si="1"/>
        <v>7.4803820711623142E-2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/>
      <c r="D23" s="10">
        <v>16.858974358974358</v>
      </c>
      <c r="E23" s="10">
        <f t="shared" si="0"/>
        <v>3.8589743589743577</v>
      </c>
      <c r="G23" s="10">
        <f t="shared" si="1"/>
        <v>6.2142132155231941E-2</v>
      </c>
      <c r="J23" s="18"/>
      <c r="K23" s="24" t="s">
        <v>200</v>
      </c>
      <c r="L23" s="20"/>
    </row>
    <row r="24" spans="1:12" x14ac:dyDescent="0.2">
      <c r="A24" s="9">
        <v>12</v>
      </c>
      <c r="B24" s="9">
        <v>1</v>
      </c>
      <c r="C24" s="9"/>
      <c r="D24" s="10">
        <v>16.858974358974358</v>
      </c>
      <c r="E24" s="10">
        <f t="shared" si="0"/>
        <v>4.8589743589743577</v>
      </c>
      <c r="G24" s="10">
        <f t="shared" si="1"/>
        <v>4.8850798619149906E-2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/>
      <c r="D25" s="10">
        <v>16.858974358974358</v>
      </c>
      <c r="E25" s="10">
        <f t="shared" si="0"/>
        <v>0.8589743589743577</v>
      </c>
      <c r="G25" s="10">
        <f t="shared" si="1"/>
        <v>9.1847742433773194E-2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/>
      <c r="D26" s="10">
        <v>16.858974358974358</v>
      </c>
      <c r="E26" s="10">
        <f t="shared" si="0"/>
        <v>1.8589743589743577</v>
      </c>
      <c r="G26" s="10">
        <f t="shared" si="1"/>
        <v>8.5208821600122359E-2</v>
      </c>
      <c r="L26" s="10"/>
    </row>
    <row r="27" spans="1:12" x14ac:dyDescent="0.2">
      <c r="A27" s="9">
        <v>16</v>
      </c>
      <c r="B27" s="9">
        <v>1</v>
      </c>
      <c r="C27" s="9"/>
      <c r="D27" s="10">
        <v>16.858974358974358</v>
      </c>
      <c r="E27" s="10">
        <f t="shared" si="0"/>
        <v>0.8589743589743577</v>
      </c>
      <c r="G27" s="10">
        <f t="shared" si="1"/>
        <v>9.1847742433773194E-2</v>
      </c>
      <c r="L27" s="10"/>
    </row>
    <row r="28" spans="1:12" x14ac:dyDescent="0.2">
      <c r="A28" s="9">
        <v>15</v>
      </c>
      <c r="B28" s="9">
        <v>1</v>
      </c>
      <c r="C28" s="9"/>
      <c r="D28" s="10">
        <v>16.858974358974358</v>
      </c>
      <c r="E28" s="10">
        <f t="shared" si="0"/>
        <v>1.8589743589743577</v>
      </c>
      <c r="G28" s="10">
        <f t="shared" si="1"/>
        <v>8.5208821600122359E-2</v>
      </c>
      <c r="L28" s="10"/>
    </row>
    <row r="29" spans="1:12" x14ac:dyDescent="0.2">
      <c r="A29" s="9">
        <v>15</v>
      </c>
      <c r="B29" s="9">
        <v>1</v>
      </c>
      <c r="C29" s="9"/>
      <c r="D29" s="10">
        <v>16.858974358974358</v>
      </c>
      <c r="E29" s="10">
        <f t="shared" si="0"/>
        <v>1.8589743589743577</v>
      </c>
      <c r="G29" s="10">
        <f t="shared" si="1"/>
        <v>8.5208821600122359E-2</v>
      </c>
      <c r="L29" s="10"/>
    </row>
    <row r="30" spans="1:12" x14ac:dyDescent="0.2">
      <c r="A30" s="9">
        <v>14</v>
      </c>
      <c r="B30" s="9">
        <v>1</v>
      </c>
      <c r="C30" s="9"/>
      <c r="D30" s="10">
        <v>16.858974358974358</v>
      </c>
      <c r="E30" s="10">
        <f t="shared" si="0"/>
        <v>2.8589743589743577</v>
      </c>
      <c r="G30" s="10">
        <f t="shared" si="1"/>
        <v>7.4803820711623142E-2</v>
      </c>
      <c r="L30" s="10"/>
    </row>
    <row r="31" spans="1:12" x14ac:dyDescent="0.2">
      <c r="A31" s="9">
        <v>11</v>
      </c>
      <c r="B31" s="9">
        <v>1</v>
      </c>
      <c r="C31" s="9"/>
      <c r="D31" s="10">
        <v>16.858974358974358</v>
      </c>
      <c r="E31" s="10">
        <f t="shared" si="0"/>
        <v>5.8589743589743577</v>
      </c>
      <c r="G31" s="10">
        <f t="shared" si="1"/>
        <v>3.6339616015446226E-2</v>
      </c>
      <c r="L31" s="10"/>
    </row>
    <row r="32" spans="1:12" x14ac:dyDescent="0.2">
      <c r="A32" s="9">
        <v>11</v>
      </c>
      <c r="B32" s="9">
        <v>1</v>
      </c>
      <c r="C32" s="9"/>
      <c r="D32" s="10">
        <v>16.858974358974358</v>
      </c>
      <c r="E32" s="10">
        <f t="shared" si="0"/>
        <v>5.8589743589743577</v>
      </c>
      <c r="G32" s="10">
        <f t="shared" si="1"/>
        <v>3.6339616015446226E-2</v>
      </c>
      <c r="L32" s="10"/>
    </row>
    <row r="33" spans="1:12" x14ac:dyDescent="0.2">
      <c r="A33" s="9">
        <v>14</v>
      </c>
      <c r="B33" s="9">
        <v>1</v>
      </c>
      <c r="C33" s="9"/>
      <c r="D33" s="10">
        <v>16.858974358974358</v>
      </c>
      <c r="E33" s="10">
        <f t="shared" si="0"/>
        <v>2.8589743589743577</v>
      </c>
      <c r="G33" s="10">
        <f t="shared" si="1"/>
        <v>7.4803820711623142E-2</v>
      </c>
      <c r="L33" s="10"/>
    </row>
    <row r="34" spans="1:12" x14ac:dyDescent="0.2">
      <c r="A34" s="9">
        <v>19</v>
      </c>
      <c r="B34" s="9">
        <v>1</v>
      </c>
      <c r="C34" s="9"/>
      <c r="D34" s="10">
        <v>16.858974358974358</v>
      </c>
      <c r="E34" s="10">
        <f t="shared" si="0"/>
        <v>-2.1410256410256423</v>
      </c>
      <c r="G34" s="10">
        <f t="shared" si="1"/>
        <v>8.2596026638649928E-2</v>
      </c>
      <c r="L34" s="10"/>
    </row>
    <row r="35" spans="1:12" x14ac:dyDescent="0.2">
      <c r="A35" s="9">
        <v>22</v>
      </c>
      <c r="B35" s="9">
        <v>1</v>
      </c>
      <c r="C35" s="9"/>
      <c r="D35" s="10">
        <v>16.858974358974358</v>
      </c>
      <c r="E35" s="10">
        <f t="shared" si="0"/>
        <v>-5.1410256410256423</v>
      </c>
      <c r="G35" s="10">
        <f t="shared" si="1"/>
        <v>4.5191645925457373E-2</v>
      </c>
      <c r="L35" s="10"/>
    </row>
    <row r="36" spans="1:12" x14ac:dyDescent="0.2">
      <c r="A36" s="9">
        <v>18</v>
      </c>
      <c r="B36" s="9">
        <v>1</v>
      </c>
      <c r="C36" s="9"/>
      <c r="D36" s="10">
        <v>16.858974358974358</v>
      </c>
      <c r="E36" s="10">
        <f t="shared" si="0"/>
        <v>-1.1410256410256423</v>
      </c>
      <c r="G36" s="10">
        <f t="shared" si="1"/>
        <v>9.0428595220514676E-2</v>
      </c>
      <c r="L36" s="10"/>
    </row>
    <row r="37" spans="1:12" x14ac:dyDescent="0.2">
      <c r="A37" s="9">
        <v>18</v>
      </c>
      <c r="B37" s="9">
        <v>1</v>
      </c>
      <c r="C37" s="9"/>
      <c r="D37" s="10">
        <v>16.858974358974358</v>
      </c>
      <c r="E37" s="10">
        <f t="shared" si="0"/>
        <v>-1.1410256410256423</v>
      </c>
      <c r="G37" s="10">
        <f t="shared" si="1"/>
        <v>9.0428595220514676E-2</v>
      </c>
      <c r="L37" s="10"/>
    </row>
    <row r="38" spans="1:12" x14ac:dyDescent="0.2">
      <c r="A38" s="9">
        <v>17</v>
      </c>
      <c r="B38" s="9">
        <v>1</v>
      </c>
      <c r="C38" s="9"/>
      <c r="D38" s="10">
        <v>16.858974358974358</v>
      </c>
      <c r="E38" s="10">
        <f t="shared" si="0"/>
        <v>-0.1410256410256423</v>
      </c>
      <c r="G38" s="10">
        <f t="shared" si="1"/>
        <v>9.3686186441259228E-2</v>
      </c>
      <c r="L38" s="10"/>
    </row>
    <row r="39" spans="1:12" x14ac:dyDescent="0.2">
      <c r="A39" s="9">
        <v>18</v>
      </c>
      <c r="B39" s="9">
        <v>1</v>
      </c>
      <c r="C39" s="9"/>
      <c r="D39" s="10">
        <v>16.858974358974358</v>
      </c>
      <c r="E39" s="10">
        <f t="shared" si="0"/>
        <v>-1.1410256410256423</v>
      </c>
      <c r="G39" s="10">
        <f t="shared" si="1"/>
        <v>9.0428595220514676E-2</v>
      </c>
      <c r="L39" s="10"/>
    </row>
    <row r="40" spans="1:12" x14ac:dyDescent="0.2">
      <c r="A40" s="9">
        <v>17</v>
      </c>
      <c r="B40" s="9">
        <v>1</v>
      </c>
      <c r="C40" s="9"/>
      <c r="D40" s="10">
        <v>16.858974358974358</v>
      </c>
      <c r="E40" s="10">
        <f t="shared" si="0"/>
        <v>-0.1410256410256423</v>
      </c>
      <c r="G40" s="10">
        <f t="shared" si="1"/>
        <v>9.3686186441259228E-2</v>
      </c>
      <c r="L40" s="10"/>
    </row>
    <row r="41" spans="1:12" x14ac:dyDescent="0.2">
      <c r="A41" s="9">
        <v>16</v>
      </c>
      <c r="B41" s="9">
        <v>1</v>
      </c>
      <c r="C41" s="9"/>
      <c r="D41" s="10">
        <v>16.858974358974358</v>
      </c>
      <c r="E41" s="10">
        <f t="shared" si="0"/>
        <v>0.8589743589743577</v>
      </c>
      <c r="G41" s="10">
        <f t="shared" si="1"/>
        <v>9.1847742433773194E-2</v>
      </c>
      <c r="L41" s="10"/>
    </row>
    <row r="42" spans="1:12" x14ac:dyDescent="0.2">
      <c r="A42" s="9">
        <v>16</v>
      </c>
      <c r="B42" s="9">
        <v>1</v>
      </c>
      <c r="C42" s="9"/>
      <c r="D42" s="10">
        <v>16.858974358974358</v>
      </c>
      <c r="E42" s="10">
        <f t="shared" si="0"/>
        <v>0.8589743589743577</v>
      </c>
      <c r="G42" s="10">
        <f t="shared" si="1"/>
        <v>9.1847742433773194E-2</v>
      </c>
      <c r="L42" s="10"/>
    </row>
    <row r="43" spans="1:12" x14ac:dyDescent="0.2">
      <c r="A43" s="9">
        <v>17</v>
      </c>
      <c r="B43" s="9">
        <v>1</v>
      </c>
      <c r="C43" s="9"/>
      <c r="D43" s="10">
        <v>16.858974358974358</v>
      </c>
      <c r="E43" s="10">
        <f t="shared" si="0"/>
        <v>-0.1410256410256423</v>
      </c>
      <c r="G43" s="10">
        <f t="shared" si="1"/>
        <v>9.3686186441259228E-2</v>
      </c>
      <c r="L43" s="10"/>
    </row>
    <row r="44" spans="1:12" x14ac:dyDescent="0.2">
      <c r="A44" s="9">
        <v>17</v>
      </c>
      <c r="B44" s="9">
        <v>1</v>
      </c>
      <c r="C44" s="9"/>
      <c r="D44" s="10">
        <v>16.858974358974358</v>
      </c>
      <c r="E44" s="10">
        <f t="shared" si="0"/>
        <v>-0.1410256410256423</v>
      </c>
      <c r="G44" s="10">
        <f t="shared" si="1"/>
        <v>9.3686186441259228E-2</v>
      </c>
      <c r="L44" s="10"/>
    </row>
    <row r="45" spans="1:12" x14ac:dyDescent="0.2">
      <c r="A45" s="9">
        <v>11</v>
      </c>
      <c r="B45" s="9">
        <v>1</v>
      </c>
      <c r="C45" s="9"/>
      <c r="D45" s="10">
        <v>16.858974358974358</v>
      </c>
      <c r="E45" s="10">
        <f t="shared" si="0"/>
        <v>5.8589743589743577</v>
      </c>
      <c r="G45" s="10">
        <f t="shared" si="1"/>
        <v>3.6339616015446226E-2</v>
      </c>
      <c r="L45" s="10"/>
    </row>
    <row r="46" spans="1:12" x14ac:dyDescent="0.2">
      <c r="A46" s="9">
        <v>15</v>
      </c>
      <c r="B46" s="9">
        <v>1</v>
      </c>
      <c r="C46" s="9"/>
      <c r="D46" s="10">
        <v>16.858974358974358</v>
      </c>
      <c r="E46" s="10">
        <f t="shared" si="0"/>
        <v>1.8589743589743577</v>
      </c>
      <c r="G46" s="10">
        <f t="shared" si="1"/>
        <v>8.5208821600122359E-2</v>
      </c>
      <c r="L46" s="10"/>
    </row>
    <row r="47" spans="1:12" x14ac:dyDescent="0.2">
      <c r="A47" s="9">
        <v>15</v>
      </c>
      <c r="B47" s="9">
        <v>1</v>
      </c>
      <c r="C47" s="9"/>
      <c r="D47" s="10">
        <v>16.858974358974358</v>
      </c>
      <c r="E47" s="10">
        <f t="shared" si="0"/>
        <v>1.8589743589743577</v>
      </c>
      <c r="G47" s="10">
        <f t="shared" si="1"/>
        <v>8.5208821600122359E-2</v>
      </c>
      <c r="L47" s="10"/>
    </row>
    <row r="48" spans="1:12" x14ac:dyDescent="0.2">
      <c r="A48" s="9">
        <v>16</v>
      </c>
      <c r="B48" s="9">
        <v>1</v>
      </c>
      <c r="C48" s="9"/>
      <c r="D48" s="10">
        <v>16.858974358974358</v>
      </c>
      <c r="E48" s="10">
        <f t="shared" si="0"/>
        <v>0.8589743589743577</v>
      </c>
      <c r="G48" s="10">
        <f t="shared" si="1"/>
        <v>9.1847742433773194E-2</v>
      </c>
      <c r="L48" s="10"/>
    </row>
    <row r="49" spans="1:12" x14ac:dyDescent="0.2">
      <c r="A49" s="9">
        <v>16</v>
      </c>
      <c r="B49" s="9">
        <v>1</v>
      </c>
      <c r="C49" s="9"/>
      <c r="D49" s="10">
        <v>16.858974358974358</v>
      </c>
      <c r="E49" s="10">
        <f t="shared" si="0"/>
        <v>0.8589743589743577</v>
      </c>
      <c r="G49" s="10">
        <f t="shared" si="1"/>
        <v>9.1847742433773194E-2</v>
      </c>
      <c r="L49" s="10"/>
    </row>
    <row r="50" spans="1:12" x14ac:dyDescent="0.2">
      <c r="A50" s="9">
        <v>15</v>
      </c>
      <c r="B50" s="9">
        <v>1</v>
      </c>
      <c r="C50" s="9"/>
      <c r="D50" s="10">
        <v>16.858974358974358</v>
      </c>
      <c r="E50" s="10">
        <f t="shared" si="0"/>
        <v>1.8589743589743577</v>
      </c>
      <c r="G50" s="10">
        <f t="shared" si="1"/>
        <v>8.5208821600122359E-2</v>
      </c>
      <c r="L50" s="10"/>
    </row>
    <row r="51" spans="1:12" x14ac:dyDescent="0.2">
      <c r="A51" s="9">
        <v>14</v>
      </c>
      <c r="B51" s="9">
        <v>1</v>
      </c>
      <c r="C51" s="9"/>
      <c r="D51" s="10">
        <v>16.858974358974358</v>
      </c>
      <c r="E51" s="10">
        <f t="shared" si="0"/>
        <v>2.8589743589743577</v>
      </c>
      <c r="G51" s="10">
        <f t="shared" si="1"/>
        <v>7.4803820711623142E-2</v>
      </c>
      <c r="L51" s="10"/>
    </row>
    <row r="52" spans="1:12" x14ac:dyDescent="0.2">
      <c r="A52" s="9">
        <v>13</v>
      </c>
      <c r="B52" s="9">
        <v>1</v>
      </c>
      <c r="C52" s="9"/>
      <c r="D52" s="10">
        <v>16.858974358974358</v>
      </c>
      <c r="E52" s="10">
        <f t="shared" si="0"/>
        <v>3.8589743589743577</v>
      </c>
      <c r="G52" s="10">
        <f t="shared" si="1"/>
        <v>6.2142132155231941E-2</v>
      </c>
      <c r="L52" s="10"/>
    </row>
    <row r="53" spans="1:12" x14ac:dyDescent="0.2">
      <c r="A53" s="9">
        <v>14</v>
      </c>
      <c r="B53" s="9">
        <v>1</v>
      </c>
      <c r="C53" s="9"/>
      <c r="D53" s="10">
        <v>16.858974358974358</v>
      </c>
      <c r="E53" s="10">
        <f t="shared" si="0"/>
        <v>2.8589743589743577</v>
      </c>
      <c r="G53" s="10">
        <f t="shared" si="1"/>
        <v>7.4803820711623142E-2</v>
      </c>
      <c r="L53" s="10"/>
    </row>
    <row r="54" spans="1:12" x14ac:dyDescent="0.2">
      <c r="A54" s="9">
        <v>14</v>
      </c>
      <c r="B54" s="9">
        <v>1</v>
      </c>
      <c r="C54" s="9"/>
      <c r="D54" s="10">
        <v>16.858974358974358</v>
      </c>
      <c r="E54" s="10">
        <f t="shared" si="0"/>
        <v>2.8589743589743577</v>
      </c>
      <c r="G54" s="10">
        <f t="shared" si="1"/>
        <v>7.4803820711623142E-2</v>
      </c>
      <c r="L54" s="10"/>
    </row>
    <row r="55" spans="1:12" x14ac:dyDescent="0.2">
      <c r="A55" s="9">
        <v>14</v>
      </c>
      <c r="B55" s="9">
        <v>1</v>
      </c>
      <c r="C55" s="9"/>
      <c r="D55" s="10">
        <v>16.858974358974358</v>
      </c>
      <c r="E55" s="10">
        <f t="shared" si="0"/>
        <v>2.8589743589743577</v>
      </c>
      <c r="G55" s="10">
        <f t="shared" si="1"/>
        <v>7.4803820711623142E-2</v>
      </c>
      <c r="L55" s="10"/>
    </row>
    <row r="56" spans="1:12" x14ac:dyDescent="0.2">
      <c r="A56" s="9">
        <v>9</v>
      </c>
      <c r="B56" s="9">
        <v>1</v>
      </c>
      <c r="C56" s="9"/>
      <c r="D56" s="10">
        <v>16.858974358974358</v>
      </c>
      <c r="E56" s="10">
        <f t="shared" si="0"/>
        <v>7.8589743589743577</v>
      </c>
      <c r="G56" s="10">
        <f t="shared" si="1"/>
        <v>1.7039902700084295E-2</v>
      </c>
      <c r="L56" s="10"/>
    </row>
    <row r="57" spans="1:12" x14ac:dyDescent="0.2">
      <c r="A57" s="9">
        <v>11</v>
      </c>
      <c r="B57" s="9">
        <v>1</v>
      </c>
      <c r="C57" s="9"/>
      <c r="D57" s="10">
        <v>16.858974358974358</v>
      </c>
      <c r="E57" s="10">
        <f t="shared" si="0"/>
        <v>5.8589743589743577</v>
      </c>
      <c r="G57" s="10">
        <f t="shared" si="1"/>
        <v>3.6339616015446226E-2</v>
      </c>
      <c r="L57" s="10"/>
    </row>
    <row r="58" spans="1:12" x14ac:dyDescent="0.2">
      <c r="A58" s="9">
        <v>11</v>
      </c>
      <c r="B58" s="9">
        <v>1</v>
      </c>
      <c r="C58" s="9"/>
      <c r="D58" s="10">
        <v>16.858974358974358</v>
      </c>
      <c r="E58" s="10">
        <f t="shared" si="0"/>
        <v>5.8589743589743577</v>
      </c>
      <c r="G58" s="10">
        <f t="shared" si="1"/>
        <v>3.6339616015446226E-2</v>
      </c>
      <c r="L58" s="10"/>
    </row>
    <row r="59" spans="1:12" x14ac:dyDescent="0.2">
      <c r="A59" s="9">
        <v>13</v>
      </c>
      <c r="B59" s="9">
        <v>1</v>
      </c>
      <c r="C59" s="9"/>
      <c r="D59" s="10">
        <v>16.858974358974358</v>
      </c>
      <c r="E59" s="10">
        <f t="shared" si="0"/>
        <v>3.8589743589743577</v>
      </c>
      <c r="G59" s="10">
        <f t="shared" si="1"/>
        <v>6.2142132155231941E-2</v>
      </c>
      <c r="L59" s="10"/>
    </row>
    <row r="60" spans="1:12" x14ac:dyDescent="0.2">
      <c r="A60" s="9">
        <v>13</v>
      </c>
      <c r="B60" s="9">
        <v>1</v>
      </c>
      <c r="C60" s="9"/>
      <c r="D60" s="10">
        <v>16.858974358974358</v>
      </c>
      <c r="E60" s="10">
        <f t="shared" si="0"/>
        <v>3.8589743589743577</v>
      </c>
      <c r="G60" s="10">
        <f t="shared" si="1"/>
        <v>6.2142132155231941E-2</v>
      </c>
      <c r="L60" s="10"/>
    </row>
    <row r="61" spans="1:12" x14ac:dyDescent="0.2">
      <c r="A61" s="9">
        <v>9</v>
      </c>
      <c r="B61" s="9">
        <v>1</v>
      </c>
      <c r="C61" s="9"/>
      <c r="D61" s="10">
        <v>16.858974358974358</v>
      </c>
      <c r="E61" s="10">
        <f t="shared" si="0"/>
        <v>7.8589743589743577</v>
      </c>
      <c r="G61" s="10">
        <f t="shared" si="1"/>
        <v>1.7039902700084295E-2</v>
      </c>
      <c r="L61" s="10"/>
    </row>
    <row r="62" spans="1:12" x14ac:dyDescent="0.2">
      <c r="A62" s="9">
        <v>13</v>
      </c>
      <c r="B62" s="9">
        <v>1</v>
      </c>
      <c r="C62" s="9"/>
      <c r="D62" s="10">
        <v>16.858974358974358</v>
      </c>
      <c r="E62" s="10">
        <f t="shared" si="0"/>
        <v>3.8589743589743577</v>
      </c>
      <c r="G62" s="10">
        <f t="shared" si="1"/>
        <v>6.2142132155231941E-2</v>
      </c>
      <c r="L62" s="10"/>
    </row>
    <row r="63" spans="1:12" x14ac:dyDescent="0.2">
      <c r="A63" s="9">
        <v>11</v>
      </c>
      <c r="B63" s="9">
        <v>1</v>
      </c>
      <c r="C63" s="9"/>
      <c r="D63" s="10">
        <v>16.858974358974358</v>
      </c>
      <c r="E63" s="10">
        <f t="shared" si="0"/>
        <v>5.8589743589743577</v>
      </c>
      <c r="G63" s="10">
        <f t="shared" si="1"/>
        <v>3.6339616015446226E-2</v>
      </c>
      <c r="L63" s="10"/>
    </row>
    <row r="64" spans="1:12" x14ac:dyDescent="0.2">
      <c r="A64" s="9">
        <v>13</v>
      </c>
      <c r="B64" s="9">
        <v>1</v>
      </c>
      <c r="C64" s="9"/>
      <c r="D64" s="10">
        <v>16.858974358974358</v>
      </c>
      <c r="E64" s="10">
        <f t="shared" si="0"/>
        <v>3.8589743589743577</v>
      </c>
      <c r="G64" s="10">
        <f t="shared" si="1"/>
        <v>6.2142132155231941E-2</v>
      </c>
      <c r="L64" s="10"/>
    </row>
    <row r="65" spans="1:12" x14ac:dyDescent="0.2">
      <c r="A65" s="9">
        <v>11</v>
      </c>
      <c r="B65" s="9">
        <v>1</v>
      </c>
      <c r="C65" s="9"/>
      <c r="D65" s="10">
        <v>16.858974358974358</v>
      </c>
      <c r="E65" s="10">
        <f t="shared" si="0"/>
        <v>5.8589743589743577</v>
      </c>
      <c r="G65" s="10">
        <f t="shared" si="1"/>
        <v>3.6339616015446226E-2</v>
      </c>
      <c r="L65" s="10"/>
    </row>
    <row r="66" spans="1:12" x14ac:dyDescent="0.2">
      <c r="A66" s="9">
        <v>12</v>
      </c>
      <c r="B66" s="9">
        <v>1</v>
      </c>
      <c r="C66" s="9"/>
      <c r="D66" s="10">
        <v>16.858974358974358</v>
      </c>
      <c r="E66" s="10">
        <f t="shared" si="0"/>
        <v>4.8589743589743577</v>
      </c>
      <c r="G66" s="10">
        <f t="shared" si="1"/>
        <v>4.8850798619149906E-2</v>
      </c>
      <c r="L66" s="10"/>
    </row>
    <row r="67" spans="1:12" x14ac:dyDescent="0.2">
      <c r="A67" s="9">
        <v>9</v>
      </c>
      <c r="B67" s="9">
        <v>1</v>
      </c>
      <c r="C67" s="9"/>
      <c r="D67" s="10">
        <v>16.858974358974358</v>
      </c>
      <c r="E67" s="10">
        <f t="shared" ref="E67:E130" si="2">D67-A67</f>
        <v>7.8589743589743577</v>
      </c>
      <c r="G67" s="10">
        <f t="shared" ref="G67:G130" si="3">_xlfn.NORM.DIST(E67,0,$F$2,FALSE)</f>
        <v>1.7039902700084295E-2</v>
      </c>
      <c r="L67" s="10"/>
    </row>
    <row r="68" spans="1:12" x14ac:dyDescent="0.2">
      <c r="A68" s="9">
        <v>13</v>
      </c>
      <c r="B68" s="9">
        <v>1</v>
      </c>
      <c r="C68" s="9"/>
      <c r="D68" s="10">
        <v>16.858974358974358</v>
      </c>
      <c r="E68" s="10">
        <f t="shared" si="2"/>
        <v>3.8589743589743577</v>
      </c>
      <c r="G68" s="10">
        <f t="shared" si="3"/>
        <v>6.2142132155231941E-2</v>
      </c>
      <c r="L68" s="10"/>
    </row>
    <row r="69" spans="1:12" x14ac:dyDescent="0.2">
      <c r="A69" s="9">
        <v>13</v>
      </c>
      <c r="B69" s="9">
        <v>1</v>
      </c>
      <c r="C69" s="9"/>
      <c r="D69" s="10">
        <v>16.858974358974358</v>
      </c>
      <c r="E69" s="10">
        <f t="shared" si="2"/>
        <v>3.8589743589743577</v>
      </c>
      <c r="G69" s="10">
        <f t="shared" si="3"/>
        <v>6.2142132155231941E-2</v>
      </c>
      <c r="L69" s="10"/>
    </row>
    <row r="70" spans="1:12" x14ac:dyDescent="0.2">
      <c r="A70" s="9">
        <v>12</v>
      </c>
      <c r="B70" s="9">
        <v>1</v>
      </c>
      <c r="C70" s="9"/>
      <c r="D70" s="10">
        <v>16.858974358974358</v>
      </c>
      <c r="E70" s="10">
        <f t="shared" si="2"/>
        <v>4.8589743589743577</v>
      </c>
      <c r="G70" s="10">
        <f t="shared" si="3"/>
        <v>4.8850798619149906E-2</v>
      </c>
      <c r="L70" s="10"/>
    </row>
    <row r="71" spans="1:12" x14ac:dyDescent="0.2">
      <c r="A71" s="9">
        <v>9</v>
      </c>
      <c r="B71" s="9">
        <v>1</v>
      </c>
      <c r="C71" s="9"/>
      <c r="D71" s="10">
        <v>16.858974358974358</v>
      </c>
      <c r="E71" s="10">
        <f t="shared" si="2"/>
        <v>7.8589743589743577</v>
      </c>
      <c r="G71" s="10">
        <f t="shared" si="3"/>
        <v>1.7039902700084295E-2</v>
      </c>
      <c r="L71" s="10"/>
    </row>
    <row r="72" spans="1:12" x14ac:dyDescent="0.2">
      <c r="A72" s="9">
        <v>11</v>
      </c>
      <c r="B72" s="9">
        <v>1</v>
      </c>
      <c r="C72" s="9"/>
      <c r="D72" s="10">
        <v>16.858974358974358</v>
      </c>
      <c r="E72" s="10">
        <f t="shared" si="2"/>
        <v>5.8589743589743577</v>
      </c>
      <c r="G72" s="10">
        <f t="shared" si="3"/>
        <v>3.6339616015446226E-2</v>
      </c>
      <c r="L72" s="10"/>
    </row>
    <row r="73" spans="1:12" x14ac:dyDescent="0.2">
      <c r="A73" s="9">
        <v>11</v>
      </c>
      <c r="B73" s="9">
        <v>1</v>
      </c>
      <c r="C73" s="9"/>
      <c r="D73" s="10">
        <v>16.858974358974358</v>
      </c>
      <c r="E73" s="10">
        <f t="shared" si="2"/>
        <v>5.8589743589743577</v>
      </c>
      <c r="G73" s="10">
        <f t="shared" si="3"/>
        <v>3.6339616015446226E-2</v>
      </c>
      <c r="L73" s="10"/>
    </row>
    <row r="74" spans="1:12" x14ac:dyDescent="0.2">
      <c r="A74" s="9">
        <v>13</v>
      </c>
      <c r="B74" s="9">
        <v>1</v>
      </c>
      <c r="C74" s="9"/>
      <c r="D74" s="10">
        <v>16.858974358974358</v>
      </c>
      <c r="E74" s="10">
        <f t="shared" si="2"/>
        <v>3.8589743589743577</v>
      </c>
      <c r="G74" s="10">
        <f t="shared" si="3"/>
        <v>6.2142132155231941E-2</v>
      </c>
      <c r="L74" s="10"/>
    </row>
    <row r="75" spans="1:12" x14ac:dyDescent="0.2">
      <c r="A75" s="9">
        <v>11</v>
      </c>
      <c r="B75" s="9">
        <v>1</v>
      </c>
      <c r="C75" s="9"/>
      <c r="D75" s="10">
        <v>16.858974358974358</v>
      </c>
      <c r="E75" s="10">
        <f t="shared" si="2"/>
        <v>5.8589743589743577</v>
      </c>
      <c r="G75" s="10">
        <f t="shared" si="3"/>
        <v>3.6339616015446226E-2</v>
      </c>
      <c r="L75" s="10"/>
    </row>
    <row r="76" spans="1:12" x14ac:dyDescent="0.2">
      <c r="A76" s="9">
        <v>11</v>
      </c>
      <c r="B76" s="9">
        <v>1</v>
      </c>
      <c r="C76" s="9"/>
      <c r="D76" s="10">
        <v>16.858974358974358</v>
      </c>
      <c r="E76" s="10">
        <f t="shared" si="2"/>
        <v>5.8589743589743577</v>
      </c>
      <c r="G76" s="10">
        <f t="shared" si="3"/>
        <v>3.6339616015446226E-2</v>
      </c>
      <c r="L76" s="10"/>
    </row>
    <row r="77" spans="1:12" x14ac:dyDescent="0.2">
      <c r="A77" s="9">
        <v>11</v>
      </c>
      <c r="B77" s="9">
        <v>1</v>
      </c>
      <c r="C77" s="9"/>
      <c r="D77" s="10">
        <v>16.858974358974358</v>
      </c>
      <c r="E77" s="10">
        <f t="shared" si="2"/>
        <v>5.8589743589743577</v>
      </c>
      <c r="G77" s="10">
        <f t="shared" si="3"/>
        <v>3.6339616015446226E-2</v>
      </c>
      <c r="L77" s="10"/>
    </row>
    <row r="78" spans="1:12" x14ac:dyDescent="0.2">
      <c r="A78" s="9">
        <v>12</v>
      </c>
      <c r="B78" s="9">
        <v>1</v>
      </c>
      <c r="C78" s="9"/>
      <c r="D78" s="10">
        <v>16.858974358974358</v>
      </c>
      <c r="E78" s="10">
        <f t="shared" si="2"/>
        <v>4.8589743589743577</v>
      </c>
      <c r="G78" s="10">
        <f t="shared" si="3"/>
        <v>4.8850798619149906E-2</v>
      </c>
      <c r="L78" s="10"/>
    </row>
    <row r="79" spans="1:12" x14ac:dyDescent="0.2">
      <c r="A79" s="9">
        <v>14</v>
      </c>
      <c r="B79" s="9">
        <v>1</v>
      </c>
      <c r="C79" s="9"/>
      <c r="D79" s="10">
        <v>16.858974358974358</v>
      </c>
      <c r="E79" s="10">
        <f t="shared" si="2"/>
        <v>2.8589743589743577</v>
      </c>
      <c r="G79" s="10">
        <f t="shared" si="3"/>
        <v>7.4803820711623142E-2</v>
      </c>
      <c r="L79" s="10"/>
    </row>
    <row r="80" spans="1:12" x14ac:dyDescent="0.2">
      <c r="A80" s="9">
        <v>15</v>
      </c>
      <c r="B80" s="9">
        <v>1</v>
      </c>
      <c r="C80" s="9"/>
      <c r="D80" s="10">
        <v>16.858974358974358</v>
      </c>
      <c r="E80" s="10">
        <f t="shared" si="2"/>
        <v>1.8589743589743577</v>
      </c>
      <c r="G80" s="10">
        <f t="shared" si="3"/>
        <v>8.5208821600122359E-2</v>
      </c>
      <c r="L80" s="10"/>
    </row>
    <row r="81" spans="1:12" x14ac:dyDescent="0.2">
      <c r="A81" s="9">
        <v>14</v>
      </c>
      <c r="B81" s="9">
        <v>1</v>
      </c>
      <c r="C81" s="9"/>
      <c r="D81" s="10">
        <v>16.858974358974358</v>
      </c>
      <c r="E81" s="10">
        <f t="shared" si="2"/>
        <v>2.8589743589743577</v>
      </c>
      <c r="G81" s="10">
        <f t="shared" si="3"/>
        <v>7.4803820711623142E-2</v>
      </c>
      <c r="L81" s="10"/>
    </row>
    <row r="82" spans="1:12" x14ac:dyDescent="0.2">
      <c r="A82" s="9">
        <v>13</v>
      </c>
      <c r="B82" s="9">
        <v>1</v>
      </c>
      <c r="C82" s="9"/>
      <c r="D82" s="10">
        <v>16.858974358974358</v>
      </c>
      <c r="E82" s="10">
        <f t="shared" si="2"/>
        <v>3.8589743589743577</v>
      </c>
      <c r="G82" s="10">
        <f t="shared" si="3"/>
        <v>6.2142132155231941E-2</v>
      </c>
      <c r="L82" s="10"/>
    </row>
    <row r="83" spans="1:12" x14ac:dyDescent="0.2">
      <c r="A83" s="9">
        <v>13</v>
      </c>
      <c r="B83" s="9">
        <v>1</v>
      </c>
      <c r="C83" s="9"/>
      <c r="D83" s="10">
        <v>16.858974358974358</v>
      </c>
      <c r="E83" s="10">
        <f t="shared" si="2"/>
        <v>3.8589743589743577</v>
      </c>
      <c r="G83" s="10">
        <f t="shared" si="3"/>
        <v>6.2142132155231941E-2</v>
      </c>
      <c r="L83" s="10"/>
    </row>
    <row r="84" spans="1:12" x14ac:dyDescent="0.2">
      <c r="A84" s="9">
        <v>13</v>
      </c>
      <c r="B84" s="9">
        <v>1</v>
      </c>
      <c r="C84" s="9"/>
      <c r="D84" s="10">
        <v>16.858974358974358</v>
      </c>
      <c r="E84" s="10">
        <f t="shared" si="2"/>
        <v>3.8589743589743577</v>
      </c>
      <c r="G84" s="10">
        <f t="shared" si="3"/>
        <v>6.2142132155231941E-2</v>
      </c>
      <c r="L84" s="10"/>
    </row>
    <row r="85" spans="1:12" x14ac:dyDescent="0.2">
      <c r="A85" s="9">
        <v>14</v>
      </c>
      <c r="B85" s="9">
        <v>1</v>
      </c>
      <c r="C85" s="9"/>
      <c r="D85" s="10">
        <v>16.858974358974358</v>
      </c>
      <c r="E85" s="10">
        <f t="shared" si="2"/>
        <v>2.8589743589743577</v>
      </c>
      <c r="G85" s="10">
        <f t="shared" si="3"/>
        <v>7.4803820711623142E-2</v>
      </c>
      <c r="L85" s="10"/>
    </row>
    <row r="86" spans="1:12" x14ac:dyDescent="0.2">
      <c r="A86" s="9">
        <v>14</v>
      </c>
      <c r="B86" s="9">
        <v>1</v>
      </c>
      <c r="C86" s="9"/>
      <c r="D86" s="10">
        <v>16.858974358974358</v>
      </c>
      <c r="E86" s="10">
        <f t="shared" si="2"/>
        <v>2.8589743589743577</v>
      </c>
      <c r="G86" s="10">
        <f t="shared" si="3"/>
        <v>7.4803820711623142E-2</v>
      </c>
      <c r="L86" s="10"/>
    </row>
    <row r="87" spans="1:12" x14ac:dyDescent="0.2">
      <c r="A87" s="9">
        <v>13</v>
      </c>
      <c r="B87" s="9">
        <v>1</v>
      </c>
      <c r="C87" s="9"/>
      <c r="D87" s="10">
        <v>16.858974358974358</v>
      </c>
      <c r="E87" s="10">
        <f t="shared" si="2"/>
        <v>3.8589743589743577</v>
      </c>
      <c r="G87" s="10">
        <f t="shared" si="3"/>
        <v>6.2142132155231941E-2</v>
      </c>
      <c r="L87" s="10"/>
    </row>
    <row r="88" spans="1:12" x14ac:dyDescent="0.2">
      <c r="A88" s="9">
        <v>13</v>
      </c>
      <c r="B88" s="9">
        <v>1</v>
      </c>
      <c r="C88" s="9"/>
      <c r="D88" s="10">
        <v>16.858974358974358</v>
      </c>
      <c r="E88" s="10">
        <f t="shared" si="2"/>
        <v>3.8589743589743577</v>
      </c>
      <c r="G88" s="10">
        <f t="shared" si="3"/>
        <v>6.2142132155231941E-2</v>
      </c>
      <c r="L88" s="10"/>
    </row>
    <row r="89" spans="1:12" x14ac:dyDescent="0.2">
      <c r="A89" s="9">
        <v>13</v>
      </c>
      <c r="B89" s="9">
        <v>1</v>
      </c>
      <c r="C89" s="9"/>
      <c r="D89" s="10">
        <v>16.858974358974358</v>
      </c>
      <c r="E89" s="10">
        <f t="shared" si="2"/>
        <v>3.8589743589743577</v>
      </c>
      <c r="G89" s="10">
        <f t="shared" si="3"/>
        <v>6.2142132155231941E-2</v>
      </c>
      <c r="L89" s="10"/>
    </row>
    <row r="90" spans="1:12" x14ac:dyDescent="0.2">
      <c r="A90" s="9">
        <v>11</v>
      </c>
      <c r="B90" s="9">
        <v>1</v>
      </c>
      <c r="C90" s="9"/>
      <c r="D90" s="10">
        <v>16.858974358974358</v>
      </c>
      <c r="E90" s="10">
        <f t="shared" si="2"/>
        <v>5.8589743589743577</v>
      </c>
      <c r="G90" s="10">
        <f t="shared" si="3"/>
        <v>3.6339616015446226E-2</v>
      </c>
      <c r="L90" s="10"/>
    </row>
    <row r="91" spans="1:12" x14ac:dyDescent="0.2">
      <c r="A91" s="9">
        <v>13</v>
      </c>
      <c r="B91" s="9">
        <v>1</v>
      </c>
      <c r="C91" s="9"/>
      <c r="D91" s="10">
        <v>16.858974358974358</v>
      </c>
      <c r="E91" s="10">
        <f t="shared" si="2"/>
        <v>3.8589743589743577</v>
      </c>
      <c r="G91" s="10">
        <f t="shared" si="3"/>
        <v>6.2142132155231941E-2</v>
      </c>
      <c r="L91" s="10"/>
    </row>
    <row r="92" spans="1:12" x14ac:dyDescent="0.2">
      <c r="A92" s="9">
        <v>18</v>
      </c>
      <c r="B92" s="9">
        <v>1</v>
      </c>
      <c r="C92" s="9"/>
      <c r="D92" s="10">
        <v>16.858974358974358</v>
      </c>
      <c r="E92" s="10">
        <f t="shared" si="2"/>
        <v>-1.1410256410256423</v>
      </c>
      <c r="G92" s="10">
        <f t="shared" si="3"/>
        <v>9.0428595220514676E-2</v>
      </c>
      <c r="L92" s="10"/>
    </row>
    <row r="93" spans="1:12" x14ac:dyDescent="0.2">
      <c r="A93" s="9">
        <v>18</v>
      </c>
      <c r="B93" s="9">
        <v>1</v>
      </c>
      <c r="C93" s="9"/>
      <c r="D93" s="10">
        <v>16.858974358974358</v>
      </c>
      <c r="E93" s="10">
        <f t="shared" si="2"/>
        <v>-1.1410256410256423</v>
      </c>
      <c r="G93" s="10">
        <f t="shared" si="3"/>
        <v>9.0428595220514676E-2</v>
      </c>
      <c r="L93" s="10"/>
    </row>
    <row r="94" spans="1:12" x14ac:dyDescent="0.2">
      <c r="A94" s="9">
        <v>17</v>
      </c>
      <c r="B94" s="9">
        <v>1</v>
      </c>
      <c r="C94" s="9"/>
      <c r="D94" s="10">
        <v>16.858974358974358</v>
      </c>
      <c r="E94" s="10">
        <f t="shared" si="2"/>
        <v>-0.1410256410256423</v>
      </c>
      <c r="G94" s="10">
        <f t="shared" si="3"/>
        <v>9.3686186441259228E-2</v>
      </c>
      <c r="L94" s="10"/>
    </row>
    <row r="95" spans="1:12" x14ac:dyDescent="0.2">
      <c r="A95" s="9">
        <v>16</v>
      </c>
      <c r="B95" s="9">
        <v>1</v>
      </c>
      <c r="C95" s="9"/>
      <c r="D95" s="10">
        <v>16.858974358974358</v>
      </c>
      <c r="E95" s="10">
        <f t="shared" si="2"/>
        <v>0.8589743589743577</v>
      </c>
      <c r="G95" s="10">
        <f t="shared" si="3"/>
        <v>9.1847742433773194E-2</v>
      </c>
      <c r="L95" s="10"/>
    </row>
    <row r="96" spans="1:12" x14ac:dyDescent="0.2">
      <c r="A96" s="9">
        <v>15</v>
      </c>
      <c r="B96" s="9">
        <v>1</v>
      </c>
      <c r="C96" s="9"/>
      <c r="D96" s="10">
        <v>16.858974358974358</v>
      </c>
      <c r="E96" s="10">
        <f t="shared" si="2"/>
        <v>1.8589743589743577</v>
      </c>
      <c r="G96" s="10">
        <f t="shared" si="3"/>
        <v>8.5208821600122359E-2</v>
      </c>
      <c r="L96" s="10"/>
    </row>
    <row r="97" spans="1:12" x14ac:dyDescent="0.2">
      <c r="A97" s="9">
        <v>15</v>
      </c>
      <c r="B97" s="9">
        <v>1</v>
      </c>
      <c r="C97" s="9"/>
      <c r="D97" s="10">
        <v>16.858974358974358</v>
      </c>
      <c r="E97" s="10">
        <f t="shared" si="2"/>
        <v>1.8589743589743577</v>
      </c>
      <c r="G97" s="10">
        <f t="shared" si="3"/>
        <v>8.5208821600122359E-2</v>
      </c>
      <c r="L97" s="10"/>
    </row>
    <row r="98" spans="1:12" x14ac:dyDescent="0.2">
      <c r="A98" s="9">
        <v>15</v>
      </c>
      <c r="B98" s="9">
        <v>1</v>
      </c>
      <c r="C98" s="9"/>
      <c r="D98" s="10">
        <v>16.858974358974358</v>
      </c>
      <c r="E98" s="10">
        <f t="shared" si="2"/>
        <v>1.8589743589743577</v>
      </c>
      <c r="G98" s="10">
        <f t="shared" si="3"/>
        <v>8.5208821600122359E-2</v>
      </c>
      <c r="L98" s="10"/>
    </row>
    <row r="99" spans="1:12" x14ac:dyDescent="0.2">
      <c r="A99" s="9">
        <v>15</v>
      </c>
      <c r="B99" s="9">
        <v>1</v>
      </c>
      <c r="C99" s="9"/>
      <c r="D99" s="10">
        <v>16.858974358974358</v>
      </c>
      <c r="E99" s="10">
        <f t="shared" si="2"/>
        <v>1.8589743589743577</v>
      </c>
      <c r="G99" s="10">
        <f t="shared" si="3"/>
        <v>8.5208821600122359E-2</v>
      </c>
      <c r="L99" s="10"/>
    </row>
    <row r="100" spans="1:12" x14ac:dyDescent="0.2">
      <c r="A100" s="9">
        <v>14</v>
      </c>
      <c r="B100" s="9">
        <v>1</v>
      </c>
      <c r="C100" s="9"/>
      <c r="D100" s="10">
        <v>16.858974358974358</v>
      </c>
      <c r="E100" s="10">
        <f t="shared" si="2"/>
        <v>2.8589743589743577</v>
      </c>
      <c r="G100" s="10">
        <f t="shared" si="3"/>
        <v>7.4803820711623142E-2</v>
      </c>
      <c r="L100" s="10"/>
    </row>
    <row r="101" spans="1:12" x14ac:dyDescent="0.2">
      <c r="A101" s="9">
        <v>28</v>
      </c>
      <c r="B101" s="9">
        <v>1</v>
      </c>
      <c r="C101" s="9"/>
      <c r="D101" s="10">
        <v>16.858974358974358</v>
      </c>
      <c r="E101" s="10">
        <f t="shared" si="2"/>
        <v>-11.141025641025642</v>
      </c>
      <c r="G101" s="10">
        <f t="shared" si="3"/>
        <v>3.0470611306731058E-3</v>
      </c>
      <c r="L101" s="10"/>
    </row>
    <row r="102" spans="1:12" x14ac:dyDescent="0.2">
      <c r="A102" s="9">
        <v>24</v>
      </c>
      <c r="B102" s="9">
        <v>1</v>
      </c>
      <c r="C102" s="9"/>
      <c r="D102" s="10">
        <v>16.858974358974358</v>
      </c>
      <c r="E102" s="10">
        <f t="shared" si="2"/>
        <v>-7.1410256410256423</v>
      </c>
      <c r="G102" s="10">
        <f t="shared" si="3"/>
        <v>2.293893420103504E-2</v>
      </c>
      <c r="L102" s="10"/>
    </row>
    <row r="103" spans="1:12" x14ac:dyDescent="0.2">
      <c r="A103" s="9">
        <v>25</v>
      </c>
      <c r="B103" s="9">
        <v>1</v>
      </c>
      <c r="C103" s="9"/>
      <c r="D103" s="10">
        <v>16.858974358974358</v>
      </c>
      <c r="E103" s="10">
        <f t="shared" si="2"/>
        <v>-8.1410256410256423</v>
      </c>
      <c r="G103" s="10">
        <f t="shared" si="3"/>
        <v>1.5044075220828471E-2</v>
      </c>
      <c r="L103" s="10"/>
    </row>
    <row r="104" spans="1:12" x14ac:dyDescent="0.2">
      <c r="A104" s="9">
        <v>23</v>
      </c>
      <c r="B104" s="9">
        <v>1</v>
      </c>
      <c r="C104" s="9"/>
      <c r="D104" s="10">
        <v>16.858974358974358</v>
      </c>
      <c r="E104" s="10">
        <f t="shared" si="2"/>
        <v>-6.1410256410256423</v>
      </c>
      <c r="G104" s="10">
        <f t="shared" si="3"/>
        <v>3.3098180744967454E-2</v>
      </c>
      <c r="L104" s="10"/>
    </row>
    <row r="105" spans="1:12" x14ac:dyDescent="0.2">
      <c r="A105" s="9">
        <v>24</v>
      </c>
      <c r="B105" s="9">
        <v>1</v>
      </c>
      <c r="C105" s="9"/>
      <c r="D105" s="10">
        <v>16.858974358974358</v>
      </c>
      <c r="E105" s="10">
        <f t="shared" si="2"/>
        <v>-7.1410256410256423</v>
      </c>
      <c r="G105" s="10">
        <f t="shared" si="3"/>
        <v>2.293893420103504E-2</v>
      </c>
      <c r="L105" s="10"/>
    </row>
    <row r="106" spans="1:12" x14ac:dyDescent="0.2">
      <c r="A106" s="9">
        <v>26</v>
      </c>
      <c r="B106" s="9">
        <v>1</v>
      </c>
      <c r="C106" s="9"/>
      <c r="D106" s="10">
        <v>16.858974358974358</v>
      </c>
      <c r="E106" s="10">
        <f t="shared" si="2"/>
        <v>-9.1410256410256423</v>
      </c>
      <c r="G106" s="10">
        <f t="shared" si="3"/>
        <v>9.3364312813032559E-3</v>
      </c>
      <c r="L106" s="10"/>
    </row>
    <row r="107" spans="1:12" x14ac:dyDescent="0.2">
      <c r="A107" s="9">
        <v>25</v>
      </c>
      <c r="B107" s="9">
        <v>1</v>
      </c>
      <c r="C107" s="9"/>
      <c r="D107" s="10">
        <v>16.858974358974358</v>
      </c>
      <c r="E107" s="10">
        <f t="shared" si="2"/>
        <v>-8.1410256410256423</v>
      </c>
      <c r="G107" s="10">
        <f t="shared" si="3"/>
        <v>1.5044075220828471E-2</v>
      </c>
      <c r="L107" s="10"/>
    </row>
    <row r="108" spans="1:12" x14ac:dyDescent="0.2">
      <c r="A108" s="9">
        <v>24</v>
      </c>
      <c r="B108" s="9">
        <v>1</v>
      </c>
      <c r="C108" s="9"/>
      <c r="D108" s="10">
        <v>16.858974358974358</v>
      </c>
      <c r="E108" s="10">
        <f t="shared" si="2"/>
        <v>-7.1410256410256423</v>
      </c>
      <c r="G108" s="10">
        <f t="shared" si="3"/>
        <v>2.293893420103504E-2</v>
      </c>
      <c r="L108" s="10"/>
    </row>
    <row r="109" spans="1:12" x14ac:dyDescent="0.2">
      <c r="A109" s="9">
        <v>21</v>
      </c>
      <c r="B109" s="9">
        <v>1</v>
      </c>
      <c r="C109" s="9"/>
      <c r="D109" s="10">
        <v>16.858974358974358</v>
      </c>
      <c r="E109" s="10">
        <f t="shared" si="2"/>
        <v>-4.1410256410256423</v>
      </c>
      <c r="G109" s="10">
        <f t="shared" si="3"/>
        <v>5.8389578885814829E-2</v>
      </c>
      <c r="L109" s="10"/>
    </row>
    <row r="110" spans="1:12" x14ac:dyDescent="0.2">
      <c r="A110" s="9">
        <v>18</v>
      </c>
      <c r="B110" s="9">
        <v>1</v>
      </c>
      <c r="C110" s="9"/>
      <c r="D110" s="10">
        <v>16.858974358974358</v>
      </c>
      <c r="E110" s="10">
        <f t="shared" si="2"/>
        <v>-1.1410256410256423</v>
      </c>
      <c r="G110" s="10">
        <f t="shared" si="3"/>
        <v>9.0428595220514676E-2</v>
      </c>
      <c r="L110" s="10"/>
    </row>
    <row r="111" spans="1:12" x14ac:dyDescent="0.2">
      <c r="A111" s="9">
        <v>18</v>
      </c>
      <c r="B111" s="9">
        <v>1</v>
      </c>
      <c r="C111" s="9"/>
      <c r="D111" s="10">
        <v>16.858974358974358</v>
      </c>
      <c r="E111" s="10">
        <f t="shared" si="2"/>
        <v>-1.1410256410256423</v>
      </c>
      <c r="G111" s="10">
        <f t="shared" si="3"/>
        <v>9.0428595220514676E-2</v>
      </c>
      <c r="L111" s="10"/>
    </row>
    <row r="112" spans="1:12" x14ac:dyDescent="0.2">
      <c r="A112" s="9">
        <v>21</v>
      </c>
      <c r="B112" s="9">
        <v>1</v>
      </c>
      <c r="C112" s="9"/>
      <c r="D112" s="10">
        <v>16.858974358974358</v>
      </c>
      <c r="E112" s="10">
        <f t="shared" si="2"/>
        <v>-4.1410256410256423</v>
      </c>
      <c r="G112" s="10">
        <f t="shared" si="3"/>
        <v>5.8389578885814829E-2</v>
      </c>
      <c r="L112" s="10"/>
    </row>
    <row r="113" spans="1:12" x14ac:dyDescent="0.2">
      <c r="A113" s="9">
        <v>21</v>
      </c>
      <c r="B113" s="9">
        <v>1</v>
      </c>
      <c r="C113" s="9"/>
      <c r="D113" s="10">
        <v>16.858974358974358</v>
      </c>
      <c r="E113" s="10">
        <f t="shared" si="2"/>
        <v>-4.1410256410256423</v>
      </c>
      <c r="G113" s="10">
        <f t="shared" si="3"/>
        <v>5.8389578885814829E-2</v>
      </c>
      <c r="L113" s="10"/>
    </row>
    <row r="114" spans="1:12" x14ac:dyDescent="0.2">
      <c r="A114" s="9">
        <v>18</v>
      </c>
      <c r="B114" s="9">
        <v>1</v>
      </c>
      <c r="C114" s="9"/>
      <c r="D114" s="10">
        <v>16.858974358974358</v>
      </c>
      <c r="E114" s="10">
        <f t="shared" si="2"/>
        <v>-1.1410256410256423</v>
      </c>
      <c r="G114" s="10">
        <f t="shared" si="3"/>
        <v>9.0428595220514676E-2</v>
      </c>
      <c r="L114" s="10"/>
    </row>
    <row r="115" spans="1:12" x14ac:dyDescent="0.2">
      <c r="A115" s="9">
        <v>18</v>
      </c>
      <c r="B115" s="9">
        <v>1</v>
      </c>
      <c r="C115" s="9"/>
      <c r="D115" s="10">
        <v>16.858974358974358</v>
      </c>
      <c r="E115" s="10">
        <f t="shared" si="2"/>
        <v>-1.1410256410256423</v>
      </c>
      <c r="G115" s="10">
        <f t="shared" si="3"/>
        <v>9.0428595220514676E-2</v>
      </c>
      <c r="L115" s="10"/>
    </row>
    <row r="116" spans="1:12" x14ac:dyDescent="0.2">
      <c r="A116" s="9">
        <v>19</v>
      </c>
      <c r="B116" s="9">
        <v>1</v>
      </c>
      <c r="C116" s="9"/>
      <c r="D116" s="10">
        <v>16.858974358974358</v>
      </c>
      <c r="E116" s="10">
        <f t="shared" si="2"/>
        <v>-2.1410256410256423</v>
      </c>
      <c r="G116" s="10">
        <f t="shared" si="3"/>
        <v>8.2596026638649928E-2</v>
      </c>
      <c r="L116" s="10"/>
    </row>
    <row r="117" spans="1:12" x14ac:dyDescent="0.2">
      <c r="A117" s="9">
        <v>19</v>
      </c>
      <c r="B117" s="9">
        <v>1</v>
      </c>
      <c r="C117" s="9"/>
      <c r="D117" s="10">
        <v>16.858974358974358</v>
      </c>
      <c r="E117" s="10">
        <f t="shared" si="2"/>
        <v>-2.1410256410256423</v>
      </c>
      <c r="G117" s="10">
        <f t="shared" si="3"/>
        <v>8.2596026638649928E-2</v>
      </c>
      <c r="L117" s="10"/>
    </row>
    <row r="118" spans="1:12" x14ac:dyDescent="0.2">
      <c r="A118" s="9">
        <v>19</v>
      </c>
      <c r="B118" s="9">
        <v>1</v>
      </c>
      <c r="C118" s="9"/>
      <c r="D118" s="10">
        <v>16.858974358974358</v>
      </c>
      <c r="E118" s="10">
        <f t="shared" si="2"/>
        <v>-2.1410256410256423</v>
      </c>
      <c r="G118" s="10">
        <f t="shared" si="3"/>
        <v>8.2596026638649928E-2</v>
      </c>
      <c r="L118" s="10"/>
    </row>
    <row r="119" spans="1:12" x14ac:dyDescent="0.2">
      <c r="A119" s="9">
        <v>20</v>
      </c>
      <c r="B119" s="9">
        <v>1</v>
      </c>
      <c r="C119" s="9"/>
      <c r="D119" s="10">
        <v>16.858974358974358</v>
      </c>
      <c r="E119" s="10">
        <f t="shared" si="2"/>
        <v>-3.1410256410256423</v>
      </c>
      <c r="G119" s="10">
        <f t="shared" si="3"/>
        <v>7.138971945227178E-2</v>
      </c>
      <c r="L119" s="10"/>
    </row>
    <row r="120" spans="1:12" x14ac:dyDescent="0.2">
      <c r="A120" s="9">
        <v>20</v>
      </c>
      <c r="B120" s="9">
        <v>1</v>
      </c>
      <c r="C120" s="9"/>
      <c r="D120" s="10">
        <v>16.858974358974358</v>
      </c>
      <c r="E120" s="10">
        <f t="shared" si="2"/>
        <v>-3.1410256410256423</v>
      </c>
      <c r="G120" s="10">
        <f t="shared" si="3"/>
        <v>7.138971945227178E-2</v>
      </c>
      <c r="L120" s="10"/>
    </row>
    <row r="121" spans="1:12" x14ac:dyDescent="0.2">
      <c r="A121" s="9">
        <v>17</v>
      </c>
      <c r="B121" s="9">
        <v>1</v>
      </c>
      <c r="C121" s="9"/>
      <c r="D121" s="10">
        <v>16.858974358974358</v>
      </c>
      <c r="E121" s="10">
        <f t="shared" si="2"/>
        <v>-0.1410256410256423</v>
      </c>
      <c r="G121" s="10">
        <f t="shared" si="3"/>
        <v>9.3686186441259228E-2</v>
      </c>
      <c r="L121" s="10"/>
    </row>
    <row r="122" spans="1:12" x14ac:dyDescent="0.2">
      <c r="A122" s="9">
        <v>16</v>
      </c>
      <c r="B122" s="9">
        <v>1</v>
      </c>
      <c r="C122" s="9"/>
      <c r="D122" s="10">
        <v>16.858974358974358</v>
      </c>
      <c r="E122" s="10">
        <f t="shared" si="2"/>
        <v>0.8589743589743577</v>
      </c>
      <c r="G122" s="10">
        <f t="shared" si="3"/>
        <v>9.1847742433773194E-2</v>
      </c>
      <c r="L122" s="10"/>
    </row>
    <row r="123" spans="1:12" x14ac:dyDescent="0.2">
      <c r="A123" s="9">
        <v>17</v>
      </c>
      <c r="B123" s="9">
        <v>1</v>
      </c>
      <c r="C123" s="9"/>
      <c r="D123" s="10">
        <v>16.858974358974358</v>
      </c>
      <c r="E123" s="10">
        <f t="shared" si="2"/>
        <v>-0.1410256410256423</v>
      </c>
      <c r="G123" s="10">
        <f t="shared" si="3"/>
        <v>9.3686186441259228E-2</v>
      </c>
      <c r="L123" s="10"/>
    </row>
    <row r="124" spans="1:12" x14ac:dyDescent="0.2">
      <c r="A124" s="9">
        <v>17</v>
      </c>
      <c r="B124" s="9">
        <v>1</v>
      </c>
      <c r="C124" s="9"/>
      <c r="D124" s="10">
        <v>16.858974358974358</v>
      </c>
      <c r="E124" s="10">
        <f t="shared" si="2"/>
        <v>-0.1410256410256423</v>
      </c>
      <c r="G124" s="10">
        <f t="shared" si="3"/>
        <v>9.3686186441259228E-2</v>
      </c>
      <c r="L124" s="10"/>
    </row>
    <row r="125" spans="1:12" x14ac:dyDescent="0.2">
      <c r="A125" s="9">
        <v>15</v>
      </c>
      <c r="B125" s="9">
        <v>1</v>
      </c>
      <c r="C125" s="9"/>
      <c r="D125" s="10">
        <v>16.858974358974358</v>
      </c>
      <c r="E125" s="10">
        <f t="shared" si="2"/>
        <v>1.8589743589743577</v>
      </c>
      <c r="G125" s="10">
        <f t="shared" si="3"/>
        <v>8.5208821600122359E-2</v>
      </c>
      <c r="L125" s="10"/>
    </row>
    <row r="126" spans="1:12" x14ac:dyDescent="0.2">
      <c r="A126" s="9">
        <v>15</v>
      </c>
      <c r="B126" s="9">
        <v>1</v>
      </c>
      <c r="C126" s="9"/>
      <c r="D126" s="10">
        <v>16.858974358974358</v>
      </c>
      <c r="E126" s="10">
        <f t="shared" si="2"/>
        <v>1.8589743589743577</v>
      </c>
      <c r="G126" s="10">
        <f t="shared" si="3"/>
        <v>8.5208821600122359E-2</v>
      </c>
      <c r="L126" s="10"/>
    </row>
    <row r="127" spans="1:12" x14ac:dyDescent="0.2">
      <c r="A127" s="9">
        <v>14</v>
      </c>
      <c r="B127" s="9">
        <v>1</v>
      </c>
      <c r="C127" s="9"/>
      <c r="D127" s="10">
        <v>16.858974358974358</v>
      </c>
      <c r="E127" s="10">
        <f t="shared" si="2"/>
        <v>2.8589743589743577</v>
      </c>
      <c r="G127" s="10">
        <f t="shared" si="3"/>
        <v>7.4803820711623142E-2</v>
      </c>
      <c r="L127" s="10"/>
    </row>
    <row r="128" spans="1:12" x14ac:dyDescent="0.2">
      <c r="A128" s="9">
        <v>9</v>
      </c>
      <c r="B128" s="9">
        <v>1</v>
      </c>
      <c r="C128" s="9"/>
      <c r="D128" s="10">
        <v>16.858974358974358</v>
      </c>
      <c r="E128" s="10">
        <f t="shared" si="2"/>
        <v>7.8589743589743577</v>
      </c>
      <c r="G128" s="10">
        <f t="shared" si="3"/>
        <v>1.7039902700084295E-2</v>
      </c>
      <c r="L128" s="10"/>
    </row>
    <row r="129" spans="1:12" x14ac:dyDescent="0.2">
      <c r="A129" s="9">
        <v>14</v>
      </c>
      <c r="B129" s="9">
        <v>1</v>
      </c>
      <c r="C129" s="9"/>
      <c r="D129" s="10">
        <v>16.858974358974358</v>
      </c>
      <c r="E129" s="10">
        <f t="shared" si="2"/>
        <v>2.8589743589743577</v>
      </c>
      <c r="G129" s="10">
        <f t="shared" si="3"/>
        <v>7.4803820711623142E-2</v>
      </c>
      <c r="L129" s="10"/>
    </row>
    <row r="130" spans="1:12" x14ac:dyDescent="0.2">
      <c r="A130" s="9">
        <v>13</v>
      </c>
      <c r="B130" s="9">
        <v>1</v>
      </c>
      <c r="C130" s="9"/>
      <c r="D130" s="10">
        <v>16.858974358974358</v>
      </c>
      <c r="E130" s="10">
        <f t="shared" si="2"/>
        <v>3.8589743589743577</v>
      </c>
      <c r="G130" s="10">
        <f t="shared" si="3"/>
        <v>6.2142132155231941E-2</v>
      </c>
      <c r="L130" s="10"/>
    </row>
    <row r="131" spans="1:12" x14ac:dyDescent="0.2">
      <c r="A131" s="9">
        <v>11</v>
      </c>
      <c r="B131" s="9">
        <v>1</v>
      </c>
      <c r="C131" s="9"/>
      <c r="D131" s="10">
        <v>16.858974358974358</v>
      </c>
      <c r="E131" s="10">
        <f t="shared" ref="E131:E194" si="4">D131-A131</f>
        <v>5.8589743589743577</v>
      </c>
      <c r="G131" s="10">
        <f t="shared" ref="G131:G194" si="5">_xlfn.NORM.DIST(E131,0,$F$2,FALSE)</f>
        <v>3.6339616015446226E-2</v>
      </c>
      <c r="L131" s="10"/>
    </row>
    <row r="132" spans="1:12" x14ac:dyDescent="0.2">
      <c r="A132" s="9">
        <v>11</v>
      </c>
      <c r="B132" s="9">
        <v>1</v>
      </c>
      <c r="C132" s="9"/>
      <c r="D132" s="10">
        <v>16.858974358974358</v>
      </c>
      <c r="E132" s="10">
        <f t="shared" si="4"/>
        <v>5.8589743589743577</v>
      </c>
      <c r="G132" s="10">
        <f t="shared" si="5"/>
        <v>3.6339616015446226E-2</v>
      </c>
      <c r="L132" s="10"/>
    </row>
    <row r="133" spans="1:12" x14ac:dyDescent="0.2">
      <c r="A133" s="9">
        <v>12</v>
      </c>
      <c r="B133" s="9">
        <v>1</v>
      </c>
      <c r="C133" s="9"/>
      <c r="D133" s="10">
        <v>16.858974358974358</v>
      </c>
      <c r="E133" s="10">
        <f t="shared" si="4"/>
        <v>4.8589743589743577</v>
      </c>
      <c r="G133" s="10">
        <f t="shared" si="5"/>
        <v>4.8850798619149906E-2</v>
      </c>
      <c r="L133" s="10"/>
    </row>
    <row r="134" spans="1:12" x14ac:dyDescent="0.2">
      <c r="A134" s="9">
        <v>12</v>
      </c>
      <c r="B134" s="9">
        <v>1</v>
      </c>
      <c r="C134" s="9"/>
      <c r="D134" s="10">
        <v>16.858974358974358</v>
      </c>
      <c r="E134" s="10">
        <f t="shared" si="4"/>
        <v>4.8589743589743577</v>
      </c>
      <c r="G134" s="10">
        <f t="shared" si="5"/>
        <v>4.8850798619149906E-2</v>
      </c>
      <c r="L134" s="10"/>
    </row>
    <row r="135" spans="1:12" x14ac:dyDescent="0.2">
      <c r="A135" s="9">
        <v>11</v>
      </c>
      <c r="B135" s="9">
        <v>1</v>
      </c>
      <c r="C135" s="9"/>
      <c r="D135" s="10">
        <v>16.858974358974358</v>
      </c>
      <c r="E135" s="10">
        <f t="shared" si="4"/>
        <v>5.8589743589743577</v>
      </c>
      <c r="G135" s="10">
        <f t="shared" si="5"/>
        <v>3.6339616015446226E-2</v>
      </c>
      <c r="L135" s="10"/>
    </row>
    <row r="136" spans="1:12" x14ac:dyDescent="0.2">
      <c r="A136" s="9">
        <v>11</v>
      </c>
      <c r="B136" s="9">
        <v>1</v>
      </c>
      <c r="C136" s="9"/>
      <c r="D136" s="10">
        <v>16.858974358974358</v>
      </c>
      <c r="E136" s="10">
        <f t="shared" si="4"/>
        <v>5.8589743589743577</v>
      </c>
      <c r="G136" s="10">
        <f t="shared" si="5"/>
        <v>3.6339616015446226E-2</v>
      </c>
      <c r="L136" s="10"/>
    </row>
    <row r="137" spans="1:12" x14ac:dyDescent="0.2">
      <c r="A137" s="9">
        <v>11</v>
      </c>
      <c r="B137" s="9">
        <v>1</v>
      </c>
      <c r="C137" s="9"/>
      <c r="D137" s="10">
        <v>16.858974358974358</v>
      </c>
      <c r="E137" s="10">
        <f t="shared" si="4"/>
        <v>5.8589743589743577</v>
      </c>
      <c r="G137" s="10">
        <f t="shared" si="5"/>
        <v>3.6339616015446226E-2</v>
      </c>
      <c r="L137" s="10"/>
    </row>
    <row r="138" spans="1:12" x14ac:dyDescent="0.2">
      <c r="A138" s="9">
        <v>12</v>
      </c>
      <c r="B138" s="9">
        <v>1</v>
      </c>
      <c r="C138" s="9"/>
      <c r="D138" s="10">
        <v>16.858974358974358</v>
      </c>
      <c r="E138" s="10">
        <f t="shared" si="4"/>
        <v>4.8589743589743577</v>
      </c>
      <c r="G138" s="10">
        <f t="shared" si="5"/>
        <v>4.8850798619149906E-2</v>
      </c>
      <c r="L138" s="10"/>
    </row>
    <row r="139" spans="1:12" x14ac:dyDescent="0.2">
      <c r="A139" s="9">
        <v>14</v>
      </c>
      <c r="B139" s="9">
        <v>1</v>
      </c>
      <c r="C139" s="9"/>
      <c r="D139" s="10">
        <v>16.858974358974358</v>
      </c>
      <c r="E139" s="10">
        <f t="shared" si="4"/>
        <v>2.8589743589743577</v>
      </c>
      <c r="G139" s="10">
        <f t="shared" si="5"/>
        <v>7.4803820711623142E-2</v>
      </c>
      <c r="L139" s="10"/>
    </row>
    <row r="140" spans="1:12" x14ac:dyDescent="0.2">
      <c r="A140" s="9">
        <v>13</v>
      </c>
      <c r="B140" s="9">
        <v>1</v>
      </c>
      <c r="C140" s="9"/>
      <c r="D140" s="10">
        <v>16.858974358974358</v>
      </c>
      <c r="E140" s="10">
        <f t="shared" si="4"/>
        <v>3.8589743589743577</v>
      </c>
      <c r="G140" s="10">
        <f t="shared" si="5"/>
        <v>6.2142132155231941E-2</v>
      </c>
      <c r="L140" s="10"/>
    </row>
    <row r="141" spans="1:12" x14ac:dyDescent="0.2">
      <c r="A141" s="9">
        <v>13</v>
      </c>
      <c r="B141" s="9">
        <v>1</v>
      </c>
      <c r="C141" s="9"/>
      <c r="D141" s="10">
        <v>16.858974358974358</v>
      </c>
      <c r="E141" s="10">
        <f t="shared" si="4"/>
        <v>3.8589743589743577</v>
      </c>
      <c r="G141" s="10">
        <f t="shared" si="5"/>
        <v>6.2142132155231941E-2</v>
      </c>
      <c r="L141" s="10"/>
    </row>
    <row r="142" spans="1:12" x14ac:dyDescent="0.2">
      <c r="A142" s="9">
        <v>13</v>
      </c>
      <c r="B142" s="9">
        <v>1</v>
      </c>
      <c r="C142" s="9"/>
      <c r="D142" s="10">
        <v>16.858974358974358</v>
      </c>
      <c r="E142" s="10">
        <f t="shared" si="4"/>
        <v>3.8589743589743577</v>
      </c>
      <c r="G142" s="10">
        <f t="shared" si="5"/>
        <v>6.2142132155231941E-2</v>
      </c>
      <c r="L142" s="10"/>
    </row>
    <row r="143" spans="1:12" x14ac:dyDescent="0.2">
      <c r="A143" s="9">
        <v>21</v>
      </c>
      <c r="B143" s="9">
        <v>1</v>
      </c>
      <c r="C143" s="9"/>
      <c r="D143" s="10">
        <v>16.858974358974358</v>
      </c>
      <c r="E143" s="10">
        <f t="shared" si="4"/>
        <v>-4.1410256410256423</v>
      </c>
      <c r="G143" s="10">
        <f t="shared" si="5"/>
        <v>5.8389578885814829E-2</v>
      </c>
      <c r="L143" s="10"/>
    </row>
    <row r="144" spans="1:12" x14ac:dyDescent="0.2">
      <c r="A144" s="9">
        <v>19</v>
      </c>
      <c r="B144" s="9">
        <v>1</v>
      </c>
      <c r="C144" s="9"/>
      <c r="D144" s="10">
        <v>16.858974358974358</v>
      </c>
      <c r="E144" s="10">
        <f t="shared" si="4"/>
        <v>-2.1410256410256423</v>
      </c>
      <c r="G144" s="10">
        <f t="shared" si="5"/>
        <v>8.2596026638649928E-2</v>
      </c>
      <c r="L144" s="10"/>
    </row>
    <row r="145" spans="1:12" x14ac:dyDescent="0.2">
      <c r="A145" s="9">
        <v>23</v>
      </c>
      <c r="B145" s="9">
        <v>1</v>
      </c>
      <c r="C145" s="9"/>
      <c r="D145" s="10">
        <v>16.858974358974358</v>
      </c>
      <c r="E145" s="10">
        <f t="shared" si="4"/>
        <v>-6.1410256410256423</v>
      </c>
      <c r="G145" s="10">
        <f t="shared" si="5"/>
        <v>3.3098180744967454E-2</v>
      </c>
      <c r="L145" s="10"/>
    </row>
    <row r="146" spans="1:12" x14ac:dyDescent="0.2">
      <c r="A146" s="9">
        <v>23</v>
      </c>
      <c r="B146" s="9">
        <v>1</v>
      </c>
      <c r="C146" s="9"/>
      <c r="D146" s="10">
        <v>16.858974358974358</v>
      </c>
      <c r="E146" s="10">
        <f t="shared" si="4"/>
        <v>-6.1410256410256423</v>
      </c>
      <c r="G146" s="10">
        <f t="shared" si="5"/>
        <v>3.3098180744967454E-2</v>
      </c>
      <c r="L146" s="10"/>
    </row>
    <row r="147" spans="1:12" x14ac:dyDescent="0.2">
      <c r="A147" s="9">
        <v>19</v>
      </c>
      <c r="B147" s="9">
        <v>1</v>
      </c>
      <c r="C147" s="9"/>
      <c r="D147" s="10">
        <v>16.858974358974358</v>
      </c>
      <c r="E147" s="10">
        <f t="shared" si="4"/>
        <v>-2.1410256410256423</v>
      </c>
      <c r="G147" s="10">
        <f t="shared" si="5"/>
        <v>8.2596026638649928E-2</v>
      </c>
      <c r="L147" s="10"/>
    </row>
    <row r="148" spans="1:12" x14ac:dyDescent="0.2">
      <c r="A148" s="9">
        <v>19</v>
      </c>
      <c r="B148" s="9">
        <v>1</v>
      </c>
      <c r="C148" s="9"/>
      <c r="D148" s="10">
        <v>16.858974358974358</v>
      </c>
      <c r="E148" s="10">
        <f t="shared" si="4"/>
        <v>-2.1410256410256423</v>
      </c>
      <c r="G148" s="10">
        <f t="shared" si="5"/>
        <v>8.2596026638649928E-2</v>
      </c>
      <c r="L148" s="10"/>
    </row>
    <row r="149" spans="1:12" x14ac:dyDescent="0.2">
      <c r="A149" s="9">
        <v>18</v>
      </c>
      <c r="B149" s="9">
        <v>1</v>
      </c>
      <c r="C149" s="9"/>
      <c r="D149" s="10">
        <v>16.858974358974358</v>
      </c>
      <c r="E149" s="10">
        <f t="shared" si="4"/>
        <v>-1.1410256410256423</v>
      </c>
      <c r="G149" s="10">
        <f t="shared" si="5"/>
        <v>9.0428595220514676E-2</v>
      </c>
      <c r="L149" s="10"/>
    </row>
    <row r="150" spans="1:12" x14ac:dyDescent="0.2">
      <c r="A150" s="9">
        <v>19</v>
      </c>
      <c r="B150" s="9">
        <v>1</v>
      </c>
      <c r="C150" s="9"/>
      <c r="D150" s="10">
        <v>16.858974358974358</v>
      </c>
      <c r="E150" s="10">
        <f t="shared" si="4"/>
        <v>-2.1410256410256423</v>
      </c>
      <c r="G150" s="10">
        <f t="shared" si="5"/>
        <v>8.2596026638649928E-2</v>
      </c>
      <c r="L150" s="10"/>
    </row>
    <row r="151" spans="1:12" x14ac:dyDescent="0.2">
      <c r="A151" s="9">
        <v>19</v>
      </c>
      <c r="B151" s="9">
        <v>1</v>
      </c>
      <c r="C151" s="9"/>
      <c r="D151" s="10">
        <v>16.858974358974358</v>
      </c>
      <c r="E151" s="10">
        <f t="shared" si="4"/>
        <v>-2.1410256410256423</v>
      </c>
      <c r="G151" s="10">
        <f t="shared" si="5"/>
        <v>8.2596026638649928E-2</v>
      </c>
      <c r="L151" s="10"/>
    </row>
    <row r="152" spans="1:12" x14ac:dyDescent="0.2">
      <c r="A152" s="9">
        <v>14</v>
      </c>
      <c r="B152" s="9">
        <v>1</v>
      </c>
      <c r="C152" s="9"/>
      <c r="D152" s="10">
        <v>16.858974358974358</v>
      </c>
      <c r="E152" s="10">
        <f t="shared" si="4"/>
        <v>2.8589743589743577</v>
      </c>
      <c r="G152" s="10">
        <f t="shared" si="5"/>
        <v>7.4803820711623142E-2</v>
      </c>
      <c r="L152" s="10"/>
    </row>
    <row r="153" spans="1:12" x14ac:dyDescent="0.2">
      <c r="A153" s="9">
        <v>15</v>
      </c>
      <c r="B153" s="9">
        <v>1</v>
      </c>
      <c r="C153" s="9"/>
      <c r="D153" s="10">
        <v>16.858974358974358</v>
      </c>
      <c r="E153" s="10">
        <f t="shared" si="4"/>
        <v>1.8589743589743577</v>
      </c>
      <c r="G153" s="10">
        <f t="shared" si="5"/>
        <v>8.5208821600122359E-2</v>
      </c>
      <c r="L153" s="10"/>
    </row>
    <row r="154" spans="1:12" x14ac:dyDescent="0.2">
      <c r="A154" s="9">
        <v>14</v>
      </c>
      <c r="B154" s="9">
        <v>1</v>
      </c>
      <c r="C154" s="9"/>
      <c r="D154" s="10">
        <v>16.858974358974358</v>
      </c>
      <c r="E154" s="10">
        <f t="shared" si="4"/>
        <v>2.8589743589743577</v>
      </c>
      <c r="G154" s="10">
        <f t="shared" si="5"/>
        <v>7.4803820711623142E-2</v>
      </c>
      <c r="L154" s="10"/>
    </row>
    <row r="155" spans="1:12" x14ac:dyDescent="0.2">
      <c r="A155" s="9">
        <v>12</v>
      </c>
      <c r="B155" s="9">
        <v>1</v>
      </c>
      <c r="C155" s="9"/>
      <c r="D155" s="10">
        <v>16.858974358974358</v>
      </c>
      <c r="E155" s="10">
        <f t="shared" si="4"/>
        <v>4.8589743589743577</v>
      </c>
      <c r="G155" s="10">
        <f t="shared" si="5"/>
        <v>4.8850798619149906E-2</v>
      </c>
      <c r="L155" s="10"/>
    </row>
    <row r="156" spans="1:12" x14ac:dyDescent="0.2">
      <c r="A156" s="9">
        <v>18</v>
      </c>
      <c r="B156" s="9">
        <v>1</v>
      </c>
      <c r="C156" s="9"/>
      <c r="D156" s="10">
        <v>16.858974358974358</v>
      </c>
      <c r="E156" s="10">
        <f t="shared" si="4"/>
        <v>-1.1410256410256423</v>
      </c>
      <c r="G156" s="10">
        <f t="shared" si="5"/>
        <v>9.0428595220514676E-2</v>
      </c>
      <c r="L156" s="10"/>
    </row>
    <row r="157" spans="1:12" x14ac:dyDescent="0.2">
      <c r="A157" s="9">
        <v>16</v>
      </c>
      <c r="B157" s="9">
        <v>1</v>
      </c>
      <c r="C157" s="9"/>
      <c r="D157" s="10">
        <v>16.858974358974358</v>
      </c>
      <c r="E157" s="10">
        <f t="shared" si="4"/>
        <v>0.8589743589743577</v>
      </c>
      <c r="G157" s="10">
        <f t="shared" si="5"/>
        <v>9.1847742433773194E-2</v>
      </c>
      <c r="L157" s="10"/>
    </row>
    <row r="158" spans="1:12" x14ac:dyDescent="0.2">
      <c r="A158" s="9">
        <v>17</v>
      </c>
      <c r="B158" s="9">
        <v>1</v>
      </c>
      <c r="C158" s="9"/>
      <c r="D158" s="10">
        <v>16.858974358974358</v>
      </c>
      <c r="E158" s="10">
        <f t="shared" si="4"/>
        <v>-0.1410256410256423</v>
      </c>
      <c r="G158" s="10">
        <f t="shared" si="5"/>
        <v>9.3686186441259228E-2</v>
      </c>
      <c r="L158" s="10"/>
    </row>
    <row r="159" spans="1:12" x14ac:dyDescent="0.2">
      <c r="A159" s="9">
        <v>18</v>
      </c>
      <c r="B159" s="9">
        <v>1</v>
      </c>
      <c r="C159" s="9"/>
      <c r="D159" s="10">
        <v>16.858974358974358</v>
      </c>
      <c r="E159" s="10">
        <f t="shared" si="4"/>
        <v>-1.1410256410256423</v>
      </c>
      <c r="G159" s="10">
        <f t="shared" si="5"/>
        <v>9.0428595220514676E-2</v>
      </c>
      <c r="L159" s="10"/>
    </row>
    <row r="160" spans="1:12" x14ac:dyDescent="0.2">
      <c r="A160" s="9">
        <v>16</v>
      </c>
      <c r="B160" s="9">
        <v>1</v>
      </c>
      <c r="C160" s="9"/>
      <c r="D160" s="10">
        <v>16.858974358974358</v>
      </c>
      <c r="E160" s="10">
        <f t="shared" si="4"/>
        <v>0.8589743589743577</v>
      </c>
      <c r="G160" s="10">
        <f t="shared" si="5"/>
        <v>9.1847742433773194E-2</v>
      </c>
      <c r="L160" s="10"/>
    </row>
    <row r="161" spans="1:12" x14ac:dyDescent="0.2">
      <c r="A161" s="9">
        <v>18</v>
      </c>
      <c r="B161" s="9">
        <v>1</v>
      </c>
      <c r="C161" s="9"/>
      <c r="D161" s="10">
        <v>16.858974358974358</v>
      </c>
      <c r="E161" s="10">
        <f t="shared" si="4"/>
        <v>-1.1410256410256423</v>
      </c>
      <c r="G161" s="10">
        <f t="shared" si="5"/>
        <v>9.0428595220514676E-2</v>
      </c>
      <c r="L161" s="10"/>
    </row>
    <row r="162" spans="1:12" x14ac:dyDescent="0.2">
      <c r="A162" s="9">
        <v>18</v>
      </c>
      <c r="B162" s="9">
        <v>1</v>
      </c>
      <c r="C162" s="9"/>
      <c r="D162" s="10">
        <v>16.858974358974358</v>
      </c>
      <c r="E162" s="10">
        <f t="shared" si="4"/>
        <v>-1.1410256410256423</v>
      </c>
      <c r="G162" s="10">
        <f t="shared" si="5"/>
        <v>9.0428595220514676E-2</v>
      </c>
      <c r="L162" s="10"/>
    </row>
    <row r="163" spans="1:12" x14ac:dyDescent="0.2">
      <c r="A163" s="9">
        <v>20</v>
      </c>
      <c r="B163" s="9">
        <v>1</v>
      </c>
      <c r="C163" s="9"/>
      <c r="D163" s="10">
        <v>16.858974358974358</v>
      </c>
      <c r="E163" s="10">
        <f t="shared" si="4"/>
        <v>-3.1410256410256423</v>
      </c>
      <c r="G163" s="10">
        <f t="shared" si="5"/>
        <v>7.138971945227178E-2</v>
      </c>
      <c r="L163" s="10"/>
    </row>
    <row r="164" spans="1:12" x14ac:dyDescent="0.2">
      <c r="A164" s="9">
        <v>19</v>
      </c>
      <c r="B164" s="9">
        <v>1</v>
      </c>
      <c r="C164" s="9"/>
      <c r="D164" s="10">
        <v>16.858974358974358</v>
      </c>
      <c r="E164" s="10">
        <f t="shared" si="4"/>
        <v>-2.1410256410256423</v>
      </c>
      <c r="G164" s="10">
        <f t="shared" si="5"/>
        <v>8.2596026638649928E-2</v>
      </c>
      <c r="L164" s="10"/>
    </row>
    <row r="165" spans="1:12" x14ac:dyDescent="0.2">
      <c r="A165" s="9">
        <v>20</v>
      </c>
      <c r="B165" s="9">
        <v>1</v>
      </c>
      <c r="C165" s="9"/>
      <c r="D165" s="10">
        <v>16.858974358974358</v>
      </c>
      <c r="E165" s="10">
        <f t="shared" si="4"/>
        <v>-3.1410256410256423</v>
      </c>
      <c r="G165" s="10">
        <f t="shared" si="5"/>
        <v>7.138971945227178E-2</v>
      </c>
      <c r="L165" s="10"/>
    </row>
    <row r="166" spans="1:12" x14ac:dyDescent="0.2">
      <c r="A166" s="9">
        <v>18</v>
      </c>
      <c r="B166" s="9">
        <v>1</v>
      </c>
      <c r="C166" s="9"/>
      <c r="D166" s="10">
        <v>16.858974358974358</v>
      </c>
      <c r="E166" s="10">
        <f t="shared" si="4"/>
        <v>-1.1410256410256423</v>
      </c>
      <c r="G166" s="10">
        <f t="shared" si="5"/>
        <v>9.0428595220514676E-2</v>
      </c>
      <c r="L166" s="10"/>
    </row>
    <row r="167" spans="1:12" x14ac:dyDescent="0.2">
      <c r="A167" s="9">
        <v>21</v>
      </c>
      <c r="B167" s="9">
        <v>1</v>
      </c>
      <c r="C167" s="9"/>
      <c r="D167" s="10">
        <v>16.858974358974358</v>
      </c>
      <c r="E167" s="10">
        <f t="shared" si="4"/>
        <v>-4.1410256410256423</v>
      </c>
      <c r="G167" s="10">
        <f t="shared" si="5"/>
        <v>5.8389578885814829E-2</v>
      </c>
      <c r="L167" s="10"/>
    </row>
    <row r="168" spans="1:12" x14ac:dyDescent="0.2">
      <c r="A168" s="9">
        <v>19</v>
      </c>
      <c r="B168" s="9">
        <v>1</v>
      </c>
      <c r="C168" s="9"/>
      <c r="D168" s="10">
        <v>16.858974358974358</v>
      </c>
      <c r="E168" s="10">
        <f t="shared" si="4"/>
        <v>-2.1410256410256423</v>
      </c>
      <c r="G168" s="10">
        <f t="shared" si="5"/>
        <v>8.2596026638649928E-2</v>
      </c>
      <c r="L168" s="10"/>
    </row>
    <row r="169" spans="1:12" x14ac:dyDescent="0.2">
      <c r="A169" s="9">
        <v>19</v>
      </c>
      <c r="B169" s="9">
        <v>1</v>
      </c>
      <c r="C169" s="9"/>
      <c r="D169" s="10">
        <v>16.858974358974358</v>
      </c>
      <c r="E169" s="10">
        <f t="shared" si="4"/>
        <v>-2.1410256410256423</v>
      </c>
      <c r="G169" s="10">
        <f t="shared" si="5"/>
        <v>8.2596026638649928E-2</v>
      </c>
      <c r="L169" s="10"/>
    </row>
    <row r="170" spans="1:12" x14ac:dyDescent="0.2">
      <c r="A170" s="9">
        <v>19</v>
      </c>
      <c r="B170" s="9">
        <v>1</v>
      </c>
      <c r="C170" s="9"/>
      <c r="D170" s="10">
        <v>16.858974358974358</v>
      </c>
      <c r="E170" s="10">
        <f t="shared" si="4"/>
        <v>-2.1410256410256423</v>
      </c>
      <c r="G170" s="10">
        <f t="shared" si="5"/>
        <v>8.2596026638649928E-2</v>
      </c>
      <c r="L170" s="10"/>
    </row>
    <row r="171" spans="1:12" x14ac:dyDescent="0.2">
      <c r="A171" s="9">
        <v>20</v>
      </c>
      <c r="B171" s="9">
        <v>1</v>
      </c>
      <c r="C171" s="9"/>
      <c r="D171" s="10">
        <v>16.858974358974358</v>
      </c>
      <c r="E171" s="10">
        <f t="shared" si="4"/>
        <v>-3.1410256410256423</v>
      </c>
      <c r="G171" s="10">
        <f t="shared" si="5"/>
        <v>7.138971945227178E-2</v>
      </c>
      <c r="L171" s="10"/>
    </row>
    <row r="172" spans="1:12" x14ac:dyDescent="0.2">
      <c r="A172" s="9">
        <v>20</v>
      </c>
      <c r="B172" s="9">
        <v>1</v>
      </c>
      <c r="C172" s="9"/>
      <c r="D172" s="10">
        <v>16.858974358974358</v>
      </c>
      <c r="E172" s="10">
        <f t="shared" si="4"/>
        <v>-3.1410256410256423</v>
      </c>
      <c r="G172" s="10">
        <f t="shared" si="5"/>
        <v>7.138971945227178E-2</v>
      </c>
      <c r="L172" s="10"/>
    </row>
    <row r="173" spans="1:12" x14ac:dyDescent="0.2">
      <c r="A173" s="9">
        <v>19</v>
      </c>
      <c r="B173" s="9">
        <v>1</v>
      </c>
      <c r="C173" s="9"/>
      <c r="D173" s="10">
        <v>16.858974358974358</v>
      </c>
      <c r="E173" s="10">
        <f t="shared" si="4"/>
        <v>-2.1410256410256423</v>
      </c>
      <c r="G173" s="10">
        <f t="shared" si="5"/>
        <v>8.2596026638649928E-2</v>
      </c>
      <c r="L173" s="10"/>
    </row>
    <row r="174" spans="1:12" x14ac:dyDescent="0.2">
      <c r="A174" s="9">
        <v>20</v>
      </c>
      <c r="B174" s="9">
        <v>1</v>
      </c>
      <c r="C174" s="9"/>
      <c r="D174" s="10">
        <v>16.858974358974358</v>
      </c>
      <c r="E174" s="10">
        <f t="shared" si="4"/>
        <v>-3.1410256410256423</v>
      </c>
      <c r="G174" s="10">
        <f t="shared" si="5"/>
        <v>7.138971945227178E-2</v>
      </c>
      <c r="L174" s="10"/>
    </row>
    <row r="175" spans="1:12" x14ac:dyDescent="0.2">
      <c r="A175" s="9">
        <v>15</v>
      </c>
      <c r="B175" s="9">
        <v>1</v>
      </c>
      <c r="C175" s="9"/>
      <c r="D175" s="10">
        <v>16.858974358974358</v>
      </c>
      <c r="E175" s="10">
        <f t="shared" si="4"/>
        <v>1.8589743589743577</v>
      </c>
      <c r="G175" s="10">
        <f t="shared" si="5"/>
        <v>8.5208821600122359E-2</v>
      </c>
      <c r="L175" s="10"/>
    </row>
    <row r="176" spans="1:12" x14ac:dyDescent="0.2">
      <c r="A176" s="9">
        <v>16</v>
      </c>
      <c r="B176" s="9">
        <v>1</v>
      </c>
      <c r="C176" s="9"/>
      <c r="D176" s="10">
        <v>16.858974358974358</v>
      </c>
      <c r="E176" s="10">
        <f t="shared" si="4"/>
        <v>0.8589743589743577</v>
      </c>
      <c r="G176" s="10">
        <f t="shared" si="5"/>
        <v>9.1847742433773194E-2</v>
      </c>
      <c r="L176" s="10"/>
    </row>
    <row r="177" spans="1:12" x14ac:dyDescent="0.2">
      <c r="A177" s="9">
        <v>15</v>
      </c>
      <c r="B177" s="9">
        <v>1</v>
      </c>
      <c r="C177" s="9"/>
      <c r="D177" s="10">
        <v>16.858974358974358</v>
      </c>
      <c r="E177" s="10">
        <f t="shared" si="4"/>
        <v>1.8589743589743577</v>
      </c>
      <c r="G177" s="10">
        <f t="shared" si="5"/>
        <v>8.5208821600122359E-2</v>
      </c>
      <c r="L177" s="10"/>
    </row>
    <row r="178" spans="1:12" x14ac:dyDescent="0.2">
      <c r="A178" s="9">
        <v>15</v>
      </c>
      <c r="B178" s="9">
        <v>1</v>
      </c>
      <c r="C178" s="9"/>
      <c r="D178" s="10">
        <v>16.858974358974358</v>
      </c>
      <c r="E178" s="10">
        <f t="shared" si="4"/>
        <v>1.8589743589743577</v>
      </c>
      <c r="G178" s="10">
        <f t="shared" si="5"/>
        <v>8.5208821600122359E-2</v>
      </c>
      <c r="L178" s="10"/>
    </row>
    <row r="179" spans="1:12" x14ac:dyDescent="0.2">
      <c r="A179" s="9">
        <v>16</v>
      </c>
      <c r="B179" s="9">
        <v>1</v>
      </c>
      <c r="C179" s="9"/>
      <c r="D179" s="10">
        <v>16.858974358974358</v>
      </c>
      <c r="E179" s="10">
        <f t="shared" si="4"/>
        <v>0.8589743589743577</v>
      </c>
      <c r="G179" s="10">
        <f t="shared" si="5"/>
        <v>9.1847742433773194E-2</v>
      </c>
      <c r="L179" s="10"/>
    </row>
    <row r="180" spans="1:12" x14ac:dyDescent="0.2">
      <c r="A180" s="9">
        <v>14</v>
      </c>
      <c r="B180" s="9">
        <v>1</v>
      </c>
      <c r="C180" s="9"/>
      <c r="D180" s="10">
        <v>16.858974358974358</v>
      </c>
      <c r="E180" s="10">
        <f t="shared" si="4"/>
        <v>2.8589743589743577</v>
      </c>
      <c r="G180" s="10">
        <f t="shared" si="5"/>
        <v>7.4803820711623142E-2</v>
      </c>
      <c r="L180" s="10"/>
    </row>
    <row r="181" spans="1:12" x14ac:dyDescent="0.2">
      <c r="A181" s="9">
        <v>21</v>
      </c>
      <c r="B181" s="9">
        <v>1</v>
      </c>
      <c r="C181" s="9"/>
      <c r="D181" s="10">
        <v>16.858974358974358</v>
      </c>
      <c r="E181" s="10">
        <f t="shared" si="4"/>
        <v>-4.1410256410256423</v>
      </c>
      <c r="G181" s="10">
        <f t="shared" si="5"/>
        <v>5.8389578885814829E-2</v>
      </c>
      <c r="L181" s="10"/>
    </row>
    <row r="182" spans="1:12" x14ac:dyDescent="0.2">
      <c r="A182" s="9">
        <v>21</v>
      </c>
      <c r="B182" s="9">
        <v>1</v>
      </c>
      <c r="C182" s="9"/>
      <c r="D182" s="10">
        <v>16.858974358974358</v>
      </c>
      <c r="E182" s="10">
        <f t="shared" si="4"/>
        <v>-4.1410256410256423</v>
      </c>
      <c r="G182" s="10">
        <f t="shared" si="5"/>
        <v>5.8389578885814829E-2</v>
      </c>
      <c r="L182" s="10"/>
    </row>
    <row r="183" spans="1:12" x14ac:dyDescent="0.2">
      <c r="A183" s="9">
        <v>21</v>
      </c>
      <c r="B183" s="9">
        <v>1</v>
      </c>
      <c r="C183" s="9"/>
      <c r="D183" s="10">
        <v>16.858974358974358</v>
      </c>
      <c r="E183" s="10">
        <f t="shared" si="4"/>
        <v>-4.1410256410256423</v>
      </c>
      <c r="G183" s="10">
        <f t="shared" si="5"/>
        <v>5.8389578885814829E-2</v>
      </c>
      <c r="L183" s="10"/>
    </row>
    <row r="184" spans="1:12" x14ac:dyDescent="0.2">
      <c r="A184" s="9">
        <v>21</v>
      </c>
      <c r="B184" s="9">
        <v>1</v>
      </c>
      <c r="C184" s="9"/>
      <c r="D184" s="10">
        <v>16.858974358974358</v>
      </c>
      <c r="E184" s="10">
        <f t="shared" si="4"/>
        <v>-4.1410256410256423</v>
      </c>
      <c r="G184" s="10">
        <f t="shared" si="5"/>
        <v>5.8389578885814829E-2</v>
      </c>
      <c r="L184" s="10"/>
    </row>
    <row r="185" spans="1:12" x14ac:dyDescent="0.2">
      <c r="A185" s="9">
        <v>18</v>
      </c>
      <c r="B185" s="9">
        <v>1</v>
      </c>
      <c r="C185" s="9"/>
      <c r="D185" s="10">
        <v>16.858974358974358</v>
      </c>
      <c r="E185" s="10">
        <f t="shared" si="4"/>
        <v>-1.1410256410256423</v>
      </c>
      <c r="G185" s="10">
        <f t="shared" si="5"/>
        <v>9.0428595220514676E-2</v>
      </c>
      <c r="L185" s="10"/>
    </row>
    <row r="186" spans="1:12" x14ac:dyDescent="0.2">
      <c r="A186" s="9">
        <v>18</v>
      </c>
      <c r="B186" s="9">
        <v>1</v>
      </c>
      <c r="C186" s="9"/>
      <c r="D186" s="10">
        <v>16.858974358974358</v>
      </c>
      <c r="E186" s="10">
        <f t="shared" si="4"/>
        <v>-1.1410256410256423</v>
      </c>
      <c r="G186" s="10">
        <f t="shared" si="5"/>
        <v>9.0428595220514676E-2</v>
      </c>
      <c r="L186" s="10"/>
    </row>
    <row r="187" spans="1:12" x14ac:dyDescent="0.2">
      <c r="A187" s="9">
        <v>19</v>
      </c>
      <c r="B187" s="9">
        <v>1</v>
      </c>
      <c r="C187" s="9"/>
      <c r="D187" s="10">
        <v>16.858974358974358</v>
      </c>
      <c r="E187" s="10">
        <f t="shared" si="4"/>
        <v>-2.1410256410256423</v>
      </c>
      <c r="G187" s="10">
        <f t="shared" si="5"/>
        <v>8.2596026638649928E-2</v>
      </c>
      <c r="L187" s="10"/>
    </row>
    <row r="188" spans="1:12" x14ac:dyDescent="0.2">
      <c r="A188" s="9">
        <v>21</v>
      </c>
      <c r="B188" s="9">
        <v>1</v>
      </c>
      <c r="C188" s="9"/>
      <c r="D188" s="10">
        <v>16.858974358974358</v>
      </c>
      <c r="E188" s="10">
        <f t="shared" si="4"/>
        <v>-4.1410256410256423</v>
      </c>
      <c r="G188" s="10">
        <f t="shared" si="5"/>
        <v>5.8389578885814829E-2</v>
      </c>
      <c r="L188" s="10"/>
    </row>
    <row r="189" spans="1:12" x14ac:dyDescent="0.2">
      <c r="A189" s="9">
        <v>21</v>
      </c>
      <c r="B189" s="9">
        <v>1</v>
      </c>
      <c r="C189" s="9"/>
      <c r="D189" s="10">
        <v>16.858974358974358</v>
      </c>
      <c r="E189" s="10">
        <f t="shared" si="4"/>
        <v>-4.1410256410256423</v>
      </c>
      <c r="G189" s="10">
        <f t="shared" si="5"/>
        <v>5.8389578885814829E-2</v>
      </c>
      <c r="L189" s="10"/>
    </row>
    <row r="190" spans="1:12" x14ac:dyDescent="0.2">
      <c r="A190" s="9">
        <v>21</v>
      </c>
      <c r="B190" s="9">
        <v>1</v>
      </c>
      <c r="C190" s="9"/>
      <c r="D190" s="10">
        <v>16.858974358974358</v>
      </c>
      <c r="E190" s="10">
        <f t="shared" si="4"/>
        <v>-4.1410256410256423</v>
      </c>
      <c r="G190" s="10">
        <f t="shared" si="5"/>
        <v>5.8389578885814829E-2</v>
      </c>
      <c r="L190" s="10"/>
    </row>
    <row r="191" spans="1:12" x14ac:dyDescent="0.2">
      <c r="A191" s="9">
        <v>22</v>
      </c>
      <c r="B191" s="9">
        <v>1</v>
      </c>
      <c r="C191" s="9"/>
      <c r="D191" s="10">
        <v>16.858974358974358</v>
      </c>
      <c r="E191" s="10">
        <f t="shared" si="4"/>
        <v>-5.1410256410256423</v>
      </c>
      <c r="G191" s="10">
        <f t="shared" si="5"/>
        <v>4.5191645925457373E-2</v>
      </c>
      <c r="L191" s="10"/>
    </row>
    <row r="192" spans="1:12" x14ac:dyDescent="0.2">
      <c r="A192" s="9">
        <v>18</v>
      </c>
      <c r="B192" s="9">
        <v>1</v>
      </c>
      <c r="C192" s="9"/>
      <c r="D192" s="10">
        <v>16.858974358974358</v>
      </c>
      <c r="E192" s="10">
        <f t="shared" si="4"/>
        <v>-1.1410256410256423</v>
      </c>
      <c r="G192" s="10">
        <f t="shared" si="5"/>
        <v>9.0428595220514676E-2</v>
      </c>
      <c r="L192" s="10"/>
    </row>
    <row r="193" spans="1:12" x14ac:dyDescent="0.2">
      <c r="A193" s="9">
        <v>18</v>
      </c>
      <c r="B193" s="9">
        <v>1</v>
      </c>
      <c r="C193" s="9"/>
      <c r="D193" s="10">
        <v>16.858974358974358</v>
      </c>
      <c r="E193" s="10">
        <f t="shared" si="4"/>
        <v>-1.1410256410256423</v>
      </c>
      <c r="G193" s="10">
        <f t="shared" si="5"/>
        <v>9.0428595220514676E-2</v>
      </c>
      <c r="L193" s="10"/>
    </row>
    <row r="194" spans="1:12" x14ac:dyDescent="0.2">
      <c r="A194" s="9">
        <v>18</v>
      </c>
      <c r="B194" s="9">
        <v>1</v>
      </c>
      <c r="C194" s="9"/>
      <c r="D194" s="10">
        <v>16.858974358974358</v>
      </c>
      <c r="E194" s="10">
        <f t="shared" si="4"/>
        <v>-1.1410256410256423</v>
      </c>
      <c r="G194" s="10">
        <f t="shared" si="5"/>
        <v>9.0428595220514676E-2</v>
      </c>
      <c r="L194" s="10"/>
    </row>
    <row r="195" spans="1:12" x14ac:dyDescent="0.2">
      <c r="A195" s="9">
        <v>24</v>
      </c>
      <c r="B195" s="9">
        <v>1</v>
      </c>
      <c r="C195" s="9"/>
      <c r="D195" s="10">
        <v>16.858974358974358</v>
      </c>
      <c r="E195" s="10">
        <f t="shared" ref="E195:E235" si="6">D195-A195</f>
        <v>-7.1410256410256423</v>
      </c>
      <c r="G195" s="10">
        <f t="shared" ref="G195:G235" si="7">_xlfn.NORM.DIST(E195,0,$F$2,FALSE)</f>
        <v>2.293893420103504E-2</v>
      </c>
      <c r="L195" s="10"/>
    </row>
    <row r="196" spans="1:12" x14ac:dyDescent="0.2">
      <c r="A196" s="9">
        <v>24</v>
      </c>
      <c r="B196" s="9">
        <v>1</v>
      </c>
      <c r="C196" s="9"/>
      <c r="D196" s="10">
        <v>16.858974358974358</v>
      </c>
      <c r="E196" s="10">
        <f t="shared" si="6"/>
        <v>-7.1410256410256423</v>
      </c>
      <c r="G196" s="10">
        <f t="shared" si="7"/>
        <v>2.293893420103504E-2</v>
      </c>
      <c r="L196" s="10"/>
    </row>
    <row r="197" spans="1:12" x14ac:dyDescent="0.2">
      <c r="A197" s="9">
        <v>26</v>
      </c>
      <c r="B197" s="9">
        <v>1</v>
      </c>
      <c r="C197" s="9"/>
      <c r="D197" s="10">
        <v>16.858974358974358</v>
      </c>
      <c r="E197" s="10">
        <f t="shared" si="6"/>
        <v>-9.1410256410256423</v>
      </c>
      <c r="G197" s="10">
        <f t="shared" si="7"/>
        <v>9.3364312813032559E-3</v>
      </c>
      <c r="L197" s="10"/>
    </row>
    <row r="198" spans="1:12" x14ac:dyDescent="0.2">
      <c r="A198" s="9">
        <v>28</v>
      </c>
      <c r="B198" s="9">
        <v>1</v>
      </c>
      <c r="C198" s="9"/>
      <c r="D198" s="10">
        <v>16.858974358974358</v>
      </c>
      <c r="E198" s="10">
        <f t="shared" si="6"/>
        <v>-11.141025641025642</v>
      </c>
      <c r="G198" s="10">
        <f t="shared" si="7"/>
        <v>3.0470611306731058E-3</v>
      </c>
      <c r="L198" s="10"/>
    </row>
    <row r="199" spans="1:12" x14ac:dyDescent="0.2">
      <c r="A199" s="9">
        <v>26</v>
      </c>
      <c r="B199" s="9">
        <v>1</v>
      </c>
      <c r="C199" s="9"/>
      <c r="D199" s="10">
        <v>16.858974358974358</v>
      </c>
      <c r="E199" s="10">
        <f t="shared" si="6"/>
        <v>-9.1410256410256423</v>
      </c>
      <c r="G199" s="10">
        <f t="shared" si="7"/>
        <v>9.3364312813032559E-3</v>
      </c>
      <c r="L199" s="10"/>
    </row>
    <row r="200" spans="1:12" x14ac:dyDescent="0.2">
      <c r="A200" s="9">
        <v>11</v>
      </c>
      <c r="B200" s="9">
        <v>1</v>
      </c>
      <c r="C200" s="9"/>
      <c r="D200" s="10">
        <v>16.858974358974358</v>
      </c>
      <c r="E200" s="10">
        <f t="shared" si="6"/>
        <v>5.8589743589743577</v>
      </c>
      <c r="G200" s="10">
        <f t="shared" si="7"/>
        <v>3.6339616015446226E-2</v>
      </c>
      <c r="L200" s="10"/>
    </row>
    <row r="201" spans="1:12" x14ac:dyDescent="0.2">
      <c r="A201" s="9">
        <v>13</v>
      </c>
      <c r="B201" s="9">
        <v>1</v>
      </c>
      <c r="C201" s="9"/>
      <c r="D201" s="10">
        <v>16.858974358974358</v>
      </c>
      <c r="E201" s="10">
        <f t="shared" si="6"/>
        <v>3.8589743589743577</v>
      </c>
      <c r="G201" s="10">
        <f t="shared" si="7"/>
        <v>6.2142132155231941E-2</v>
      </c>
      <c r="L201" s="10"/>
    </row>
    <row r="202" spans="1:12" x14ac:dyDescent="0.2">
      <c r="A202" s="9">
        <v>15</v>
      </c>
      <c r="B202" s="9">
        <v>1</v>
      </c>
      <c r="C202" s="9"/>
      <c r="D202" s="10">
        <v>16.858974358974358</v>
      </c>
      <c r="E202" s="10">
        <f t="shared" si="6"/>
        <v>1.8589743589743577</v>
      </c>
      <c r="G202" s="10">
        <f t="shared" si="7"/>
        <v>8.5208821600122359E-2</v>
      </c>
      <c r="L202" s="10"/>
    </row>
    <row r="203" spans="1:12" x14ac:dyDescent="0.2">
      <c r="A203" s="9">
        <v>16</v>
      </c>
      <c r="B203" s="9">
        <v>1</v>
      </c>
      <c r="C203" s="9"/>
      <c r="D203" s="10">
        <v>16.858974358974358</v>
      </c>
      <c r="E203" s="10">
        <f t="shared" si="6"/>
        <v>0.8589743589743577</v>
      </c>
      <c r="G203" s="10">
        <f t="shared" si="7"/>
        <v>9.1847742433773194E-2</v>
      </c>
      <c r="L203" s="10"/>
    </row>
    <row r="204" spans="1:12" x14ac:dyDescent="0.2">
      <c r="A204" s="9">
        <v>17</v>
      </c>
      <c r="B204" s="9">
        <v>1</v>
      </c>
      <c r="C204" s="9"/>
      <c r="D204" s="10">
        <v>16.858974358974358</v>
      </c>
      <c r="E204" s="10">
        <f t="shared" si="6"/>
        <v>-0.1410256410256423</v>
      </c>
      <c r="G204" s="10">
        <f t="shared" si="7"/>
        <v>9.3686186441259228E-2</v>
      </c>
      <c r="L204" s="10"/>
    </row>
    <row r="205" spans="1:12" x14ac:dyDescent="0.2">
      <c r="A205" s="9">
        <v>15</v>
      </c>
      <c r="B205" s="9">
        <v>1</v>
      </c>
      <c r="C205" s="9"/>
      <c r="D205" s="10">
        <v>16.858974358974358</v>
      </c>
      <c r="E205" s="10">
        <f t="shared" si="6"/>
        <v>1.8589743589743577</v>
      </c>
      <c r="G205" s="10">
        <f t="shared" si="7"/>
        <v>8.5208821600122359E-2</v>
      </c>
      <c r="L205" s="10"/>
    </row>
    <row r="206" spans="1:12" x14ac:dyDescent="0.2">
      <c r="A206" s="9">
        <v>15</v>
      </c>
      <c r="B206" s="9">
        <v>1</v>
      </c>
      <c r="C206" s="9"/>
      <c r="D206" s="10">
        <v>16.858974358974358</v>
      </c>
      <c r="E206" s="10">
        <f t="shared" si="6"/>
        <v>1.8589743589743577</v>
      </c>
      <c r="G206" s="10">
        <f t="shared" si="7"/>
        <v>8.5208821600122359E-2</v>
      </c>
      <c r="L206" s="10"/>
    </row>
    <row r="207" spans="1:12" x14ac:dyDescent="0.2">
      <c r="A207" s="9">
        <v>15</v>
      </c>
      <c r="B207" s="9">
        <v>1</v>
      </c>
      <c r="C207" s="9"/>
      <c r="D207" s="10">
        <v>16.858974358974358</v>
      </c>
      <c r="E207" s="10">
        <f t="shared" si="6"/>
        <v>1.8589743589743577</v>
      </c>
      <c r="G207" s="10">
        <f t="shared" si="7"/>
        <v>8.5208821600122359E-2</v>
      </c>
      <c r="L207" s="10"/>
    </row>
    <row r="208" spans="1:12" x14ac:dyDescent="0.2">
      <c r="A208" s="9">
        <v>16</v>
      </c>
      <c r="B208" s="9">
        <v>1</v>
      </c>
      <c r="C208" s="9"/>
      <c r="D208" s="10">
        <v>16.858974358974358</v>
      </c>
      <c r="E208" s="10">
        <f t="shared" si="6"/>
        <v>0.8589743589743577</v>
      </c>
      <c r="G208" s="10">
        <f t="shared" si="7"/>
        <v>9.1847742433773194E-2</v>
      </c>
      <c r="L208" s="10"/>
    </row>
    <row r="209" spans="1:12" x14ac:dyDescent="0.2">
      <c r="A209" s="9">
        <v>21</v>
      </c>
      <c r="B209" s="9">
        <v>1</v>
      </c>
      <c r="C209" s="9"/>
      <c r="D209" s="10">
        <v>16.858974358974358</v>
      </c>
      <c r="E209" s="10">
        <f t="shared" si="6"/>
        <v>-4.1410256410256423</v>
      </c>
      <c r="G209" s="10">
        <f t="shared" si="7"/>
        <v>5.8389578885814829E-2</v>
      </c>
      <c r="L209" s="10"/>
    </row>
    <row r="210" spans="1:12" x14ac:dyDescent="0.2">
      <c r="A210" s="9">
        <v>19</v>
      </c>
      <c r="B210" s="9">
        <v>1</v>
      </c>
      <c r="C210" s="9"/>
      <c r="D210" s="10">
        <v>16.858974358974358</v>
      </c>
      <c r="E210" s="10">
        <f t="shared" si="6"/>
        <v>-2.1410256410256423</v>
      </c>
      <c r="G210" s="10">
        <f t="shared" si="7"/>
        <v>8.2596026638649928E-2</v>
      </c>
      <c r="L210" s="10"/>
    </row>
    <row r="211" spans="1:12" x14ac:dyDescent="0.2">
      <c r="A211" s="9">
        <v>21</v>
      </c>
      <c r="B211" s="9">
        <v>1</v>
      </c>
      <c r="C211" s="9"/>
      <c r="D211" s="10">
        <v>16.858974358974358</v>
      </c>
      <c r="E211" s="10">
        <f t="shared" si="6"/>
        <v>-4.1410256410256423</v>
      </c>
      <c r="G211" s="10">
        <f t="shared" si="7"/>
        <v>5.8389578885814829E-2</v>
      </c>
      <c r="L211" s="10"/>
    </row>
    <row r="212" spans="1:12" x14ac:dyDescent="0.2">
      <c r="A212" s="9">
        <v>22</v>
      </c>
      <c r="B212" s="9">
        <v>1</v>
      </c>
      <c r="C212" s="9"/>
      <c r="D212" s="10">
        <v>16.858974358974358</v>
      </c>
      <c r="E212" s="10">
        <f t="shared" si="6"/>
        <v>-5.1410256410256423</v>
      </c>
      <c r="G212" s="10">
        <f t="shared" si="7"/>
        <v>4.5191645925457373E-2</v>
      </c>
      <c r="L212" s="10"/>
    </row>
    <row r="213" spans="1:12" x14ac:dyDescent="0.2">
      <c r="A213" s="9">
        <v>17</v>
      </c>
      <c r="B213" s="9">
        <v>1</v>
      </c>
      <c r="C213" s="9"/>
      <c r="D213" s="10">
        <v>16.858974358974358</v>
      </c>
      <c r="E213" s="10">
        <f t="shared" si="6"/>
        <v>-0.1410256410256423</v>
      </c>
      <c r="G213" s="10">
        <f t="shared" si="7"/>
        <v>9.3686186441259228E-2</v>
      </c>
      <c r="L213" s="10"/>
    </row>
    <row r="214" spans="1:12" x14ac:dyDescent="0.2">
      <c r="A214" s="9">
        <v>33</v>
      </c>
      <c r="B214" s="9">
        <v>1</v>
      </c>
      <c r="C214" s="9"/>
      <c r="D214" s="10">
        <v>16.858974358974358</v>
      </c>
      <c r="E214" s="10">
        <f t="shared" si="6"/>
        <v>-16.141025641025642</v>
      </c>
      <c r="G214" s="10">
        <f t="shared" si="7"/>
        <v>7.0556481624534586E-5</v>
      </c>
      <c r="L214" s="10"/>
    </row>
    <row r="215" spans="1:12" x14ac:dyDescent="0.2">
      <c r="A215" s="9">
        <v>21</v>
      </c>
      <c r="B215" s="9">
        <v>1</v>
      </c>
      <c r="C215" s="9"/>
      <c r="D215" s="10">
        <v>16.858974358974358</v>
      </c>
      <c r="E215" s="10">
        <f t="shared" si="6"/>
        <v>-4.1410256410256423</v>
      </c>
      <c r="G215" s="10">
        <f t="shared" si="7"/>
        <v>5.8389578885814829E-2</v>
      </c>
      <c r="L215" s="10"/>
    </row>
    <row r="216" spans="1:12" x14ac:dyDescent="0.2">
      <c r="A216" s="9">
        <v>19</v>
      </c>
      <c r="B216" s="9">
        <v>1</v>
      </c>
      <c r="C216" s="9"/>
      <c r="D216" s="10">
        <v>16.858974358974358</v>
      </c>
      <c r="E216" s="10">
        <f t="shared" si="6"/>
        <v>-2.1410256410256423</v>
      </c>
      <c r="G216" s="10">
        <f t="shared" si="7"/>
        <v>8.2596026638649928E-2</v>
      </c>
      <c r="L216" s="10"/>
    </row>
    <row r="217" spans="1:12" x14ac:dyDescent="0.2">
      <c r="A217" s="9">
        <v>22</v>
      </c>
      <c r="B217" s="9">
        <v>1</v>
      </c>
      <c r="C217" s="9"/>
      <c r="D217" s="10">
        <v>16.858974358974358</v>
      </c>
      <c r="E217" s="10">
        <f t="shared" si="6"/>
        <v>-5.1410256410256423</v>
      </c>
      <c r="G217" s="10">
        <f t="shared" si="7"/>
        <v>4.5191645925457373E-2</v>
      </c>
      <c r="L217" s="10"/>
    </row>
    <row r="218" spans="1:12" x14ac:dyDescent="0.2">
      <c r="A218" s="9">
        <v>21</v>
      </c>
      <c r="B218" s="9">
        <v>1</v>
      </c>
      <c r="C218" s="9"/>
      <c r="D218" s="10">
        <v>16.858974358974358</v>
      </c>
      <c r="E218" s="10">
        <f t="shared" si="6"/>
        <v>-4.1410256410256423</v>
      </c>
      <c r="G218" s="10">
        <f t="shared" si="7"/>
        <v>5.8389578885814829E-2</v>
      </c>
      <c r="L218" s="10"/>
    </row>
    <row r="219" spans="1:12" x14ac:dyDescent="0.2">
      <c r="A219" s="9">
        <v>21</v>
      </c>
      <c r="B219" s="9">
        <v>1</v>
      </c>
      <c r="C219" s="9"/>
      <c r="D219" s="10">
        <v>16.858974358974358</v>
      </c>
      <c r="E219" s="10">
        <f t="shared" si="6"/>
        <v>-4.1410256410256423</v>
      </c>
      <c r="G219" s="10">
        <f t="shared" si="7"/>
        <v>5.8389578885814829E-2</v>
      </c>
      <c r="L219" s="10"/>
    </row>
    <row r="220" spans="1:12" x14ac:dyDescent="0.2">
      <c r="A220" s="9">
        <v>21</v>
      </c>
      <c r="B220" s="9">
        <v>1</v>
      </c>
      <c r="C220" s="9"/>
      <c r="D220" s="10">
        <v>16.858974358974358</v>
      </c>
      <c r="E220" s="10">
        <f t="shared" si="6"/>
        <v>-4.1410256410256423</v>
      </c>
      <c r="G220" s="10">
        <f t="shared" si="7"/>
        <v>5.8389578885814829E-2</v>
      </c>
      <c r="L220" s="10"/>
    </row>
    <row r="221" spans="1:12" x14ac:dyDescent="0.2">
      <c r="A221" s="9">
        <v>16</v>
      </c>
      <c r="B221" s="9">
        <v>1</v>
      </c>
      <c r="C221" s="9"/>
      <c r="D221" s="10">
        <v>16.858974358974358</v>
      </c>
      <c r="E221" s="10">
        <f t="shared" si="6"/>
        <v>0.8589743589743577</v>
      </c>
      <c r="G221" s="10">
        <f t="shared" si="7"/>
        <v>9.1847742433773194E-2</v>
      </c>
      <c r="L221" s="10"/>
    </row>
    <row r="222" spans="1:12" x14ac:dyDescent="0.2">
      <c r="A222" s="9">
        <v>17</v>
      </c>
      <c r="B222" s="9">
        <v>1</v>
      </c>
      <c r="C222" s="9"/>
      <c r="D222" s="10">
        <v>16.858974358974358</v>
      </c>
      <c r="E222" s="10">
        <f t="shared" si="6"/>
        <v>-0.1410256410256423</v>
      </c>
      <c r="G222" s="10">
        <f t="shared" si="7"/>
        <v>9.3686186441259228E-2</v>
      </c>
      <c r="L222" s="10"/>
    </row>
    <row r="223" spans="1:12" x14ac:dyDescent="0.2">
      <c r="A223" s="9">
        <v>35</v>
      </c>
      <c r="B223" s="9">
        <v>1</v>
      </c>
      <c r="C223" s="9"/>
      <c r="D223" s="10">
        <v>16.858974358974358</v>
      </c>
      <c r="E223" s="10">
        <f t="shared" si="6"/>
        <v>-18.141025641025642</v>
      </c>
      <c r="G223" s="10">
        <f t="shared" si="7"/>
        <v>1.0630685082524548E-5</v>
      </c>
      <c r="L223" s="10"/>
    </row>
    <row r="224" spans="1:12" x14ac:dyDescent="0.2">
      <c r="A224" s="9">
        <v>29</v>
      </c>
      <c r="B224" s="9">
        <v>1</v>
      </c>
      <c r="C224" s="9"/>
      <c r="D224" s="10">
        <v>16.858974358974358</v>
      </c>
      <c r="E224" s="10">
        <f t="shared" si="6"/>
        <v>-12.141025641025642</v>
      </c>
      <c r="G224" s="10">
        <f t="shared" si="7"/>
        <v>1.60238186282746E-3</v>
      </c>
      <c r="L224" s="10"/>
    </row>
    <row r="225" spans="1:12" x14ac:dyDescent="0.2">
      <c r="A225" s="9">
        <v>21</v>
      </c>
      <c r="B225" s="9">
        <v>1</v>
      </c>
      <c r="C225" s="9"/>
      <c r="D225" s="10">
        <v>16.858974358974358</v>
      </c>
      <c r="E225" s="10">
        <f t="shared" si="6"/>
        <v>-4.1410256410256423</v>
      </c>
      <c r="G225" s="10">
        <f t="shared" si="7"/>
        <v>5.8389578885814829E-2</v>
      </c>
      <c r="L225" s="10"/>
    </row>
    <row r="226" spans="1:12" x14ac:dyDescent="0.2">
      <c r="A226" s="9">
        <v>19</v>
      </c>
      <c r="B226" s="9">
        <v>1</v>
      </c>
      <c r="C226" s="9"/>
      <c r="D226" s="10">
        <v>16.858974358974358</v>
      </c>
      <c r="E226" s="10">
        <f t="shared" si="6"/>
        <v>-2.1410256410256423</v>
      </c>
      <c r="G226" s="10">
        <f t="shared" si="7"/>
        <v>8.2596026638649928E-2</v>
      </c>
      <c r="L226" s="10"/>
    </row>
    <row r="227" spans="1:12" x14ac:dyDescent="0.2">
      <c r="A227" s="9">
        <v>20</v>
      </c>
      <c r="B227" s="9">
        <v>1</v>
      </c>
      <c r="C227" s="9"/>
      <c r="D227" s="10">
        <v>16.858974358974358</v>
      </c>
      <c r="E227" s="10">
        <f t="shared" si="6"/>
        <v>-3.1410256410256423</v>
      </c>
      <c r="G227" s="10">
        <f t="shared" si="7"/>
        <v>7.138971945227178E-2</v>
      </c>
      <c r="L227" s="10"/>
    </row>
    <row r="228" spans="1:12" x14ac:dyDescent="0.2">
      <c r="A228" s="9">
        <v>20</v>
      </c>
      <c r="B228" s="9">
        <v>1</v>
      </c>
      <c r="C228" s="9"/>
      <c r="D228" s="10">
        <v>16.858974358974358</v>
      </c>
      <c r="E228" s="10">
        <f t="shared" si="6"/>
        <v>-3.1410256410256423</v>
      </c>
      <c r="G228" s="10">
        <f t="shared" si="7"/>
        <v>7.138971945227178E-2</v>
      </c>
      <c r="L228" s="10"/>
    </row>
    <row r="229" spans="1:12" x14ac:dyDescent="0.2">
      <c r="A229" s="9">
        <v>21</v>
      </c>
      <c r="B229" s="9">
        <v>1</v>
      </c>
      <c r="C229" s="9"/>
      <c r="D229" s="10">
        <v>16.858974358974358</v>
      </c>
      <c r="E229" s="10">
        <f t="shared" si="6"/>
        <v>-4.1410256410256423</v>
      </c>
      <c r="G229" s="10">
        <f t="shared" si="7"/>
        <v>5.8389578885814829E-2</v>
      </c>
      <c r="L229" s="10"/>
    </row>
    <row r="230" spans="1:12" x14ac:dyDescent="0.2">
      <c r="A230" s="9">
        <v>18</v>
      </c>
      <c r="B230" s="9">
        <v>1</v>
      </c>
      <c r="C230" s="9"/>
      <c r="D230" s="10">
        <v>16.858974358974358</v>
      </c>
      <c r="E230" s="10">
        <f t="shared" si="6"/>
        <v>-1.1410256410256423</v>
      </c>
      <c r="G230" s="10">
        <f t="shared" si="7"/>
        <v>9.0428595220514676E-2</v>
      </c>
      <c r="L230" s="10"/>
    </row>
    <row r="231" spans="1:12" x14ac:dyDescent="0.2">
      <c r="A231" s="9">
        <v>19</v>
      </c>
      <c r="B231" s="9">
        <v>1</v>
      </c>
      <c r="C231" s="9"/>
      <c r="D231" s="10">
        <v>16.858974358974358</v>
      </c>
      <c r="E231" s="10">
        <f t="shared" si="6"/>
        <v>-2.1410256410256423</v>
      </c>
      <c r="G231" s="10">
        <f t="shared" si="7"/>
        <v>8.2596026638649928E-2</v>
      </c>
      <c r="L231" s="10"/>
    </row>
    <row r="232" spans="1:12" x14ac:dyDescent="0.2">
      <c r="A232" s="9">
        <v>21</v>
      </c>
      <c r="B232" s="9">
        <v>1</v>
      </c>
      <c r="C232" s="9"/>
      <c r="D232" s="10">
        <v>16.858974358974358</v>
      </c>
      <c r="E232" s="10">
        <f t="shared" si="6"/>
        <v>-4.1410256410256423</v>
      </c>
      <c r="G232" s="10">
        <f t="shared" si="7"/>
        <v>5.8389578885814829E-2</v>
      </c>
      <c r="L232" s="10"/>
    </row>
    <row r="233" spans="1:12" x14ac:dyDescent="0.2">
      <c r="A233" s="9">
        <v>16</v>
      </c>
      <c r="B233" s="9">
        <v>1</v>
      </c>
      <c r="C233" s="9"/>
      <c r="D233" s="10">
        <v>16.858974358974358</v>
      </c>
      <c r="E233" s="10">
        <f t="shared" si="6"/>
        <v>0.8589743589743577</v>
      </c>
      <c r="G233" s="10">
        <f t="shared" si="7"/>
        <v>9.1847742433773194E-2</v>
      </c>
      <c r="L233" s="10"/>
    </row>
    <row r="234" spans="1:12" x14ac:dyDescent="0.2">
      <c r="A234" s="9">
        <v>18</v>
      </c>
      <c r="B234" s="9">
        <v>1</v>
      </c>
      <c r="C234" s="9"/>
      <c r="D234" s="10">
        <v>16.858974358974358</v>
      </c>
      <c r="E234" s="10">
        <f t="shared" si="6"/>
        <v>-1.1410256410256423</v>
      </c>
      <c r="G234" s="10">
        <f t="shared" si="7"/>
        <v>9.0428595220514676E-2</v>
      </c>
      <c r="L234" s="10"/>
    </row>
    <row r="235" spans="1:12" x14ac:dyDescent="0.2">
      <c r="A235" s="9">
        <v>17</v>
      </c>
      <c r="B235" s="9">
        <v>1</v>
      </c>
      <c r="C235" s="9"/>
      <c r="D235" s="10">
        <v>16.858974358974358</v>
      </c>
      <c r="E235" s="10">
        <f t="shared" si="6"/>
        <v>-0.1410256410256423</v>
      </c>
      <c r="G235" s="10">
        <f t="shared" si="7"/>
        <v>9.3686186441259228E-2</v>
      </c>
      <c r="L235" s="10"/>
    </row>
  </sheetData>
  <hyperlinks>
    <hyperlink ref="K23" r:id="rId1" xr:uid="{6FF9A7E4-9F5A-B04D-A55F-4118178FE75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0"/>
    <col min="13" max="16384" width="14.5" style="10"/>
  </cols>
  <sheetData>
    <row r="1" spans="1:15" x14ac:dyDescent="0.2">
      <c r="A1" s="9" t="s">
        <v>28</v>
      </c>
      <c r="B1" s="9" t="s">
        <v>107</v>
      </c>
      <c r="C1" s="9" t="s">
        <v>29</v>
      </c>
      <c r="D1" s="10" t="s">
        <v>108</v>
      </c>
      <c r="E1" s="10" t="s">
        <v>109</v>
      </c>
      <c r="F1" s="10" t="s">
        <v>110</v>
      </c>
      <c r="G1" s="10" t="s">
        <v>112</v>
      </c>
      <c r="H1" s="10" t="s">
        <v>111</v>
      </c>
      <c r="I1" s="10" t="s">
        <v>114</v>
      </c>
      <c r="J1" s="10" t="s">
        <v>0</v>
      </c>
      <c r="K1" s="10" t="s">
        <v>113</v>
      </c>
      <c r="L1" s="10"/>
      <c r="M1" s="10" t="s">
        <v>121</v>
      </c>
    </row>
    <row r="2" spans="1:15" x14ac:dyDescent="0.2">
      <c r="A2" s="9">
        <v>18</v>
      </c>
      <c r="B2" s="9">
        <v>1</v>
      </c>
      <c r="C2" s="9">
        <f t="array" aca="1" ref="C2:C235" ca="1">INDIRECT(C1)</f>
        <v>29</v>
      </c>
      <c r="D2" s="10" cm="1">
        <f t="array" aca="1" ref="D2:D235" ca="1">TREND(A2:A235,B2:C235,,FALSE)</f>
        <v>20.657555830168075</v>
      </c>
      <c r="E2" s="10">
        <f ca="1">D2-A2</f>
        <v>2.6575558301680751</v>
      </c>
      <c r="F2" s="10">
        <f ca="1">STDEV(E2:E235)</f>
        <v>1.2497181822870325</v>
      </c>
      <c r="G2" s="10">
        <f ca="1">_xlfn.NORM.DIST(E2,0,$F$2,FALSE)</f>
        <v>3.327632904268165E-2</v>
      </c>
      <c r="H2" s="10" cm="1">
        <f t="array" aca="1" ref="H2" ca="1">SUM(LN(G2:G235))</f>
        <v>-383.6944455535961</v>
      </c>
      <c r="I2" s="10">
        <f>COUNT(A2:A235)</f>
        <v>234</v>
      </c>
      <c r="J2" s="10">
        <v>2</v>
      </c>
      <c r="K2" s="10">
        <f ca="1">-2*H2+2*J2</f>
        <v>771.38889110719219</v>
      </c>
      <c r="L2" s="10"/>
      <c r="N2" s="10" t="s">
        <v>120</v>
      </c>
      <c r="O2" s="10" t="s">
        <v>113</v>
      </c>
    </row>
    <row r="3" spans="1:15" x14ac:dyDescent="0.2">
      <c r="A3" s="9">
        <v>21</v>
      </c>
      <c r="B3" s="9">
        <v>1</v>
      </c>
      <c r="C3" s="9">
        <f ca="1"/>
        <v>29</v>
      </c>
      <c r="D3" s="10">
        <f ca="1"/>
        <v>20.657555830168075</v>
      </c>
      <c r="E3" s="10">
        <f t="shared" ref="E3:E66" ca="1" si="0">D3-A3</f>
        <v>-0.34244416983192494</v>
      </c>
      <c r="G3" s="10">
        <f t="shared" ref="G3:G66" ca="1" si="1">_xlfn.NORM.DIST(E3,0,$F$2,FALSE)</f>
        <v>0.30746337812452051</v>
      </c>
      <c r="L3" s="10"/>
      <c r="M3" s="11"/>
      <c r="N3" s="11">
        <f ca="1">K8</f>
        <v>107.32351470807653</v>
      </c>
      <c r="O3" s="11">
        <f ca="1">K14</f>
        <v>771.38674824786335</v>
      </c>
    </row>
    <row r="4" spans="1:15" x14ac:dyDescent="0.2">
      <c r="A4" s="9">
        <v>20</v>
      </c>
      <c r="B4" s="9">
        <v>1</v>
      </c>
      <c r="C4" s="9">
        <f ca="1"/>
        <v>31</v>
      </c>
      <c r="D4" s="10">
        <f ca="1"/>
        <v>22.023994053472194</v>
      </c>
      <c r="E4" s="10">
        <f t="shared" ca="1" si="0"/>
        <v>2.0239940534721939</v>
      </c>
      <c r="G4" s="10">
        <f t="shared" ca="1" si="1"/>
        <v>8.6005458292729375E-2</v>
      </c>
      <c r="H4" s="10" t="s">
        <v>115</v>
      </c>
      <c r="I4" s="10" t="s">
        <v>116</v>
      </c>
      <c r="L4" s="10"/>
      <c r="M4" s="11" t="s">
        <v>23</v>
      </c>
      <c r="N4" s="12">
        <f t="dataTable" ref="N4:O7" dt2D="0" dtr="0" r1="C1" ca="1"/>
        <v>443.27246802336475</v>
      </c>
      <c r="O4" s="12">
        <v>1107.3357015631516</v>
      </c>
    </row>
    <row r="5" spans="1:15" x14ac:dyDescent="0.2">
      <c r="A5" s="9">
        <v>21</v>
      </c>
      <c r="B5" s="9">
        <v>1</v>
      </c>
      <c r="C5" s="9">
        <f ca="1"/>
        <v>30</v>
      </c>
      <c r="D5" s="10">
        <f ca="1"/>
        <v>21.340774941820136</v>
      </c>
      <c r="E5" s="10">
        <f t="shared" ca="1" si="0"/>
        <v>0.34077494182013623</v>
      </c>
      <c r="G5" s="10">
        <f t="shared" ca="1" si="1"/>
        <v>0.30757565599758996</v>
      </c>
      <c r="H5" s="10">
        <f ca="1">SUMSQ(E2:E235)</f>
        <v>363.8983596873415</v>
      </c>
      <c r="I5" s="10">
        <f ca="1">H5/I2</f>
        <v>1.5551211952450492</v>
      </c>
      <c r="L5" s="10"/>
      <c r="M5" s="11" t="s">
        <v>24</v>
      </c>
      <c r="N5" s="12">
        <v>680.48560175849059</v>
      </c>
      <c r="O5" s="12">
        <v>1344.5488352982775</v>
      </c>
    </row>
    <row r="6" spans="1:15" x14ac:dyDescent="0.2">
      <c r="A6" s="9">
        <v>16</v>
      </c>
      <c r="B6" s="9">
        <v>1</v>
      </c>
      <c r="C6" s="9">
        <f ca="1"/>
        <v>26</v>
      </c>
      <c r="D6" s="10">
        <f ca="1"/>
        <v>18.607898495211895</v>
      </c>
      <c r="E6" s="10">
        <f t="shared" ca="1" si="0"/>
        <v>2.6078984952118951</v>
      </c>
      <c r="G6" s="10">
        <f t="shared" ca="1" si="1"/>
        <v>3.6181717224349638E-2</v>
      </c>
      <c r="L6" s="10"/>
      <c r="M6" s="11" t="s">
        <v>25</v>
      </c>
      <c r="N6" s="12">
        <v>435.64100584426035</v>
      </c>
      <c r="O6" s="12">
        <v>1099.7042393840472</v>
      </c>
    </row>
    <row r="7" spans="1:15" x14ac:dyDescent="0.2">
      <c r="A7" s="9">
        <v>18</v>
      </c>
      <c r="B7" s="9">
        <v>1</v>
      </c>
      <c r="C7" s="9">
        <f ca="1"/>
        <v>26</v>
      </c>
      <c r="D7" s="10">
        <f ca="1"/>
        <v>18.607898495211895</v>
      </c>
      <c r="E7" s="10">
        <f t="shared" ca="1" si="0"/>
        <v>0.6078984952118951</v>
      </c>
      <c r="G7" s="10">
        <f t="shared" ca="1" si="1"/>
        <v>0.28360781451993688</v>
      </c>
      <c r="H7" s="10" t="s">
        <v>118</v>
      </c>
      <c r="K7" s="10" t="s">
        <v>120</v>
      </c>
      <c r="L7" s="10"/>
      <c r="M7" s="11" t="s">
        <v>29</v>
      </c>
      <c r="N7" s="12">
        <v>107.32351470807653</v>
      </c>
      <c r="O7" s="12">
        <v>771.38674824786335</v>
      </c>
    </row>
    <row r="8" spans="1:15" x14ac:dyDescent="0.2">
      <c r="A8" s="9">
        <v>18</v>
      </c>
      <c r="B8" s="9">
        <v>1</v>
      </c>
      <c r="C8" s="9">
        <f ca="1"/>
        <v>27</v>
      </c>
      <c r="D8" s="10">
        <f ca="1"/>
        <v>19.291117606863956</v>
      </c>
      <c r="E8" s="10">
        <f t="shared" ca="1" si="0"/>
        <v>1.2911176068639563</v>
      </c>
      <c r="G8" s="10">
        <f t="shared" ca="1" si="1"/>
        <v>0.18720849951963059</v>
      </c>
      <c r="H8" s="10">
        <f ca="1">I2*LN(I5)</f>
        <v>103.32351470807653</v>
      </c>
      <c r="K8" s="10">
        <f ca="1">H8+2*J2</f>
        <v>107.32351470807653</v>
      </c>
      <c r="L8" s="10"/>
    </row>
    <row r="9" spans="1:15" x14ac:dyDescent="0.2">
      <c r="A9" s="9">
        <v>18</v>
      </c>
      <c r="B9" s="9">
        <v>1</v>
      </c>
      <c r="C9" s="9">
        <f ca="1"/>
        <v>26</v>
      </c>
      <c r="D9" s="10">
        <f ca="1"/>
        <v>18.607898495211895</v>
      </c>
      <c r="E9" s="10">
        <f t="shared" ca="1" si="0"/>
        <v>0.6078984952118951</v>
      </c>
      <c r="G9" s="10">
        <f t="shared" ca="1" si="1"/>
        <v>0.28360781451993688</v>
      </c>
      <c r="L9" s="10"/>
    </row>
    <row r="10" spans="1:15" x14ac:dyDescent="0.2">
      <c r="A10" s="9">
        <v>16</v>
      </c>
      <c r="B10" s="9">
        <v>1</v>
      </c>
      <c r="C10" s="9">
        <f ca="1"/>
        <v>25</v>
      </c>
      <c r="D10" s="10">
        <f ca="1"/>
        <v>17.924679383559837</v>
      </c>
      <c r="E10" s="10">
        <f t="shared" ca="1" si="0"/>
        <v>1.9246793835598375</v>
      </c>
      <c r="G10" s="10">
        <f t="shared" ca="1" si="1"/>
        <v>9.7510391399401958E-2</v>
      </c>
      <c r="H10" s="10" t="s">
        <v>119</v>
      </c>
      <c r="L10" s="10"/>
    </row>
    <row r="11" spans="1:15" x14ac:dyDescent="0.2">
      <c r="A11" s="9">
        <v>20</v>
      </c>
      <c r="B11" s="9">
        <v>1</v>
      </c>
      <c r="C11" s="9">
        <f ca="1"/>
        <v>28</v>
      </c>
      <c r="D11" s="10">
        <f ca="1"/>
        <v>19.974336718516017</v>
      </c>
      <c r="E11" s="10">
        <f t="shared" ca="1" si="0"/>
        <v>-2.5663281483982558E-2</v>
      </c>
      <c r="G11" s="10">
        <f t="shared" ca="1" si="1"/>
        <v>0.31915849397187074</v>
      </c>
      <c r="H11" s="10">
        <f>I2*LN(2*PI())</f>
        <v>430.06323353978684</v>
      </c>
      <c r="L11" s="10"/>
    </row>
    <row r="12" spans="1:15" x14ac:dyDescent="0.2">
      <c r="A12" s="9">
        <v>19</v>
      </c>
      <c r="B12" s="9">
        <v>1</v>
      </c>
      <c r="C12" s="9">
        <f ca="1"/>
        <v>27</v>
      </c>
      <c r="D12" s="10">
        <f ca="1"/>
        <v>19.291117606863956</v>
      </c>
      <c r="E12" s="10">
        <f t="shared" ca="1" si="0"/>
        <v>0.29111760686395627</v>
      </c>
      <c r="G12" s="10">
        <f t="shared" ca="1" si="1"/>
        <v>0.31068098494392388</v>
      </c>
      <c r="L12" s="10"/>
    </row>
    <row r="13" spans="1:15" x14ac:dyDescent="0.2">
      <c r="A13" s="9">
        <v>15</v>
      </c>
      <c r="B13" s="9">
        <v>1</v>
      </c>
      <c r="C13" s="9">
        <f ca="1"/>
        <v>25</v>
      </c>
      <c r="D13" s="10">
        <f ca="1"/>
        <v>17.924679383559837</v>
      </c>
      <c r="E13" s="10">
        <f t="shared" ca="1" si="0"/>
        <v>2.9246793835598375</v>
      </c>
      <c r="G13" s="10">
        <f t="shared" ca="1" si="1"/>
        <v>2.0644814857305384E-2</v>
      </c>
      <c r="H13" s="10" t="s">
        <v>117</v>
      </c>
      <c r="K13" s="10" t="s">
        <v>113</v>
      </c>
      <c r="L13" s="10"/>
    </row>
    <row r="14" spans="1:15" x14ac:dyDescent="0.2">
      <c r="A14" s="9">
        <v>17</v>
      </c>
      <c r="B14" s="9">
        <v>1</v>
      </c>
      <c r="C14" s="9">
        <f ca="1"/>
        <v>25</v>
      </c>
      <c r="D14" s="10">
        <f ca="1"/>
        <v>17.924679383559837</v>
      </c>
      <c r="E14" s="10">
        <f t="shared" ca="1" si="0"/>
        <v>0.92467938355983748</v>
      </c>
      <c r="G14" s="10">
        <f t="shared" ca="1" si="1"/>
        <v>0.24278226945780421</v>
      </c>
      <c r="H14" s="10">
        <f ca="1">H8+H11+I2</f>
        <v>767.38674824786335</v>
      </c>
      <c r="K14" s="10">
        <f ca="1">H14+2*J2</f>
        <v>771.38674824786335</v>
      </c>
      <c r="L14" s="10"/>
    </row>
    <row r="15" spans="1:15" x14ac:dyDescent="0.2">
      <c r="A15" s="9">
        <v>17</v>
      </c>
      <c r="B15" s="9">
        <v>1</v>
      </c>
      <c r="C15" s="9">
        <f ca="1"/>
        <v>25</v>
      </c>
      <c r="D15" s="10">
        <f ca="1"/>
        <v>17.924679383559837</v>
      </c>
      <c r="E15" s="10">
        <f t="shared" ca="1" si="0"/>
        <v>0.92467938355983748</v>
      </c>
      <c r="G15" s="10">
        <f t="shared" ca="1" si="1"/>
        <v>0.24278226945780421</v>
      </c>
      <c r="L15" s="10"/>
    </row>
    <row r="16" spans="1:15" x14ac:dyDescent="0.2">
      <c r="A16" s="9">
        <v>15</v>
      </c>
      <c r="B16" s="9">
        <v>1</v>
      </c>
      <c r="C16" s="9">
        <f ca="1"/>
        <v>25</v>
      </c>
      <c r="D16" s="10">
        <f ca="1"/>
        <v>17.924679383559837</v>
      </c>
      <c r="E16" s="10">
        <f t="shared" ca="1" si="0"/>
        <v>2.9246793835598375</v>
      </c>
      <c r="G16" s="10">
        <f t="shared" ca="1" si="1"/>
        <v>2.0644814857305384E-2</v>
      </c>
      <c r="L16" s="10"/>
    </row>
    <row r="17" spans="1:12" x14ac:dyDescent="0.2">
      <c r="A17" s="9">
        <v>15</v>
      </c>
      <c r="B17" s="9">
        <v>1</v>
      </c>
      <c r="C17" s="9">
        <f ca="1"/>
        <v>24</v>
      </c>
      <c r="D17" s="10">
        <f ca="1"/>
        <v>17.241460271907776</v>
      </c>
      <c r="E17" s="10">
        <f t="shared" ca="1" si="0"/>
        <v>2.2414602719077763</v>
      </c>
      <c r="G17" s="10">
        <f t="shared" ca="1" si="1"/>
        <v>6.3908179860316897E-2</v>
      </c>
      <c r="L17" s="10"/>
    </row>
    <row r="18" spans="1:12" x14ac:dyDescent="0.2">
      <c r="A18" s="9">
        <v>17</v>
      </c>
      <c r="B18" s="9">
        <v>1</v>
      </c>
      <c r="C18" s="9">
        <f ca="1"/>
        <v>25</v>
      </c>
      <c r="D18" s="10">
        <f ca="1"/>
        <v>17.924679383559837</v>
      </c>
      <c r="E18" s="10">
        <f t="shared" ca="1" si="0"/>
        <v>0.92467938355983748</v>
      </c>
      <c r="G18" s="10">
        <f t="shared" ca="1" si="1"/>
        <v>0.24278226945780421</v>
      </c>
      <c r="L18" s="10"/>
    </row>
    <row r="19" spans="1:12" x14ac:dyDescent="0.2">
      <c r="A19" s="9">
        <v>16</v>
      </c>
      <c r="B19" s="9">
        <v>1</v>
      </c>
      <c r="C19" s="9">
        <f ca="1"/>
        <v>23</v>
      </c>
      <c r="D19" s="10">
        <f ca="1"/>
        <v>16.558241160255715</v>
      </c>
      <c r="E19" s="10">
        <f t="shared" ca="1" si="0"/>
        <v>0.55824116025571513</v>
      </c>
      <c r="G19" s="10">
        <f t="shared" ca="1" si="1"/>
        <v>0.28891457937292003</v>
      </c>
      <c r="L19" s="10"/>
    </row>
    <row r="20" spans="1:12" x14ac:dyDescent="0.2">
      <c r="A20" s="9">
        <v>14</v>
      </c>
      <c r="B20" s="9">
        <v>1</v>
      </c>
      <c r="C20" s="9">
        <f ca="1"/>
        <v>20</v>
      </c>
      <c r="D20" s="10">
        <f ca="1"/>
        <v>14.508583825299539</v>
      </c>
      <c r="E20" s="10">
        <f t="shared" ca="1" si="0"/>
        <v>0.50858382529953872</v>
      </c>
      <c r="G20" s="10">
        <f t="shared" ca="1" si="1"/>
        <v>0.29385631906225068</v>
      </c>
      <c r="L20" s="10"/>
    </row>
    <row r="21" spans="1:12" x14ac:dyDescent="0.2">
      <c r="A21" s="9">
        <v>11</v>
      </c>
      <c r="B21" s="9">
        <v>1</v>
      </c>
      <c r="C21" s="9">
        <f ca="1"/>
        <v>15</v>
      </c>
      <c r="D21" s="10">
        <f ca="1"/>
        <v>11.09248826703924</v>
      </c>
      <c r="E21" s="10">
        <f t="shared" ca="1" si="0"/>
        <v>9.2488267039239958E-2</v>
      </c>
      <c r="G21" s="10">
        <f t="shared" ca="1" si="1"/>
        <v>0.31835277839425191</v>
      </c>
      <c r="J21" s="15"/>
      <c r="K21" s="16"/>
      <c r="L21" s="17"/>
    </row>
    <row r="22" spans="1:12" x14ac:dyDescent="0.2">
      <c r="A22" s="9">
        <v>14</v>
      </c>
      <c r="B22" s="9">
        <v>1</v>
      </c>
      <c r="C22" s="9">
        <f ca="1"/>
        <v>20</v>
      </c>
      <c r="D22" s="10">
        <f ca="1"/>
        <v>14.508583825299539</v>
      </c>
      <c r="E22" s="10">
        <f t="shared" ca="1" si="0"/>
        <v>0.50858382529953872</v>
      </c>
      <c r="G22" s="10">
        <f t="shared" ca="1" si="1"/>
        <v>0.29385631906225068</v>
      </c>
      <c r="J22" s="18"/>
      <c r="K22" s="19" t="s">
        <v>201</v>
      </c>
      <c r="L22" s="20"/>
    </row>
    <row r="23" spans="1:12" x14ac:dyDescent="0.2">
      <c r="A23" s="9">
        <v>13</v>
      </c>
      <c r="B23" s="9">
        <v>1</v>
      </c>
      <c r="C23" s="9">
        <f ca="1"/>
        <v>17</v>
      </c>
      <c r="D23" s="10">
        <f ca="1"/>
        <v>12.458926490343359</v>
      </c>
      <c r="E23" s="10">
        <f t="shared" ca="1" si="0"/>
        <v>-0.54107350965664125</v>
      </c>
      <c r="G23" s="10">
        <f t="shared" ca="1" si="1"/>
        <v>0.29066547731752662</v>
      </c>
      <c r="J23" s="18"/>
      <c r="K23" s="24" t="s">
        <v>202</v>
      </c>
      <c r="L23" s="20"/>
    </row>
    <row r="24" spans="1:12" x14ac:dyDescent="0.2">
      <c r="A24" s="9">
        <v>12</v>
      </c>
      <c r="B24" s="9">
        <v>1</v>
      </c>
      <c r="C24" s="9">
        <f ca="1"/>
        <v>17</v>
      </c>
      <c r="D24" s="10">
        <f ca="1"/>
        <v>12.458926490343359</v>
      </c>
      <c r="E24" s="10">
        <f t="shared" ca="1" si="0"/>
        <v>0.45892649034335875</v>
      </c>
      <c r="G24" s="10">
        <f t="shared" ca="1" si="1"/>
        <v>0.29841106438288428</v>
      </c>
      <c r="J24" s="18"/>
      <c r="K24" s="19"/>
      <c r="L24" s="20"/>
    </row>
    <row r="25" spans="1:12" x14ac:dyDescent="0.2">
      <c r="A25" s="9">
        <v>16</v>
      </c>
      <c r="B25" s="9">
        <v>1</v>
      </c>
      <c r="C25" s="9">
        <f ca="1"/>
        <v>26</v>
      </c>
      <c r="D25" s="10">
        <f ca="1"/>
        <v>18.607898495211895</v>
      </c>
      <c r="E25" s="10">
        <f t="shared" ca="1" si="0"/>
        <v>2.6078984952118951</v>
      </c>
      <c r="G25" s="10">
        <f t="shared" ca="1" si="1"/>
        <v>3.6181717224349638E-2</v>
      </c>
      <c r="J25" s="21"/>
      <c r="K25" s="22"/>
      <c r="L25" s="23"/>
    </row>
    <row r="26" spans="1:12" x14ac:dyDescent="0.2">
      <c r="A26" s="9">
        <v>15</v>
      </c>
      <c r="B26" s="9">
        <v>1</v>
      </c>
      <c r="C26" s="9">
        <f ca="1"/>
        <v>23</v>
      </c>
      <c r="D26" s="10">
        <f ca="1"/>
        <v>16.558241160255715</v>
      </c>
      <c r="E26" s="10">
        <f t="shared" ca="1" si="0"/>
        <v>1.5582411602557151</v>
      </c>
      <c r="G26" s="10">
        <f t="shared" ca="1" si="1"/>
        <v>0.1467237015411641</v>
      </c>
      <c r="L26" s="10"/>
    </row>
    <row r="27" spans="1:12" x14ac:dyDescent="0.2">
      <c r="A27" s="9">
        <v>16</v>
      </c>
      <c r="B27" s="9">
        <v>1</v>
      </c>
      <c r="C27" s="9">
        <f ca="1"/>
        <v>26</v>
      </c>
      <c r="D27" s="10">
        <f ca="1"/>
        <v>18.607898495211895</v>
      </c>
      <c r="E27" s="10">
        <f t="shared" ca="1" si="0"/>
        <v>2.6078984952118951</v>
      </c>
      <c r="G27" s="10">
        <f t="shared" ca="1" si="1"/>
        <v>3.6181717224349638E-2</v>
      </c>
      <c r="L27" s="10"/>
    </row>
    <row r="28" spans="1:12" x14ac:dyDescent="0.2">
      <c r="A28" s="9">
        <v>15</v>
      </c>
      <c r="B28" s="9">
        <v>1</v>
      </c>
      <c r="C28" s="9">
        <f ca="1"/>
        <v>25</v>
      </c>
      <c r="D28" s="10">
        <f ca="1"/>
        <v>17.924679383559837</v>
      </c>
      <c r="E28" s="10">
        <f t="shared" ca="1" si="0"/>
        <v>2.9246793835598375</v>
      </c>
      <c r="G28" s="10">
        <f t="shared" ca="1" si="1"/>
        <v>2.0644814857305384E-2</v>
      </c>
      <c r="L28" s="10"/>
    </row>
    <row r="29" spans="1:12" x14ac:dyDescent="0.2">
      <c r="A29" s="9">
        <v>15</v>
      </c>
      <c r="B29" s="9">
        <v>1</v>
      </c>
      <c r="C29" s="9">
        <f ca="1"/>
        <v>24</v>
      </c>
      <c r="D29" s="10">
        <f ca="1"/>
        <v>17.241460271907776</v>
      </c>
      <c r="E29" s="10">
        <f t="shared" ca="1" si="0"/>
        <v>2.2414602719077763</v>
      </c>
      <c r="G29" s="10">
        <f t="shared" ca="1" si="1"/>
        <v>6.3908179860316897E-2</v>
      </c>
      <c r="L29" s="10"/>
    </row>
    <row r="30" spans="1:12" x14ac:dyDescent="0.2">
      <c r="A30" s="9">
        <v>14</v>
      </c>
      <c r="B30" s="9">
        <v>1</v>
      </c>
      <c r="C30" s="9">
        <f ca="1"/>
        <v>19</v>
      </c>
      <c r="D30" s="10">
        <f ca="1"/>
        <v>13.825364713647479</v>
      </c>
      <c r="E30" s="10">
        <f t="shared" ca="1" si="0"/>
        <v>-0.17463528635252068</v>
      </c>
      <c r="G30" s="10">
        <f t="shared" ca="1" si="1"/>
        <v>0.31612416936198534</v>
      </c>
      <c r="L30" s="10"/>
    </row>
    <row r="31" spans="1:12" x14ac:dyDescent="0.2">
      <c r="A31" s="9">
        <v>11</v>
      </c>
      <c r="B31" s="9">
        <v>1</v>
      </c>
      <c r="C31" s="9">
        <f ca="1"/>
        <v>14</v>
      </c>
      <c r="D31" s="10">
        <f ca="1"/>
        <v>10.409269155387181</v>
      </c>
      <c r="E31" s="10">
        <f t="shared" ca="1" si="0"/>
        <v>-0.59073084461281944</v>
      </c>
      <c r="G31" s="10">
        <f t="shared" ca="1" si="1"/>
        <v>0.28548233893943797</v>
      </c>
      <c r="L31" s="10"/>
    </row>
    <row r="32" spans="1:12" x14ac:dyDescent="0.2">
      <c r="A32" s="9">
        <v>11</v>
      </c>
      <c r="B32" s="9">
        <v>1</v>
      </c>
      <c r="C32" s="9">
        <f ca="1"/>
        <v>15</v>
      </c>
      <c r="D32" s="10">
        <f ca="1"/>
        <v>11.09248826703924</v>
      </c>
      <c r="E32" s="10">
        <f t="shared" ca="1" si="0"/>
        <v>9.2488267039239958E-2</v>
      </c>
      <c r="G32" s="10">
        <f t="shared" ca="1" si="1"/>
        <v>0.31835277839425191</v>
      </c>
      <c r="L32" s="10"/>
    </row>
    <row r="33" spans="1:12" x14ac:dyDescent="0.2">
      <c r="A33" s="9">
        <v>14</v>
      </c>
      <c r="B33" s="9">
        <v>1</v>
      </c>
      <c r="C33" s="9">
        <f ca="1"/>
        <v>17</v>
      </c>
      <c r="D33" s="10">
        <f ca="1"/>
        <v>12.458926490343359</v>
      </c>
      <c r="E33" s="10">
        <f t="shared" ca="1" si="0"/>
        <v>-1.5410735096566412</v>
      </c>
      <c r="G33" s="10">
        <f t="shared" ca="1" si="1"/>
        <v>0.14924443441661395</v>
      </c>
      <c r="L33" s="10"/>
    </row>
    <row r="34" spans="1:12" x14ac:dyDescent="0.2">
      <c r="A34" s="9">
        <v>19</v>
      </c>
      <c r="B34" s="9">
        <v>1</v>
      </c>
      <c r="C34" s="9">
        <f ca="1"/>
        <v>27</v>
      </c>
      <c r="D34" s="10">
        <f ca="1"/>
        <v>19.291117606863956</v>
      </c>
      <c r="E34" s="10">
        <f t="shared" ca="1" si="0"/>
        <v>0.29111760686395627</v>
      </c>
      <c r="G34" s="10">
        <f t="shared" ca="1" si="1"/>
        <v>0.31068098494392388</v>
      </c>
      <c r="L34" s="10"/>
    </row>
    <row r="35" spans="1:12" x14ac:dyDescent="0.2">
      <c r="A35" s="9">
        <v>22</v>
      </c>
      <c r="B35" s="9">
        <v>1</v>
      </c>
      <c r="C35" s="9">
        <f ca="1"/>
        <v>30</v>
      </c>
      <c r="D35" s="10">
        <f ca="1"/>
        <v>21.340774941820136</v>
      </c>
      <c r="E35" s="10">
        <f t="shared" ca="1" si="0"/>
        <v>-0.65922505817986377</v>
      </c>
      <c r="G35" s="10">
        <f t="shared" ca="1" si="1"/>
        <v>0.27776379398250539</v>
      </c>
      <c r="L35" s="10"/>
    </row>
    <row r="36" spans="1:12" x14ac:dyDescent="0.2">
      <c r="A36" s="9">
        <v>18</v>
      </c>
      <c r="B36" s="9">
        <v>1</v>
      </c>
      <c r="C36" s="9">
        <f ca="1"/>
        <v>26</v>
      </c>
      <c r="D36" s="10">
        <f ca="1"/>
        <v>18.607898495211895</v>
      </c>
      <c r="E36" s="10">
        <f t="shared" ca="1" si="0"/>
        <v>0.6078984952118951</v>
      </c>
      <c r="G36" s="10">
        <f t="shared" ca="1" si="1"/>
        <v>0.28360781451993688</v>
      </c>
      <c r="L36" s="10"/>
    </row>
    <row r="37" spans="1:12" x14ac:dyDescent="0.2">
      <c r="A37" s="9">
        <v>18</v>
      </c>
      <c r="B37" s="9">
        <v>1</v>
      </c>
      <c r="C37" s="9">
        <f ca="1"/>
        <v>29</v>
      </c>
      <c r="D37" s="10">
        <f ca="1"/>
        <v>20.657555830168075</v>
      </c>
      <c r="E37" s="10">
        <f t="shared" ca="1" si="0"/>
        <v>2.6575558301680751</v>
      </c>
      <c r="G37" s="10">
        <f t="shared" ca="1" si="1"/>
        <v>3.327632904268165E-2</v>
      </c>
      <c r="L37" s="10"/>
    </row>
    <row r="38" spans="1:12" x14ac:dyDescent="0.2">
      <c r="A38" s="9">
        <v>17</v>
      </c>
      <c r="B38" s="9">
        <v>1</v>
      </c>
      <c r="C38" s="9">
        <f ca="1"/>
        <v>26</v>
      </c>
      <c r="D38" s="10">
        <f ca="1"/>
        <v>18.607898495211895</v>
      </c>
      <c r="E38" s="10">
        <f t="shared" ca="1" si="0"/>
        <v>1.6078984952118951</v>
      </c>
      <c r="G38" s="10">
        <f t="shared" ca="1" si="1"/>
        <v>0.13952132892333158</v>
      </c>
      <c r="L38" s="10"/>
    </row>
    <row r="39" spans="1:12" x14ac:dyDescent="0.2">
      <c r="A39" s="9">
        <v>18</v>
      </c>
      <c r="B39" s="9">
        <v>1</v>
      </c>
      <c r="C39" s="9">
        <f ca="1"/>
        <v>24</v>
      </c>
      <c r="D39" s="10">
        <f ca="1"/>
        <v>17.241460271907776</v>
      </c>
      <c r="E39" s="10">
        <f t="shared" ca="1" si="0"/>
        <v>-0.7585397280922237</v>
      </c>
      <c r="G39" s="10">
        <f t="shared" ca="1" si="1"/>
        <v>0.2655208098682208</v>
      </c>
      <c r="L39" s="10"/>
    </row>
    <row r="40" spans="1:12" x14ac:dyDescent="0.2">
      <c r="A40" s="9">
        <v>17</v>
      </c>
      <c r="B40" s="9">
        <v>1</v>
      </c>
      <c r="C40" s="9">
        <f ca="1"/>
        <v>24</v>
      </c>
      <c r="D40" s="10">
        <f ca="1"/>
        <v>17.241460271907776</v>
      </c>
      <c r="E40" s="10">
        <f t="shared" ca="1" si="0"/>
        <v>0.2414602719077763</v>
      </c>
      <c r="G40" s="10">
        <f t="shared" ca="1" si="1"/>
        <v>0.31332258364370175</v>
      </c>
      <c r="L40" s="10"/>
    </row>
    <row r="41" spans="1:12" x14ac:dyDescent="0.2">
      <c r="A41" s="9">
        <v>16</v>
      </c>
      <c r="B41" s="9">
        <v>1</v>
      </c>
      <c r="C41" s="9">
        <f ca="1"/>
        <v>22</v>
      </c>
      <c r="D41" s="10">
        <f ca="1"/>
        <v>15.875022048603658</v>
      </c>
      <c r="E41" s="10">
        <f t="shared" ca="1" si="0"/>
        <v>-0.12497795139634249</v>
      </c>
      <c r="G41" s="10">
        <f t="shared" ca="1" si="1"/>
        <v>0.31763349392564566</v>
      </c>
      <c r="L41" s="10"/>
    </row>
    <row r="42" spans="1:12" x14ac:dyDescent="0.2">
      <c r="A42" s="9">
        <v>16</v>
      </c>
      <c r="B42" s="9">
        <v>1</v>
      </c>
      <c r="C42" s="9">
        <f ca="1"/>
        <v>22</v>
      </c>
      <c r="D42" s="10">
        <f ca="1"/>
        <v>15.875022048603658</v>
      </c>
      <c r="E42" s="10">
        <f t="shared" ca="1" si="0"/>
        <v>-0.12497795139634249</v>
      </c>
      <c r="G42" s="10">
        <f t="shared" ca="1" si="1"/>
        <v>0.31763349392564566</v>
      </c>
      <c r="L42" s="10"/>
    </row>
    <row r="43" spans="1:12" x14ac:dyDescent="0.2">
      <c r="A43" s="9">
        <v>17</v>
      </c>
      <c r="B43" s="9">
        <v>1</v>
      </c>
      <c r="C43" s="9">
        <f ca="1"/>
        <v>24</v>
      </c>
      <c r="D43" s="10">
        <f ca="1"/>
        <v>17.241460271907776</v>
      </c>
      <c r="E43" s="10">
        <f t="shared" ca="1" si="0"/>
        <v>0.2414602719077763</v>
      </c>
      <c r="G43" s="10">
        <f t="shared" ca="1" si="1"/>
        <v>0.31332258364370175</v>
      </c>
      <c r="L43" s="10"/>
    </row>
    <row r="44" spans="1:12" x14ac:dyDescent="0.2">
      <c r="A44" s="9">
        <v>17</v>
      </c>
      <c r="B44" s="9">
        <v>1</v>
      </c>
      <c r="C44" s="9">
        <f ca="1"/>
        <v>24</v>
      </c>
      <c r="D44" s="10">
        <f ca="1"/>
        <v>17.241460271907776</v>
      </c>
      <c r="E44" s="10">
        <f t="shared" ca="1" si="0"/>
        <v>0.2414602719077763</v>
      </c>
      <c r="G44" s="10">
        <f t="shared" ca="1" si="1"/>
        <v>0.31332258364370175</v>
      </c>
      <c r="L44" s="10"/>
    </row>
    <row r="45" spans="1:12" x14ac:dyDescent="0.2">
      <c r="A45" s="9">
        <v>11</v>
      </c>
      <c r="B45" s="9">
        <v>1</v>
      </c>
      <c r="C45" s="9">
        <f ca="1"/>
        <v>17</v>
      </c>
      <c r="D45" s="10">
        <f ca="1"/>
        <v>12.458926490343359</v>
      </c>
      <c r="E45" s="10">
        <f t="shared" ca="1" si="0"/>
        <v>1.4589264903433588</v>
      </c>
      <c r="G45" s="10">
        <f t="shared" ca="1" si="1"/>
        <v>0.16149629011123415</v>
      </c>
      <c r="L45" s="10"/>
    </row>
    <row r="46" spans="1:12" x14ac:dyDescent="0.2">
      <c r="A46" s="9">
        <v>15</v>
      </c>
      <c r="B46" s="9">
        <v>1</v>
      </c>
      <c r="C46" s="9">
        <f ca="1"/>
        <v>22</v>
      </c>
      <c r="D46" s="10">
        <f ca="1"/>
        <v>15.875022048603658</v>
      </c>
      <c r="E46" s="10">
        <f t="shared" ca="1" si="0"/>
        <v>0.87502204860365751</v>
      </c>
      <c r="G46" s="10">
        <f t="shared" ca="1" si="1"/>
        <v>0.2498287819911226</v>
      </c>
      <c r="L46" s="10"/>
    </row>
    <row r="47" spans="1:12" x14ac:dyDescent="0.2">
      <c r="A47" s="9">
        <v>15</v>
      </c>
      <c r="B47" s="9">
        <v>1</v>
      </c>
      <c r="C47" s="9">
        <f ca="1"/>
        <v>21</v>
      </c>
      <c r="D47" s="10">
        <f ca="1"/>
        <v>15.191802936951598</v>
      </c>
      <c r="E47" s="10">
        <f t="shared" ca="1" si="0"/>
        <v>0.19180293695159811</v>
      </c>
      <c r="G47" s="10">
        <f t="shared" ca="1" si="1"/>
        <v>0.31548813891774308</v>
      </c>
      <c r="L47" s="10"/>
    </row>
    <row r="48" spans="1:12" x14ac:dyDescent="0.2">
      <c r="A48" s="9">
        <v>16</v>
      </c>
      <c r="B48" s="9">
        <v>1</v>
      </c>
      <c r="C48" s="9">
        <f ca="1"/>
        <v>23</v>
      </c>
      <c r="D48" s="10">
        <f ca="1"/>
        <v>16.558241160255715</v>
      </c>
      <c r="E48" s="10">
        <f t="shared" ca="1" si="0"/>
        <v>0.55824116025571513</v>
      </c>
      <c r="G48" s="10">
        <f t="shared" ca="1" si="1"/>
        <v>0.28891457937292003</v>
      </c>
      <c r="L48" s="10"/>
    </row>
    <row r="49" spans="1:12" x14ac:dyDescent="0.2">
      <c r="A49" s="9">
        <v>16</v>
      </c>
      <c r="B49" s="9">
        <v>1</v>
      </c>
      <c r="C49" s="9">
        <f ca="1"/>
        <v>23</v>
      </c>
      <c r="D49" s="10">
        <f ca="1"/>
        <v>16.558241160255715</v>
      </c>
      <c r="E49" s="10">
        <f t="shared" ca="1" si="0"/>
        <v>0.55824116025571513</v>
      </c>
      <c r="G49" s="10">
        <f t="shared" ca="1" si="1"/>
        <v>0.28891457937292003</v>
      </c>
      <c r="L49" s="10"/>
    </row>
    <row r="50" spans="1:12" x14ac:dyDescent="0.2">
      <c r="A50" s="9">
        <v>15</v>
      </c>
      <c r="B50" s="9">
        <v>1</v>
      </c>
      <c r="C50" s="9">
        <f ca="1"/>
        <v>19</v>
      </c>
      <c r="D50" s="10">
        <f ca="1"/>
        <v>13.825364713647479</v>
      </c>
      <c r="E50" s="10">
        <f t="shared" ca="1" si="0"/>
        <v>-1.1746352863525207</v>
      </c>
      <c r="G50" s="10">
        <f t="shared" ca="1" si="1"/>
        <v>0.20523871008550823</v>
      </c>
      <c r="L50" s="10"/>
    </row>
    <row r="51" spans="1:12" x14ac:dyDescent="0.2">
      <c r="A51" s="9">
        <v>14</v>
      </c>
      <c r="B51" s="9">
        <v>1</v>
      </c>
      <c r="C51" s="9">
        <f ca="1"/>
        <v>18</v>
      </c>
      <c r="D51" s="10">
        <f ca="1"/>
        <v>13.142145601995418</v>
      </c>
      <c r="E51" s="10">
        <f t="shared" ca="1" si="0"/>
        <v>-0.85785439800458185</v>
      </c>
      <c r="G51" s="10">
        <f t="shared" ca="1" si="1"/>
        <v>0.25221954505601618</v>
      </c>
      <c r="L51" s="10"/>
    </row>
    <row r="52" spans="1:12" x14ac:dyDescent="0.2">
      <c r="A52" s="9">
        <v>13</v>
      </c>
      <c r="B52" s="9">
        <v>1</v>
      </c>
      <c r="C52" s="9">
        <f ca="1"/>
        <v>17</v>
      </c>
      <c r="D52" s="10">
        <f ca="1"/>
        <v>12.458926490343359</v>
      </c>
      <c r="E52" s="10">
        <f t="shared" ca="1" si="0"/>
        <v>-0.54107350965664125</v>
      </c>
      <c r="G52" s="10">
        <f t="shared" ca="1" si="1"/>
        <v>0.29066547731752662</v>
      </c>
      <c r="L52" s="10"/>
    </row>
    <row r="53" spans="1:12" x14ac:dyDescent="0.2">
      <c r="A53" s="9">
        <v>14</v>
      </c>
      <c r="B53" s="9">
        <v>1</v>
      </c>
      <c r="C53" s="9">
        <f ca="1"/>
        <v>17</v>
      </c>
      <c r="D53" s="10">
        <f ca="1"/>
        <v>12.458926490343359</v>
      </c>
      <c r="E53" s="10">
        <f t="shared" ca="1" si="0"/>
        <v>-1.5410735096566412</v>
      </c>
      <c r="G53" s="10">
        <f t="shared" ca="1" si="1"/>
        <v>0.14924443441661395</v>
      </c>
      <c r="L53" s="10"/>
    </row>
    <row r="54" spans="1:12" x14ac:dyDescent="0.2">
      <c r="A54" s="9">
        <v>14</v>
      </c>
      <c r="B54" s="9">
        <v>1</v>
      </c>
      <c r="C54" s="9">
        <f ca="1"/>
        <v>19</v>
      </c>
      <c r="D54" s="10">
        <f ca="1"/>
        <v>13.825364713647479</v>
      </c>
      <c r="E54" s="10">
        <f t="shared" ca="1" si="0"/>
        <v>-0.17463528635252068</v>
      </c>
      <c r="G54" s="10">
        <f t="shared" ca="1" si="1"/>
        <v>0.31612416936198534</v>
      </c>
      <c r="L54" s="10"/>
    </row>
    <row r="55" spans="1:12" x14ac:dyDescent="0.2">
      <c r="A55" s="9">
        <v>14</v>
      </c>
      <c r="B55" s="9">
        <v>1</v>
      </c>
      <c r="C55" s="9">
        <f ca="1"/>
        <v>19</v>
      </c>
      <c r="D55" s="10">
        <f ca="1"/>
        <v>13.825364713647479</v>
      </c>
      <c r="E55" s="10">
        <f t="shared" ca="1" si="0"/>
        <v>-0.17463528635252068</v>
      </c>
      <c r="G55" s="10">
        <f t="shared" ca="1" si="1"/>
        <v>0.31612416936198534</v>
      </c>
      <c r="L55" s="10"/>
    </row>
    <row r="56" spans="1:12" x14ac:dyDescent="0.2">
      <c r="A56" s="9">
        <v>9</v>
      </c>
      <c r="B56" s="9">
        <v>1</v>
      </c>
      <c r="C56" s="9">
        <f ca="1"/>
        <v>12</v>
      </c>
      <c r="D56" s="10">
        <f ca="1"/>
        <v>9.04283093208306</v>
      </c>
      <c r="E56" s="10">
        <f t="shared" ca="1" si="0"/>
        <v>4.2830932083059992E-2</v>
      </c>
      <c r="G56" s="10">
        <f t="shared" ca="1" si="1"/>
        <v>0.31903836846290684</v>
      </c>
      <c r="L56" s="10"/>
    </row>
    <row r="57" spans="1:12" x14ac:dyDescent="0.2">
      <c r="A57" s="9">
        <v>11</v>
      </c>
      <c r="B57" s="9">
        <v>1</v>
      </c>
      <c r="C57" s="9">
        <f ca="1"/>
        <v>17</v>
      </c>
      <c r="D57" s="10">
        <f ca="1"/>
        <v>12.458926490343359</v>
      </c>
      <c r="E57" s="10">
        <f t="shared" ca="1" si="0"/>
        <v>1.4589264903433588</v>
      </c>
      <c r="G57" s="10">
        <f t="shared" ca="1" si="1"/>
        <v>0.16149629011123415</v>
      </c>
      <c r="L57" s="10"/>
    </row>
    <row r="58" spans="1:12" x14ac:dyDescent="0.2">
      <c r="A58" s="9">
        <v>11</v>
      </c>
      <c r="B58" s="9">
        <v>1</v>
      </c>
      <c r="C58" s="9">
        <f ca="1"/>
        <v>15</v>
      </c>
      <c r="D58" s="10">
        <f ca="1"/>
        <v>11.09248826703924</v>
      </c>
      <c r="E58" s="10">
        <f t="shared" ca="1" si="0"/>
        <v>9.2488267039239958E-2</v>
      </c>
      <c r="G58" s="10">
        <f t="shared" ca="1" si="1"/>
        <v>0.31835277839425191</v>
      </c>
      <c r="L58" s="10"/>
    </row>
    <row r="59" spans="1:12" x14ac:dyDescent="0.2">
      <c r="A59" s="9">
        <v>13</v>
      </c>
      <c r="B59" s="9">
        <v>1</v>
      </c>
      <c r="C59" s="9">
        <f ca="1"/>
        <v>17</v>
      </c>
      <c r="D59" s="10">
        <f ca="1"/>
        <v>12.458926490343359</v>
      </c>
      <c r="E59" s="10">
        <f t="shared" ca="1" si="0"/>
        <v>-0.54107350965664125</v>
      </c>
      <c r="G59" s="10">
        <f t="shared" ca="1" si="1"/>
        <v>0.29066547731752662</v>
      </c>
      <c r="L59" s="10"/>
    </row>
    <row r="60" spans="1:12" x14ac:dyDescent="0.2">
      <c r="A60" s="9">
        <v>13</v>
      </c>
      <c r="B60" s="9">
        <v>1</v>
      </c>
      <c r="C60" s="9">
        <f ca="1"/>
        <v>17</v>
      </c>
      <c r="D60" s="10">
        <f ca="1"/>
        <v>12.458926490343359</v>
      </c>
      <c r="E60" s="10">
        <f t="shared" ca="1" si="0"/>
        <v>-0.54107350965664125</v>
      </c>
      <c r="G60" s="10">
        <f t="shared" ca="1" si="1"/>
        <v>0.29066547731752662</v>
      </c>
      <c r="L60" s="10"/>
    </row>
    <row r="61" spans="1:12" x14ac:dyDescent="0.2">
      <c r="A61" s="9">
        <v>9</v>
      </c>
      <c r="B61" s="9">
        <v>1</v>
      </c>
      <c r="C61" s="9">
        <f ca="1"/>
        <v>12</v>
      </c>
      <c r="D61" s="10">
        <f ca="1"/>
        <v>9.04283093208306</v>
      </c>
      <c r="E61" s="10">
        <f t="shared" ca="1" si="0"/>
        <v>4.2830932083059992E-2</v>
      </c>
      <c r="G61" s="10">
        <f t="shared" ca="1" si="1"/>
        <v>0.31903836846290684</v>
      </c>
      <c r="L61" s="10"/>
    </row>
    <row r="62" spans="1:12" x14ac:dyDescent="0.2">
      <c r="A62" s="9">
        <v>13</v>
      </c>
      <c r="B62" s="9">
        <v>1</v>
      </c>
      <c r="C62" s="9">
        <f ca="1"/>
        <v>17</v>
      </c>
      <c r="D62" s="10">
        <f ca="1"/>
        <v>12.458926490343359</v>
      </c>
      <c r="E62" s="10">
        <f t="shared" ca="1" si="0"/>
        <v>-0.54107350965664125</v>
      </c>
      <c r="G62" s="10">
        <f t="shared" ca="1" si="1"/>
        <v>0.29066547731752662</v>
      </c>
      <c r="L62" s="10"/>
    </row>
    <row r="63" spans="1:12" x14ac:dyDescent="0.2">
      <c r="A63" s="9">
        <v>11</v>
      </c>
      <c r="B63" s="9">
        <v>1</v>
      </c>
      <c r="C63" s="9">
        <f ca="1"/>
        <v>16</v>
      </c>
      <c r="D63" s="10">
        <f ca="1"/>
        <v>11.775707378691299</v>
      </c>
      <c r="E63" s="10">
        <f t="shared" ca="1" si="0"/>
        <v>0.77570737869129935</v>
      </c>
      <c r="G63" s="10">
        <f t="shared" ca="1" si="1"/>
        <v>0.26329124156712214</v>
      </c>
      <c r="L63" s="10"/>
    </row>
    <row r="64" spans="1:12" x14ac:dyDescent="0.2">
      <c r="A64" s="9">
        <v>13</v>
      </c>
      <c r="B64" s="9">
        <v>1</v>
      </c>
      <c r="C64" s="9">
        <f ca="1"/>
        <v>18</v>
      </c>
      <c r="D64" s="10">
        <f ca="1"/>
        <v>13.142145601995418</v>
      </c>
      <c r="E64" s="10">
        <f t="shared" ca="1" si="0"/>
        <v>0.14214560199541815</v>
      </c>
      <c r="G64" s="10">
        <f t="shared" ca="1" si="1"/>
        <v>0.31716750413300532</v>
      </c>
      <c r="L64" s="10"/>
    </row>
    <row r="65" spans="1:12" x14ac:dyDescent="0.2">
      <c r="A65" s="9">
        <v>11</v>
      </c>
      <c r="B65" s="9">
        <v>1</v>
      </c>
      <c r="C65" s="9">
        <f ca="1"/>
        <v>15</v>
      </c>
      <c r="D65" s="10">
        <f ca="1"/>
        <v>11.09248826703924</v>
      </c>
      <c r="E65" s="10">
        <f t="shared" ca="1" si="0"/>
        <v>9.2488267039239958E-2</v>
      </c>
      <c r="G65" s="10">
        <f t="shared" ca="1" si="1"/>
        <v>0.31835277839425191</v>
      </c>
      <c r="L65" s="10"/>
    </row>
    <row r="66" spans="1:12" x14ac:dyDescent="0.2">
      <c r="A66" s="9">
        <v>12</v>
      </c>
      <c r="B66" s="9">
        <v>1</v>
      </c>
      <c r="C66" s="9">
        <f ca="1"/>
        <v>16</v>
      </c>
      <c r="D66" s="10">
        <f ca="1"/>
        <v>11.775707378691299</v>
      </c>
      <c r="E66" s="10">
        <f t="shared" ca="1" si="0"/>
        <v>-0.22429262130870065</v>
      </c>
      <c r="G66" s="10">
        <f t="shared" ca="1" si="1"/>
        <v>0.31412566572102818</v>
      </c>
      <c r="L66" s="10"/>
    </row>
    <row r="67" spans="1:12" x14ac:dyDescent="0.2">
      <c r="A67" s="9">
        <v>9</v>
      </c>
      <c r="B67" s="9">
        <v>1</v>
      </c>
      <c r="C67" s="9">
        <f ca="1"/>
        <v>12</v>
      </c>
      <c r="D67" s="10">
        <f ca="1"/>
        <v>9.04283093208306</v>
      </c>
      <c r="E67" s="10">
        <f t="shared" ref="E67:E130" ca="1" si="2">D67-A67</f>
        <v>4.2830932083059992E-2</v>
      </c>
      <c r="G67" s="10">
        <f t="shared" ref="G67:G130" ca="1" si="3">_xlfn.NORM.DIST(E67,0,$F$2,FALSE)</f>
        <v>0.31903836846290684</v>
      </c>
      <c r="L67" s="10"/>
    </row>
    <row r="68" spans="1:12" x14ac:dyDescent="0.2">
      <c r="A68" s="9">
        <v>13</v>
      </c>
      <c r="B68" s="9">
        <v>1</v>
      </c>
      <c r="C68" s="9">
        <f ca="1"/>
        <v>17</v>
      </c>
      <c r="D68" s="10">
        <f ca="1"/>
        <v>12.458926490343359</v>
      </c>
      <c r="E68" s="10">
        <f t="shared" ca="1" si="2"/>
        <v>-0.54107350965664125</v>
      </c>
      <c r="G68" s="10">
        <f t="shared" ca="1" si="3"/>
        <v>0.29066547731752662</v>
      </c>
      <c r="L68" s="10"/>
    </row>
    <row r="69" spans="1:12" x14ac:dyDescent="0.2">
      <c r="A69" s="9">
        <v>13</v>
      </c>
      <c r="B69" s="9">
        <v>1</v>
      </c>
      <c r="C69" s="9">
        <f ca="1"/>
        <v>17</v>
      </c>
      <c r="D69" s="10">
        <f ca="1"/>
        <v>12.458926490343359</v>
      </c>
      <c r="E69" s="10">
        <f t="shared" ca="1" si="2"/>
        <v>-0.54107350965664125</v>
      </c>
      <c r="G69" s="10">
        <f t="shared" ca="1" si="3"/>
        <v>0.29066547731752662</v>
      </c>
      <c r="L69" s="10"/>
    </row>
    <row r="70" spans="1:12" x14ac:dyDescent="0.2">
      <c r="A70" s="9">
        <v>12</v>
      </c>
      <c r="B70" s="9">
        <v>1</v>
      </c>
      <c r="C70" s="9">
        <f ca="1"/>
        <v>16</v>
      </c>
      <c r="D70" s="10">
        <f ca="1"/>
        <v>11.775707378691299</v>
      </c>
      <c r="E70" s="10">
        <f t="shared" ca="1" si="2"/>
        <v>-0.22429262130870065</v>
      </c>
      <c r="G70" s="10">
        <f t="shared" ca="1" si="3"/>
        <v>0.31412566572102818</v>
      </c>
      <c r="L70" s="10"/>
    </row>
    <row r="71" spans="1:12" x14ac:dyDescent="0.2">
      <c r="A71" s="9">
        <v>9</v>
      </c>
      <c r="B71" s="9">
        <v>1</v>
      </c>
      <c r="C71" s="9">
        <f ca="1"/>
        <v>12</v>
      </c>
      <c r="D71" s="10">
        <f ca="1"/>
        <v>9.04283093208306</v>
      </c>
      <c r="E71" s="10">
        <f t="shared" ca="1" si="2"/>
        <v>4.2830932083059992E-2</v>
      </c>
      <c r="G71" s="10">
        <f t="shared" ca="1" si="3"/>
        <v>0.31903836846290684</v>
      </c>
      <c r="L71" s="10"/>
    </row>
    <row r="72" spans="1:12" x14ac:dyDescent="0.2">
      <c r="A72" s="9">
        <v>11</v>
      </c>
      <c r="B72" s="9">
        <v>1</v>
      </c>
      <c r="C72" s="9">
        <f ca="1"/>
        <v>15</v>
      </c>
      <c r="D72" s="10">
        <f ca="1"/>
        <v>11.09248826703924</v>
      </c>
      <c r="E72" s="10">
        <f t="shared" ca="1" si="2"/>
        <v>9.2488267039239958E-2</v>
      </c>
      <c r="G72" s="10">
        <f t="shared" ca="1" si="3"/>
        <v>0.31835277839425191</v>
      </c>
      <c r="L72" s="10"/>
    </row>
    <row r="73" spans="1:12" x14ac:dyDescent="0.2">
      <c r="A73" s="9">
        <v>11</v>
      </c>
      <c r="B73" s="9">
        <v>1</v>
      </c>
      <c r="C73" s="9">
        <f ca="1"/>
        <v>16</v>
      </c>
      <c r="D73" s="10">
        <f ca="1"/>
        <v>11.775707378691299</v>
      </c>
      <c r="E73" s="10">
        <f t="shared" ca="1" si="2"/>
        <v>0.77570737869129935</v>
      </c>
      <c r="G73" s="10">
        <f t="shared" ca="1" si="3"/>
        <v>0.26329124156712214</v>
      </c>
      <c r="L73" s="10"/>
    </row>
    <row r="74" spans="1:12" x14ac:dyDescent="0.2">
      <c r="A74" s="9">
        <v>13</v>
      </c>
      <c r="B74" s="9">
        <v>1</v>
      </c>
      <c r="C74" s="9">
        <f ca="1"/>
        <v>17</v>
      </c>
      <c r="D74" s="10">
        <f ca="1"/>
        <v>12.458926490343359</v>
      </c>
      <c r="E74" s="10">
        <f t="shared" ca="1" si="2"/>
        <v>-0.54107350965664125</v>
      </c>
      <c r="G74" s="10">
        <f t="shared" ca="1" si="3"/>
        <v>0.29066547731752662</v>
      </c>
      <c r="L74" s="10"/>
    </row>
    <row r="75" spans="1:12" x14ac:dyDescent="0.2">
      <c r="A75" s="9">
        <v>11</v>
      </c>
      <c r="B75" s="9">
        <v>1</v>
      </c>
      <c r="C75" s="9">
        <f ca="1"/>
        <v>15</v>
      </c>
      <c r="D75" s="10">
        <f ca="1"/>
        <v>11.09248826703924</v>
      </c>
      <c r="E75" s="10">
        <f t="shared" ca="1" si="2"/>
        <v>9.2488267039239958E-2</v>
      </c>
      <c r="G75" s="10">
        <f t="shared" ca="1" si="3"/>
        <v>0.31835277839425191</v>
      </c>
      <c r="L75" s="10"/>
    </row>
    <row r="76" spans="1:12" x14ac:dyDescent="0.2">
      <c r="A76" s="9">
        <v>11</v>
      </c>
      <c r="B76" s="9">
        <v>1</v>
      </c>
      <c r="C76" s="9">
        <f ca="1"/>
        <v>17</v>
      </c>
      <c r="D76" s="10">
        <f ca="1"/>
        <v>12.458926490343359</v>
      </c>
      <c r="E76" s="10">
        <f t="shared" ca="1" si="2"/>
        <v>1.4589264903433588</v>
      </c>
      <c r="G76" s="10">
        <f t="shared" ca="1" si="3"/>
        <v>0.16149629011123415</v>
      </c>
      <c r="L76" s="10"/>
    </row>
    <row r="77" spans="1:12" x14ac:dyDescent="0.2">
      <c r="A77" s="9">
        <v>11</v>
      </c>
      <c r="B77" s="9">
        <v>1</v>
      </c>
      <c r="C77" s="9">
        <f ca="1"/>
        <v>17</v>
      </c>
      <c r="D77" s="10">
        <f ca="1"/>
        <v>12.458926490343359</v>
      </c>
      <c r="E77" s="10">
        <f t="shared" ca="1" si="2"/>
        <v>1.4589264903433588</v>
      </c>
      <c r="G77" s="10">
        <f t="shared" ca="1" si="3"/>
        <v>0.16149629011123415</v>
      </c>
      <c r="L77" s="10"/>
    </row>
    <row r="78" spans="1:12" x14ac:dyDescent="0.2">
      <c r="A78" s="9">
        <v>12</v>
      </c>
      <c r="B78" s="9">
        <v>1</v>
      </c>
      <c r="C78" s="9">
        <f ca="1"/>
        <v>18</v>
      </c>
      <c r="D78" s="10">
        <f ca="1"/>
        <v>13.142145601995418</v>
      </c>
      <c r="E78" s="10">
        <f t="shared" ca="1" si="2"/>
        <v>1.1421456019954181</v>
      </c>
      <c r="G78" s="10">
        <f t="shared" ca="1" si="3"/>
        <v>0.21024457151414655</v>
      </c>
      <c r="L78" s="10"/>
    </row>
    <row r="79" spans="1:12" x14ac:dyDescent="0.2">
      <c r="A79" s="9">
        <v>14</v>
      </c>
      <c r="B79" s="9">
        <v>1</v>
      </c>
      <c r="C79" s="9">
        <f ca="1"/>
        <v>17</v>
      </c>
      <c r="D79" s="10">
        <f ca="1"/>
        <v>12.458926490343359</v>
      </c>
      <c r="E79" s="10">
        <f t="shared" ca="1" si="2"/>
        <v>-1.5410735096566412</v>
      </c>
      <c r="G79" s="10">
        <f t="shared" ca="1" si="3"/>
        <v>0.14924443441661395</v>
      </c>
      <c r="L79" s="10"/>
    </row>
    <row r="80" spans="1:12" x14ac:dyDescent="0.2">
      <c r="A80" s="9">
        <v>15</v>
      </c>
      <c r="B80" s="9">
        <v>1</v>
      </c>
      <c r="C80" s="9">
        <f ca="1"/>
        <v>19</v>
      </c>
      <c r="D80" s="10">
        <f ca="1"/>
        <v>13.825364713647479</v>
      </c>
      <c r="E80" s="10">
        <f t="shared" ca="1" si="2"/>
        <v>-1.1746352863525207</v>
      </c>
      <c r="G80" s="10">
        <f t="shared" ca="1" si="3"/>
        <v>0.20523871008550823</v>
      </c>
      <c r="L80" s="10"/>
    </row>
    <row r="81" spans="1:12" x14ac:dyDescent="0.2">
      <c r="A81" s="9">
        <v>14</v>
      </c>
      <c r="B81" s="9">
        <v>1</v>
      </c>
      <c r="C81" s="9">
        <f ca="1"/>
        <v>17</v>
      </c>
      <c r="D81" s="10">
        <f ca="1"/>
        <v>12.458926490343359</v>
      </c>
      <c r="E81" s="10">
        <f t="shared" ca="1" si="2"/>
        <v>-1.5410735096566412</v>
      </c>
      <c r="G81" s="10">
        <f t="shared" ca="1" si="3"/>
        <v>0.14924443441661395</v>
      </c>
      <c r="L81" s="10"/>
    </row>
    <row r="82" spans="1:12" x14ac:dyDescent="0.2">
      <c r="A82" s="9">
        <v>13</v>
      </c>
      <c r="B82" s="9">
        <v>1</v>
      </c>
      <c r="C82" s="9">
        <f ca="1"/>
        <v>19</v>
      </c>
      <c r="D82" s="10">
        <f ca="1"/>
        <v>13.825364713647479</v>
      </c>
      <c r="E82" s="10">
        <f t="shared" ca="1" si="2"/>
        <v>0.82536471364747932</v>
      </c>
      <c r="G82" s="10">
        <f t="shared" ca="1" si="3"/>
        <v>0.25667424064304967</v>
      </c>
      <c r="L82" s="10"/>
    </row>
    <row r="83" spans="1:12" x14ac:dyDescent="0.2">
      <c r="A83" s="9">
        <v>13</v>
      </c>
      <c r="B83" s="9">
        <v>1</v>
      </c>
      <c r="C83" s="9">
        <f ca="1"/>
        <v>19</v>
      </c>
      <c r="D83" s="10">
        <f ca="1"/>
        <v>13.825364713647479</v>
      </c>
      <c r="E83" s="10">
        <f t="shared" ca="1" si="2"/>
        <v>0.82536471364747932</v>
      </c>
      <c r="G83" s="10">
        <f t="shared" ca="1" si="3"/>
        <v>0.25667424064304967</v>
      </c>
      <c r="L83" s="10"/>
    </row>
    <row r="84" spans="1:12" x14ac:dyDescent="0.2">
      <c r="A84" s="9">
        <v>13</v>
      </c>
      <c r="B84" s="9">
        <v>1</v>
      </c>
      <c r="C84" s="9">
        <f ca="1"/>
        <v>17</v>
      </c>
      <c r="D84" s="10">
        <f ca="1"/>
        <v>12.458926490343359</v>
      </c>
      <c r="E84" s="10">
        <f t="shared" ca="1" si="2"/>
        <v>-0.54107350965664125</v>
      </c>
      <c r="G84" s="10">
        <f t="shared" ca="1" si="3"/>
        <v>0.29066547731752662</v>
      </c>
      <c r="L84" s="10"/>
    </row>
    <row r="85" spans="1:12" x14ac:dyDescent="0.2">
      <c r="A85" s="9">
        <v>14</v>
      </c>
      <c r="B85" s="9">
        <v>1</v>
      </c>
      <c r="C85" s="9">
        <f ca="1"/>
        <v>17</v>
      </c>
      <c r="D85" s="10">
        <f ca="1"/>
        <v>12.458926490343359</v>
      </c>
      <c r="E85" s="10">
        <f t="shared" ca="1" si="2"/>
        <v>-1.5410735096566412</v>
      </c>
      <c r="G85" s="10">
        <f t="shared" ca="1" si="3"/>
        <v>0.14924443441661395</v>
      </c>
      <c r="L85" s="10"/>
    </row>
    <row r="86" spans="1:12" x14ac:dyDescent="0.2">
      <c r="A86" s="9">
        <v>14</v>
      </c>
      <c r="B86" s="9">
        <v>1</v>
      </c>
      <c r="C86" s="9">
        <f ca="1"/>
        <v>17</v>
      </c>
      <c r="D86" s="10">
        <f ca="1"/>
        <v>12.458926490343359</v>
      </c>
      <c r="E86" s="10">
        <f t="shared" ca="1" si="2"/>
        <v>-1.5410735096566412</v>
      </c>
      <c r="G86" s="10">
        <f t="shared" ca="1" si="3"/>
        <v>0.14924443441661395</v>
      </c>
      <c r="L86" s="10"/>
    </row>
    <row r="87" spans="1:12" x14ac:dyDescent="0.2">
      <c r="A87" s="9">
        <v>13</v>
      </c>
      <c r="B87" s="9">
        <v>1</v>
      </c>
      <c r="C87" s="9">
        <f ca="1"/>
        <v>16</v>
      </c>
      <c r="D87" s="10">
        <f ca="1"/>
        <v>11.775707378691299</v>
      </c>
      <c r="E87" s="10">
        <f t="shared" ca="1" si="2"/>
        <v>-1.2242926213087006</v>
      </c>
      <c r="G87" s="10">
        <f t="shared" ca="1" si="3"/>
        <v>0.19755889639295596</v>
      </c>
      <c r="L87" s="10"/>
    </row>
    <row r="88" spans="1:12" x14ac:dyDescent="0.2">
      <c r="A88" s="9">
        <v>13</v>
      </c>
      <c r="B88" s="9">
        <v>1</v>
      </c>
      <c r="C88" s="9">
        <f ca="1"/>
        <v>16</v>
      </c>
      <c r="D88" s="10">
        <f ca="1"/>
        <v>11.775707378691299</v>
      </c>
      <c r="E88" s="10">
        <f t="shared" ca="1" si="2"/>
        <v>-1.2242926213087006</v>
      </c>
      <c r="G88" s="10">
        <f t="shared" ca="1" si="3"/>
        <v>0.19755889639295596</v>
      </c>
      <c r="L88" s="10"/>
    </row>
    <row r="89" spans="1:12" x14ac:dyDescent="0.2">
      <c r="A89" s="9">
        <v>13</v>
      </c>
      <c r="B89" s="9">
        <v>1</v>
      </c>
      <c r="C89" s="9">
        <f ca="1"/>
        <v>17</v>
      </c>
      <c r="D89" s="10">
        <f ca="1"/>
        <v>12.458926490343359</v>
      </c>
      <c r="E89" s="10">
        <f t="shared" ca="1" si="2"/>
        <v>-0.54107350965664125</v>
      </c>
      <c r="G89" s="10">
        <f t="shared" ca="1" si="3"/>
        <v>0.29066547731752662</v>
      </c>
      <c r="L89" s="10"/>
    </row>
    <row r="90" spans="1:12" x14ac:dyDescent="0.2">
      <c r="A90" s="9">
        <v>11</v>
      </c>
      <c r="B90" s="9">
        <v>1</v>
      </c>
      <c r="C90" s="9">
        <f ca="1"/>
        <v>15</v>
      </c>
      <c r="D90" s="10">
        <f ca="1"/>
        <v>11.09248826703924</v>
      </c>
      <c r="E90" s="10">
        <f t="shared" ca="1" si="2"/>
        <v>9.2488267039239958E-2</v>
      </c>
      <c r="G90" s="10">
        <f t="shared" ca="1" si="3"/>
        <v>0.31835277839425191</v>
      </c>
      <c r="L90" s="10"/>
    </row>
    <row r="91" spans="1:12" x14ac:dyDescent="0.2">
      <c r="A91" s="9">
        <v>13</v>
      </c>
      <c r="B91" s="9">
        <v>1</v>
      </c>
      <c r="C91" s="9">
        <f ca="1"/>
        <v>17</v>
      </c>
      <c r="D91" s="10">
        <f ca="1"/>
        <v>12.458926490343359</v>
      </c>
      <c r="E91" s="10">
        <f t="shared" ca="1" si="2"/>
        <v>-0.54107350965664125</v>
      </c>
      <c r="G91" s="10">
        <f t="shared" ca="1" si="3"/>
        <v>0.29066547731752662</v>
      </c>
      <c r="L91" s="10"/>
    </row>
    <row r="92" spans="1:12" x14ac:dyDescent="0.2">
      <c r="A92" s="9">
        <v>18</v>
      </c>
      <c r="B92" s="9">
        <v>1</v>
      </c>
      <c r="C92" s="9">
        <f ca="1"/>
        <v>26</v>
      </c>
      <c r="D92" s="10">
        <f ca="1"/>
        <v>18.607898495211895</v>
      </c>
      <c r="E92" s="10">
        <f t="shared" ca="1" si="2"/>
        <v>0.6078984952118951</v>
      </c>
      <c r="G92" s="10">
        <f t="shared" ca="1" si="3"/>
        <v>0.28360781451993688</v>
      </c>
      <c r="L92" s="10"/>
    </row>
    <row r="93" spans="1:12" x14ac:dyDescent="0.2">
      <c r="A93" s="9">
        <v>18</v>
      </c>
      <c r="B93" s="9">
        <v>1</v>
      </c>
      <c r="C93" s="9">
        <f ca="1"/>
        <v>25</v>
      </c>
      <c r="D93" s="10">
        <f ca="1"/>
        <v>17.924679383559837</v>
      </c>
      <c r="E93" s="10">
        <f t="shared" ca="1" si="2"/>
        <v>-7.5320616440162524E-2</v>
      </c>
      <c r="G93" s="10">
        <f t="shared" ca="1" si="3"/>
        <v>0.3186465302206829</v>
      </c>
      <c r="L93" s="10"/>
    </row>
    <row r="94" spans="1:12" x14ac:dyDescent="0.2">
      <c r="A94" s="9">
        <v>17</v>
      </c>
      <c r="B94" s="9">
        <v>1</v>
      </c>
      <c r="C94" s="9">
        <f ca="1"/>
        <v>26</v>
      </c>
      <c r="D94" s="10">
        <f ca="1"/>
        <v>18.607898495211895</v>
      </c>
      <c r="E94" s="10">
        <f t="shared" ca="1" si="2"/>
        <v>1.6078984952118951</v>
      </c>
      <c r="G94" s="10">
        <f t="shared" ca="1" si="3"/>
        <v>0.13952132892333158</v>
      </c>
      <c r="L94" s="10"/>
    </row>
    <row r="95" spans="1:12" x14ac:dyDescent="0.2">
      <c r="A95" s="9">
        <v>16</v>
      </c>
      <c r="B95" s="9">
        <v>1</v>
      </c>
      <c r="C95" s="9">
        <f ca="1"/>
        <v>24</v>
      </c>
      <c r="D95" s="10">
        <f ca="1"/>
        <v>17.241460271907776</v>
      </c>
      <c r="E95" s="10">
        <f t="shared" ca="1" si="2"/>
        <v>1.2414602719077763</v>
      </c>
      <c r="G95" s="10">
        <f t="shared" ca="1" si="3"/>
        <v>0.19489962071960723</v>
      </c>
      <c r="L95" s="10"/>
    </row>
    <row r="96" spans="1:12" x14ac:dyDescent="0.2">
      <c r="A96" s="9">
        <v>15</v>
      </c>
      <c r="B96" s="9">
        <v>1</v>
      </c>
      <c r="C96" s="9">
        <f ca="1"/>
        <v>21</v>
      </c>
      <c r="D96" s="10">
        <f ca="1"/>
        <v>15.191802936951598</v>
      </c>
      <c r="E96" s="10">
        <f t="shared" ca="1" si="2"/>
        <v>0.19180293695159811</v>
      </c>
      <c r="G96" s="10">
        <f t="shared" ca="1" si="3"/>
        <v>0.31548813891774308</v>
      </c>
      <c r="L96" s="10"/>
    </row>
    <row r="97" spans="1:12" x14ac:dyDescent="0.2">
      <c r="A97" s="9">
        <v>15</v>
      </c>
      <c r="B97" s="9">
        <v>1</v>
      </c>
      <c r="C97" s="9">
        <f ca="1"/>
        <v>22</v>
      </c>
      <c r="D97" s="10">
        <f ca="1"/>
        <v>15.875022048603658</v>
      </c>
      <c r="E97" s="10">
        <f t="shared" ca="1" si="2"/>
        <v>0.87502204860365751</v>
      </c>
      <c r="G97" s="10">
        <f t="shared" ca="1" si="3"/>
        <v>0.2498287819911226</v>
      </c>
      <c r="L97" s="10"/>
    </row>
    <row r="98" spans="1:12" x14ac:dyDescent="0.2">
      <c r="A98" s="9">
        <v>15</v>
      </c>
      <c r="B98" s="9">
        <v>1</v>
      </c>
      <c r="C98" s="9">
        <f ca="1"/>
        <v>23</v>
      </c>
      <c r="D98" s="10">
        <f ca="1"/>
        <v>16.558241160255715</v>
      </c>
      <c r="E98" s="10">
        <f t="shared" ca="1" si="2"/>
        <v>1.5582411602557151</v>
      </c>
      <c r="G98" s="10">
        <f t="shared" ca="1" si="3"/>
        <v>0.1467237015411641</v>
      </c>
      <c r="L98" s="10"/>
    </row>
    <row r="99" spans="1:12" x14ac:dyDescent="0.2">
      <c r="A99" s="9">
        <v>15</v>
      </c>
      <c r="B99" s="9">
        <v>1</v>
      </c>
      <c r="C99" s="9">
        <f ca="1"/>
        <v>22</v>
      </c>
      <c r="D99" s="10">
        <f ca="1"/>
        <v>15.875022048603658</v>
      </c>
      <c r="E99" s="10">
        <f t="shared" ca="1" si="2"/>
        <v>0.87502204860365751</v>
      </c>
      <c r="G99" s="10">
        <f t="shared" ca="1" si="3"/>
        <v>0.2498287819911226</v>
      </c>
      <c r="L99" s="10"/>
    </row>
    <row r="100" spans="1:12" x14ac:dyDescent="0.2">
      <c r="A100" s="9">
        <v>14</v>
      </c>
      <c r="B100" s="9">
        <v>1</v>
      </c>
      <c r="C100" s="9">
        <f ca="1"/>
        <v>20</v>
      </c>
      <c r="D100" s="10">
        <f ca="1"/>
        <v>14.508583825299539</v>
      </c>
      <c r="E100" s="10">
        <f t="shared" ca="1" si="2"/>
        <v>0.50858382529953872</v>
      </c>
      <c r="G100" s="10">
        <f t="shared" ca="1" si="3"/>
        <v>0.29385631906225068</v>
      </c>
      <c r="L100" s="10"/>
    </row>
    <row r="101" spans="1:12" x14ac:dyDescent="0.2">
      <c r="A101" s="9">
        <v>28</v>
      </c>
      <c r="B101" s="9">
        <v>1</v>
      </c>
      <c r="C101" s="9">
        <f ca="1"/>
        <v>33</v>
      </c>
      <c r="D101" s="10">
        <f ca="1"/>
        <v>23.390432276776316</v>
      </c>
      <c r="E101" s="10">
        <f t="shared" ca="1" si="2"/>
        <v>-4.6095677232236838</v>
      </c>
      <c r="G101" s="10">
        <f t="shared" ca="1" si="3"/>
        <v>3.5467090836049079E-4</v>
      </c>
      <c r="L101" s="10"/>
    </row>
    <row r="102" spans="1:12" x14ac:dyDescent="0.2">
      <c r="A102" s="9">
        <v>24</v>
      </c>
      <c r="B102" s="9">
        <v>1</v>
      </c>
      <c r="C102" s="9">
        <f ca="1"/>
        <v>32</v>
      </c>
      <c r="D102" s="10">
        <f ca="1"/>
        <v>22.707213165124255</v>
      </c>
      <c r="E102" s="10">
        <f t="shared" ca="1" si="2"/>
        <v>-1.292786834875745</v>
      </c>
      <c r="G102" s="10">
        <f t="shared" ca="1" si="3"/>
        <v>0.18695017615119994</v>
      </c>
      <c r="L102" s="10"/>
    </row>
    <row r="103" spans="1:12" x14ac:dyDescent="0.2">
      <c r="A103" s="9">
        <v>25</v>
      </c>
      <c r="B103" s="9">
        <v>1</v>
      </c>
      <c r="C103" s="9">
        <f ca="1"/>
        <v>32</v>
      </c>
      <c r="D103" s="10">
        <f ca="1"/>
        <v>22.707213165124255</v>
      </c>
      <c r="E103" s="10">
        <f t="shared" ca="1" si="2"/>
        <v>-2.292786834875745</v>
      </c>
      <c r="G103" s="10">
        <f t="shared" ca="1" si="3"/>
        <v>5.9319674466379105E-2</v>
      </c>
      <c r="L103" s="10"/>
    </row>
    <row r="104" spans="1:12" x14ac:dyDescent="0.2">
      <c r="A104" s="9">
        <v>23</v>
      </c>
      <c r="B104" s="9">
        <v>1</v>
      </c>
      <c r="C104" s="9">
        <f ca="1"/>
        <v>29</v>
      </c>
      <c r="D104" s="10">
        <f ca="1"/>
        <v>20.657555830168075</v>
      </c>
      <c r="E104" s="10">
        <f t="shared" ca="1" si="2"/>
        <v>-2.3424441698319249</v>
      </c>
      <c r="G104" s="10">
        <f t="shared" ca="1" si="3"/>
        <v>5.5105656873233724E-2</v>
      </c>
      <c r="L104" s="10"/>
    </row>
    <row r="105" spans="1:12" x14ac:dyDescent="0.2">
      <c r="A105" s="9">
        <v>24</v>
      </c>
      <c r="B105" s="9">
        <v>1</v>
      </c>
      <c r="C105" s="9">
        <f ca="1"/>
        <v>32</v>
      </c>
      <c r="D105" s="10">
        <f ca="1"/>
        <v>22.707213165124255</v>
      </c>
      <c r="E105" s="10">
        <f t="shared" ca="1" si="2"/>
        <v>-1.292786834875745</v>
      </c>
      <c r="G105" s="10">
        <f t="shared" ca="1" si="3"/>
        <v>0.18695017615119994</v>
      </c>
      <c r="L105" s="10"/>
    </row>
    <row r="106" spans="1:12" x14ac:dyDescent="0.2">
      <c r="A106" s="9">
        <v>26</v>
      </c>
      <c r="B106" s="9">
        <v>1</v>
      </c>
      <c r="C106" s="9">
        <f ca="1"/>
        <v>34</v>
      </c>
      <c r="D106" s="10">
        <f ca="1"/>
        <v>24.073651388428374</v>
      </c>
      <c r="E106" s="10">
        <f t="shared" ca="1" si="2"/>
        <v>-1.9263486115716262</v>
      </c>
      <c r="G106" s="10">
        <f t="shared" ca="1" si="3"/>
        <v>9.7309924689843758E-2</v>
      </c>
      <c r="L106" s="10"/>
    </row>
    <row r="107" spans="1:12" x14ac:dyDescent="0.2">
      <c r="A107" s="9">
        <v>25</v>
      </c>
      <c r="B107" s="9">
        <v>1</v>
      </c>
      <c r="C107" s="9">
        <f ca="1"/>
        <v>36</v>
      </c>
      <c r="D107" s="10">
        <f ca="1"/>
        <v>25.440089611732493</v>
      </c>
      <c r="E107" s="10">
        <f t="shared" ca="1" si="2"/>
        <v>0.44008961173249261</v>
      </c>
      <c r="G107" s="10">
        <f t="shared" ca="1" si="3"/>
        <v>0.30003330384512222</v>
      </c>
      <c r="L107" s="10"/>
    </row>
    <row r="108" spans="1:12" x14ac:dyDescent="0.2">
      <c r="A108" s="9">
        <v>24</v>
      </c>
      <c r="B108" s="9">
        <v>1</v>
      </c>
      <c r="C108" s="9">
        <f ca="1"/>
        <v>36</v>
      </c>
      <c r="D108" s="10">
        <f ca="1"/>
        <v>25.440089611732493</v>
      </c>
      <c r="E108" s="10">
        <f t="shared" ca="1" si="2"/>
        <v>1.4400896117324926</v>
      </c>
      <c r="G108" s="10">
        <f t="shared" ca="1" si="3"/>
        <v>0.16434448542706917</v>
      </c>
      <c r="L108" s="10"/>
    </row>
    <row r="109" spans="1:12" x14ac:dyDescent="0.2">
      <c r="A109" s="9">
        <v>21</v>
      </c>
      <c r="B109" s="9">
        <v>1</v>
      </c>
      <c r="C109" s="9">
        <f ca="1"/>
        <v>29</v>
      </c>
      <c r="D109" s="10">
        <f ca="1"/>
        <v>20.657555830168075</v>
      </c>
      <c r="E109" s="10">
        <f t="shared" ca="1" si="2"/>
        <v>-0.34244416983192494</v>
      </c>
      <c r="G109" s="10">
        <f t="shared" ca="1" si="3"/>
        <v>0.30746337812452051</v>
      </c>
      <c r="L109" s="10"/>
    </row>
    <row r="110" spans="1:12" x14ac:dyDescent="0.2">
      <c r="A110" s="9">
        <v>18</v>
      </c>
      <c r="B110" s="9">
        <v>1</v>
      </c>
      <c r="C110" s="9">
        <f ca="1"/>
        <v>26</v>
      </c>
      <c r="D110" s="10">
        <f ca="1"/>
        <v>18.607898495211895</v>
      </c>
      <c r="E110" s="10">
        <f t="shared" ca="1" si="2"/>
        <v>0.6078984952118951</v>
      </c>
      <c r="G110" s="10">
        <f t="shared" ca="1" si="3"/>
        <v>0.28360781451993688</v>
      </c>
      <c r="L110" s="10"/>
    </row>
    <row r="111" spans="1:12" x14ac:dyDescent="0.2">
      <c r="A111" s="9">
        <v>18</v>
      </c>
      <c r="B111" s="9">
        <v>1</v>
      </c>
      <c r="C111" s="9">
        <f ca="1"/>
        <v>27</v>
      </c>
      <c r="D111" s="10">
        <f ca="1"/>
        <v>19.291117606863956</v>
      </c>
      <c r="E111" s="10">
        <f t="shared" ca="1" si="2"/>
        <v>1.2911176068639563</v>
      </c>
      <c r="G111" s="10">
        <f t="shared" ca="1" si="3"/>
        <v>0.18720849951963059</v>
      </c>
      <c r="L111" s="10"/>
    </row>
    <row r="112" spans="1:12" x14ac:dyDescent="0.2">
      <c r="A112" s="9">
        <v>21</v>
      </c>
      <c r="B112" s="9">
        <v>1</v>
      </c>
      <c r="C112" s="9">
        <f ca="1"/>
        <v>30</v>
      </c>
      <c r="D112" s="10">
        <f ca="1"/>
        <v>21.340774941820136</v>
      </c>
      <c r="E112" s="10">
        <f t="shared" ca="1" si="2"/>
        <v>0.34077494182013623</v>
      </c>
      <c r="G112" s="10">
        <f t="shared" ca="1" si="3"/>
        <v>0.30757565599758996</v>
      </c>
      <c r="L112" s="10"/>
    </row>
    <row r="113" spans="1:12" x14ac:dyDescent="0.2">
      <c r="A113" s="9">
        <v>21</v>
      </c>
      <c r="B113" s="9">
        <v>1</v>
      </c>
      <c r="C113" s="9">
        <f ca="1"/>
        <v>31</v>
      </c>
      <c r="D113" s="10">
        <f ca="1"/>
        <v>22.023994053472194</v>
      </c>
      <c r="E113" s="10">
        <f t="shared" ca="1" si="2"/>
        <v>1.0239940534721939</v>
      </c>
      <c r="G113" s="10">
        <f t="shared" ca="1" si="3"/>
        <v>0.22819645484299309</v>
      </c>
      <c r="L113" s="10"/>
    </row>
    <row r="114" spans="1:12" x14ac:dyDescent="0.2">
      <c r="A114" s="9">
        <v>18</v>
      </c>
      <c r="B114" s="9">
        <v>1</v>
      </c>
      <c r="C114" s="9">
        <f ca="1"/>
        <v>26</v>
      </c>
      <c r="D114" s="10">
        <f ca="1"/>
        <v>18.607898495211895</v>
      </c>
      <c r="E114" s="10">
        <f t="shared" ca="1" si="2"/>
        <v>0.6078984952118951</v>
      </c>
      <c r="G114" s="10">
        <f t="shared" ca="1" si="3"/>
        <v>0.28360781451993688</v>
      </c>
      <c r="L114" s="10"/>
    </row>
    <row r="115" spans="1:12" x14ac:dyDescent="0.2">
      <c r="A115" s="9">
        <v>18</v>
      </c>
      <c r="B115" s="9">
        <v>1</v>
      </c>
      <c r="C115" s="9">
        <f ca="1"/>
        <v>26</v>
      </c>
      <c r="D115" s="10">
        <f ca="1"/>
        <v>18.607898495211895</v>
      </c>
      <c r="E115" s="10">
        <f t="shared" ca="1" si="2"/>
        <v>0.6078984952118951</v>
      </c>
      <c r="G115" s="10">
        <f t="shared" ca="1" si="3"/>
        <v>0.28360781451993688</v>
      </c>
      <c r="L115" s="10"/>
    </row>
    <row r="116" spans="1:12" x14ac:dyDescent="0.2">
      <c r="A116" s="9">
        <v>19</v>
      </c>
      <c r="B116" s="9">
        <v>1</v>
      </c>
      <c r="C116" s="9">
        <f ca="1"/>
        <v>28</v>
      </c>
      <c r="D116" s="10">
        <f ca="1"/>
        <v>19.974336718516017</v>
      </c>
      <c r="E116" s="10">
        <f t="shared" ca="1" si="2"/>
        <v>0.97433671851601744</v>
      </c>
      <c r="G116" s="10">
        <f t="shared" ca="1" si="3"/>
        <v>0.23556229359930655</v>
      </c>
      <c r="L116" s="10"/>
    </row>
    <row r="117" spans="1:12" x14ac:dyDescent="0.2">
      <c r="A117" s="9">
        <v>19</v>
      </c>
      <c r="B117" s="9">
        <v>1</v>
      </c>
      <c r="C117" s="9">
        <f ca="1"/>
        <v>26</v>
      </c>
      <c r="D117" s="10">
        <f ca="1"/>
        <v>18.607898495211895</v>
      </c>
      <c r="E117" s="10">
        <f t="shared" ca="1" si="2"/>
        <v>-0.3921015047881049</v>
      </c>
      <c r="G117" s="10">
        <f t="shared" ca="1" si="3"/>
        <v>0.30389387162696274</v>
      </c>
      <c r="L117" s="10"/>
    </row>
    <row r="118" spans="1:12" x14ac:dyDescent="0.2">
      <c r="A118" s="9">
        <v>19</v>
      </c>
      <c r="B118" s="9">
        <v>1</v>
      </c>
      <c r="C118" s="9">
        <f ca="1"/>
        <v>29</v>
      </c>
      <c r="D118" s="10">
        <f ca="1"/>
        <v>20.657555830168075</v>
      </c>
      <c r="E118" s="10">
        <f t="shared" ca="1" si="2"/>
        <v>1.6575558301680751</v>
      </c>
      <c r="G118" s="10">
        <f t="shared" ca="1" si="3"/>
        <v>0.13246320078694085</v>
      </c>
      <c r="L118" s="10"/>
    </row>
    <row r="119" spans="1:12" x14ac:dyDescent="0.2">
      <c r="A119" s="9">
        <v>20</v>
      </c>
      <c r="B119" s="9">
        <v>1</v>
      </c>
      <c r="C119" s="9">
        <f ca="1"/>
        <v>28</v>
      </c>
      <c r="D119" s="10">
        <f ca="1"/>
        <v>19.974336718516017</v>
      </c>
      <c r="E119" s="10">
        <f t="shared" ca="1" si="2"/>
        <v>-2.5663281483982558E-2</v>
      </c>
      <c r="G119" s="10">
        <f t="shared" ca="1" si="3"/>
        <v>0.31915849397187074</v>
      </c>
      <c r="L119" s="10"/>
    </row>
    <row r="120" spans="1:12" x14ac:dyDescent="0.2">
      <c r="A120" s="9">
        <v>20</v>
      </c>
      <c r="B120" s="9">
        <v>1</v>
      </c>
      <c r="C120" s="9">
        <f ca="1"/>
        <v>27</v>
      </c>
      <c r="D120" s="10">
        <f ca="1"/>
        <v>19.291117606863956</v>
      </c>
      <c r="E120" s="10">
        <f t="shared" ca="1" si="2"/>
        <v>-0.70888239313604373</v>
      </c>
      <c r="G120" s="10">
        <f t="shared" ca="1" si="3"/>
        <v>0.2717877911689337</v>
      </c>
      <c r="L120" s="10"/>
    </row>
    <row r="121" spans="1:12" x14ac:dyDescent="0.2">
      <c r="A121" s="9">
        <v>17</v>
      </c>
      <c r="B121" s="9">
        <v>1</v>
      </c>
      <c r="C121" s="9">
        <f ca="1"/>
        <v>24</v>
      </c>
      <c r="D121" s="10">
        <f ca="1"/>
        <v>17.241460271907776</v>
      </c>
      <c r="E121" s="10">
        <f t="shared" ca="1" si="2"/>
        <v>0.2414602719077763</v>
      </c>
      <c r="G121" s="10">
        <f t="shared" ca="1" si="3"/>
        <v>0.31332258364370175</v>
      </c>
      <c r="L121" s="10"/>
    </row>
    <row r="122" spans="1:12" x14ac:dyDescent="0.2">
      <c r="A122" s="9">
        <v>16</v>
      </c>
      <c r="B122" s="9">
        <v>1</v>
      </c>
      <c r="C122" s="9">
        <f ca="1"/>
        <v>24</v>
      </c>
      <c r="D122" s="10">
        <f ca="1"/>
        <v>17.241460271907776</v>
      </c>
      <c r="E122" s="10">
        <f t="shared" ca="1" si="2"/>
        <v>1.2414602719077763</v>
      </c>
      <c r="G122" s="10">
        <f t="shared" ca="1" si="3"/>
        <v>0.19489962071960723</v>
      </c>
      <c r="L122" s="10"/>
    </row>
    <row r="123" spans="1:12" x14ac:dyDescent="0.2">
      <c r="A123" s="9">
        <v>17</v>
      </c>
      <c r="B123" s="9">
        <v>1</v>
      </c>
      <c r="C123" s="9">
        <f ca="1"/>
        <v>24</v>
      </c>
      <c r="D123" s="10">
        <f ca="1"/>
        <v>17.241460271907776</v>
      </c>
      <c r="E123" s="10">
        <f t="shared" ca="1" si="2"/>
        <v>0.2414602719077763</v>
      </c>
      <c r="G123" s="10">
        <f t="shared" ca="1" si="3"/>
        <v>0.31332258364370175</v>
      </c>
      <c r="L123" s="10"/>
    </row>
    <row r="124" spans="1:12" x14ac:dyDescent="0.2">
      <c r="A124" s="9">
        <v>17</v>
      </c>
      <c r="B124" s="9">
        <v>1</v>
      </c>
      <c r="C124" s="9">
        <f ca="1"/>
        <v>22</v>
      </c>
      <c r="D124" s="10">
        <f ca="1"/>
        <v>15.875022048603658</v>
      </c>
      <c r="E124" s="10">
        <f t="shared" ca="1" si="2"/>
        <v>-1.1249779513963425</v>
      </c>
      <c r="G124" s="10">
        <f t="shared" ca="1" si="3"/>
        <v>0.21288069180319472</v>
      </c>
      <c r="L124" s="10"/>
    </row>
    <row r="125" spans="1:12" x14ac:dyDescent="0.2">
      <c r="A125" s="9">
        <v>15</v>
      </c>
      <c r="B125" s="9">
        <v>1</v>
      </c>
      <c r="C125" s="9">
        <f ca="1"/>
        <v>19</v>
      </c>
      <c r="D125" s="10">
        <f ca="1"/>
        <v>13.825364713647479</v>
      </c>
      <c r="E125" s="10">
        <f t="shared" ca="1" si="2"/>
        <v>-1.1746352863525207</v>
      </c>
      <c r="G125" s="10">
        <f t="shared" ca="1" si="3"/>
        <v>0.20523871008550823</v>
      </c>
      <c r="L125" s="10"/>
    </row>
    <row r="126" spans="1:12" x14ac:dyDescent="0.2">
      <c r="A126" s="9">
        <v>15</v>
      </c>
      <c r="B126" s="9">
        <v>1</v>
      </c>
      <c r="C126" s="9">
        <f ca="1"/>
        <v>20</v>
      </c>
      <c r="D126" s="10">
        <f ca="1"/>
        <v>14.508583825299539</v>
      </c>
      <c r="E126" s="10">
        <f t="shared" ca="1" si="2"/>
        <v>-0.49141617470046128</v>
      </c>
      <c r="G126" s="10">
        <f t="shared" ca="1" si="3"/>
        <v>0.29547583692562635</v>
      </c>
      <c r="L126" s="10"/>
    </row>
    <row r="127" spans="1:12" x14ac:dyDescent="0.2">
      <c r="A127" s="9">
        <v>14</v>
      </c>
      <c r="B127" s="9">
        <v>1</v>
      </c>
      <c r="C127" s="9">
        <f ca="1"/>
        <v>17</v>
      </c>
      <c r="D127" s="10">
        <f ca="1"/>
        <v>12.458926490343359</v>
      </c>
      <c r="E127" s="10">
        <f t="shared" ca="1" si="2"/>
        <v>-1.5410735096566412</v>
      </c>
      <c r="G127" s="10">
        <f t="shared" ca="1" si="3"/>
        <v>0.14924443441661395</v>
      </c>
      <c r="L127" s="10"/>
    </row>
    <row r="128" spans="1:12" x14ac:dyDescent="0.2">
      <c r="A128" s="9">
        <v>9</v>
      </c>
      <c r="B128" s="9">
        <v>1</v>
      </c>
      <c r="C128" s="9">
        <f ca="1"/>
        <v>12</v>
      </c>
      <c r="D128" s="10">
        <f ca="1"/>
        <v>9.04283093208306</v>
      </c>
      <c r="E128" s="10">
        <f t="shared" ca="1" si="2"/>
        <v>4.2830932083059992E-2</v>
      </c>
      <c r="G128" s="10">
        <f t="shared" ca="1" si="3"/>
        <v>0.31903836846290684</v>
      </c>
      <c r="L128" s="10"/>
    </row>
    <row r="129" spans="1:12" x14ac:dyDescent="0.2">
      <c r="A129" s="9">
        <v>14</v>
      </c>
      <c r="B129" s="9">
        <v>1</v>
      </c>
      <c r="C129" s="9">
        <f ca="1"/>
        <v>19</v>
      </c>
      <c r="D129" s="10">
        <f ca="1"/>
        <v>13.825364713647479</v>
      </c>
      <c r="E129" s="10">
        <f t="shared" ca="1" si="2"/>
        <v>-0.17463528635252068</v>
      </c>
      <c r="G129" s="10">
        <f t="shared" ca="1" si="3"/>
        <v>0.31612416936198534</v>
      </c>
      <c r="L129" s="10"/>
    </row>
    <row r="130" spans="1:12" x14ac:dyDescent="0.2">
      <c r="A130" s="9">
        <v>13</v>
      </c>
      <c r="B130" s="9">
        <v>1</v>
      </c>
      <c r="C130" s="9">
        <f ca="1"/>
        <v>18</v>
      </c>
      <c r="D130" s="10">
        <f ca="1"/>
        <v>13.142145601995418</v>
      </c>
      <c r="E130" s="10">
        <f t="shared" ca="1" si="2"/>
        <v>0.14214560199541815</v>
      </c>
      <c r="G130" s="10">
        <f t="shared" ca="1" si="3"/>
        <v>0.31716750413300532</v>
      </c>
      <c r="L130" s="10"/>
    </row>
    <row r="131" spans="1:12" x14ac:dyDescent="0.2">
      <c r="A131" s="9">
        <v>11</v>
      </c>
      <c r="B131" s="9">
        <v>1</v>
      </c>
      <c r="C131" s="9">
        <f ca="1"/>
        <v>14</v>
      </c>
      <c r="D131" s="10">
        <f ca="1"/>
        <v>10.409269155387181</v>
      </c>
      <c r="E131" s="10">
        <f t="shared" ref="E131:E194" ca="1" si="4">D131-A131</f>
        <v>-0.59073084461281944</v>
      </c>
      <c r="G131" s="10">
        <f t="shared" ref="G131:G194" ca="1" si="5">_xlfn.NORM.DIST(E131,0,$F$2,FALSE)</f>
        <v>0.28548233893943797</v>
      </c>
      <c r="L131" s="10"/>
    </row>
    <row r="132" spans="1:12" x14ac:dyDescent="0.2">
      <c r="A132" s="9">
        <v>11</v>
      </c>
      <c r="B132" s="9">
        <v>1</v>
      </c>
      <c r="C132" s="9">
        <f ca="1"/>
        <v>15</v>
      </c>
      <c r="D132" s="10">
        <f ca="1"/>
        <v>11.09248826703924</v>
      </c>
      <c r="E132" s="10">
        <f t="shared" ca="1" si="4"/>
        <v>9.2488267039239958E-2</v>
      </c>
      <c r="G132" s="10">
        <f t="shared" ca="1" si="5"/>
        <v>0.31835277839425191</v>
      </c>
      <c r="L132" s="10"/>
    </row>
    <row r="133" spans="1:12" x14ac:dyDescent="0.2">
      <c r="A133" s="9">
        <v>12</v>
      </c>
      <c r="B133" s="9">
        <v>1</v>
      </c>
      <c r="C133" s="9">
        <f ca="1"/>
        <v>18</v>
      </c>
      <c r="D133" s="10">
        <f ca="1"/>
        <v>13.142145601995418</v>
      </c>
      <c r="E133" s="10">
        <f t="shared" ca="1" si="4"/>
        <v>1.1421456019954181</v>
      </c>
      <c r="G133" s="10">
        <f t="shared" ca="1" si="5"/>
        <v>0.21024457151414655</v>
      </c>
      <c r="L133" s="10"/>
    </row>
    <row r="134" spans="1:12" x14ac:dyDescent="0.2">
      <c r="A134" s="9">
        <v>12</v>
      </c>
      <c r="B134" s="9">
        <v>1</v>
      </c>
      <c r="C134" s="9">
        <f ca="1"/>
        <v>18</v>
      </c>
      <c r="D134" s="10">
        <f ca="1"/>
        <v>13.142145601995418</v>
      </c>
      <c r="E134" s="10">
        <f t="shared" ca="1" si="4"/>
        <v>1.1421456019954181</v>
      </c>
      <c r="G134" s="10">
        <f t="shared" ca="1" si="5"/>
        <v>0.21024457151414655</v>
      </c>
      <c r="L134" s="10"/>
    </row>
    <row r="135" spans="1:12" x14ac:dyDescent="0.2">
      <c r="A135" s="9">
        <v>11</v>
      </c>
      <c r="B135" s="9">
        <v>1</v>
      </c>
      <c r="C135" s="9">
        <f ca="1"/>
        <v>15</v>
      </c>
      <c r="D135" s="10">
        <f ca="1"/>
        <v>11.09248826703924</v>
      </c>
      <c r="E135" s="10">
        <f t="shared" ca="1" si="4"/>
        <v>9.2488267039239958E-2</v>
      </c>
      <c r="G135" s="10">
        <f t="shared" ca="1" si="5"/>
        <v>0.31835277839425191</v>
      </c>
      <c r="L135" s="10"/>
    </row>
    <row r="136" spans="1:12" x14ac:dyDescent="0.2">
      <c r="A136" s="9">
        <v>11</v>
      </c>
      <c r="B136" s="9">
        <v>1</v>
      </c>
      <c r="C136" s="9">
        <f ca="1"/>
        <v>17</v>
      </c>
      <c r="D136" s="10">
        <f ca="1"/>
        <v>12.458926490343359</v>
      </c>
      <c r="E136" s="10">
        <f t="shared" ca="1" si="4"/>
        <v>1.4589264903433588</v>
      </c>
      <c r="G136" s="10">
        <f t="shared" ca="1" si="5"/>
        <v>0.16149629011123415</v>
      </c>
      <c r="L136" s="10"/>
    </row>
    <row r="137" spans="1:12" x14ac:dyDescent="0.2">
      <c r="A137" s="9">
        <v>11</v>
      </c>
      <c r="B137" s="9">
        <v>1</v>
      </c>
      <c r="C137" s="9">
        <f ca="1"/>
        <v>16</v>
      </c>
      <c r="D137" s="10">
        <f ca="1"/>
        <v>11.775707378691299</v>
      </c>
      <c r="E137" s="10">
        <f t="shared" ca="1" si="4"/>
        <v>0.77570737869129935</v>
      </c>
      <c r="G137" s="10">
        <f t="shared" ca="1" si="5"/>
        <v>0.26329124156712214</v>
      </c>
      <c r="L137" s="10"/>
    </row>
    <row r="138" spans="1:12" x14ac:dyDescent="0.2">
      <c r="A138" s="9">
        <v>12</v>
      </c>
      <c r="B138" s="9">
        <v>1</v>
      </c>
      <c r="C138" s="9">
        <f ca="1"/>
        <v>18</v>
      </c>
      <c r="D138" s="10">
        <f ca="1"/>
        <v>13.142145601995418</v>
      </c>
      <c r="E138" s="10">
        <f t="shared" ca="1" si="4"/>
        <v>1.1421456019954181</v>
      </c>
      <c r="G138" s="10">
        <f t="shared" ca="1" si="5"/>
        <v>0.21024457151414655</v>
      </c>
      <c r="L138" s="10"/>
    </row>
    <row r="139" spans="1:12" x14ac:dyDescent="0.2">
      <c r="A139" s="9">
        <v>14</v>
      </c>
      <c r="B139" s="9">
        <v>1</v>
      </c>
      <c r="C139" s="9">
        <f ca="1"/>
        <v>17</v>
      </c>
      <c r="D139" s="10">
        <f ca="1"/>
        <v>12.458926490343359</v>
      </c>
      <c r="E139" s="10">
        <f t="shared" ca="1" si="4"/>
        <v>-1.5410735096566412</v>
      </c>
      <c r="G139" s="10">
        <f t="shared" ca="1" si="5"/>
        <v>0.14924443441661395</v>
      </c>
      <c r="L139" s="10"/>
    </row>
    <row r="140" spans="1:12" x14ac:dyDescent="0.2">
      <c r="A140" s="9">
        <v>13</v>
      </c>
      <c r="B140" s="9">
        <v>1</v>
      </c>
      <c r="C140" s="9">
        <f ca="1"/>
        <v>19</v>
      </c>
      <c r="D140" s="10">
        <f ca="1"/>
        <v>13.825364713647479</v>
      </c>
      <c r="E140" s="10">
        <f t="shared" ca="1" si="4"/>
        <v>0.82536471364747932</v>
      </c>
      <c r="G140" s="10">
        <f t="shared" ca="1" si="5"/>
        <v>0.25667424064304967</v>
      </c>
      <c r="L140" s="10"/>
    </row>
    <row r="141" spans="1:12" x14ac:dyDescent="0.2">
      <c r="A141" s="9">
        <v>13</v>
      </c>
      <c r="B141" s="9">
        <v>1</v>
      </c>
      <c r="C141" s="9">
        <f ca="1"/>
        <v>19</v>
      </c>
      <c r="D141" s="10">
        <f ca="1"/>
        <v>13.825364713647479</v>
      </c>
      <c r="E141" s="10">
        <f t="shared" ca="1" si="4"/>
        <v>0.82536471364747932</v>
      </c>
      <c r="G141" s="10">
        <f t="shared" ca="1" si="5"/>
        <v>0.25667424064304967</v>
      </c>
      <c r="L141" s="10"/>
    </row>
    <row r="142" spans="1:12" x14ac:dyDescent="0.2">
      <c r="A142" s="9">
        <v>13</v>
      </c>
      <c r="B142" s="9">
        <v>1</v>
      </c>
      <c r="C142" s="9">
        <f ca="1"/>
        <v>17</v>
      </c>
      <c r="D142" s="10">
        <f ca="1"/>
        <v>12.458926490343359</v>
      </c>
      <c r="E142" s="10">
        <f t="shared" ca="1" si="4"/>
        <v>-0.54107350965664125</v>
      </c>
      <c r="G142" s="10">
        <f t="shared" ca="1" si="5"/>
        <v>0.29066547731752662</v>
      </c>
      <c r="L142" s="10"/>
    </row>
    <row r="143" spans="1:12" x14ac:dyDescent="0.2">
      <c r="A143" s="9">
        <v>21</v>
      </c>
      <c r="B143" s="9">
        <v>1</v>
      </c>
      <c r="C143" s="9">
        <f ca="1"/>
        <v>29</v>
      </c>
      <c r="D143" s="10">
        <f ca="1"/>
        <v>20.657555830168075</v>
      </c>
      <c r="E143" s="10">
        <f t="shared" ca="1" si="4"/>
        <v>-0.34244416983192494</v>
      </c>
      <c r="G143" s="10">
        <f t="shared" ca="1" si="5"/>
        <v>0.30746337812452051</v>
      </c>
      <c r="L143" s="10"/>
    </row>
    <row r="144" spans="1:12" x14ac:dyDescent="0.2">
      <c r="A144" s="9">
        <v>19</v>
      </c>
      <c r="B144" s="9">
        <v>1</v>
      </c>
      <c r="C144" s="9">
        <f ca="1"/>
        <v>27</v>
      </c>
      <c r="D144" s="10">
        <f ca="1"/>
        <v>19.291117606863956</v>
      </c>
      <c r="E144" s="10">
        <f t="shared" ca="1" si="4"/>
        <v>0.29111760686395627</v>
      </c>
      <c r="G144" s="10">
        <f t="shared" ca="1" si="5"/>
        <v>0.31068098494392388</v>
      </c>
      <c r="L144" s="10"/>
    </row>
    <row r="145" spans="1:12" x14ac:dyDescent="0.2">
      <c r="A145" s="9">
        <v>23</v>
      </c>
      <c r="B145" s="9">
        <v>1</v>
      </c>
      <c r="C145" s="9">
        <f ca="1"/>
        <v>31</v>
      </c>
      <c r="D145" s="10">
        <f ca="1"/>
        <v>22.023994053472194</v>
      </c>
      <c r="E145" s="10">
        <f t="shared" ca="1" si="4"/>
        <v>-0.97600594652780615</v>
      </c>
      <c r="G145" s="10">
        <f t="shared" ca="1" si="5"/>
        <v>0.23531690641077893</v>
      </c>
      <c r="L145" s="10"/>
    </row>
    <row r="146" spans="1:12" x14ac:dyDescent="0.2">
      <c r="A146" s="9">
        <v>23</v>
      </c>
      <c r="B146" s="9">
        <v>1</v>
      </c>
      <c r="C146" s="9">
        <f ca="1"/>
        <v>32</v>
      </c>
      <c r="D146" s="10">
        <f ca="1"/>
        <v>22.707213165124255</v>
      </c>
      <c r="E146" s="10">
        <f t="shared" ca="1" si="4"/>
        <v>-0.29278683487574497</v>
      </c>
      <c r="G146" s="10">
        <f t="shared" ca="1" si="5"/>
        <v>0.31058405673494627</v>
      </c>
      <c r="L146" s="10"/>
    </row>
    <row r="147" spans="1:12" x14ac:dyDescent="0.2">
      <c r="A147" s="9">
        <v>19</v>
      </c>
      <c r="B147" s="9">
        <v>1</v>
      </c>
      <c r="C147" s="9">
        <f ca="1"/>
        <v>27</v>
      </c>
      <c r="D147" s="10">
        <f ca="1"/>
        <v>19.291117606863956</v>
      </c>
      <c r="E147" s="10">
        <f t="shared" ca="1" si="4"/>
        <v>0.29111760686395627</v>
      </c>
      <c r="G147" s="10">
        <f t="shared" ca="1" si="5"/>
        <v>0.31068098494392388</v>
      </c>
      <c r="L147" s="10"/>
    </row>
    <row r="148" spans="1:12" x14ac:dyDescent="0.2">
      <c r="A148" s="9">
        <v>19</v>
      </c>
      <c r="B148" s="9">
        <v>1</v>
      </c>
      <c r="C148" s="9">
        <f ca="1"/>
        <v>26</v>
      </c>
      <c r="D148" s="10">
        <f ca="1"/>
        <v>18.607898495211895</v>
      </c>
      <c r="E148" s="10">
        <f t="shared" ca="1" si="4"/>
        <v>-0.3921015047881049</v>
      </c>
      <c r="G148" s="10">
        <f t="shared" ca="1" si="5"/>
        <v>0.30389387162696274</v>
      </c>
      <c r="L148" s="10"/>
    </row>
    <row r="149" spans="1:12" x14ac:dyDescent="0.2">
      <c r="A149" s="9">
        <v>18</v>
      </c>
      <c r="B149" s="9">
        <v>1</v>
      </c>
      <c r="C149" s="9">
        <f ca="1"/>
        <v>26</v>
      </c>
      <c r="D149" s="10">
        <f ca="1"/>
        <v>18.607898495211895</v>
      </c>
      <c r="E149" s="10">
        <f t="shared" ca="1" si="4"/>
        <v>0.6078984952118951</v>
      </c>
      <c r="G149" s="10">
        <f t="shared" ca="1" si="5"/>
        <v>0.28360781451993688</v>
      </c>
      <c r="L149" s="10"/>
    </row>
    <row r="150" spans="1:12" x14ac:dyDescent="0.2">
      <c r="A150" s="9">
        <v>19</v>
      </c>
      <c r="B150" s="9">
        <v>1</v>
      </c>
      <c r="C150" s="9">
        <f ca="1"/>
        <v>25</v>
      </c>
      <c r="D150" s="10">
        <f ca="1"/>
        <v>17.924679383559837</v>
      </c>
      <c r="E150" s="10">
        <f t="shared" ca="1" si="4"/>
        <v>-1.0753206164401625</v>
      </c>
      <c r="G150" s="10">
        <f t="shared" ca="1" si="5"/>
        <v>0.22045887184038612</v>
      </c>
      <c r="L150" s="10"/>
    </row>
    <row r="151" spans="1:12" x14ac:dyDescent="0.2">
      <c r="A151" s="9">
        <v>19</v>
      </c>
      <c r="B151" s="9">
        <v>1</v>
      </c>
      <c r="C151" s="9">
        <f ca="1"/>
        <v>25</v>
      </c>
      <c r="D151" s="10">
        <f ca="1"/>
        <v>17.924679383559837</v>
      </c>
      <c r="E151" s="10">
        <f t="shared" ca="1" si="4"/>
        <v>-1.0753206164401625</v>
      </c>
      <c r="G151" s="10">
        <f t="shared" ca="1" si="5"/>
        <v>0.22045887184038612</v>
      </c>
      <c r="L151" s="10"/>
    </row>
    <row r="152" spans="1:12" x14ac:dyDescent="0.2">
      <c r="A152" s="9">
        <v>14</v>
      </c>
      <c r="B152" s="9">
        <v>1</v>
      </c>
      <c r="C152" s="9">
        <f ca="1"/>
        <v>17</v>
      </c>
      <c r="D152" s="10">
        <f ca="1"/>
        <v>12.458926490343359</v>
      </c>
      <c r="E152" s="10">
        <f t="shared" ca="1" si="4"/>
        <v>-1.5410735096566412</v>
      </c>
      <c r="G152" s="10">
        <f t="shared" ca="1" si="5"/>
        <v>0.14924443441661395</v>
      </c>
      <c r="L152" s="10"/>
    </row>
    <row r="153" spans="1:12" x14ac:dyDescent="0.2">
      <c r="A153" s="9">
        <v>15</v>
      </c>
      <c r="B153" s="9">
        <v>1</v>
      </c>
      <c r="C153" s="9">
        <f ca="1"/>
        <v>17</v>
      </c>
      <c r="D153" s="10">
        <f ca="1"/>
        <v>12.458926490343359</v>
      </c>
      <c r="E153" s="10">
        <f t="shared" ca="1" si="4"/>
        <v>-2.5410735096566412</v>
      </c>
      <c r="G153" s="10">
        <f t="shared" ca="1" si="5"/>
        <v>4.0395128664178985E-2</v>
      </c>
      <c r="L153" s="10"/>
    </row>
    <row r="154" spans="1:12" x14ac:dyDescent="0.2">
      <c r="A154" s="9">
        <v>14</v>
      </c>
      <c r="B154" s="9">
        <v>1</v>
      </c>
      <c r="C154" s="9">
        <f ca="1"/>
        <v>20</v>
      </c>
      <c r="D154" s="10">
        <f ca="1"/>
        <v>14.508583825299539</v>
      </c>
      <c r="E154" s="10">
        <f t="shared" ca="1" si="4"/>
        <v>0.50858382529953872</v>
      </c>
      <c r="G154" s="10">
        <f t="shared" ca="1" si="5"/>
        <v>0.29385631906225068</v>
      </c>
      <c r="L154" s="10"/>
    </row>
    <row r="155" spans="1:12" x14ac:dyDescent="0.2">
      <c r="A155" s="9">
        <v>12</v>
      </c>
      <c r="B155" s="9">
        <v>1</v>
      </c>
      <c r="C155" s="9">
        <f ca="1"/>
        <v>18</v>
      </c>
      <c r="D155" s="10">
        <f ca="1"/>
        <v>13.142145601995418</v>
      </c>
      <c r="E155" s="10">
        <f t="shared" ca="1" si="4"/>
        <v>1.1421456019954181</v>
      </c>
      <c r="G155" s="10">
        <f t="shared" ca="1" si="5"/>
        <v>0.21024457151414655</v>
      </c>
      <c r="L155" s="10"/>
    </row>
    <row r="156" spans="1:12" x14ac:dyDescent="0.2">
      <c r="A156" s="9">
        <v>18</v>
      </c>
      <c r="B156" s="9">
        <v>1</v>
      </c>
      <c r="C156" s="9">
        <f ca="1"/>
        <v>26</v>
      </c>
      <c r="D156" s="10">
        <f ca="1"/>
        <v>18.607898495211895</v>
      </c>
      <c r="E156" s="10">
        <f t="shared" ca="1" si="4"/>
        <v>0.6078984952118951</v>
      </c>
      <c r="G156" s="10">
        <f t="shared" ca="1" si="5"/>
        <v>0.28360781451993688</v>
      </c>
      <c r="L156" s="10"/>
    </row>
    <row r="157" spans="1:12" x14ac:dyDescent="0.2">
      <c r="A157" s="9">
        <v>16</v>
      </c>
      <c r="B157" s="9">
        <v>1</v>
      </c>
      <c r="C157" s="9">
        <f ca="1"/>
        <v>26</v>
      </c>
      <c r="D157" s="10">
        <f ca="1"/>
        <v>18.607898495211895</v>
      </c>
      <c r="E157" s="10">
        <f t="shared" ca="1" si="4"/>
        <v>2.6078984952118951</v>
      </c>
      <c r="G157" s="10">
        <f t="shared" ca="1" si="5"/>
        <v>3.6181717224349638E-2</v>
      </c>
      <c r="L157" s="10"/>
    </row>
    <row r="158" spans="1:12" x14ac:dyDescent="0.2">
      <c r="A158" s="9">
        <v>17</v>
      </c>
      <c r="B158" s="9">
        <v>1</v>
      </c>
      <c r="C158" s="9">
        <f ca="1"/>
        <v>27</v>
      </c>
      <c r="D158" s="10">
        <f ca="1"/>
        <v>19.291117606863956</v>
      </c>
      <c r="E158" s="10">
        <f t="shared" ca="1" si="4"/>
        <v>2.2911176068639563</v>
      </c>
      <c r="G158" s="10">
        <f t="shared" ca="1" si="5"/>
        <v>5.9465162689867283E-2</v>
      </c>
      <c r="L158" s="10"/>
    </row>
    <row r="159" spans="1:12" x14ac:dyDescent="0.2">
      <c r="A159" s="9">
        <v>18</v>
      </c>
      <c r="B159" s="9">
        <v>1</v>
      </c>
      <c r="C159" s="9">
        <f ca="1"/>
        <v>28</v>
      </c>
      <c r="D159" s="10">
        <f ca="1"/>
        <v>19.974336718516017</v>
      </c>
      <c r="E159" s="10">
        <f t="shared" ca="1" si="4"/>
        <v>1.9743367185160174</v>
      </c>
      <c r="G159" s="10">
        <f t="shared" ca="1" si="5"/>
        <v>9.1649753525670924E-2</v>
      </c>
      <c r="L159" s="10"/>
    </row>
    <row r="160" spans="1:12" x14ac:dyDescent="0.2">
      <c r="A160" s="9">
        <v>16</v>
      </c>
      <c r="B160" s="9">
        <v>1</v>
      </c>
      <c r="C160" s="9">
        <f ca="1"/>
        <v>25</v>
      </c>
      <c r="D160" s="10">
        <f ca="1"/>
        <v>17.924679383559837</v>
      </c>
      <c r="E160" s="10">
        <f t="shared" ca="1" si="4"/>
        <v>1.9246793835598375</v>
      </c>
      <c r="G160" s="10">
        <f t="shared" ca="1" si="5"/>
        <v>9.7510391399401958E-2</v>
      </c>
      <c r="L160" s="10"/>
    </row>
    <row r="161" spans="1:12" x14ac:dyDescent="0.2">
      <c r="A161" s="9">
        <v>18</v>
      </c>
      <c r="B161" s="9">
        <v>1</v>
      </c>
      <c r="C161" s="9">
        <f ca="1"/>
        <v>25</v>
      </c>
      <c r="D161" s="10">
        <f ca="1"/>
        <v>17.924679383559837</v>
      </c>
      <c r="E161" s="10">
        <f t="shared" ca="1" si="4"/>
        <v>-7.5320616440162524E-2</v>
      </c>
      <c r="G161" s="10">
        <f t="shared" ca="1" si="5"/>
        <v>0.3186465302206829</v>
      </c>
      <c r="L161" s="10"/>
    </row>
    <row r="162" spans="1:12" x14ac:dyDescent="0.2">
      <c r="A162" s="9">
        <v>18</v>
      </c>
      <c r="B162" s="9">
        <v>1</v>
      </c>
      <c r="C162" s="9">
        <f ca="1"/>
        <v>24</v>
      </c>
      <c r="D162" s="10">
        <f ca="1"/>
        <v>17.241460271907776</v>
      </c>
      <c r="E162" s="10">
        <f t="shared" ca="1" si="4"/>
        <v>-0.7585397280922237</v>
      </c>
      <c r="G162" s="10">
        <f t="shared" ca="1" si="5"/>
        <v>0.2655208098682208</v>
      </c>
      <c r="L162" s="10"/>
    </row>
    <row r="163" spans="1:12" x14ac:dyDescent="0.2">
      <c r="A163" s="9">
        <v>20</v>
      </c>
      <c r="B163" s="9">
        <v>1</v>
      </c>
      <c r="C163" s="9">
        <f ca="1"/>
        <v>27</v>
      </c>
      <c r="D163" s="10">
        <f ca="1"/>
        <v>19.291117606863956</v>
      </c>
      <c r="E163" s="10">
        <f t="shared" ca="1" si="4"/>
        <v>-0.70888239313604373</v>
      </c>
      <c r="G163" s="10">
        <f t="shared" ca="1" si="5"/>
        <v>0.2717877911689337</v>
      </c>
      <c r="L163" s="10"/>
    </row>
    <row r="164" spans="1:12" x14ac:dyDescent="0.2">
      <c r="A164" s="9">
        <v>19</v>
      </c>
      <c r="B164" s="9">
        <v>1</v>
      </c>
      <c r="C164" s="9">
        <f ca="1"/>
        <v>25</v>
      </c>
      <c r="D164" s="10">
        <f ca="1"/>
        <v>17.924679383559837</v>
      </c>
      <c r="E164" s="10">
        <f t="shared" ca="1" si="4"/>
        <v>-1.0753206164401625</v>
      </c>
      <c r="G164" s="10">
        <f t="shared" ca="1" si="5"/>
        <v>0.22045887184038612</v>
      </c>
      <c r="L164" s="10"/>
    </row>
    <row r="165" spans="1:12" x14ac:dyDescent="0.2">
      <c r="A165" s="9">
        <v>20</v>
      </c>
      <c r="B165" s="9">
        <v>1</v>
      </c>
      <c r="C165" s="9">
        <f ca="1"/>
        <v>26</v>
      </c>
      <c r="D165" s="10">
        <f ca="1"/>
        <v>18.607898495211895</v>
      </c>
      <c r="E165" s="10">
        <f t="shared" ca="1" si="4"/>
        <v>-1.3921015047881049</v>
      </c>
      <c r="G165" s="10">
        <f t="shared" ca="1" si="5"/>
        <v>0.17165317899794366</v>
      </c>
      <c r="L165" s="10"/>
    </row>
    <row r="166" spans="1:12" x14ac:dyDescent="0.2">
      <c r="A166" s="9">
        <v>18</v>
      </c>
      <c r="B166" s="9">
        <v>1</v>
      </c>
      <c r="C166" s="9">
        <f ca="1"/>
        <v>23</v>
      </c>
      <c r="D166" s="10">
        <f ca="1"/>
        <v>16.558241160255715</v>
      </c>
      <c r="E166" s="10">
        <f t="shared" ca="1" si="4"/>
        <v>-1.4417588397442849</v>
      </c>
      <c r="G166" s="10">
        <f t="shared" ca="1" si="5"/>
        <v>0.16409158276943275</v>
      </c>
      <c r="L166" s="10"/>
    </row>
    <row r="167" spans="1:12" x14ac:dyDescent="0.2">
      <c r="A167" s="9">
        <v>21</v>
      </c>
      <c r="B167" s="9">
        <v>1</v>
      </c>
      <c r="C167" s="9">
        <f ca="1"/>
        <v>26</v>
      </c>
      <c r="D167" s="10">
        <f ca="1"/>
        <v>18.607898495211895</v>
      </c>
      <c r="E167" s="10">
        <f t="shared" ca="1" si="4"/>
        <v>-2.3921015047881049</v>
      </c>
      <c r="G167" s="10">
        <f t="shared" ca="1" si="5"/>
        <v>5.1110239922417852E-2</v>
      </c>
      <c r="L167" s="10"/>
    </row>
    <row r="168" spans="1:12" x14ac:dyDescent="0.2">
      <c r="A168" s="9">
        <v>19</v>
      </c>
      <c r="B168" s="9">
        <v>1</v>
      </c>
      <c r="C168" s="9">
        <f ca="1"/>
        <v>26</v>
      </c>
      <c r="D168" s="10">
        <f ca="1"/>
        <v>18.607898495211895</v>
      </c>
      <c r="E168" s="10">
        <f t="shared" ca="1" si="4"/>
        <v>-0.3921015047881049</v>
      </c>
      <c r="G168" s="10">
        <f t="shared" ca="1" si="5"/>
        <v>0.30389387162696274</v>
      </c>
      <c r="L168" s="10"/>
    </row>
    <row r="169" spans="1:12" x14ac:dyDescent="0.2">
      <c r="A169" s="9">
        <v>19</v>
      </c>
      <c r="B169" s="9">
        <v>1</v>
      </c>
      <c r="C169" s="9">
        <f ca="1"/>
        <v>26</v>
      </c>
      <c r="D169" s="10">
        <f ca="1"/>
        <v>18.607898495211895</v>
      </c>
      <c r="E169" s="10">
        <f t="shared" ca="1" si="4"/>
        <v>-0.3921015047881049</v>
      </c>
      <c r="G169" s="10">
        <f t="shared" ca="1" si="5"/>
        <v>0.30389387162696274</v>
      </c>
      <c r="L169" s="10"/>
    </row>
    <row r="170" spans="1:12" x14ac:dyDescent="0.2">
      <c r="A170" s="9">
        <v>19</v>
      </c>
      <c r="B170" s="9">
        <v>1</v>
      </c>
      <c r="C170" s="9">
        <f ca="1"/>
        <v>26</v>
      </c>
      <c r="D170" s="10">
        <f ca="1"/>
        <v>18.607898495211895</v>
      </c>
      <c r="E170" s="10">
        <f t="shared" ca="1" si="4"/>
        <v>-0.3921015047881049</v>
      </c>
      <c r="G170" s="10">
        <f t="shared" ca="1" si="5"/>
        <v>0.30389387162696274</v>
      </c>
      <c r="L170" s="10"/>
    </row>
    <row r="171" spans="1:12" x14ac:dyDescent="0.2">
      <c r="A171" s="9">
        <v>20</v>
      </c>
      <c r="B171" s="9">
        <v>1</v>
      </c>
      <c r="C171" s="9">
        <f ca="1"/>
        <v>25</v>
      </c>
      <c r="D171" s="10">
        <f ca="1"/>
        <v>17.924679383559837</v>
      </c>
      <c r="E171" s="10">
        <f t="shared" ca="1" si="4"/>
        <v>-2.0753206164401625</v>
      </c>
      <c r="G171" s="10">
        <f t="shared" ca="1" si="5"/>
        <v>8.0402976672096699E-2</v>
      </c>
      <c r="L171" s="10"/>
    </row>
    <row r="172" spans="1:12" x14ac:dyDescent="0.2">
      <c r="A172" s="9">
        <v>20</v>
      </c>
      <c r="B172" s="9">
        <v>1</v>
      </c>
      <c r="C172" s="9">
        <f ca="1"/>
        <v>27</v>
      </c>
      <c r="D172" s="10">
        <f ca="1"/>
        <v>19.291117606863956</v>
      </c>
      <c r="E172" s="10">
        <f t="shared" ca="1" si="4"/>
        <v>-0.70888239313604373</v>
      </c>
      <c r="G172" s="10">
        <f t="shared" ca="1" si="5"/>
        <v>0.2717877911689337</v>
      </c>
      <c r="L172" s="10"/>
    </row>
    <row r="173" spans="1:12" x14ac:dyDescent="0.2">
      <c r="A173" s="9">
        <v>19</v>
      </c>
      <c r="B173" s="9">
        <v>1</v>
      </c>
      <c r="C173" s="9">
        <f ca="1"/>
        <v>25</v>
      </c>
      <c r="D173" s="10">
        <f ca="1"/>
        <v>17.924679383559837</v>
      </c>
      <c r="E173" s="10">
        <f t="shared" ca="1" si="4"/>
        <v>-1.0753206164401625</v>
      </c>
      <c r="G173" s="10">
        <f t="shared" ca="1" si="5"/>
        <v>0.22045887184038612</v>
      </c>
      <c r="L173" s="10"/>
    </row>
    <row r="174" spans="1:12" x14ac:dyDescent="0.2">
      <c r="A174" s="9">
        <v>20</v>
      </c>
      <c r="B174" s="9">
        <v>1</v>
      </c>
      <c r="C174" s="9">
        <f ca="1"/>
        <v>27</v>
      </c>
      <c r="D174" s="10">
        <f ca="1"/>
        <v>19.291117606863956</v>
      </c>
      <c r="E174" s="10">
        <f t="shared" ca="1" si="4"/>
        <v>-0.70888239313604373</v>
      </c>
      <c r="G174" s="10">
        <f t="shared" ca="1" si="5"/>
        <v>0.2717877911689337</v>
      </c>
      <c r="L174" s="10"/>
    </row>
    <row r="175" spans="1:12" x14ac:dyDescent="0.2">
      <c r="A175" s="9">
        <v>15</v>
      </c>
      <c r="B175" s="9">
        <v>1</v>
      </c>
      <c r="C175" s="9">
        <f ca="1"/>
        <v>20</v>
      </c>
      <c r="D175" s="10">
        <f ca="1"/>
        <v>14.508583825299539</v>
      </c>
      <c r="E175" s="10">
        <f t="shared" ca="1" si="4"/>
        <v>-0.49141617470046128</v>
      </c>
      <c r="G175" s="10">
        <f t="shared" ca="1" si="5"/>
        <v>0.29547583692562635</v>
      </c>
      <c r="L175" s="10"/>
    </row>
    <row r="176" spans="1:12" x14ac:dyDescent="0.2">
      <c r="A176" s="9">
        <v>16</v>
      </c>
      <c r="B176" s="9">
        <v>1</v>
      </c>
      <c r="C176" s="9">
        <f ca="1"/>
        <v>20</v>
      </c>
      <c r="D176" s="10">
        <f ca="1"/>
        <v>14.508583825299539</v>
      </c>
      <c r="E176" s="10">
        <f t="shared" ca="1" si="4"/>
        <v>-1.4914161747004613</v>
      </c>
      <c r="G176" s="10">
        <f t="shared" ca="1" si="5"/>
        <v>0.15661561802916329</v>
      </c>
      <c r="L176" s="10"/>
    </row>
    <row r="177" spans="1:12" x14ac:dyDescent="0.2">
      <c r="A177" s="9">
        <v>15</v>
      </c>
      <c r="B177" s="9">
        <v>1</v>
      </c>
      <c r="C177" s="9">
        <f ca="1"/>
        <v>19</v>
      </c>
      <c r="D177" s="10">
        <f ca="1"/>
        <v>13.825364713647479</v>
      </c>
      <c r="E177" s="10">
        <f t="shared" ca="1" si="4"/>
        <v>-1.1746352863525207</v>
      </c>
      <c r="G177" s="10">
        <f t="shared" ca="1" si="5"/>
        <v>0.20523871008550823</v>
      </c>
      <c r="L177" s="10"/>
    </row>
    <row r="178" spans="1:12" x14ac:dyDescent="0.2">
      <c r="A178" s="9">
        <v>15</v>
      </c>
      <c r="B178" s="9">
        <v>1</v>
      </c>
      <c r="C178" s="9">
        <f ca="1"/>
        <v>17</v>
      </c>
      <c r="D178" s="10">
        <f ca="1"/>
        <v>12.458926490343359</v>
      </c>
      <c r="E178" s="10">
        <f t="shared" ca="1" si="4"/>
        <v>-2.5410735096566412</v>
      </c>
      <c r="G178" s="10">
        <f t="shared" ca="1" si="5"/>
        <v>4.0395128664178985E-2</v>
      </c>
      <c r="L178" s="10"/>
    </row>
    <row r="179" spans="1:12" x14ac:dyDescent="0.2">
      <c r="A179" s="9">
        <v>16</v>
      </c>
      <c r="B179" s="9">
        <v>1</v>
      </c>
      <c r="C179" s="9">
        <f ca="1"/>
        <v>20</v>
      </c>
      <c r="D179" s="10">
        <f ca="1"/>
        <v>14.508583825299539</v>
      </c>
      <c r="E179" s="10">
        <f t="shared" ca="1" si="4"/>
        <v>-1.4914161747004613</v>
      </c>
      <c r="G179" s="10">
        <f t="shared" ca="1" si="5"/>
        <v>0.15661561802916329</v>
      </c>
      <c r="L179" s="10"/>
    </row>
    <row r="180" spans="1:12" x14ac:dyDescent="0.2">
      <c r="A180" s="9">
        <v>14</v>
      </c>
      <c r="B180" s="9">
        <v>1</v>
      </c>
      <c r="C180" s="9">
        <f ca="1"/>
        <v>17</v>
      </c>
      <c r="D180" s="10">
        <f ca="1"/>
        <v>12.458926490343359</v>
      </c>
      <c r="E180" s="10">
        <f t="shared" ca="1" si="4"/>
        <v>-1.5410735096566412</v>
      </c>
      <c r="G180" s="10">
        <f t="shared" ca="1" si="5"/>
        <v>0.14924443441661395</v>
      </c>
      <c r="L180" s="10"/>
    </row>
    <row r="181" spans="1:12" x14ac:dyDescent="0.2">
      <c r="A181" s="9">
        <v>21</v>
      </c>
      <c r="B181" s="9">
        <v>1</v>
      </c>
      <c r="C181" s="9">
        <f ca="1"/>
        <v>29</v>
      </c>
      <c r="D181" s="10">
        <f ca="1"/>
        <v>20.657555830168075</v>
      </c>
      <c r="E181" s="10">
        <f t="shared" ca="1" si="4"/>
        <v>-0.34244416983192494</v>
      </c>
      <c r="G181" s="10">
        <f t="shared" ca="1" si="5"/>
        <v>0.30746337812452051</v>
      </c>
      <c r="L181" s="10"/>
    </row>
    <row r="182" spans="1:12" x14ac:dyDescent="0.2">
      <c r="A182" s="9">
        <v>21</v>
      </c>
      <c r="B182" s="9">
        <v>1</v>
      </c>
      <c r="C182" s="9">
        <f ca="1"/>
        <v>27</v>
      </c>
      <c r="D182" s="10">
        <f ca="1"/>
        <v>19.291117606863956</v>
      </c>
      <c r="E182" s="10">
        <f t="shared" ca="1" si="4"/>
        <v>-1.7088823931360437</v>
      </c>
      <c r="G182" s="10">
        <f t="shared" ca="1" si="5"/>
        <v>0.12533471414208935</v>
      </c>
      <c r="L182" s="10"/>
    </row>
    <row r="183" spans="1:12" x14ac:dyDescent="0.2">
      <c r="A183" s="9">
        <v>21</v>
      </c>
      <c r="B183" s="9">
        <v>1</v>
      </c>
      <c r="C183" s="9">
        <f ca="1"/>
        <v>31</v>
      </c>
      <c r="D183" s="10">
        <f ca="1"/>
        <v>22.023994053472194</v>
      </c>
      <c r="E183" s="10">
        <f t="shared" ca="1" si="4"/>
        <v>1.0239940534721939</v>
      </c>
      <c r="G183" s="10">
        <f t="shared" ca="1" si="5"/>
        <v>0.22819645484299309</v>
      </c>
      <c r="L183" s="10"/>
    </row>
    <row r="184" spans="1:12" x14ac:dyDescent="0.2">
      <c r="A184" s="9">
        <v>21</v>
      </c>
      <c r="B184" s="9">
        <v>1</v>
      </c>
      <c r="C184" s="9">
        <f ca="1"/>
        <v>31</v>
      </c>
      <c r="D184" s="10">
        <f ca="1"/>
        <v>22.023994053472194</v>
      </c>
      <c r="E184" s="10">
        <f t="shared" ca="1" si="4"/>
        <v>1.0239940534721939</v>
      </c>
      <c r="G184" s="10">
        <f t="shared" ca="1" si="5"/>
        <v>0.22819645484299309</v>
      </c>
      <c r="L184" s="10"/>
    </row>
    <row r="185" spans="1:12" x14ac:dyDescent="0.2">
      <c r="A185" s="9">
        <v>18</v>
      </c>
      <c r="B185" s="9">
        <v>1</v>
      </c>
      <c r="C185" s="9">
        <f ca="1"/>
        <v>26</v>
      </c>
      <c r="D185" s="10">
        <f ca="1"/>
        <v>18.607898495211895</v>
      </c>
      <c r="E185" s="10">
        <f t="shared" ca="1" si="4"/>
        <v>0.6078984952118951</v>
      </c>
      <c r="G185" s="10">
        <f t="shared" ca="1" si="5"/>
        <v>0.28360781451993688</v>
      </c>
      <c r="L185" s="10"/>
    </row>
    <row r="186" spans="1:12" x14ac:dyDescent="0.2">
      <c r="A186" s="9">
        <v>18</v>
      </c>
      <c r="B186" s="9">
        <v>1</v>
      </c>
      <c r="C186" s="9">
        <f ca="1"/>
        <v>26</v>
      </c>
      <c r="D186" s="10">
        <f ca="1"/>
        <v>18.607898495211895</v>
      </c>
      <c r="E186" s="10">
        <f t="shared" ca="1" si="4"/>
        <v>0.6078984952118951</v>
      </c>
      <c r="G186" s="10">
        <f t="shared" ca="1" si="5"/>
        <v>0.28360781451993688</v>
      </c>
      <c r="L186" s="10"/>
    </row>
    <row r="187" spans="1:12" x14ac:dyDescent="0.2">
      <c r="A187" s="9">
        <v>19</v>
      </c>
      <c r="B187" s="9">
        <v>1</v>
      </c>
      <c r="C187" s="9">
        <f ca="1"/>
        <v>28</v>
      </c>
      <c r="D187" s="10">
        <f ca="1"/>
        <v>19.974336718516017</v>
      </c>
      <c r="E187" s="10">
        <f t="shared" ca="1" si="4"/>
        <v>0.97433671851601744</v>
      </c>
      <c r="G187" s="10">
        <f t="shared" ca="1" si="5"/>
        <v>0.23556229359930655</v>
      </c>
      <c r="L187" s="10"/>
    </row>
    <row r="188" spans="1:12" x14ac:dyDescent="0.2">
      <c r="A188" s="9">
        <v>21</v>
      </c>
      <c r="B188" s="9">
        <v>1</v>
      </c>
      <c r="C188" s="9">
        <f ca="1"/>
        <v>27</v>
      </c>
      <c r="D188" s="10">
        <f ca="1"/>
        <v>19.291117606863956</v>
      </c>
      <c r="E188" s="10">
        <f t="shared" ca="1" si="4"/>
        <v>-1.7088823931360437</v>
      </c>
      <c r="G188" s="10">
        <f t="shared" ca="1" si="5"/>
        <v>0.12533471414208935</v>
      </c>
      <c r="L188" s="10"/>
    </row>
    <row r="189" spans="1:12" x14ac:dyDescent="0.2">
      <c r="A189" s="9">
        <v>21</v>
      </c>
      <c r="B189" s="9">
        <v>1</v>
      </c>
      <c r="C189" s="9">
        <f ca="1"/>
        <v>29</v>
      </c>
      <c r="D189" s="10">
        <f ca="1"/>
        <v>20.657555830168075</v>
      </c>
      <c r="E189" s="10">
        <f t="shared" ca="1" si="4"/>
        <v>-0.34244416983192494</v>
      </c>
      <c r="G189" s="10">
        <f t="shared" ca="1" si="5"/>
        <v>0.30746337812452051</v>
      </c>
      <c r="L189" s="10"/>
    </row>
    <row r="190" spans="1:12" x14ac:dyDescent="0.2">
      <c r="A190" s="9">
        <v>21</v>
      </c>
      <c r="B190" s="9">
        <v>1</v>
      </c>
      <c r="C190" s="9">
        <f ca="1"/>
        <v>31</v>
      </c>
      <c r="D190" s="10">
        <f ca="1"/>
        <v>22.023994053472194</v>
      </c>
      <c r="E190" s="10">
        <f t="shared" ca="1" si="4"/>
        <v>1.0239940534721939</v>
      </c>
      <c r="G190" s="10">
        <f t="shared" ca="1" si="5"/>
        <v>0.22819645484299309</v>
      </c>
      <c r="L190" s="10"/>
    </row>
    <row r="191" spans="1:12" x14ac:dyDescent="0.2">
      <c r="A191" s="9">
        <v>22</v>
      </c>
      <c r="B191" s="9">
        <v>1</v>
      </c>
      <c r="C191" s="9">
        <f ca="1"/>
        <v>31</v>
      </c>
      <c r="D191" s="10">
        <f ca="1"/>
        <v>22.023994053472194</v>
      </c>
      <c r="E191" s="10">
        <f t="shared" ca="1" si="4"/>
        <v>2.3994053472193855E-2</v>
      </c>
      <c r="G191" s="10">
        <f t="shared" ca="1" si="5"/>
        <v>0.31916696345814999</v>
      </c>
      <c r="L191" s="10"/>
    </row>
    <row r="192" spans="1:12" x14ac:dyDescent="0.2">
      <c r="A192" s="9">
        <v>18</v>
      </c>
      <c r="B192" s="9">
        <v>1</v>
      </c>
      <c r="C192" s="9">
        <f ca="1"/>
        <v>26</v>
      </c>
      <c r="D192" s="10">
        <f ca="1"/>
        <v>18.607898495211895</v>
      </c>
      <c r="E192" s="10">
        <f t="shared" ca="1" si="4"/>
        <v>0.6078984952118951</v>
      </c>
      <c r="G192" s="10">
        <f t="shared" ca="1" si="5"/>
        <v>0.28360781451993688</v>
      </c>
      <c r="L192" s="10"/>
    </row>
    <row r="193" spans="1:12" x14ac:dyDescent="0.2">
      <c r="A193" s="9">
        <v>18</v>
      </c>
      <c r="B193" s="9">
        <v>1</v>
      </c>
      <c r="C193" s="9">
        <f ca="1"/>
        <v>26</v>
      </c>
      <c r="D193" s="10">
        <f ca="1"/>
        <v>18.607898495211895</v>
      </c>
      <c r="E193" s="10">
        <f t="shared" ca="1" si="4"/>
        <v>0.6078984952118951</v>
      </c>
      <c r="G193" s="10">
        <f t="shared" ca="1" si="5"/>
        <v>0.28360781451993688</v>
      </c>
      <c r="L193" s="10"/>
    </row>
    <row r="194" spans="1:12" x14ac:dyDescent="0.2">
      <c r="A194" s="9">
        <v>18</v>
      </c>
      <c r="B194" s="9">
        <v>1</v>
      </c>
      <c r="C194" s="9">
        <f ca="1"/>
        <v>27</v>
      </c>
      <c r="D194" s="10">
        <f ca="1"/>
        <v>19.291117606863956</v>
      </c>
      <c r="E194" s="10">
        <f t="shared" ca="1" si="4"/>
        <v>1.2911176068639563</v>
      </c>
      <c r="G194" s="10">
        <f t="shared" ca="1" si="5"/>
        <v>0.18720849951963059</v>
      </c>
      <c r="L194" s="10"/>
    </row>
    <row r="195" spans="1:12" x14ac:dyDescent="0.2">
      <c r="A195" s="9">
        <v>24</v>
      </c>
      <c r="B195" s="9">
        <v>1</v>
      </c>
      <c r="C195" s="9">
        <f ca="1"/>
        <v>30</v>
      </c>
      <c r="D195" s="10">
        <f ca="1"/>
        <v>21.340774941820136</v>
      </c>
      <c r="E195" s="10">
        <f t="shared" ref="E195:E235" ca="1" si="6">D195-A195</f>
        <v>-2.6592250581798638</v>
      </c>
      <c r="G195" s="10">
        <f t="shared" ref="G195:G235" ca="1" si="7">_xlfn.NORM.DIST(E195,0,$F$2,FALSE)</f>
        <v>3.3181916685722804E-2</v>
      </c>
      <c r="L195" s="10"/>
    </row>
    <row r="196" spans="1:12" x14ac:dyDescent="0.2">
      <c r="A196" s="9">
        <v>24</v>
      </c>
      <c r="B196" s="9">
        <v>1</v>
      </c>
      <c r="C196" s="9">
        <f ca="1"/>
        <v>33</v>
      </c>
      <c r="D196" s="10">
        <f ca="1"/>
        <v>23.390432276776316</v>
      </c>
      <c r="E196" s="10">
        <f t="shared" ca="1" si="6"/>
        <v>-0.6095677232236838</v>
      </c>
      <c r="G196" s="10">
        <f t="shared" ca="1" si="7"/>
        <v>0.28342335743776725</v>
      </c>
      <c r="L196" s="10"/>
    </row>
    <row r="197" spans="1:12" x14ac:dyDescent="0.2">
      <c r="A197" s="9">
        <v>26</v>
      </c>
      <c r="B197" s="9">
        <v>1</v>
      </c>
      <c r="C197" s="9">
        <f ca="1"/>
        <v>35</v>
      </c>
      <c r="D197" s="10">
        <f ca="1"/>
        <v>24.756870500080435</v>
      </c>
      <c r="E197" s="10">
        <f t="shared" ca="1" si="6"/>
        <v>-1.243129499919565</v>
      </c>
      <c r="G197" s="10">
        <f t="shared" ca="1" si="7"/>
        <v>0.19464101454310373</v>
      </c>
      <c r="L197" s="10"/>
    </row>
    <row r="198" spans="1:12" x14ac:dyDescent="0.2">
      <c r="A198" s="9">
        <v>28</v>
      </c>
      <c r="B198" s="9">
        <v>1</v>
      </c>
      <c r="C198" s="9">
        <f ca="1"/>
        <v>37</v>
      </c>
      <c r="D198" s="10">
        <f ca="1"/>
        <v>26.123308723384554</v>
      </c>
      <c r="E198" s="10">
        <f t="shared" ca="1" si="6"/>
        <v>-1.8766912766154462</v>
      </c>
      <c r="G198" s="10">
        <f t="shared" ca="1" si="7"/>
        <v>0.10337466032027857</v>
      </c>
      <c r="L198" s="10"/>
    </row>
    <row r="199" spans="1:12" x14ac:dyDescent="0.2">
      <c r="A199" s="9">
        <v>26</v>
      </c>
      <c r="B199" s="9">
        <v>1</v>
      </c>
      <c r="C199" s="9">
        <f ca="1"/>
        <v>35</v>
      </c>
      <c r="D199" s="10">
        <f ca="1"/>
        <v>24.756870500080435</v>
      </c>
      <c r="E199" s="10">
        <f t="shared" ca="1" si="6"/>
        <v>-1.243129499919565</v>
      </c>
      <c r="G199" s="10">
        <f t="shared" ca="1" si="7"/>
        <v>0.19464101454310373</v>
      </c>
      <c r="L199" s="10"/>
    </row>
    <row r="200" spans="1:12" x14ac:dyDescent="0.2">
      <c r="A200" s="9">
        <v>11</v>
      </c>
      <c r="B200" s="9">
        <v>1</v>
      </c>
      <c r="C200" s="9">
        <f ca="1"/>
        <v>15</v>
      </c>
      <c r="D200" s="10">
        <f ca="1"/>
        <v>11.09248826703924</v>
      </c>
      <c r="E200" s="10">
        <f t="shared" ca="1" si="6"/>
        <v>9.2488267039239958E-2</v>
      </c>
      <c r="G200" s="10">
        <f t="shared" ca="1" si="7"/>
        <v>0.31835277839425191</v>
      </c>
      <c r="L200" s="10"/>
    </row>
    <row r="201" spans="1:12" x14ac:dyDescent="0.2">
      <c r="A201" s="9">
        <v>13</v>
      </c>
      <c r="B201" s="9">
        <v>1</v>
      </c>
      <c r="C201" s="9">
        <f ca="1"/>
        <v>18</v>
      </c>
      <c r="D201" s="10">
        <f ca="1"/>
        <v>13.142145601995418</v>
      </c>
      <c r="E201" s="10">
        <f t="shared" ca="1" si="6"/>
        <v>0.14214560199541815</v>
      </c>
      <c r="G201" s="10">
        <f t="shared" ca="1" si="7"/>
        <v>0.31716750413300532</v>
      </c>
      <c r="L201" s="10"/>
    </row>
    <row r="202" spans="1:12" x14ac:dyDescent="0.2">
      <c r="A202" s="9">
        <v>15</v>
      </c>
      <c r="B202" s="9">
        <v>1</v>
      </c>
      <c r="C202" s="9">
        <f ca="1"/>
        <v>20</v>
      </c>
      <c r="D202" s="10">
        <f ca="1"/>
        <v>14.508583825299539</v>
      </c>
      <c r="E202" s="10">
        <f t="shared" ca="1" si="6"/>
        <v>-0.49141617470046128</v>
      </c>
      <c r="G202" s="10">
        <f t="shared" ca="1" si="7"/>
        <v>0.29547583692562635</v>
      </c>
      <c r="L202" s="10"/>
    </row>
    <row r="203" spans="1:12" x14ac:dyDescent="0.2">
      <c r="A203" s="9">
        <v>16</v>
      </c>
      <c r="B203" s="9">
        <v>1</v>
      </c>
      <c r="C203" s="9">
        <f ca="1"/>
        <v>20</v>
      </c>
      <c r="D203" s="10">
        <f ca="1"/>
        <v>14.508583825299539</v>
      </c>
      <c r="E203" s="10">
        <f t="shared" ca="1" si="6"/>
        <v>-1.4914161747004613</v>
      </c>
      <c r="G203" s="10">
        <f t="shared" ca="1" si="7"/>
        <v>0.15661561802916329</v>
      </c>
      <c r="L203" s="10"/>
    </row>
    <row r="204" spans="1:12" x14ac:dyDescent="0.2">
      <c r="A204" s="9">
        <v>17</v>
      </c>
      <c r="B204" s="9">
        <v>1</v>
      </c>
      <c r="C204" s="9">
        <f ca="1"/>
        <v>22</v>
      </c>
      <c r="D204" s="10">
        <f ca="1"/>
        <v>15.875022048603658</v>
      </c>
      <c r="E204" s="10">
        <f t="shared" ca="1" si="6"/>
        <v>-1.1249779513963425</v>
      </c>
      <c r="G204" s="10">
        <f t="shared" ca="1" si="7"/>
        <v>0.21288069180319472</v>
      </c>
      <c r="L204" s="10"/>
    </row>
    <row r="205" spans="1:12" x14ac:dyDescent="0.2">
      <c r="A205" s="9">
        <v>15</v>
      </c>
      <c r="B205" s="9">
        <v>1</v>
      </c>
      <c r="C205" s="9">
        <f ca="1"/>
        <v>17</v>
      </c>
      <c r="D205" s="10">
        <f ca="1"/>
        <v>12.458926490343359</v>
      </c>
      <c r="E205" s="10">
        <f t="shared" ca="1" si="6"/>
        <v>-2.5410735096566412</v>
      </c>
      <c r="G205" s="10">
        <f t="shared" ca="1" si="7"/>
        <v>4.0395128664178985E-2</v>
      </c>
      <c r="L205" s="10"/>
    </row>
    <row r="206" spans="1:12" x14ac:dyDescent="0.2">
      <c r="A206" s="9">
        <v>15</v>
      </c>
      <c r="B206" s="9">
        <v>1</v>
      </c>
      <c r="C206" s="9">
        <f ca="1"/>
        <v>19</v>
      </c>
      <c r="D206" s="10">
        <f ca="1"/>
        <v>13.825364713647479</v>
      </c>
      <c r="E206" s="10">
        <f t="shared" ca="1" si="6"/>
        <v>-1.1746352863525207</v>
      </c>
      <c r="G206" s="10">
        <f t="shared" ca="1" si="7"/>
        <v>0.20523871008550823</v>
      </c>
      <c r="L206" s="10"/>
    </row>
    <row r="207" spans="1:12" x14ac:dyDescent="0.2">
      <c r="A207" s="9">
        <v>15</v>
      </c>
      <c r="B207" s="9">
        <v>1</v>
      </c>
      <c r="C207" s="9">
        <f ca="1"/>
        <v>18</v>
      </c>
      <c r="D207" s="10">
        <f ca="1"/>
        <v>13.142145601995418</v>
      </c>
      <c r="E207" s="10">
        <f t="shared" ca="1" si="6"/>
        <v>-1.8578543980045819</v>
      </c>
      <c r="G207" s="10">
        <f t="shared" ca="1" si="7"/>
        <v>0.10572920124505396</v>
      </c>
      <c r="L207" s="10"/>
    </row>
    <row r="208" spans="1:12" x14ac:dyDescent="0.2">
      <c r="A208" s="9">
        <v>16</v>
      </c>
      <c r="B208" s="9">
        <v>1</v>
      </c>
      <c r="C208" s="9">
        <f ca="1"/>
        <v>20</v>
      </c>
      <c r="D208" s="10">
        <f ca="1"/>
        <v>14.508583825299539</v>
      </c>
      <c r="E208" s="10">
        <f t="shared" ca="1" si="6"/>
        <v>-1.4914161747004613</v>
      </c>
      <c r="G208" s="10">
        <f t="shared" ca="1" si="7"/>
        <v>0.15661561802916329</v>
      </c>
      <c r="L208" s="10"/>
    </row>
    <row r="209" spans="1:12" x14ac:dyDescent="0.2">
      <c r="A209" s="9">
        <v>21</v>
      </c>
      <c r="B209" s="9">
        <v>1</v>
      </c>
      <c r="C209" s="9">
        <f ca="1"/>
        <v>29</v>
      </c>
      <c r="D209" s="10">
        <f ca="1"/>
        <v>20.657555830168075</v>
      </c>
      <c r="E209" s="10">
        <f t="shared" ca="1" si="6"/>
        <v>-0.34244416983192494</v>
      </c>
      <c r="G209" s="10">
        <f t="shared" ca="1" si="7"/>
        <v>0.30746337812452051</v>
      </c>
      <c r="L209" s="10"/>
    </row>
    <row r="210" spans="1:12" x14ac:dyDescent="0.2">
      <c r="A210" s="9">
        <v>19</v>
      </c>
      <c r="B210" s="9">
        <v>1</v>
      </c>
      <c r="C210" s="9">
        <f ca="1"/>
        <v>26</v>
      </c>
      <c r="D210" s="10">
        <f ca="1"/>
        <v>18.607898495211895</v>
      </c>
      <c r="E210" s="10">
        <f t="shared" ca="1" si="6"/>
        <v>-0.3921015047881049</v>
      </c>
      <c r="G210" s="10">
        <f t="shared" ca="1" si="7"/>
        <v>0.30389387162696274</v>
      </c>
      <c r="L210" s="10"/>
    </row>
    <row r="211" spans="1:12" x14ac:dyDescent="0.2">
      <c r="A211" s="9">
        <v>21</v>
      </c>
      <c r="B211" s="9">
        <v>1</v>
      </c>
      <c r="C211" s="9">
        <f ca="1"/>
        <v>29</v>
      </c>
      <c r="D211" s="10">
        <f ca="1"/>
        <v>20.657555830168075</v>
      </c>
      <c r="E211" s="10">
        <f t="shared" ca="1" si="6"/>
        <v>-0.34244416983192494</v>
      </c>
      <c r="G211" s="10">
        <f t="shared" ca="1" si="7"/>
        <v>0.30746337812452051</v>
      </c>
      <c r="L211" s="10"/>
    </row>
    <row r="212" spans="1:12" x14ac:dyDescent="0.2">
      <c r="A212" s="9">
        <v>22</v>
      </c>
      <c r="B212" s="9">
        <v>1</v>
      </c>
      <c r="C212" s="9">
        <f ca="1"/>
        <v>29</v>
      </c>
      <c r="D212" s="10">
        <f ca="1"/>
        <v>20.657555830168075</v>
      </c>
      <c r="E212" s="10">
        <f t="shared" ca="1" si="6"/>
        <v>-1.3424441698319249</v>
      </c>
      <c r="G212" s="10">
        <f t="shared" ca="1" si="7"/>
        <v>0.17927994451859014</v>
      </c>
      <c r="L212" s="10"/>
    </row>
    <row r="213" spans="1:12" x14ac:dyDescent="0.2">
      <c r="A213" s="9">
        <v>17</v>
      </c>
      <c r="B213" s="9">
        <v>1</v>
      </c>
      <c r="C213" s="9">
        <f ca="1"/>
        <v>24</v>
      </c>
      <c r="D213" s="10">
        <f ca="1"/>
        <v>17.241460271907776</v>
      </c>
      <c r="E213" s="10">
        <f t="shared" ca="1" si="6"/>
        <v>0.2414602719077763</v>
      </c>
      <c r="G213" s="10">
        <f t="shared" ca="1" si="7"/>
        <v>0.31332258364370175</v>
      </c>
      <c r="L213" s="10"/>
    </row>
    <row r="214" spans="1:12" x14ac:dyDescent="0.2">
      <c r="A214" s="9">
        <v>33</v>
      </c>
      <c r="B214" s="9">
        <v>1</v>
      </c>
      <c r="C214" s="9">
        <f ca="1"/>
        <v>44</v>
      </c>
      <c r="D214" s="10">
        <f ca="1"/>
        <v>30.905842504948971</v>
      </c>
      <c r="E214" s="10">
        <f t="shared" ca="1" si="6"/>
        <v>-2.0941574950510287</v>
      </c>
      <c r="G214" s="10">
        <f t="shared" ca="1" si="7"/>
        <v>7.8406519233685218E-2</v>
      </c>
      <c r="L214" s="10"/>
    </row>
    <row r="215" spans="1:12" x14ac:dyDescent="0.2">
      <c r="A215" s="9">
        <v>21</v>
      </c>
      <c r="B215" s="9">
        <v>1</v>
      </c>
      <c r="C215" s="9">
        <f ca="1"/>
        <v>29</v>
      </c>
      <c r="D215" s="10">
        <f ca="1"/>
        <v>20.657555830168075</v>
      </c>
      <c r="E215" s="10">
        <f t="shared" ca="1" si="6"/>
        <v>-0.34244416983192494</v>
      </c>
      <c r="G215" s="10">
        <f t="shared" ca="1" si="7"/>
        <v>0.30746337812452051</v>
      </c>
      <c r="L215" s="10"/>
    </row>
    <row r="216" spans="1:12" x14ac:dyDescent="0.2">
      <c r="A216" s="9">
        <v>19</v>
      </c>
      <c r="B216" s="9">
        <v>1</v>
      </c>
      <c r="C216" s="9">
        <f ca="1"/>
        <v>26</v>
      </c>
      <c r="D216" s="10">
        <f ca="1"/>
        <v>18.607898495211895</v>
      </c>
      <c r="E216" s="10">
        <f t="shared" ca="1" si="6"/>
        <v>-0.3921015047881049</v>
      </c>
      <c r="G216" s="10">
        <f t="shared" ca="1" si="7"/>
        <v>0.30389387162696274</v>
      </c>
      <c r="L216" s="10"/>
    </row>
    <row r="217" spans="1:12" x14ac:dyDescent="0.2">
      <c r="A217" s="9">
        <v>22</v>
      </c>
      <c r="B217" s="9">
        <v>1</v>
      </c>
      <c r="C217" s="9">
        <f ca="1"/>
        <v>29</v>
      </c>
      <c r="D217" s="10">
        <f ca="1"/>
        <v>20.657555830168075</v>
      </c>
      <c r="E217" s="10">
        <f t="shared" ca="1" si="6"/>
        <v>-1.3424441698319249</v>
      </c>
      <c r="G217" s="10">
        <f t="shared" ca="1" si="7"/>
        <v>0.17927994451859014</v>
      </c>
      <c r="L217" s="10"/>
    </row>
    <row r="218" spans="1:12" x14ac:dyDescent="0.2">
      <c r="A218" s="9">
        <v>21</v>
      </c>
      <c r="B218" s="9">
        <v>1</v>
      </c>
      <c r="C218" s="9">
        <f ca="1"/>
        <v>29</v>
      </c>
      <c r="D218" s="10">
        <f ca="1"/>
        <v>20.657555830168075</v>
      </c>
      <c r="E218" s="10">
        <f t="shared" ca="1" si="6"/>
        <v>-0.34244416983192494</v>
      </c>
      <c r="G218" s="10">
        <f t="shared" ca="1" si="7"/>
        <v>0.30746337812452051</v>
      </c>
      <c r="L218" s="10"/>
    </row>
    <row r="219" spans="1:12" x14ac:dyDescent="0.2">
      <c r="A219" s="9">
        <v>21</v>
      </c>
      <c r="B219" s="9">
        <v>1</v>
      </c>
      <c r="C219" s="9">
        <f ca="1"/>
        <v>29</v>
      </c>
      <c r="D219" s="10">
        <f ca="1"/>
        <v>20.657555830168075</v>
      </c>
      <c r="E219" s="10">
        <f t="shared" ca="1" si="6"/>
        <v>-0.34244416983192494</v>
      </c>
      <c r="G219" s="10">
        <f t="shared" ca="1" si="7"/>
        <v>0.30746337812452051</v>
      </c>
      <c r="L219" s="10"/>
    </row>
    <row r="220" spans="1:12" x14ac:dyDescent="0.2">
      <c r="A220" s="9">
        <v>21</v>
      </c>
      <c r="B220" s="9">
        <v>1</v>
      </c>
      <c r="C220" s="9">
        <f ca="1"/>
        <v>29</v>
      </c>
      <c r="D220" s="10">
        <f ca="1"/>
        <v>20.657555830168075</v>
      </c>
      <c r="E220" s="10">
        <f t="shared" ca="1" si="6"/>
        <v>-0.34244416983192494</v>
      </c>
      <c r="G220" s="10">
        <f t="shared" ca="1" si="7"/>
        <v>0.30746337812452051</v>
      </c>
      <c r="L220" s="10"/>
    </row>
    <row r="221" spans="1:12" x14ac:dyDescent="0.2">
      <c r="A221" s="9">
        <v>16</v>
      </c>
      <c r="B221" s="9">
        <v>1</v>
      </c>
      <c r="C221" s="9">
        <f ca="1"/>
        <v>23</v>
      </c>
      <c r="D221" s="10">
        <f ca="1"/>
        <v>16.558241160255715</v>
      </c>
      <c r="E221" s="10">
        <f t="shared" ca="1" si="6"/>
        <v>0.55824116025571513</v>
      </c>
      <c r="G221" s="10">
        <f t="shared" ca="1" si="7"/>
        <v>0.28891457937292003</v>
      </c>
      <c r="L221" s="10"/>
    </row>
    <row r="222" spans="1:12" x14ac:dyDescent="0.2">
      <c r="A222" s="9">
        <v>17</v>
      </c>
      <c r="B222" s="9">
        <v>1</v>
      </c>
      <c r="C222" s="9">
        <f ca="1"/>
        <v>24</v>
      </c>
      <c r="D222" s="10">
        <f ca="1"/>
        <v>17.241460271907776</v>
      </c>
      <c r="E222" s="10">
        <f t="shared" ca="1" si="6"/>
        <v>0.2414602719077763</v>
      </c>
      <c r="G222" s="10">
        <f t="shared" ca="1" si="7"/>
        <v>0.31332258364370175</v>
      </c>
      <c r="L222" s="10"/>
    </row>
    <row r="223" spans="1:12" x14ac:dyDescent="0.2">
      <c r="A223" s="9">
        <v>35</v>
      </c>
      <c r="B223" s="9">
        <v>1</v>
      </c>
      <c r="C223" s="9">
        <f ca="1"/>
        <v>44</v>
      </c>
      <c r="D223" s="10">
        <f ca="1"/>
        <v>30.905842504948971</v>
      </c>
      <c r="E223" s="10">
        <f t="shared" ca="1" si="6"/>
        <v>-4.0941574950510287</v>
      </c>
      <c r="G223" s="10">
        <f t="shared" ca="1" si="7"/>
        <v>1.4912266665311721E-3</v>
      </c>
      <c r="L223" s="10"/>
    </row>
    <row r="224" spans="1:12" x14ac:dyDescent="0.2">
      <c r="A224" s="9">
        <v>29</v>
      </c>
      <c r="B224" s="9">
        <v>1</v>
      </c>
      <c r="C224" s="9">
        <f ca="1"/>
        <v>41</v>
      </c>
      <c r="D224" s="10">
        <f ca="1"/>
        <v>28.856185169992791</v>
      </c>
      <c r="E224" s="10">
        <f t="shared" ca="1" si="6"/>
        <v>-0.14381483000720863</v>
      </c>
      <c r="G224" s="10">
        <f t="shared" ca="1" si="7"/>
        <v>0.31711903972216288</v>
      </c>
      <c r="L224" s="10"/>
    </row>
    <row r="225" spans="1:12" x14ac:dyDescent="0.2">
      <c r="A225" s="9">
        <v>21</v>
      </c>
      <c r="B225" s="9">
        <v>1</v>
      </c>
      <c r="C225" s="9">
        <f ca="1"/>
        <v>29</v>
      </c>
      <c r="D225" s="10">
        <f ca="1"/>
        <v>20.657555830168075</v>
      </c>
      <c r="E225" s="10">
        <f t="shared" ca="1" si="6"/>
        <v>-0.34244416983192494</v>
      </c>
      <c r="G225" s="10">
        <f t="shared" ca="1" si="7"/>
        <v>0.30746337812452051</v>
      </c>
      <c r="L225" s="10"/>
    </row>
    <row r="226" spans="1:12" x14ac:dyDescent="0.2">
      <c r="A226" s="9">
        <v>19</v>
      </c>
      <c r="B226" s="9">
        <v>1</v>
      </c>
      <c r="C226" s="9">
        <f ca="1"/>
        <v>26</v>
      </c>
      <c r="D226" s="10">
        <f ca="1"/>
        <v>18.607898495211895</v>
      </c>
      <c r="E226" s="10">
        <f t="shared" ca="1" si="6"/>
        <v>-0.3921015047881049</v>
      </c>
      <c r="G226" s="10">
        <f t="shared" ca="1" si="7"/>
        <v>0.30389387162696274</v>
      </c>
      <c r="L226" s="10"/>
    </row>
    <row r="227" spans="1:12" x14ac:dyDescent="0.2">
      <c r="A227" s="9">
        <v>20</v>
      </c>
      <c r="B227" s="9">
        <v>1</v>
      </c>
      <c r="C227" s="9">
        <f ca="1"/>
        <v>28</v>
      </c>
      <c r="D227" s="10">
        <f ca="1"/>
        <v>19.974336718516017</v>
      </c>
      <c r="E227" s="10">
        <f t="shared" ca="1" si="6"/>
        <v>-2.5663281483982558E-2</v>
      </c>
      <c r="G227" s="10">
        <f t="shared" ca="1" si="7"/>
        <v>0.31915849397187074</v>
      </c>
      <c r="L227" s="10"/>
    </row>
    <row r="228" spans="1:12" x14ac:dyDescent="0.2">
      <c r="A228" s="9">
        <v>20</v>
      </c>
      <c r="B228" s="9">
        <v>1</v>
      </c>
      <c r="C228" s="9">
        <f ca="1"/>
        <v>29</v>
      </c>
      <c r="D228" s="10">
        <f ca="1"/>
        <v>20.657555830168075</v>
      </c>
      <c r="E228" s="10">
        <f t="shared" ca="1" si="6"/>
        <v>0.65755583016807506</v>
      </c>
      <c r="G228" s="10">
        <f t="shared" ca="1" si="7"/>
        <v>0.2779593195039412</v>
      </c>
      <c r="L228" s="10"/>
    </row>
    <row r="229" spans="1:12" x14ac:dyDescent="0.2">
      <c r="A229" s="9">
        <v>21</v>
      </c>
      <c r="B229" s="9">
        <v>1</v>
      </c>
      <c r="C229" s="9">
        <f ca="1"/>
        <v>29</v>
      </c>
      <c r="D229" s="10">
        <f ca="1"/>
        <v>20.657555830168075</v>
      </c>
      <c r="E229" s="10">
        <f t="shared" ca="1" si="6"/>
        <v>-0.34244416983192494</v>
      </c>
      <c r="G229" s="10">
        <f t="shared" ca="1" si="7"/>
        <v>0.30746337812452051</v>
      </c>
      <c r="L229" s="10"/>
    </row>
    <row r="230" spans="1:12" x14ac:dyDescent="0.2">
      <c r="A230" s="9">
        <v>18</v>
      </c>
      <c r="B230" s="9">
        <v>1</v>
      </c>
      <c r="C230" s="9">
        <f ca="1"/>
        <v>29</v>
      </c>
      <c r="D230" s="10">
        <f ca="1"/>
        <v>20.657555830168075</v>
      </c>
      <c r="E230" s="10">
        <f t="shared" ca="1" si="6"/>
        <v>2.6575558301680751</v>
      </c>
      <c r="G230" s="10">
        <f t="shared" ca="1" si="7"/>
        <v>3.327632904268165E-2</v>
      </c>
      <c r="L230" s="10"/>
    </row>
    <row r="231" spans="1:12" x14ac:dyDescent="0.2">
      <c r="A231" s="9">
        <v>19</v>
      </c>
      <c r="B231" s="9">
        <v>1</v>
      </c>
      <c r="C231" s="9">
        <f ca="1"/>
        <v>28</v>
      </c>
      <c r="D231" s="10">
        <f ca="1"/>
        <v>19.974336718516017</v>
      </c>
      <c r="E231" s="10">
        <f t="shared" ca="1" si="6"/>
        <v>0.97433671851601744</v>
      </c>
      <c r="G231" s="10">
        <f t="shared" ca="1" si="7"/>
        <v>0.23556229359930655</v>
      </c>
      <c r="L231" s="10"/>
    </row>
    <row r="232" spans="1:12" x14ac:dyDescent="0.2">
      <c r="A232" s="9">
        <v>21</v>
      </c>
      <c r="B232" s="9">
        <v>1</v>
      </c>
      <c r="C232" s="9">
        <f ca="1"/>
        <v>29</v>
      </c>
      <c r="D232" s="10">
        <f ca="1"/>
        <v>20.657555830168075</v>
      </c>
      <c r="E232" s="10">
        <f t="shared" ca="1" si="6"/>
        <v>-0.34244416983192494</v>
      </c>
      <c r="G232" s="10">
        <f t="shared" ca="1" si="7"/>
        <v>0.30746337812452051</v>
      </c>
      <c r="L232" s="10"/>
    </row>
    <row r="233" spans="1:12" x14ac:dyDescent="0.2">
      <c r="A233" s="9">
        <v>16</v>
      </c>
      <c r="B233" s="9">
        <v>1</v>
      </c>
      <c r="C233" s="9">
        <f ca="1"/>
        <v>26</v>
      </c>
      <c r="D233" s="10">
        <f ca="1"/>
        <v>18.607898495211895</v>
      </c>
      <c r="E233" s="10">
        <f t="shared" ca="1" si="6"/>
        <v>2.6078984952118951</v>
      </c>
      <c r="G233" s="10">
        <f t="shared" ca="1" si="7"/>
        <v>3.6181717224349638E-2</v>
      </c>
      <c r="L233" s="10"/>
    </row>
    <row r="234" spans="1:12" x14ac:dyDescent="0.2">
      <c r="A234" s="9">
        <v>18</v>
      </c>
      <c r="B234" s="9">
        <v>1</v>
      </c>
      <c r="C234" s="9">
        <f ca="1"/>
        <v>26</v>
      </c>
      <c r="D234" s="10">
        <f ca="1"/>
        <v>18.607898495211895</v>
      </c>
      <c r="E234" s="10">
        <f t="shared" ca="1" si="6"/>
        <v>0.6078984952118951</v>
      </c>
      <c r="G234" s="10">
        <f t="shared" ca="1" si="7"/>
        <v>0.28360781451993688</v>
      </c>
      <c r="L234" s="10"/>
    </row>
    <row r="235" spans="1:12" x14ac:dyDescent="0.2">
      <c r="A235" s="9">
        <v>17</v>
      </c>
      <c r="B235" s="9">
        <v>1</v>
      </c>
      <c r="C235" s="9">
        <f ca="1"/>
        <v>26</v>
      </c>
      <c r="D235" s="10">
        <f ca="1"/>
        <v>18.607898495211895</v>
      </c>
      <c r="E235" s="10">
        <f t="shared" ca="1" si="6"/>
        <v>1.6078984952118951</v>
      </c>
      <c r="G235" s="10">
        <f t="shared" ca="1" si="7"/>
        <v>0.13952132892333158</v>
      </c>
      <c r="L235" s="10"/>
    </row>
  </sheetData>
  <hyperlinks>
    <hyperlink ref="K23" r:id="rId1" xr:uid="{E06C1CAE-B55D-9141-9EAD-5E16EECAAF1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9B2E-FA0D-8C48-8DAC-A4AD9E158130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209</v>
      </c>
    </row>
    <row r="2" spans="1:1" x14ac:dyDescent="0.3">
      <c r="A2" s="1" t="s">
        <v>208</v>
      </c>
    </row>
    <row r="3" spans="1:1" x14ac:dyDescent="0.3">
      <c r="A3" s="1" t="s">
        <v>207</v>
      </c>
    </row>
    <row r="4" spans="1:1" x14ac:dyDescent="0.3">
      <c r="A4" s="1" t="s">
        <v>206</v>
      </c>
    </row>
    <row r="5" spans="1:1" x14ac:dyDescent="0.3">
      <c r="A5" s="1" t="s">
        <v>205</v>
      </c>
    </row>
    <row r="6" spans="1:1" x14ac:dyDescent="0.3">
      <c r="A6" s="1" t="s">
        <v>204</v>
      </c>
    </row>
    <row r="7" spans="1:1" x14ac:dyDescent="0.3">
      <c r="A7" s="1" t="s">
        <v>203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9B715-3A50-B144-921F-7C125AD12030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1</v>
      </c>
      <c r="E2" s="8">
        <v>1</v>
      </c>
      <c r="F2" s="8">
        <v>1</v>
      </c>
      <c r="G2" s="8">
        <v>1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19.799193491205124</v>
      </c>
      <c r="D5" s="25">
        <f t="shared" ca="1" si="0"/>
        <v>20.290205597027615</v>
      </c>
      <c r="E5" s="25">
        <f t="shared" ca="1" si="0"/>
        <v>24.71391133970889</v>
      </c>
      <c r="F5" s="25">
        <f t="shared" ca="1" si="0"/>
        <v>44.360559566166536</v>
      </c>
      <c r="G5" s="25">
        <f t="shared" ca="1" si="0"/>
        <v>49.25165293463003</v>
      </c>
    </row>
    <row r="6" spans="2:7" x14ac:dyDescent="0.2">
      <c r="B6" s="26">
        <v>2</v>
      </c>
      <c r="C6" s="25">
        <f t="shared" ca="1" si="0"/>
        <v>5.9503078995818948</v>
      </c>
      <c r="D6" s="25">
        <f t="shared" ca="1" si="0"/>
        <v>23.35061937644106</v>
      </c>
      <c r="E6" s="25">
        <f t="shared" ca="1" si="0"/>
        <v>32.532279271465434</v>
      </c>
      <c r="F6" s="25">
        <f t="shared" ca="1" si="0"/>
        <v>47.63800805884113</v>
      </c>
      <c r="G6" s="25">
        <f t="shared" ca="1" si="0"/>
        <v>56.534981496800228</v>
      </c>
    </row>
    <row r="7" spans="2:7" x14ac:dyDescent="0.2">
      <c r="B7" s="26">
        <v>3</v>
      </c>
      <c r="C7" s="25">
        <f t="shared" ca="1" si="0"/>
        <v>14.632688952099327</v>
      </c>
      <c r="D7" s="25">
        <f t="shared" ca="1" si="0"/>
        <v>17.895431282018315</v>
      </c>
      <c r="E7" s="25">
        <f t="shared" ca="1" si="0"/>
        <v>32.032808243620515</v>
      </c>
      <c r="F7" s="25">
        <f t="shared" ca="1" si="0"/>
        <v>44.338494240995715</v>
      </c>
      <c r="G7" s="25">
        <f t="shared" ca="1" si="0"/>
        <v>45.643387082471008</v>
      </c>
    </row>
    <row r="8" spans="2:7" x14ac:dyDescent="0.2">
      <c r="B8" s="26">
        <v>4</v>
      </c>
      <c r="C8" s="25">
        <f t="shared" ca="1" si="0"/>
        <v>13.793641708426806</v>
      </c>
      <c r="D8" s="25">
        <f t="shared" ca="1" si="0"/>
        <v>27.8063424637742</v>
      </c>
      <c r="E8" s="25">
        <f t="shared" ca="1" si="0"/>
        <v>35.334493793621498</v>
      </c>
      <c r="F8" s="25">
        <f t="shared" ca="1" si="0"/>
        <v>49.881692627482977</v>
      </c>
      <c r="G8" s="25">
        <f t="shared" ca="1" si="0"/>
        <v>54.613513977626738</v>
      </c>
    </row>
    <row r="9" spans="2:7" x14ac:dyDescent="0.2">
      <c r="B9" s="26">
        <v>5</v>
      </c>
      <c r="C9" s="25">
        <f t="shared" ca="1" si="0"/>
        <v>17.2101993929912</v>
      </c>
      <c r="D9" s="25">
        <f t="shared" ca="1" si="0"/>
        <v>23.442860752690528</v>
      </c>
      <c r="E9" s="25">
        <f t="shared" ca="1" si="0"/>
        <v>33.544300592400127</v>
      </c>
      <c r="F9" s="25">
        <f t="shared" ca="1" si="0"/>
        <v>43.529604391657003</v>
      </c>
      <c r="G9" s="25">
        <f t="shared" ca="1" si="0"/>
        <v>54.883856691713035</v>
      </c>
    </row>
    <row r="10" spans="2:7" x14ac:dyDescent="0.2">
      <c r="B10" s="26">
        <v>6</v>
      </c>
      <c r="C10" s="25">
        <f t="shared" ca="1" si="0"/>
        <v>11.725083506003982</v>
      </c>
      <c r="D10" s="25">
        <f t="shared" ca="1" si="0"/>
        <v>27.227624516473199</v>
      </c>
      <c r="E10" s="25">
        <f t="shared" ca="1" si="0"/>
        <v>36.591954919184076</v>
      </c>
      <c r="F10" s="25">
        <f t="shared" ca="1" si="0"/>
        <v>42.6582882493772</v>
      </c>
      <c r="G10" s="25">
        <f t="shared" ca="1" si="0"/>
        <v>50.202533798166286</v>
      </c>
    </row>
    <row r="11" spans="2:7" x14ac:dyDescent="0.2">
      <c r="B11" s="26">
        <v>7</v>
      </c>
      <c r="C11" s="25">
        <f t="shared" ca="1" si="0"/>
        <v>17.390997236451934</v>
      </c>
      <c r="D11" s="25">
        <f t="shared" ca="1" si="0"/>
        <v>25.139778069555234</v>
      </c>
      <c r="E11" s="25">
        <f t="shared" ca="1" si="0"/>
        <v>29.976081342890843</v>
      </c>
      <c r="F11" s="25">
        <f t="shared" ca="1" si="0"/>
        <v>49.029524027596743</v>
      </c>
      <c r="G11" s="25">
        <f t="shared" ca="1" si="0"/>
        <v>54.112015241355977</v>
      </c>
    </row>
    <row r="12" spans="2:7" x14ac:dyDescent="0.2">
      <c r="B12" s="26">
        <v>8</v>
      </c>
      <c r="C12" s="25">
        <f t="shared" ca="1" si="0"/>
        <v>27.935786130220578</v>
      </c>
      <c r="D12" s="25">
        <f t="shared" ca="1" si="0"/>
        <v>27.004494790698626</v>
      </c>
      <c r="E12" s="25">
        <f t="shared" ca="1" si="0"/>
        <v>36.671681066157319</v>
      </c>
      <c r="F12" s="25">
        <f t="shared" ca="1" si="0"/>
        <v>47.750313389439178</v>
      </c>
      <c r="G12" s="25">
        <f t="shared" ca="1" si="0"/>
        <v>54.04466344708699</v>
      </c>
    </row>
    <row r="13" spans="2:7" x14ac:dyDescent="0.2">
      <c r="B13" s="26">
        <v>9</v>
      </c>
      <c r="C13" s="25">
        <f t="shared" ca="1" si="0"/>
        <v>13.844042157540875</v>
      </c>
      <c r="D13" s="25">
        <f t="shared" ca="1" si="0"/>
        <v>24.499718186375421</v>
      </c>
      <c r="E13" s="25">
        <f t="shared" ca="1" si="0"/>
        <v>41.934017752056889</v>
      </c>
      <c r="F13" s="25">
        <f t="shared" ca="1" si="0"/>
        <v>48.269950688568052</v>
      </c>
      <c r="G13" s="25">
        <f t="shared" ca="1" si="0"/>
        <v>61.691998918226581</v>
      </c>
    </row>
    <row r="14" spans="2:7" x14ac:dyDescent="0.2">
      <c r="B14" s="26">
        <v>10</v>
      </c>
      <c r="C14" s="25">
        <f t="shared" ca="1" si="0"/>
        <v>15.018707692830038</v>
      </c>
      <c r="D14" s="25">
        <f t="shared" ca="1" si="0"/>
        <v>33.04785353201644</v>
      </c>
      <c r="E14" s="25">
        <f t="shared" ca="1" si="0"/>
        <v>44.215703621688142</v>
      </c>
      <c r="F14" s="25">
        <f t="shared" ca="1" si="0"/>
        <v>52.700139378718532</v>
      </c>
      <c r="G14" s="25">
        <f t="shared" ca="1" si="0"/>
        <v>52.951269055720701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11.938988154527108</v>
      </c>
      <c r="D15" s="25">
        <f t="shared" ca="1" si="1"/>
        <v>29.27587239427459</v>
      </c>
      <c r="E15" s="25">
        <f t="shared" ca="1" si="1"/>
        <v>45.325005121759588</v>
      </c>
      <c r="F15" s="25">
        <f t="shared" ca="1" si="1"/>
        <v>50.719358658114544</v>
      </c>
      <c r="G15" s="25">
        <f t="shared" ca="1" si="1"/>
        <v>60.036965969391325</v>
      </c>
    </row>
    <row r="16" spans="2:7" x14ac:dyDescent="0.2">
      <c r="B16" s="26">
        <v>12</v>
      </c>
      <c r="C16" s="25">
        <f t="shared" ca="1" si="1"/>
        <v>19.720250328938771</v>
      </c>
      <c r="D16" s="25">
        <f t="shared" ca="1" si="1"/>
        <v>36.906616544362493</v>
      </c>
      <c r="E16" s="25">
        <f t="shared" ca="1" si="1"/>
        <v>43.061365464059442</v>
      </c>
      <c r="F16" s="25">
        <f t="shared" ca="1" si="1"/>
        <v>51.617979571518838</v>
      </c>
      <c r="G16" s="25">
        <f t="shared" ca="1" si="1"/>
        <v>66.171840991159357</v>
      </c>
    </row>
    <row r="17" spans="2:7" x14ac:dyDescent="0.2">
      <c r="B17" s="26">
        <v>13</v>
      </c>
      <c r="C17" s="25">
        <f t="shared" ca="1" si="1"/>
        <v>24.573429877274446</v>
      </c>
      <c r="D17" s="25">
        <f t="shared" ca="1" si="1"/>
        <v>32.816547860987953</v>
      </c>
      <c r="E17" s="25">
        <f t="shared" ca="1" si="1"/>
        <v>46.409416947781828</v>
      </c>
      <c r="F17" s="25">
        <f t="shared" ca="1" si="1"/>
        <v>52.272495410089391</v>
      </c>
      <c r="G17" s="25">
        <f t="shared" ca="1" si="1"/>
        <v>59.594826048534998</v>
      </c>
    </row>
    <row r="18" spans="2:7" x14ac:dyDescent="0.2">
      <c r="B18" s="26">
        <v>14</v>
      </c>
      <c r="C18" s="25">
        <f t="shared" ca="1" si="1"/>
        <v>25.412893203215649</v>
      </c>
      <c r="D18" s="25">
        <f t="shared" ca="1" si="1"/>
        <v>33.998315107972836</v>
      </c>
      <c r="E18" s="25">
        <f t="shared" ca="1" si="1"/>
        <v>42.594448858848565</v>
      </c>
      <c r="F18" s="25">
        <f t="shared" ca="1" si="1"/>
        <v>66.03509154058672</v>
      </c>
      <c r="G18" s="25">
        <f t="shared" ca="1" si="1"/>
        <v>64.836571254829963</v>
      </c>
    </row>
    <row r="19" spans="2:7" x14ac:dyDescent="0.2">
      <c r="B19" s="26">
        <v>15</v>
      </c>
      <c r="C19" s="25">
        <f t="shared" ca="1" si="1"/>
        <v>29.34435803053492</v>
      </c>
      <c r="D19" s="25">
        <f t="shared" ca="1" si="1"/>
        <v>32.942225591330192</v>
      </c>
      <c r="E19" s="25">
        <f t="shared" ca="1" si="1"/>
        <v>40.722595963732758</v>
      </c>
      <c r="F19" s="25">
        <f t="shared" ca="1" si="1"/>
        <v>47.034631145131797</v>
      </c>
      <c r="G19" s="25">
        <f t="shared" ca="1" si="1"/>
        <v>68.348084209362099</v>
      </c>
    </row>
    <row r="20" spans="2:7" x14ac:dyDescent="0.2">
      <c r="B20" s="26">
        <v>16</v>
      </c>
      <c r="C20" s="25">
        <f t="shared" ca="1" si="1"/>
        <v>26.11650531121856</v>
      </c>
      <c r="D20" s="25">
        <f t="shared" ca="1" si="1"/>
        <v>34.839956303348529</v>
      </c>
      <c r="E20" s="25">
        <f t="shared" ca="1" si="1"/>
        <v>49.35127761072355</v>
      </c>
      <c r="F20" s="25">
        <f t="shared" ca="1" si="1"/>
        <v>51.420100815069816</v>
      </c>
      <c r="G20" s="25">
        <f t="shared" ca="1" si="1"/>
        <v>69.229068828888487</v>
      </c>
    </row>
    <row r="21" spans="2:7" x14ac:dyDescent="0.2">
      <c r="B21" s="26">
        <v>17</v>
      </c>
      <c r="C21" s="25">
        <f t="shared" ca="1" si="1"/>
        <v>27.38921469643412</v>
      </c>
      <c r="D21" s="25">
        <f t="shared" ca="1" si="1"/>
        <v>38.055003797417925</v>
      </c>
      <c r="E21" s="25">
        <f t="shared" ca="1" si="1"/>
        <v>49.566580703138861</v>
      </c>
      <c r="F21" s="25">
        <f t="shared" ca="1" si="1"/>
        <v>60.698777507918223</v>
      </c>
      <c r="G21" s="25">
        <f t="shared" ca="1" si="1"/>
        <v>66.27447590951364</v>
      </c>
    </row>
    <row r="22" spans="2:7" x14ac:dyDescent="0.2">
      <c r="B22" s="26">
        <v>18</v>
      </c>
      <c r="C22" s="25">
        <f t="shared" ca="1" si="1"/>
        <v>31.53299276511428</v>
      </c>
      <c r="D22" s="25">
        <f t="shared" ca="1" si="1"/>
        <v>37.88042961339557</v>
      </c>
      <c r="E22" s="25">
        <f t="shared" ca="1" si="1"/>
        <v>45.966669357705591</v>
      </c>
      <c r="F22" s="25">
        <f t="shared" ca="1" si="1"/>
        <v>56.040582421570669</v>
      </c>
      <c r="G22" s="25">
        <f t="shared" ca="1" si="1"/>
        <v>74.44107131730425</v>
      </c>
    </row>
    <row r="23" spans="2:7" x14ac:dyDescent="0.2">
      <c r="B23" s="26">
        <v>19</v>
      </c>
      <c r="C23" s="25">
        <f t="shared" ca="1" si="1"/>
        <v>33.029913228249669</v>
      </c>
      <c r="D23" s="25">
        <f t="shared" ca="1" si="1"/>
        <v>40.42585433471244</v>
      </c>
      <c r="E23" s="25">
        <f t="shared" ca="1" si="1"/>
        <v>49.28358847334902</v>
      </c>
      <c r="F23" s="25">
        <f t="shared" ca="1" si="1"/>
        <v>53.526836356421015</v>
      </c>
      <c r="G23" s="25">
        <f t="shared" ca="1" si="1"/>
        <v>63.592265854380102</v>
      </c>
    </row>
    <row r="24" spans="2:7" x14ac:dyDescent="0.2">
      <c r="B24" s="26">
        <v>20</v>
      </c>
      <c r="C24" s="25">
        <f t="shared" ca="1" si="1"/>
        <v>35.011234691223066</v>
      </c>
      <c r="D24" s="25">
        <f t="shared" ca="1" si="1"/>
        <v>38.278933892639799</v>
      </c>
      <c r="E24" s="25">
        <f t="shared" ca="1" si="1"/>
        <v>46.019749050623759</v>
      </c>
      <c r="F24" s="25">
        <f t="shared" ca="1" si="1"/>
        <v>62.820150446715459</v>
      </c>
      <c r="G24" s="25">
        <f t="shared" ca="1" si="1"/>
        <v>64.55941688847841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31.813887982263328</v>
      </c>
      <c r="D25" s="25">
        <f t="shared" ca="1" si="2"/>
        <v>39.52162991726054</v>
      </c>
      <c r="E25" s="25">
        <f t="shared" ca="1" si="2"/>
        <v>48.068560512637397</v>
      </c>
      <c r="F25" s="25">
        <f t="shared" ca="1" si="2"/>
        <v>59.518852253658778</v>
      </c>
      <c r="G25" s="25">
        <f t="shared" ca="1" si="2"/>
        <v>73.794766330407469</v>
      </c>
    </row>
    <row r="26" spans="2:7" x14ac:dyDescent="0.2">
      <c r="B26" s="26">
        <v>22</v>
      </c>
      <c r="C26" s="25">
        <f t="shared" ca="1" si="2"/>
        <v>29.356779428814949</v>
      </c>
      <c r="D26" s="25">
        <f t="shared" ca="1" si="2"/>
        <v>49.55340250637618</v>
      </c>
      <c r="E26" s="25">
        <f t="shared" ca="1" si="2"/>
        <v>44.361550749526828</v>
      </c>
      <c r="F26" s="25">
        <f t="shared" ca="1" si="2"/>
        <v>66.78760793536361</v>
      </c>
      <c r="G26" s="25">
        <f t="shared" ca="1" si="2"/>
        <v>68.77692153648205</v>
      </c>
    </row>
    <row r="27" spans="2:7" x14ac:dyDescent="0.2">
      <c r="B27" s="26">
        <v>23</v>
      </c>
      <c r="C27" s="25">
        <f t="shared" ca="1" si="2"/>
        <v>35.187599403547097</v>
      </c>
      <c r="D27" s="25">
        <f t="shared" ca="1" si="2"/>
        <v>48.805626029103379</v>
      </c>
      <c r="E27" s="25">
        <f t="shared" ca="1" si="2"/>
        <v>50.256189487335341</v>
      </c>
      <c r="F27" s="25">
        <f t="shared" ca="1" si="2"/>
        <v>65.555643940777472</v>
      </c>
      <c r="G27" s="25">
        <f t="shared" ca="1" si="2"/>
        <v>72.773036014051115</v>
      </c>
    </row>
    <row r="28" spans="2:7" x14ac:dyDescent="0.2">
      <c r="B28" s="26">
        <v>24</v>
      </c>
      <c r="C28" s="25">
        <f t="shared" ca="1" si="2"/>
        <v>29.53249387823438</v>
      </c>
      <c r="D28" s="25">
        <f t="shared" ca="1" si="2"/>
        <v>48.066975492045202</v>
      </c>
      <c r="E28" s="25">
        <f t="shared" ca="1" si="2"/>
        <v>50.312091983457819</v>
      </c>
      <c r="F28" s="25">
        <f t="shared" ca="1" si="2"/>
        <v>63.860804155777139</v>
      </c>
      <c r="G28" s="25">
        <f t="shared" ca="1" si="2"/>
        <v>78.247357025637314</v>
      </c>
    </row>
    <row r="29" spans="2:7" x14ac:dyDescent="0.2">
      <c r="B29" s="26">
        <v>25</v>
      </c>
      <c r="C29" s="25">
        <f t="shared" ca="1" si="2"/>
        <v>41.351382129946693</v>
      </c>
      <c r="D29" s="25">
        <f t="shared" ca="1" si="2"/>
        <v>45.121782622091303</v>
      </c>
      <c r="E29" s="25">
        <f t="shared" ca="1" si="2"/>
        <v>57.542600729920011</v>
      </c>
      <c r="F29" s="25">
        <f t="shared" ca="1" si="2"/>
        <v>65.964893197255861</v>
      </c>
      <c r="G29" s="25">
        <f t="shared" ca="1" si="2"/>
        <v>73.653680188713722</v>
      </c>
    </row>
    <row r="30" spans="2:7" x14ac:dyDescent="0.2">
      <c r="B30" s="26">
        <v>26</v>
      </c>
      <c r="C30" s="25">
        <f t="shared" ca="1" si="2"/>
        <v>29.705450420272353</v>
      </c>
      <c r="D30" s="25">
        <f t="shared" ca="1" si="2"/>
        <v>47.500648846228174</v>
      </c>
      <c r="E30" s="25">
        <f t="shared" ca="1" si="2"/>
        <v>58.21659400573364</v>
      </c>
      <c r="F30" s="25">
        <f t="shared" ca="1" si="2"/>
        <v>62.49829216808277</v>
      </c>
      <c r="G30" s="25">
        <f t="shared" ca="1" si="2"/>
        <v>75.186109559954886</v>
      </c>
    </row>
    <row r="31" spans="2:7" x14ac:dyDescent="0.2">
      <c r="B31" s="26">
        <v>27</v>
      </c>
      <c r="C31" s="25">
        <f t="shared" ca="1" si="2"/>
        <v>37.636250777751165</v>
      </c>
      <c r="D31" s="25">
        <f t="shared" ca="1" si="2"/>
        <v>48.242643402812654</v>
      </c>
      <c r="E31" s="25">
        <f t="shared" ca="1" si="2"/>
        <v>58.498547180334306</v>
      </c>
      <c r="F31" s="25">
        <f t="shared" ca="1" si="2"/>
        <v>64.581471690788476</v>
      </c>
      <c r="G31" s="25">
        <f t="shared" ca="1" si="2"/>
        <v>71.994379751197044</v>
      </c>
    </row>
    <row r="32" spans="2:7" x14ac:dyDescent="0.2">
      <c r="B32" s="26">
        <v>28</v>
      </c>
      <c r="C32" s="25">
        <f t="shared" ca="1" si="2"/>
        <v>33.792964695086873</v>
      </c>
      <c r="D32" s="25">
        <f t="shared" ca="1" si="2"/>
        <v>42.877789136030302</v>
      </c>
      <c r="E32" s="25">
        <f t="shared" ca="1" si="2"/>
        <v>58.866250874312023</v>
      </c>
      <c r="F32" s="25">
        <f t="shared" ca="1" si="2"/>
        <v>63.848458529751028</v>
      </c>
      <c r="G32" s="25">
        <f t="shared" ca="1" si="2"/>
        <v>81.792330676852629</v>
      </c>
    </row>
    <row r="33" spans="2:7" x14ac:dyDescent="0.2">
      <c r="B33" s="26">
        <v>29</v>
      </c>
      <c r="C33" s="25">
        <f t="shared" ca="1" si="2"/>
        <v>29.346593061930044</v>
      </c>
      <c r="D33" s="25">
        <f t="shared" ca="1" si="2"/>
        <v>55.185455335341288</v>
      </c>
      <c r="E33" s="25">
        <f t="shared" ca="1" si="2"/>
        <v>56.930914219784462</v>
      </c>
      <c r="F33" s="25">
        <f t="shared" ca="1" si="2"/>
        <v>71.346211793862579</v>
      </c>
      <c r="G33" s="25">
        <f t="shared" ca="1" si="2"/>
        <v>81.462101757002671</v>
      </c>
    </row>
    <row r="34" spans="2:7" x14ac:dyDescent="0.2">
      <c r="B34" s="26">
        <v>30</v>
      </c>
      <c r="C34" s="25">
        <f t="shared" ca="1" si="2"/>
        <v>44.188380901825056</v>
      </c>
      <c r="D34" s="25">
        <f t="shared" ca="1" si="2"/>
        <v>54.64224439008828</v>
      </c>
      <c r="E34" s="25">
        <f t="shared" ca="1" si="2"/>
        <v>61.208328917056065</v>
      </c>
      <c r="F34" s="25">
        <f t="shared" ca="1" si="2"/>
        <v>71.784956209665395</v>
      </c>
      <c r="G34" s="25">
        <f t="shared" ca="1" si="2"/>
        <v>78.50025290405955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766A3-B94B-DD49-9103-603342D8BDA3}">
  <sheetPr codeName="Sheet9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</v>
      </c>
      <c r="D3" s="8">
        <v>1</v>
      </c>
      <c r="E3" s="8">
        <v>1</v>
      </c>
      <c r="F3" s="8">
        <v>1</v>
      </c>
      <c r="G3" s="8">
        <v>1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7.5404520613520907</v>
      </c>
      <c r="D5" s="25">
        <f t="shared" ca="1" si="0"/>
        <v>4.0382625287275786</v>
      </c>
      <c r="E5" s="25">
        <f t="shared" ca="1" si="0"/>
        <v>-1.8590209851564525</v>
      </c>
      <c r="F5" s="25">
        <f t="shared" ca="1" si="0"/>
        <v>18.152260021906514</v>
      </c>
      <c r="G5" s="25">
        <f t="shared" ca="1" si="0"/>
        <v>-12.258907947355727</v>
      </c>
    </row>
    <row r="6" spans="2:7" x14ac:dyDescent="0.2">
      <c r="B6" s="26">
        <v>2</v>
      </c>
      <c r="C6" s="25">
        <f t="shared" ca="1" si="0"/>
        <v>10.313027182261299</v>
      </c>
      <c r="D6" s="25">
        <f t="shared" ca="1" si="0"/>
        <v>4.5873176486021645</v>
      </c>
      <c r="E6" s="25">
        <f t="shared" ca="1" si="0"/>
        <v>6.8572399083438658</v>
      </c>
      <c r="F6" s="25">
        <f t="shared" ca="1" si="0"/>
        <v>11.482842156962967</v>
      </c>
      <c r="G6" s="25">
        <f t="shared" ca="1" si="0"/>
        <v>10.987845858826748</v>
      </c>
    </row>
    <row r="7" spans="2:7" x14ac:dyDescent="0.2">
      <c r="B7" s="26">
        <v>3</v>
      </c>
      <c r="C7" s="25">
        <f t="shared" ca="1" si="0"/>
        <v>12.609907476759425</v>
      </c>
      <c r="D7" s="25">
        <f t="shared" ca="1" si="0"/>
        <v>8.9441750738211354</v>
      </c>
      <c r="E7" s="25">
        <f t="shared" ca="1" si="0"/>
        <v>2.5739926247441236</v>
      </c>
      <c r="F7" s="25">
        <f t="shared" ca="1" si="0"/>
        <v>15.04324453680975</v>
      </c>
      <c r="G7" s="25">
        <f t="shared" ca="1" si="0"/>
        <v>13.534608000211145</v>
      </c>
    </row>
    <row r="8" spans="2:7" x14ac:dyDescent="0.2">
      <c r="B8" s="26">
        <v>4</v>
      </c>
      <c r="C8" s="25">
        <f t="shared" ca="1" si="0"/>
        <v>1.016976346204058</v>
      </c>
      <c r="D8" s="25">
        <f t="shared" ca="1" si="0"/>
        <v>14.292466999571957</v>
      </c>
      <c r="E8" s="25">
        <f t="shared" ca="1" si="0"/>
        <v>11.801747753142264</v>
      </c>
      <c r="F8" s="25">
        <f t="shared" ca="1" si="0"/>
        <v>23.9340262716761</v>
      </c>
      <c r="G8" s="25">
        <f t="shared" ca="1" si="0"/>
        <v>32.820780756034146</v>
      </c>
    </row>
    <row r="9" spans="2:7" x14ac:dyDescent="0.2">
      <c r="B9" s="26">
        <v>5</v>
      </c>
      <c r="C9" s="25">
        <f t="shared" ca="1" si="0"/>
        <v>7.5747437867490071</v>
      </c>
      <c r="D9" s="25">
        <f t="shared" ca="1" si="0"/>
        <v>23.959683904500483</v>
      </c>
      <c r="E9" s="25">
        <f t="shared" ca="1" si="0"/>
        <v>13.804584949897833</v>
      </c>
      <c r="F9" s="25">
        <f t="shared" ca="1" si="0"/>
        <v>12.106987057040504</v>
      </c>
      <c r="G9" s="25">
        <f t="shared" ca="1" si="0"/>
        <v>18.268123614490769</v>
      </c>
    </row>
    <row r="10" spans="2:7" x14ac:dyDescent="0.2">
      <c r="B10" s="26">
        <v>6</v>
      </c>
      <c r="C10" s="25">
        <f t="shared" ca="1" si="0"/>
        <v>12.517963087693666</v>
      </c>
      <c r="D10" s="25">
        <f t="shared" ca="1" si="0"/>
        <v>11.994690543240923</v>
      </c>
      <c r="E10" s="25">
        <f t="shared" ca="1" si="0"/>
        <v>16.740355985712661</v>
      </c>
      <c r="F10" s="25">
        <f t="shared" ca="1" si="0"/>
        <v>12.194937856797727</v>
      </c>
      <c r="G10" s="25">
        <f t="shared" ca="1" si="0"/>
        <v>34.812036948856132</v>
      </c>
    </row>
    <row r="11" spans="2:7" x14ac:dyDescent="0.2">
      <c r="B11" s="26">
        <v>7</v>
      </c>
      <c r="C11" s="25">
        <f t="shared" ca="1" si="0"/>
        <v>6.3147949290736758</v>
      </c>
      <c r="D11" s="25">
        <f t="shared" ca="1" si="0"/>
        <v>19.487827197763963</v>
      </c>
      <c r="E11" s="25">
        <f t="shared" ca="1" si="0"/>
        <v>11.974483734478776</v>
      </c>
      <c r="F11" s="25">
        <f t="shared" ca="1" si="0"/>
        <v>19.914945153407196</v>
      </c>
      <c r="G11" s="25">
        <f t="shared" ca="1" si="0"/>
        <v>36.0812187139164</v>
      </c>
    </row>
    <row r="12" spans="2:7" x14ac:dyDescent="0.2">
      <c r="B12" s="26">
        <v>8</v>
      </c>
      <c r="C12" s="25">
        <f t="shared" ca="1" si="0"/>
        <v>11.728860131401728</v>
      </c>
      <c r="D12" s="25">
        <f t="shared" ca="1" si="0"/>
        <v>36.354020642724052</v>
      </c>
      <c r="E12" s="25">
        <f t="shared" ca="1" si="0"/>
        <v>14.84320004460729</v>
      </c>
      <c r="F12" s="25">
        <f t="shared" ca="1" si="0"/>
        <v>31.012725428272805</v>
      </c>
      <c r="G12" s="25">
        <f t="shared" ca="1" si="0"/>
        <v>40.401933496609438</v>
      </c>
    </row>
    <row r="13" spans="2:7" x14ac:dyDescent="0.2">
      <c r="B13" s="26">
        <v>9</v>
      </c>
      <c r="C13" s="25">
        <f t="shared" ca="1" si="0"/>
        <v>20.885868441424428</v>
      </c>
      <c r="D13" s="25">
        <f t="shared" ca="1" si="0"/>
        <v>18.747772759087482</v>
      </c>
      <c r="E13" s="25">
        <f t="shared" ca="1" si="0"/>
        <v>27.857874069144994</v>
      </c>
      <c r="F13" s="25">
        <f t="shared" ca="1" si="0"/>
        <v>36.938696889268535</v>
      </c>
      <c r="G13" s="25">
        <f t="shared" ca="1" si="0"/>
        <v>33.288137990507742</v>
      </c>
    </row>
    <row r="14" spans="2:7" x14ac:dyDescent="0.2">
      <c r="B14" s="26">
        <v>10</v>
      </c>
      <c r="C14" s="25">
        <f t="shared" ca="1" si="0"/>
        <v>18.944928680247557</v>
      </c>
      <c r="D14" s="25">
        <f t="shared" ca="1" si="0"/>
        <v>10.077827273039643</v>
      </c>
      <c r="E14" s="25">
        <f t="shared" ca="1" si="0"/>
        <v>29.991777234006463</v>
      </c>
      <c r="F14" s="25">
        <f t="shared" ca="1" si="0"/>
        <v>33.091013945796696</v>
      </c>
      <c r="G14" s="25">
        <f t="shared" ca="1" si="0"/>
        <v>39.905015513705891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6.9789876381422804</v>
      </c>
      <c r="D15" s="25">
        <f t="shared" ca="1" si="1"/>
        <v>25.275459699248756</v>
      </c>
      <c r="E15" s="25">
        <f t="shared" ca="1" si="1"/>
        <v>37.363415459056426</v>
      </c>
      <c r="F15" s="25">
        <f t="shared" ca="1" si="1"/>
        <v>58.600302557686476</v>
      </c>
      <c r="G15" s="25">
        <f t="shared" ca="1" si="1"/>
        <v>56.144571824131248</v>
      </c>
    </row>
    <row r="16" spans="2:7" x14ac:dyDescent="0.2">
      <c r="B16" s="26">
        <v>12</v>
      </c>
      <c r="C16" s="25">
        <f t="shared" ca="1" si="1"/>
        <v>14.922320503864539</v>
      </c>
      <c r="D16" s="25">
        <f t="shared" ca="1" si="1"/>
        <v>32.418222741807469</v>
      </c>
      <c r="E16" s="25">
        <f t="shared" ca="1" si="1"/>
        <v>42.750741066540236</v>
      </c>
      <c r="F16" s="25">
        <f t="shared" ca="1" si="1"/>
        <v>38.861283941966491</v>
      </c>
      <c r="G16" s="25">
        <f t="shared" ca="1" si="1"/>
        <v>60.690638716820487</v>
      </c>
    </row>
    <row r="17" spans="2:7" x14ac:dyDescent="0.2">
      <c r="B17" s="26">
        <v>13</v>
      </c>
      <c r="C17" s="25">
        <f t="shared" ca="1" si="1"/>
        <v>18.311191318286184</v>
      </c>
      <c r="D17" s="25">
        <f t="shared" ca="1" si="1"/>
        <v>30.552540935146268</v>
      </c>
      <c r="E17" s="25">
        <f t="shared" ca="1" si="1"/>
        <v>45.119719801559633</v>
      </c>
      <c r="F17" s="25">
        <f t="shared" ca="1" si="1"/>
        <v>58.698202857072559</v>
      </c>
      <c r="G17" s="25">
        <f t="shared" ca="1" si="1"/>
        <v>59.628219540614168</v>
      </c>
    </row>
    <row r="18" spans="2:7" x14ac:dyDescent="0.2">
      <c r="B18" s="26">
        <v>14</v>
      </c>
      <c r="C18" s="25">
        <f t="shared" ca="1" si="1"/>
        <v>17.002091011161028</v>
      </c>
      <c r="D18" s="25">
        <f t="shared" ca="1" si="1"/>
        <v>29.798795386135509</v>
      </c>
      <c r="E18" s="25">
        <f t="shared" ca="1" si="1"/>
        <v>40.984609160422259</v>
      </c>
      <c r="F18" s="25">
        <f t="shared" ca="1" si="1"/>
        <v>45.951272778970207</v>
      </c>
      <c r="G18" s="25">
        <f t="shared" ca="1" si="1"/>
        <v>73.877983577263592</v>
      </c>
    </row>
    <row r="19" spans="2:7" x14ac:dyDescent="0.2">
      <c r="B19" s="26">
        <v>15</v>
      </c>
      <c r="C19" s="25">
        <f t="shared" ca="1" si="1"/>
        <v>15.340731662700303</v>
      </c>
      <c r="D19" s="25">
        <f t="shared" ca="1" si="1"/>
        <v>32.261893322800496</v>
      </c>
      <c r="E19" s="25">
        <f t="shared" ca="1" si="1"/>
        <v>32.428959174017045</v>
      </c>
      <c r="F19" s="25">
        <f t="shared" ca="1" si="1"/>
        <v>49.572121158554971</v>
      </c>
      <c r="G19" s="25">
        <f t="shared" ca="1" si="1"/>
        <v>90.807021704792618</v>
      </c>
    </row>
    <row r="20" spans="2:7" x14ac:dyDescent="0.2">
      <c r="B20" s="26">
        <v>16</v>
      </c>
      <c r="C20" s="25">
        <f t="shared" ca="1" si="1"/>
        <v>24.097306298511903</v>
      </c>
      <c r="D20" s="25">
        <f t="shared" ca="1" si="1"/>
        <v>54.356047973982221</v>
      </c>
      <c r="E20" s="25">
        <f t="shared" ca="1" si="1"/>
        <v>45.812263464407195</v>
      </c>
      <c r="F20" s="25">
        <f t="shared" ca="1" si="1"/>
        <v>64.874571666218031</v>
      </c>
      <c r="G20" s="25">
        <f t="shared" ca="1" si="1"/>
        <v>66.845924270043298</v>
      </c>
    </row>
    <row r="21" spans="2:7" x14ac:dyDescent="0.2">
      <c r="B21" s="26">
        <v>17</v>
      </c>
      <c r="C21" s="25">
        <f t="shared" ca="1" si="1"/>
        <v>15.91395195002198</v>
      </c>
      <c r="D21" s="25">
        <f t="shared" ca="1" si="1"/>
        <v>41.251747533046903</v>
      </c>
      <c r="E21" s="25">
        <f t="shared" ca="1" si="1"/>
        <v>40.255465347747744</v>
      </c>
      <c r="F21" s="25">
        <f t="shared" ca="1" si="1"/>
        <v>69.891242194501089</v>
      </c>
      <c r="G21" s="25">
        <f t="shared" ca="1" si="1"/>
        <v>92.13014446316059</v>
      </c>
    </row>
    <row r="22" spans="2:7" x14ac:dyDescent="0.2">
      <c r="B22" s="26">
        <v>18</v>
      </c>
      <c r="C22" s="25">
        <f t="shared" ca="1" si="1"/>
        <v>19.537432502736504</v>
      </c>
      <c r="D22" s="25">
        <f t="shared" ca="1" si="1"/>
        <v>47.409550454268711</v>
      </c>
      <c r="E22" s="25">
        <f t="shared" ca="1" si="1"/>
        <v>52.854046011348515</v>
      </c>
      <c r="F22" s="25">
        <f t="shared" ca="1" si="1"/>
        <v>71.266811145357536</v>
      </c>
      <c r="G22" s="25">
        <f t="shared" ca="1" si="1"/>
        <v>92.904423809198121</v>
      </c>
    </row>
    <row r="23" spans="2:7" x14ac:dyDescent="0.2">
      <c r="B23" s="26">
        <v>19</v>
      </c>
      <c r="C23" s="25">
        <f t="shared" ca="1" si="1"/>
        <v>23.809989092278304</v>
      </c>
      <c r="D23" s="25">
        <f t="shared" ca="1" si="1"/>
        <v>44.806415453272606</v>
      </c>
      <c r="E23" s="25">
        <f t="shared" ca="1" si="1"/>
        <v>52.772080926808719</v>
      </c>
      <c r="F23" s="25">
        <f t="shared" ca="1" si="1"/>
        <v>75.56294857257501</v>
      </c>
      <c r="G23" s="25">
        <f t="shared" ca="1" si="1"/>
        <v>89.41362058282435</v>
      </c>
    </row>
    <row r="24" spans="2:7" x14ac:dyDescent="0.2">
      <c r="B24" s="26">
        <v>20</v>
      </c>
      <c r="C24" s="25">
        <f t="shared" ca="1" si="1"/>
        <v>15.010741465989714</v>
      </c>
      <c r="D24" s="25">
        <f t="shared" ca="1" si="1"/>
        <v>44.863495878075383</v>
      </c>
      <c r="E24" s="25">
        <f t="shared" ca="1" si="1"/>
        <v>57.966305703477786</v>
      </c>
      <c r="F24" s="25">
        <f t="shared" ca="1" si="1"/>
        <v>88.153185671327009</v>
      </c>
      <c r="G24" s="25">
        <f t="shared" ca="1" si="1"/>
        <v>92.106487342013381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18.019551495883309</v>
      </c>
      <c r="D25" s="25">
        <f t="shared" ca="1" si="2"/>
        <v>42.252940609778406</v>
      </c>
      <c r="E25" s="25">
        <f t="shared" ca="1" si="2"/>
        <v>67.174531886192952</v>
      </c>
      <c r="F25" s="25">
        <f t="shared" ca="1" si="2"/>
        <v>88.813816401201734</v>
      </c>
      <c r="G25" s="25">
        <f t="shared" ca="1" si="2"/>
        <v>108.05857327681076</v>
      </c>
    </row>
    <row r="26" spans="2:7" x14ac:dyDescent="0.2">
      <c r="B26" s="26">
        <v>22</v>
      </c>
      <c r="C26" s="25">
        <f t="shared" ca="1" si="2"/>
        <v>26.359499256088696</v>
      </c>
      <c r="D26" s="25">
        <f t="shared" ca="1" si="2"/>
        <v>38.493017436892849</v>
      </c>
      <c r="E26" s="25">
        <f t="shared" ca="1" si="2"/>
        <v>69.693247052404999</v>
      </c>
      <c r="F26" s="25">
        <f t="shared" ca="1" si="2"/>
        <v>94.648860802992644</v>
      </c>
      <c r="G26" s="25">
        <f t="shared" ca="1" si="2"/>
        <v>105.290093251204</v>
      </c>
    </row>
    <row r="27" spans="2:7" x14ac:dyDescent="0.2">
      <c r="B27" s="26">
        <v>23</v>
      </c>
      <c r="C27" s="25">
        <f t="shared" ca="1" si="2"/>
        <v>37.872165760478794</v>
      </c>
      <c r="D27" s="25">
        <f t="shared" ca="1" si="2"/>
        <v>35.741746003946645</v>
      </c>
      <c r="E27" s="25">
        <f t="shared" ca="1" si="2"/>
        <v>62.937064472320557</v>
      </c>
      <c r="F27" s="25">
        <f t="shared" ca="1" si="2"/>
        <v>93.379187569720003</v>
      </c>
      <c r="G27" s="25">
        <f t="shared" ca="1" si="2"/>
        <v>114.86208771605209</v>
      </c>
    </row>
    <row r="28" spans="2:7" x14ac:dyDescent="0.2">
      <c r="B28" s="26">
        <v>24</v>
      </c>
      <c r="C28" s="25">
        <f t="shared" ca="1" si="2"/>
        <v>32.97186966713079</v>
      </c>
      <c r="D28" s="25">
        <f t="shared" ca="1" si="2"/>
        <v>51.202601851685095</v>
      </c>
      <c r="E28" s="25">
        <f t="shared" ca="1" si="2"/>
        <v>67.551998062308769</v>
      </c>
      <c r="F28" s="25">
        <f t="shared" ca="1" si="2"/>
        <v>95.274136775316308</v>
      </c>
      <c r="G28" s="25">
        <f t="shared" ca="1" si="2"/>
        <v>122.64158182838749</v>
      </c>
    </row>
    <row r="29" spans="2:7" x14ac:dyDescent="0.2">
      <c r="B29" s="26">
        <v>25</v>
      </c>
      <c r="C29" s="25">
        <f t="shared" ca="1" si="2"/>
        <v>30.573977329788704</v>
      </c>
      <c r="D29" s="25">
        <f t="shared" ca="1" si="2"/>
        <v>56.501693411074989</v>
      </c>
      <c r="E29" s="25">
        <f t="shared" ca="1" si="2"/>
        <v>72.187014133669422</v>
      </c>
      <c r="F29" s="25">
        <f t="shared" ca="1" si="2"/>
        <v>97.056718699496315</v>
      </c>
      <c r="G29" s="25">
        <f t="shared" ca="1" si="2"/>
        <v>133.76746482473234</v>
      </c>
    </row>
    <row r="30" spans="2:7" x14ac:dyDescent="0.2">
      <c r="B30" s="26">
        <v>26</v>
      </c>
      <c r="C30" s="25">
        <f t="shared" ca="1" si="2"/>
        <v>20.311764967132678</v>
      </c>
      <c r="D30" s="25">
        <f t="shared" ca="1" si="2"/>
        <v>55.818621216930445</v>
      </c>
      <c r="E30" s="25">
        <f t="shared" ca="1" si="2"/>
        <v>73.198488809296919</v>
      </c>
      <c r="F30" s="25">
        <f t="shared" ca="1" si="2"/>
        <v>116.3422845549443</v>
      </c>
      <c r="G30" s="25">
        <f t="shared" ca="1" si="2"/>
        <v>129.28308097388071</v>
      </c>
    </row>
    <row r="31" spans="2:7" x14ac:dyDescent="0.2">
      <c r="B31" s="26">
        <v>27</v>
      </c>
      <c r="C31" s="25">
        <f t="shared" ca="1" si="2"/>
        <v>32.922806503652303</v>
      </c>
      <c r="D31" s="25">
        <f t="shared" ca="1" si="2"/>
        <v>53.816404359311925</v>
      </c>
      <c r="E31" s="25">
        <f t="shared" ca="1" si="2"/>
        <v>75.39394039360306</v>
      </c>
      <c r="F31" s="25">
        <f t="shared" ca="1" si="2"/>
        <v>108.03949259985613</v>
      </c>
      <c r="G31" s="25">
        <f t="shared" ca="1" si="2"/>
        <v>135.43583889828008</v>
      </c>
    </row>
    <row r="32" spans="2:7" x14ac:dyDescent="0.2">
      <c r="B32" s="26">
        <v>28</v>
      </c>
      <c r="C32" s="25">
        <f t="shared" ca="1" si="2"/>
        <v>26.155231518444047</v>
      </c>
      <c r="D32" s="25">
        <f t="shared" ca="1" si="2"/>
        <v>61.717800890756045</v>
      </c>
      <c r="E32" s="25">
        <f t="shared" ca="1" si="2"/>
        <v>100.23198274100139</v>
      </c>
      <c r="F32" s="25">
        <f t="shared" ca="1" si="2"/>
        <v>105.68139400789408</v>
      </c>
      <c r="G32" s="25">
        <f t="shared" ca="1" si="2"/>
        <v>131.80383413571758</v>
      </c>
    </row>
    <row r="33" spans="2:7" x14ac:dyDescent="0.2">
      <c r="B33" s="26">
        <v>29</v>
      </c>
      <c r="C33" s="25">
        <f t="shared" ca="1" si="2"/>
        <v>28.743075491648103</v>
      </c>
      <c r="D33" s="25">
        <f t="shared" ca="1" si="2"/>
        <v>70.390473907811398</v>
      </c>
      <c r="E33" s="25">
        <f t="shared" ca="1" si="2"/>
        <v>96.098360275137722</v>
      </c>
      <c r="F33" s="25">
        <f t="shared" ca="1" si="2"/>
        <v>115.14746524486843</v>
      </c>
      <c r="G33" s="25">
        <f t="shared" ca="1" si="2"/>
        <v>151.01032853667087</v>
      </c>
    </row>
    <row r="34" spans="2:7" x14ac:dyDescent="0.2">
      <c r="B34" s="26">
        <v>30</v>
      </c>
      <c r="C34" s="25">
        <f t="shared" ca="1" si="2"/>
        <v>30.312428868881312</v>
      </c>
      <c r="D34" s="25">
        <f t="shared" ca="1" si="2"/>
        <v>74.834048870350188</v>
      </c>
      <c r="E34" s="25">
        <f t="shared" ca="1" si="2"/>
        <v>92.5611402062423</v>
      </c>
      <c r="F34" s="25">
        <f t="shared" ca="1" si="2"/>
        <v>118.34021438930868</v>
      </c>
      <c r="G34" s="25">
        <f t="shared" ca="1" si="2"/>
        <v>152.68183334350678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E1425-102F-AD40-BCB2-D53BA7F0FC22}">
  <sheetPr codeName="Sheet10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8"/>
  </cols>
  <sheetData>
    <row r="2" spans="2:7" x14ac:dyDescent="0.2">
      <c r="B2" s="8" t="s">
        <v>217</v>
      </c>
      <c r="C2" s="8">
        <v>1</v>
      </c>
      <c r="D2" s="8">
        <v>2</v>
      </c>
      <c r="E2" s="8">
        <v>3</v>
      </c>
      <c r="F2" s="8">
        <v>4</v>
      </c>
      <c r="G2" s="8">
        <v>5</v>
      </c>
    </row>
    <row r="3" spans="2:7" x14ac:dyDescent="0.2">
      <c r="B3" s="8" t="s">
        <v>216</v>
      </c>
      <c r="C3" s="8">
        <v>10</v>
      </c>
      <c r="D3" s="8">
        <v>20</v>
      </c>
      <c r="E3" s="8">
        <v>30</v>
      </c>
      <c r="F3" s="8">
        <v>40</v>
      </c>
      <c r="G3" s="8">
        <v>50</v>
      </c>
    </row>
    <row r="4" spans="2:7" x14ac:dyDescent="0.2">
      <c r="B4" s="26" t="s">
        <v>215</v>
      </c>
      <c r="C4" s="26" t="s">
        <v>214</v>
      </c>
      <c r="D4" s="26" t="s">
        <v>213</v>
      </c>
      <c r="E4" s="26" t="s">
        <v>212</v>
      </c>
      <c r="F4" s="26" t="s">
        <v>211</v>
      </c>
      <c r="G4" s="26" t="s">
        <v>210</v>
      </c>
    </row>
    <row r="5" spans="2:7" x14ac:dyDescent="0.2">
      <c r="B5" s="26">
        <v>1</v>
      </c>
      <c r="C5" s="25">
        <f t="shared" ref="C5:G14" ca="1" si="0">a + b*t+_xlfn.NORM.INV(RAND(),0,SQRT(AVERAGE(b)*AVERAGE(t)))</f>
        <v>14.728588781744179</v>
      </c>
      <c r="D5" s="25">
        <f t="shared" ca="1" si="0"/>
        <v>26.000041156668846</v>
      </c>
      <c r="E5" s="25">
        <f t="shared" ca="1" si="0"/>
        <v>43.948080668086526</v>
      </c>
      <c r="F5" s="25">
        <f t="shared" ca="1" si="0"/>
        <v>52.428947729108543</v>
      </c>
      <c r="G5" s="25">
        <f t="shared" ca="1" si="0"/>
        <v>43.026646554320003</v>
      </c>
    </row>
    <row r="6" spans="2:7" x14ac:dyDescent="0.2">
      <c r="B6" s="26">
        <v>2</v>
      </c>
      <c r="C6" s="25">
        <f t="shared" ca="1" si="0"/>
        <v>12.983675048434392</v>
      </c>
      <c r="D6" s="25">
        <f t="shared" ca="1" si="0"/>
        <v>20.111412474597739</v>
      </c>
      <c r="E6" s="25">
        <f t="shared" ca="1" si="0"/>
        <v>30.8660267438548</v>
      </c>
      <c r="F6" s="25">
        <f t="shared" ca="1" si="0"/>
        <v>55.223606209865309</v>
      </c>
      <c r="G6" s="25">
        <f t="shared" ca="1" si="0"/>
        <v>77.452361596222872</v>
      </c>
    </row>
    <row r="7" spans="2:7" x14ac:dyDescent="0.2">
      <c r="B7" s="26">
        <v>3</v>
      </c>
      <c r="C7" s="25">
        <f t="shared" ca="1" si="0"/>
        <v>8.8573469691630038</v>
      </c>
      <c r="D7" s="25">
        <f t="shared" ca="1" si="0"/>
        <v>30.57007947426866</v>
      </c>
      <c r="E7" s="25">
        <f t="shared" ca="1" si="0"/>
        <v>41.402257621830906</v>
      </c>
      <c r="F7" s="25">
        <f t="shared" ca="1" si="0"/>
        <v>60.848479824664864</v>
      </c>
      <c r="G7" s="25">
        <f t="shared" ca="1" si="0"/>
        <v>72.076264640131711</v>
      </c>
    </row>
    <row r="8" spans="2:7" x14ac:dyDescent="0.2">
      <c r="B8" s="26">
        <v>4</v>
      </c>
      <c r="C8" s="25">
        <f t="shared" ca="1" si="0"/>
        <v>10.272497669264062</v>
      </c>
      <c r="D8" s="25">
        <f t="shared" ca="1" si="0"/>
        <v>26.099176151970628</v>
      </c>
      <c r="E8" s="25">
        <f t="shared" ca="1" si="0"/>
        <v>54.33456058344575</v>
      </c>
      <c r="F8" s="25">
        <f t="shared" ca="1" si="0"/>
        <v>50.950721316190354</v>
      </c>
      <c r="G8" s="25">
        <f t="shared" ca="1" si="0"/>
        <v>78.551507998366972</v>
      </c>
    </row>
    <row r="9" spans="2:7" x14ac:dyDescent="0.2">
      <c r="B9" s="26">
        <v>5</v>
      </c>
      <c r="C9" s="25">
        <f t="shared" ca="1" si="0"/>
        <v>6.7334775050623499</v>
      </c>
      <c r="D9" s="25">
        <f t="shared" ca="1" si="0"/>
        <v>30.07043784959291</v>
      </c>
      <c r="E9" s="25">
        <f t="shared" ca="1" si="0"/>
        <v>36.288103326414948</v>
      </c>
      <c r="F9" s="25">
        <f t="shared" ca="1" si="0"/>
        <v>61.325617627453106</v>
      </c>
      <c r="G9" s="25">
        <f t="shared" ca="1" si="0"/>
        <v>77.119784076275181</v>
      </c>
    </row>
    <row r="10" spans="2:7" x14ac:dyDescent="0.2">
      <c r="B10" s="26">
        <v>6</v>
      </c>
      <c r="C10" s="25">
        <f t="shared" ca="1" si="0"/>
        <v>18.926651220505924</v>
      </c>
      <c r="D10" s="25">
        <f t="shared" ca="1" si="0"/>
        <v>43.831803560788103</v>
      </c>
      <c r="E10" s="25">
        <f t="shared" ca="1" si="0"/>
        <v>35.607753338129022</v>
      </c>
      <c r="F10" s="25">
        <f t="shared" ca="1" si="0"/>
        <v>67.192548057516333</v>
      </c>
      <c r="G10" s="25">
        <f t="shared" ca="1" si="0"/>
        <v>71.607755620194695</v>
      </c>
    </row>
    <row r="11" spans="2:7" x14ac:dyDescent="0.2">
      <c r="B11" s="26">
        <v>7</v>
      </c>
      <c r="C11" s="25">
        <f t="shared" ca="1" si="0"/>
        <v>20.349288500759368</v>
      </c>
      <c r="D11" s="25">
        <f t="shared" ca="1" si="0"/>
        <v>27.341841025951542</v>
      </c>
      <c r="E11" s="25">
        <f t="shared" ca="1" si="0"/>
        <v>56.210151082631853</v>
      </c>
      <c r="F11" s="25">
        <f t="shared" ca="1" si="0"/>
        <v>71.623011541725376</v>
      </c>
      <c r="G11" s="25">
        <f t="shared" ca="1" si="0"/>
        <v>89.455414507572002</v>
      </c>
    </row>
    <row r="12" spans="2:7" x14ac:dyDescent="0.2">
      <c r="B12" s="26">
        <v>8</v>
      </c>
      <c r="C12" s="25">
        <f t="shared" ca="1" si="0"/>
        <v>18.845864605394304</v>
      </c>
      <c r="D12" s="25">
        <f t="shared" ca="1" si="0"/>
        <v>31.213773542566418</v>
      </c>
      <c r="E12" s="25">
        <f t="shared" ca="1" si="0"/>
        <v>60.813321024921429</v>
      </c>
      <c r="F12" s="25">
        <f t="shared" ca="1" si="0"/>
        <v>76.715697095652544</v>
      </c>
      <c r="G12" s="25">
        <f t="shared" ca="1" si="0"/>
        <v>88.697527208500034</v>
      </c>
    </row>
    <row r="13" spans="2:7" x14ac:dyDescent="0.2">
      <c r="B13" s="26">
        <v>9</v>
      </c>
      <c r="C13" s="25">
        <f t="shared" ca="1" si="0"/>
        <v>16.306360771123408</v>
      </c>
      <c r="D13" s="25">
        <f t="shared" ca="1" si="0"/>
        <v>28.778991448461746</v>
      </c>
      <c r="E13" s="25">
        <f t="shared" ca="1" si="0"/>
        <v>59.90008569213731</v>
      </c>
      <c r="F13" s="25">
        <f t="shared" ca="1" si="0"/>
        <v>76.587098089693427</v>
      </c>
      <c r="G13" s="25">
        <f t="shared" ca="1" si="0"/>
        <v>85.835417558871299</v>
      </c>
    </row>
    <row r="14" spans="2:7" x14ac:dyDescent="0.2">
      <c r="B14" s="26">
        <v>10</v>
      </c>
      <c r="C14" s="25">
        <f t="shared" ca="1" si="0"/>
        <v>23.595116110084035</v>
      </c>
      <c r="D14" s="25">
        <f t="shared" ca="1" si="0"/>
        <v>42.855450161550117</v>
      </c>
      <c r="E14" s="25">
        <f t="shared" ca="1" si="0"/>
        <v>62.339119503932203</v>
      </c>
      <c r="F14" s="25">
        <f t="shared" ca="1" si="0"/>
        <v>91.966617820646547</v>
      </c>
      <c r="G14" s="25">
        <f t="shared" ca="1" si="0"/>
        <v>89.400318173572131</v>
      </c>
    </row>
    <row r="15" spans="2:7" x14ac:dyDescent="0.2">
      <c r="B15" s="26">
        <v>11</v>
      </c>
      <c r="C15" s="25">
        <f t="shared" ref="C15:G24" ca="1" si="1">a + b*t+_xlfn.NORM.INV(RAND(),0,SQRT(AVERAGE(b)*AVERAGE(t)))</f>
        <v>21.583827884157909</v>
      </c>
      <c r="D15" s="25">
        <f t="shared" ca="1" si="1"/>
        <v>35.237084234426582</v>
      </c>
      <c r="E15" s="25">
        <f t="shared" ca="1" si="1"/>
        <v>66.490885973119418</v>
      </c>
      <c r="F15" s="25">
        <f t="shared" ca="1" si="1"/>
        <v>82.329204389641362</v>
      </c>
      <c r="G15" s="25">
        <f t="shared" ca="1" si="1"/>
        <v>119.31031106917426</v>
      </c>
    </row>
    <row r="16" spans="2:7" x14ac:dyDescent="0.2">
      <c r="B16" s="26">
        <v>12</v>
      </c>
      <c r="C16" s="25">
        <f t="shared" ca="1" si="1"/>
        <v>17.436509255731583</v>
      </c>
      <c r="D16" s="25">
        <f t="shared" ca="1" si="1"/>
        <v>40.958329800394374</v>
      </c>
      <c r="E16" s="25">
        <f t="shared" ca="1" si="1"/>
        <v>47.381411504514588</v>
      </c>
      <c r="F16" s="25">
        <f t="shared" ca="1" si="1"/>
        <v>85.949679998271421</v>
      </c>
      <c r="G16" s="25">
        <f t="shared" ca="1" si="1"/>
        <v>104.71971184903893</v>
      </c>
    </row>
    <row r="17" spans="2:7" x14ac:dyDescent="0.2">
      <c r="B17" s="26">
        <v>13</v>
      </c>
      <c r="C17" s="25">
        <f t="shared" ca="1" si="1"/>
        <v>18.607905872983309</v>
      </c>
      <c r="D17" s="25">
        <f t="shared" ca="1" si="1"/>
        <v>44.197117747425374</v>
      </c>
      <c r="E17" s="25">
        <f t="shared" ca="1" si="1"/>
        <v>69.779817404311586</v>
      </c>
      <c r="F17" s="25">
        <f t="shared" ca="1" si="1"/>
        <v>87.898585318806738</v>
      </c>
      <c r="G17" s="25">
        <f t="shared" ca="1" si="1"/>
        <v>99.838144127961598</v>
      </c>
    </row>
    <row r="18" spans="2:7" x14ac:dyDescent="0.2">
      <c r="B18" s="26">
        <v>14</v>
      </c>
      <c r="C18" s="25">
        <f t="shared" ca="1" si="1"/>
        <v>24.925719339915837</v>
      </c>
      <c r="D18" s="25">
        <f t="shared" ca="1" si="1"/>
        <v>45.036621654387211</v>
      </c>
      <c r="E18" s="25">
        <f t="shared" ca="1" si="1"/>
        <v>76.892969749342015</v>
      </c>
      <c r="F18" s="25">
        <f t="shared" ca="1" si="1"/>
        <v>98.057107791724761</v>
      </c>
      <c r="G18" s="25">
        <f t="shared" ca="1" si="1"/>
        <v>115.88449005657397</v>
      </c>
    </row>
    <row r="19" spans="2:7" x14ac:dyDescent="0.2">
      <c r="B19" s="26">
        <v>15</v>
      </c>
      <c r="C19" s="25">
        <f t="shared" ca="1" si="1"/>
        <v>26.889982206990222</v>
      </c>
      <c r="D19" s="25">
        <f t="shared" ca="1" si="1"/>
        <v>40.999411412061008</v>
      </c>
      <c r="E19" s="25">
        <f t="shared" ca="1" si="1"/>
        <v>68.026285776103705</v>
      </c>
      <c r="F19" s="25">
        <f t="shared" ca="1" si="1"/>
        <v>111.60676524043369</v>
      </c>
      <c r="G19" s="25">
        <f t="shared" ca="1" si="1"/>
        <v>117.5055480247218</v>
      </c>
    </row>
    <row r="20" spans="2:7" x14ac:dyDescent="0.2">
      <c r="B20" s="26">
        <v>16</v>
      </c>
      <c r="C20" s="25">
        <f t="shared" ca="1" si="1"/>
        <v>36.437354855599395</v>
      </c>
      <c r="D20" s="25">
        <f t="shared" ca="1" si="1"/>
        <v>56.141204310678255</v>
      </c>
      <c r="E20" s="25">
        <f t="shared" ca="1" si="1"/>
        <v>78.085548982067024</v>
      </c>
      <c r="F20" s="25">
        <f t="shared" ca="1" si="1"/>
        <v>107.70551875015971</v>
      </c>
      <c r="G20" s="25">
        <f t="shared" ca="1" si="1"/>
        <v>124.88500906177889</v>
      </c>
    </row>
    <row r="21" spans="2:7" x14ac:dyDescent="0.2">
      <c r="B21" s="26">
        <v>17</v>
      </c>
      <c r="C21" s="25">
        <f t="shared" ca="1" si="1"/>
        <v>33.352307552480731</v>
      </c>
      <c r="D21" s="25">
        <f t="shared" ca="1" si="1"/>
        <v>62.834715725866218</v>
      </c>
      <c r="E21" s="25">
        <f t="shared" ca="1" si="1"/>
        <v>79.648110596992581</v>
      </c>
      <c r="F21" s="25">
        <f t="shared" ca="1" si="1"/>
        <v>110.83366968104151</v>
      </c>
      <c r="G21" s="25">
        <f t="shared" ca="1" si="1"/>
        <v>132.25551932701063</v>
      </c>
    </row>
    <row r="22" spans="2:7" x14ac:dyDescent="0.2">
      <c r="B22" s="26">
        <v>18</v>
      </c>
      <c r="C22" s="25">
        <f t="shared" ca="1" si="1"/>
        <v>30.990723913773007</v>
      </c>
      <c r="D22" s="25">
        <f t="shared" ca="1" si="1"/>
        <v>45.218878234320925</v>
      </c>
      <c r="E22" s="25">
        <f t="shared" ca="1" si="1"/>
        <v>79.047493953539501</v>
      </c>
      <c r="F22" s="25">
        <f t="shared" ca="1" si="1"/>
        <v>124.86867453763927</v>
      </c>
      <c r="G22" s="25">
        <f t="shared" ca="1" si="1"/>
        <v>137.9820507089151</v>
      </c>
    </row>
    <row r="23" spans="2:7" x14ac:dyDescent="0.2">
      <c r="B23" s="26">
        <v>19</v>
      </c>
      <c r="C23" s="25">
        <f t="shared" ca="1" si="1"/>
        <v>28.557947694099049</v>
      </c>
      <c r="D23" s="25">
        <f t="shared" ca="1" si="1"/>
        <v>59.59899077359934</v>
      </c>
      <c r="E23" s="25">
        <f t="shared" ca="1" si="1"/>
        <v>78.603550740970633</v>
      </c>
      <c r="F23" s="25">
        <f t="shared" ca="1" si="1"/>
        <v>113.94447815913531</v>
      </c>
      <c r="G23" s="25">
        <f t="shared" ca="1" si="1"/>
        <v>149.69364203509824</v>
      </c>
    </row>
    <row r="24" spans="2:7" x14ac:dyDescent="0.2">
      <c r="B24" s="26">
        <v>20</v>
      </c>
      <c r="C24" s="25">
        <f t="shared" ca="1" si="1"/>
        <v>20.907931169993255</v>
      </c>
      <c r="D24" s="25">
        <f t="shared" ca="1" si="1"/>
        <v>67.964530483865445</v>
      </c>
      <c r="E24" s="25">
        <f t="shared" ca="1" si="1"/>
        <v>98.95497219576221</v>
      </c>
      <c r="F24" s="25">
        <f t="shared" ca="1" si="1"/>
        <v>121.10251120093228</v>
      </c>
      <c r="G24" s="25">
        <f t="shared" ca="1" si="1"/>
        <v>141.09153282167946</v>
      </c>
    </row>
    <row r="25" spans="2:7" x14ac:dyDescent="0.2">
      <c r="B25" s="26">
        <v>21</v>
      </c>
      <c r="C25" s="25">
        <f t="shared" ref="C25:G34" ca="1" si="2">a + b*t+_xlfn.NORM.INV(RAND(),0,SQRT(AVERAGE(b)*AVERAGE(t)))</f>
        <v>32.843958335383348</v>
      </c>
      <c r="D25" s="25">
        <f t="shared" ca="1" si="2"/>
        <v>72.408972063542265</v>
      </c>
      <c r="E25" s="25">
        <f t="shared" ca="1" si="2"/>
        <v>94.051121518292817</v>
      </c>
      <c r="F25" s="25">
        <f t="shared" ca="1" si="2"/>
        <v>127.90887369033197</v>
      </c>
      <c r="G25" s="25">
        <f t="shared" ca="1" si="2"/>
        <v>166.28129475069682</v>
      </c>
    </row>
    <row r="26" spans="2:7" x14ac:dyDescent="0.2">
      <c r="B26" s="26">
        <v>22</v>
      </c>
      <c r="C26" s="25">
        <f t="shared" ca="1" si="2"/>
        <v>43.685843750841713</v>
      </c>
      <c r="D26" s="25">
        <f t="shared" ca="1" si="2"/>
        <v>71.356795802378102</v>
      </c>
      <c r="E26" s="25">
        <f t="shared" ca="1" si="2"/>
        <v>102.58365508119589</v>
      </c>
      <c r="F26" s="25">
        <f t="shared" ca="1" si="2"/>
        <v>127.12551524811668</v>
      </c>
      <c r="G26" s="25">
        <f t="shared" ca="1" si="2"/>
        <v>159.5032607124931</v>
      </c>
    </row>
    <row r="27" spans="2:7" x14ac:dyDescent="0.2">
      <c r="B27" s="26">
        <v>23</v>
      </c>
      <c r="C27" s="25">
        <f t="shared" ca="1" si="2"/>
        <v>28.301035885467137</v>
      </c>
      <c r="D27" s="25">
        <f t="shared" ca="1" si="2"/>
        <v>60.86847881109302</v>
      </c>
      <c r="E27" s="25">
        <f t="shared" ca="1" si="2"/>
        <v>103.35534997772807</v>
      </c>
      <c r="F27" s="25">
        <f t="shared" ca="1" si="2"/>
        <v>137.80373396353116</v>
      </c>
      <c r="G27" s="25">
        <f t="shared" ca="1" si="2"/>
        <v>177.2420048055298</v>
      </c>
    </row>
    <row r="28" spans="2:7" x14ac:dyDescent="0.2">
      <c r="B28" s="26">
        <v>24</v>
      </c>
      <c r="C28" s="25">
        <f t="shared" ca="1" si="2"/>
        <v>44.891528645396498</v>
      </c>
      <c r="D28" s="25">
        <f t="shared" ca="1" si="2"/>
        <v>59.552547820012791</v>
      </c>
      <c r="E28" s="25">
        <f t="shared" ca="1" si="2"/>
        <v>95.77036000648215</v>
      </c>
      <c r="F28" s="25">
        <f t="shared" ca="1" si="2"/>
        <v>120.0865917688546</v>
      </c>
      <c r="G28" s="25">
        <f t="shared" ca="1" si="2"/>
        <v>165.87062398507848</v>
      </c>
    </row>
    <row r="29" spans="2:7" x14ac:dyDescent="0.2">
      <c r="B29" s="26">
        <v>25</v>
      </c>
      <c r="C29" s="25">
        <f t="shared" ca="1" si="2"/>
        <v>49.568168128172218</v>
      </c>
      <c r="D29" s="25">
        <f t="shared" ca="1" si="2"/>
        <v>65.372134388474848</v>
      </c>
      <c r="E29" s="25">
        <f t="shared" ca="1" si="2"/>
        <v>101.21733578350992</v>
      </c>
      <c r="F29" s="25">
        <f t="shared" ca="1" si="2"/>
        <v>147.02234428079069</v>
      </c>
      <c r="G29" s="25">
        <f t="shared" ca="1" si="2"/>
        <v>169.76663873626362</v>
      </c>
    </row>
    <row r="30" spans="2:7" x14ac:dyDescent="0.2">
      <c r="B30" s="26">
        <v>26</v>
      </c>
      <c r="C30" s="25">
        <f t="shared" ca="1" si="2"/>
        <v>42.106158206987203</v>
      </c>
      <c r="D30" s="25">
        <f t="shared" ca="1" si="2"/>
        <v>61.074111767697438</v>
      </c>
      <c r="E30" s="25">
        <f t="shared" ca="1" si="2"/>
        <v>100.66991788910055</v>
      </c>
      <c r="F30" s="25">
        <f t="shared" ca="1" si="2"/>
        <v>133.20718707326228</v>
      </c>
      <c r="G30" s="25">
        <f t="shared" ca="1" si="2"/>
        <v>187.66879841468182</v>
      </c>
    </row>
    <row r="31" spans="2:7" x14ac:dyDescent="0.2">
      <c r="B31" s="26">
        <v>27</v>
      </c>
      <c r="C31" s="25">
        <f t="shared" ca="1" si="2"/>
        <v>35.166668104912361</v>
      </c>
      <c r="D31" s="25">
        <f t="shared" ca="1" si="2"/>
        <v>75.227292931256684</v>
      </c>
      <c r="E31" s="25">
        <f t="shared" ca="1" si="2"/>
        <v>114.65509968325807</v>
      </c>
      <c r="F31" s="25">
        <f t="shared" ca="1" si="2"/>
        <v>158.67673541723306</v>
      </c>
      <c r="G31" s="25">
        <f t="shared" ca="1" si="2"/>
        <v>196.19510171324958</v>
      </c>
    </row>
    <row r="32" spans="2:7" x14ac:dyDescent="0.2">
      <c r="B32" s="26">
        <v>28</v>
      </c>
      <c r="C32" s="25">
        <f t="shared" ca="1" si="2"/>
        <v>44.407119378428142</v>
      </c>
      <c r="D32" s="25">
        <f t="shared" ca="1" si="2"/>
        <v>78.102080948005622</v>
      </c>
      <c r="E32" s="25">
        <f t="shared" ca="1" si="2"/>
        <v>125.67626541308128</v>
      </c>
      <c r="F32" s="25">
        <f t="shared" ca="1" si="2"/>
        <v>155.25279234240529</v>
      </c>
      <c r="G32" s="25">
        <f t="shared" ca="1" si="2"/>
        <v>192.27927187162692</v>
      </c>
    </row>
    <row r="33" spans="2:7" x14ac:dyDescent="0.2">
      <c r="B33" s="26">
        <v>29</v>
      </c>
      <c r="C33" s="25">
        <f t="shared" ca="1" si="2"/>
        <v>38.357420365490633</v>
      </c>
      <c r="D33" s="25">
        <f t="shared" ca="1" si="2"/>
        <v>65.538027955935235</v>
      </c>
      <c r="E33" s="25">
        <f t="shared" ca="1" si="2"/>
        <v>124.48800808691698</v>
      </c>
      <c r="F33" s="25">
        <f t="shared" ca="1" si="2"/>
        <v>148.85181497247666</v>
      </c>
      <c r="G33" s="25">
        <f t="shared" ca="1" si="2"/>
        <v>185.86751654140011</v>
      </c>
    </row>
    <row r="34" spans="2:7" x14ac:dyDescent="0.2">
      <c r="B34" s="26">
        <v>30</v>
      </c>
      <c r="C34" s="25">
        <f t="shared" ca="1" si="2"/>
        <v>41.366696744350484</v>
      </c>
      <c r="D34" s="25">
        <f t="shared" ca="1" si="2"/>
        <v>80.837651749402141</v>
      </c>
      <c r="E34" s="25">
        <f t="shared" ca="1" si="2"/>
        <v>117.00199590034627</v>
      </c>
      <c r="F34" s="25">
        <f t="shared" ca="1" si="2"/>
        <v>170.21953444062495</v>
      </c>
      <c r="G34" s="25">
        <f t="shared" ca="1" si="2"/>
        <v>191.74971715566264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915F7-576F-2B4C-8947-D211CBB5E2B7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AFF89-3BDD-8548-B249-A192766FB9B4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7C4B0-9D61-FA43-9E2D-37DFACA1DB98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C3382-4104-5C4E-BE0D-BB30DCBCC393}">
  <sheetPr codeName="Sheet3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8FF7C-34EA-D746-90BD-EB1BEBC4F9E2}">
  <sheetPr codeName="Sheet31">
    <tabColor rgb="FF002060"/>
  </sheetPr>
  <dimension ref="A1:A6"/>
  <sheetViews>
    <sheetView workbookViewId="0"/>
  </sheetViews>
  <sheetFormatPr baseColWidth="10" defaultRowHeight="21" x14ac:dyDescent="0.25"/>
  <cols>
    <col min="1" max="2" width="10.83203125" style="5"/>
    <col min="3" max="3" width="15.6640625" style="5" bestFit="1" customWidth="1"/>
    <col min="4" max="4" width="12.1640625" style="5" bestFit="1" customWidth="1"/>
    <col min="5" max="16384" width="10.83203125" style="5"/>
  </cols>
  <sheetData>
    <row r="1" spans="1:1" x14ac:dyDescent="0.25">
      <c r="A1" s="5" t="s">
        <v>222</v>
      </c>
    </row>
    <row r="2" spans="1:1" x14ac:dyDescent="0.25">
      <c r="A2" s="5" t="s">
        <v>185</v>
      </c>
    </row>
    <row r="3" spans="1:1" x14ac:dyDescent="0.25">
      <c r="A3" s="5" t="s">
        <v>221</v>
      </c>
    </row>
    <row r="4" spans="1:1" x14ac:dyDescent="0.25">
      <c r="A4" s="5" t="s">
        <v>220</v>
      </c>
    </row>
    <row r="5" spans="1:1" x14ac:dyDescent="0.25">
      <c r="A5" s="5" t="s">
        <v>219</v>
      </c>
    </row>
    <row r="6" spans="1:1" x14ac:dyDescent="0.25">
      <c r="A6" s="5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2D81D-5C3F-4341-B864-7BAAD0872C78}">
  <sheetPr codeName="Sheet32">
    <tabColor rgb="FFC00000"/>
  </sheetPr>
  <dimension ref="B2:E27"/>
  <sheetViews>
    <sheetView topLeftCell="B1"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5" x14ac:dyDescent="0.25">
      <c r="B2" s="5" t="s">
        <v>222</v>
      </c>
    </row>
    <row r="3" spans="2:5" x14ac:dyDescent="0.25">
      <c r="B3" s="6" t="s">
        <v>225</v>
      </c>
      <c r="C3" s="6"/>
    </row>
    <row r="4" spans="2:5" x14ac:dyDescent="0.25">
      <c r="B4" s="5" t="s">
        <v>224</v>
      </c>
    </row>
    <row r="5" spans="2:5" x14ac:dyDescent="0.25">
      <c r="B5" s="5" t="s">
        <v>223</v>
      </c>
    </row>
    <row r="7" spans="2:5" x14ac:dyDescent="0.25">
      <c r="B7" s="7" t="s">
        <v>9</v>
      </c>
      <c r="C7" s="7" t="s">
        <v>10</v>
      </c>
      <c r="E7" s="7" t="s">
        <v>222</v>
      </c>
    </row>
    <row r="8" spans="2:5" x14ac:dyDescent="0.25">
      <c r="B8" s="5" t="s">
        <v>11</v>
      </c>
      <c r="C8" s="5" t="s">
        <v>11</v>
      </c>
      <c r="E8" s="5" cm="1">
        <f t="array" ref="E8">SUM((B8:B27=C8:C27)*(C8:C27="Sick"))/SUM((C8:C27="Sick")*1)</f>
        <v>0.66666666666666663</v>
      </c>
    </row>
    <row r="9" spans="2:5" x14ac:dyDescent="0.25">
      <c r="B9" s="5" t="s">
        <v>12</v>
      </c>
      <c r="C9" s="5" t="s">
        <v>11</v>
      </c>
    </row>
    <row r="10" spans="2:5" x14ac:dyDescent="0.25">
      <c r="B10" s="5" t="s">
        <v>12</v>
      </c>
      <c r="C10" s="5" t="s">
        <v>11</v>
      </c>
    </row>
    <row r="11" spans="2:5" x14ac:dyDescent="0.25">
      <c r="B11" s="5" t="s">
        <v>12</v>
      </c>
      <c r="C11" s="5" t="s">
        <v>12</v>
      </c>
    </row>
    <row r="12" spans="2:5" x14ac:dyDescent="0.25">
      <c r="B12" s="5" t="s">
        <v>11</v>
      </c>
      <c r="C12" s="5" t="s">
        <v>12</v>
      </c>
    </row>
    <row r="13" spans="2:5" x14ac:dyDescent="0.25">
      <c r="B13" s="5" t="s">
        <v>12</v>
      </c>
      <c r="C13" s="5" t="s">
        <v>12</v>
      </c>
    </row>
    <row r="14" spans="2:5" x14ac:dyDescent="0.25">
      <c r="B14" s="5" t="s">
        <v>11</v>
      </c>
      <c r="C14" s="5" t="s">
        <v>11</v>
      </c>
    </row>
    <row r="15" spans="2:5" x14ac:dyDescent="0.25">
      <c r="B15" s="5" t="s">
        <v>12</v>
      </c>
      <c r="C15" s="5" t="s">
        <v>12</v>
      </c>
    </row>
    <row r="16" spans="2:5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11</v>
      </c>
      <c r="C27" s="5" t="s">
        <v>11</v>
      </c>
    </row>
  </sheetData>
  <hyperlinks>
    <hyperlink ref="B3" r:id="rId1" xr:uid="{319662B4-2618-ED4B-BA39-563B921AE1BE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3CF7-7360-994A-9F98-E367897BBFFD}">
  <sheetPr codeName="Sheet33">
    <tabColor rgb="FFC00000"/>
  </sheetPr>
  <dimension ref="B2:K27"/>
  <sheetViews>
    <sheetView workbookViewId="0"/>
  </sheetViews>
  <sheetFormatPr baseColWidth="10" defaultRowHeight="21" x14ac:dyDescent="0.25"/>
  <cols>
    <col min="1" max="1" width="10.83203125" style="5"/>
    <col min="2" max="2" width="15.6640625" style="5" bestFit="1" customWidth="1"/>
    <col min="3" max="3" width="12.1640625" style="5" bestFit="1" customWidth="1"/>
    <col min="4" max="7" width="10.83203125" style="5"/>
    <col min="8" max="8" width="15.6640625" style="5" bestFit="1" customWidth="1"/>
    <col min="9" max="9" width="12.1640625" style="5" bestFit="1" customWidth="1"/>
    <col min="10" max="16384" width="10.83203125" style="5"/>
  </cols>
  <sheetData>
    <row r="2" spans="2:11" x14ac:dyDescent="0.25">
      <c r="B2" s="5" t="s">
        <v>185</v>
      </c>
    </row>
    <row r="3" spans="2:11" x14ac:dyDescent="0.25">
      <c r="B3" s="6" t="s">
        <v>187</v>
      </c>
      <c r="C3" s="6"/>
    </row>
    <row r="4" spans="2:11" x14ac:dyDescent="0.25">
      <c r="B4" s="5" t="s">
        <v>188</v>
      </c>
    </row>
    <row r="5" spans="2:11" x14ac:dyDescent="0.25">
      <c r="B5" s="5" t="s">
        <v>189</v>
      </c>
    </row>
    <row r="7" spans="2:11" x14ac:dyDescent="0.25">
      <c r="B7" s="7" t="s">
        <v>9</v>
      </c>
      <c r="C7" s="7" t="s">
        <v>10</v>
      </c>
      <c r="E7" s="7" t="s">
        <v>185</v>
      </c>
    </row>
    <row r="8" spans="2:11" x14ac:dyDescent="0.25">
      <c r="B8" s="5" t="s">
        <v>11</v>
      </c>
      <c r="C8" s="5" t="s">
        <v>11</v>
      </c>
      <c r="E8" s="5" cm="1">
        <f t="array" ref="E8">SUM((B8:B27=C8:C27)*(C8:C27="Healthy"))/SUM((C8:C27="Healthy")*1)</f>
        <v>0.77777777777777779</v>
      </c>
    </row>
    <row r="9" spans="2:11" x14ac:dyDescent="0.25">
      <c r="B9" s="5" t="s">
        <v>12</v>
      </c>
      <c r="C9" s="5" t="s">
        <v>11</v>
      </c>
    </row>
    <row r="10" spans="2:11" x14ac:dyDescent="0.25">
      <c r="B10" s="5" t="s">
        <v>11</v>
      </c>
      <c r="C10" s="5" t="s">
        <v>11</v>
      </c>
    </row>
    <row r="11" spans="2:11" x14ac:dyDescent="0.25">
      <c r="B11" s="5" t="s">
        <v>12</v>
      </c>
      <c r="C11" s="5" t="s">
        <v>12</v>
      </c>
      <c r="K11" s="5" t="s">
        <v>193</v>
      </c>
    </row>
    <row r="12" spans="2:11" x14ac:dyDescent="0.25">
      <c r="B12" s="5" t="s">
        <v>11</v>
      </c>
      <c r="C12" s="5" t="s">
        <v>12</v>
      </c>
    </row>
    <row r="13" spans="2:11" x14ac:dyDescent="0.25">
      <c r="B13" s="5" t="s">
        <v>12</v>
      </c>
      <c r="C13" s="5" t="s">
        <v>12</v>
      </c>
    </row>
    <row r="14" spans="2:11" x14ac:dyDescent="0.25">
      <c r="B14" s="5" t="s">
        <v>11</v>
      </c>
      <c r="C14" s="5" t="s">
        <v>11</v>
      </c>
    </row>
    <row r="15" spans="2:11" x14ac:dyDescent="0.25">
      <c r="B15" s="5" t="s">
        <v>12</v>
      </c>
      <c r="C15" s="5" t="s">
        <v>12</v>
      </c>
    </row>
    <row r="16" spans="2:11" x14ac:dyDescent="0.25">
      <c r="B16" s="5" t="s">
        <v>11</v>
      </c>
      <c r="C16" s="5" t="s">
        <v>11</v>
      </c>
    </row>
    <row r="17" spans="2:3" x14ac:dyDescent="0.25">
      <c r="B17" s="5" t="s">
        <v>12</v>
      </c>
      <c r="C17" s="5" t="s">
        <v>11</v>
      </c>
    </row>
    <row r="18" spans="2:3" x14ac:dyDescent="0.25">
      <c r="B18" s="5" t="s">
        <v>11</v>
      </c>
      <c r="C18" s="5" t="s">
        <v>11</v>
      </c>
    </row>
    <row r="19" spans="2:3" x14ac:dyDescent="0.25">
      <c r="B19" s="5" t="s">
        <v>11</v>
      </c>
      <c r="C19" s="5" t="s">
        <v>11</v>
      </c>
    </row>
    <row r="20" spans="2:3" x14ac:dyDescent="0.25">
      <c r="B20" s="5" t="s">
        <v>11</v>
      </c>
      <c r="C20" s="5" t="s">
        <v>12</v>
      </c>
    </row>
    <row r="21" spans="2:3" x14ac:dyDescent="0.25">
      <c r="B21" s="5" t="s">
        <v>12</v>
      </c>
      <c r="C21" s="5" t="s">
        <v>12</v>
      </c>
    </row>
    <row r="22" spans="2:3" x14ac:dyDescent="0.25">
      <c r="B22" s="5" t="s">
        <v>12</v>
      </c>
      <c r="C22" s="5" t="s">
        <v>11</v>
      </c>
    </row>
    <row r="23" spans="2:3" x14ac:dyDescent="0.25">
      <c r="B23" s="5" t="s">
        <v>11</v>
      </c>
      <c r="C23" s="5" t="s">
        <v>11</v>
      </c>
    </row>
    <row r="24" spans="2:3" x14ac:dyDescent="0.25">
      <c r="B24" s="5" t="s">
        <v>12</v>
      </c>
      <c r="C24" s="5" t="s">
        <v>12</v>
      </c>
    </row>
    <row r="25" spans="2:3" x14ac:dyDescent="0.25">
      <c r="B25" s="5" t="s">
        <v>12</v>
      </c>
      <c r="C25" s="5" t="s">
        <v>12</v>
      </c>
    </row>
    <row r="26" spans="2:3" x14ac:dyDescent="0.25">
      <c r="B26" s="5" t="s">
        <v>11</v>
      </c>
      <c r="C26" s="5" t="s">
        <v>11</v>
      </c>
    </row>
    <row r="27" spans="2:3" x14ac:dyDescent="0.25">
      <c r="B27" s="5" t="s">
        <v>12</v>
      </c>
      <c r="C27" s="5" t="s">
        <v>12</v>
      </c>
    </row>
  </sheetData>
  <hyperlinks>
    <hyperlink ref="B3" r:id="rId1" xr:uid="{3A288EAF-BB22-6A4C-AA07-FE4A9D89FE5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39FCA-E055-B04A-97BB-901107AAD899}">
  <sheetPr codeName="Sheet34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27"/>
    <col min="12" max="16384" width="10.83203125" style="2"/>
  </cols>
  <sheetData>
    <row r="2" spans="1:11" x14ac:dyDescent="0.2">
      <c r="B2" s="27" t="s">
        <v>231</v>
      </c>
      <c r="C2" s="27" t="s">
        <v>10</v>
      </c>
      <c r="J2" s="30" t="s">
        <v>228</v>
      </c>
      <c r="K2" s="30" t="s">
        <v>229</v>
      </c>
    </row>
    <row r="3" spans="1:11" x14ac:dyDescent="0.2">
      <c r="A3" s="27">
        <v>1</v>
      </c>
      <c r="B3" s="27">
        <f t="shared" ref="B3:B66" ca="1" si="0">IF(C3="Bomb",_xlfn.NORM.INV(RAND(),0.7,0.1),_xlfn.NORM.INV(RAND(),0.6,0.15))</f>
        <v>0.51672574112773284</v>
      </c>
      <c r="C3" s="27" t="str">
        <f ca="1">IF(RAND()&lt;0.5,"Bomb","Bird")</f>
        <v>Bird</v>
      </c>
      <c r="E3" s="27" t="s">
        <v>230</v>
      </c>
      <c r="J3" s="28">
        <f ca="1">F7</f>
        <v>0</v>
      </c>
      <c r="K3" s="28">
        <f ca="1">E7</f>
        <v>1</v>
      </c>
    </row>
    <row r="4" spans="1:11" x14ac:dyDescent="0.2">
      <c r="A4" s="27">
        <v>2</v>
      </c>
      <c r="B4" s="27">
        <f t="shared" ca="1" si="0"/>
        <v>0.73681258440785924</v>
      </c>
      <c r="C4" s="27" t="s">
        <v>227</v>
      </c>
      <c r="E4" s="28">
        <v>0.03</v>
      </c>
      <c r="I4" s="28">
        <v>0.03</v>
      </c>
      <c r="J4" s="29">
        <f t="dataTable" ref="J4:K36" dt2D="0" dtr="0" r1="E4" ca="1"/>
        <v>0</v>
      </c>
      <c r="K4" s="29">
        <v>1</v>
      </c>
    </row>
    <row r="5" spans="1:11" x14ac:dyDescent="0.2">
      <c r="A5" s="27">
        <v>3</v>
      </c>
      <c r="B5" s="27">
        <f t="shared" ca="1" si="0"/>
        <v>0.48614887028909792</v>
      </c>
      <c r="C5" s="27" t="s">
        <v>226</v>
      </c>
      <c r="I5" s="28">
        <v>0.06</v>
      </c>
      <c r="J5" s="29">
        <v>0</v>
      </c>
      <c r="K5" s="29">
        <v>1</v>
      </c>
    </row>
    <row r="6" spans="1:11" x14ac:dyDescent="0.2">
      <c r="A6" s="27">
        <v>4</v>
      </c>
      <c r="B6" s="27">
        <f t="shared" ca="1" si="0"/>
        <v>0.73231421268081831</v>
      </c>
      <c r="C6" s="27" t="s">
        <v>227</v>
      </c>
      <c r="E6" s="30" t="s">
        <v>229</v>
      </c>
      <c r="F6" s="30" t="s">
        <v>228</v>
      </c>
      <c r="I6" s="28">
        <v>0.09</v>
      </c>
      <c r="J6" s="29">
        <v>0</v>
      </c>
      <c r="K6" s="29">
        <v>1</v>
      </c>
    </row>
    <row r="7" spans="1:11" x14ac:dyDescent="0.2">
      <c r="A7" s="27">
        <v>5</v>
      </c>
      <c r="B7" s="27">
        <f t="shared" ca="1" si="0"/>
        <v>0.53628633817669369</v>
      </c>
      <c r="C7" s="27" t="s">
        <v>227</v>
      </c>
      <c r="E7" s="29">
        <f ca="1">COUNTIFS(B:B,"&gt;" &amp;E4,C:C,"="&amp;"Bomb")/COUNTIFS(C:C,"="&amp;"Bomb")</f>
        <v>1</v>
      </c>
      <c r="F7" s="29">
        <f ca="1">COUNTIFS(B:B,"&lt;" &amp;E4,C:C,"="&amp;"Bird")/COUNTIFS(C:C,"="&amp;"Bird")</f>
        <v>0</v>
      </c>
      <c r="I7" s="28">
        <v>0.12</v>
      </c>
      <c r="J7" s="29">
        <v>0</v>
      </c>
      <c r="K7" s="29">
        <v>1</v>
      </c>
    </row>
    <row r="8" spans="1:11" x14ac:dyDescent="0.2">
      <c r="A8" s="27">
        <v>6</v>
      </c>
      <c r="B8" s="27">
        <f t="shared" ca="1" si="0"/>
        <v>0.732648081953297</v>
      </c>
      <c r="C8" s="27" t="s">
        <v>227</v>
      </c>
      <c r="I8" s="28">
        <v>0.15</v>
      </c>
      <c r="J8" s="29">
        <v>3.8910505836575876E-3</v>
      </c>
      <c r="K8" s="29">
        <v>1</v>
      </c>
    </row>
    <row r="9" spans="1:11" x14ac:dyDescent="0.2">
      <c r="A9" s="27">
        <v>7</v>
      </c>
      <c r="B9" s="27">
        <f t="shared" ca="1" si="0"/>
        <v>0.74619672752645894</v>
      </c>
      <c r="C9" s="27" t="s">
        <v>227</v>
      </c>
      <c r="I9" s="28">
        <v>0.18</v>
      </c>
      <c r="J9" s="29">
        <v>0</v>
      </c>
      <c r="K9" s="29">
        <v>1</v>
      </c>
    </row>
    <row r="10" spans="1:11" x14ac:dyDescent="0.2">
      <c r="A10" s="27">
        <v>8</v>
      </c>
      <c r="B10" s="27">
        <f t="shared" ca="1" si="0"/>
        <v>1.0069998357808565</v>
      </c>
      <c r="C10" s="27" t="s">
        <v>226</v>
      </c>
      <c r="I10" s="28">
        <v>0.21</v>
      </c>
      <c r="J10" s="29">
        <v>7.7972709551656916E-3</v>
      </c>
      <c r="K10" s="29">
        <v>1</v>
      </c>
    </row>
    <row r="11" spans="1:11" x14ac:dyDescent="0.2">
      <c r="A11" s="27">
        <v>9</v>
      </c>
      <c r="B11" s="27">
        <f t="shared" ca="1" si="0"/>
        <v>0.79612632095925062</v>
      </c>
      <c r="C11" s="27" t="s">
        <v>226</v>
      </c>
      <c r="I11" s="28">
        <v>0.24</v>
      </c>
      <c r="J11" s="29">
        <v>1.1695906432748537E-2</v>
      </c>
      <c r="K11" s="29">
        <v>1</v>
      </c>
    </row>
    <row r="12" spans="1:11" x14ac:dyDescent="0.2">
      <c r="A12" s="27">
        <v>10</v>
      </c>
      <c r="B12" s="27">
        <f t="shared" ca="1" si="0"/>
        <v>0.82491681432912334</v>
      </c>
      <c r="C12" s="27" t="s">
        <v>226</v>
      </c>
      <c r="I12" s="28">
        <v>0.27</v>
      </c>
      <c r="J12" s="29">
        <v>9.7465886939571145E-3</v>
      </c>
      <c r="K12" s="29">
        <v>1</v>
      </c>
    </row>
    <row r="13" spans="1:11" x14ac:dyDescent="0.2">
      <c r="A13" s="27">
        <v>11</v>
      </c>
      <c r="B13" s="27">
        <f t="shared" ca="1" si="0"/>
        <v>0.62382909091081995</v>
      </c>
      <c r="C13" s="27" t="s">
        <v>226</v>
      </c>
      <c r="I13" s="28">
        <v>0.3</v>
      </c>
      <c r="J13" s="29">
        <v>1.9455252918287938E-2</v>
      </c>
      <c r="K13" s="29">
        <v>1</v>
      </c>
    </row>
    <row r="14" spans="1:11" x14ac:dyDescent="0.2">
      <c r="A14" s="27">
        <v>12</v>
      </c>
      <c r="B14" s="27">
        <f t="shared" ca="1" si="0"/>
        <v>0.48153278881955353</v>
      </c>
      <c r="C14" s="27" t="s">
        <v>226</v>
      </c>
      <c r="I14" s="28">
        <v>0.33</v>
      </c>
      <c r="J14" s="29">
        <v>4.8732943469785572E-2</v>
      </c>
      <c r="K14" s="29">
        <v>1</v>
      </c>
    </row>
    <row r="15" spans="1:11" x14ac:dyDescent="0.2">
      <c r="A15" s="27">
        <v>13</v>
      </c>
      <c r="B15" s="27">
        <f t="shared" ca="1" si="0"/>
        <v>0.7335309548991702</v>
      </c>
      <c r="C15" s="27" t="s">
        <v>227</v>
      </c>
      <c r="I15" s="28">
        <v>0.36</v>
      </c>
      <c r="J15" s="29">
        <v>4.8732943469785572E-2</v>
      </c>
      <c r="K15" s="29">
        <v>1</v>
      </c>
    </row>
    <row r="16" spans="1:11" x14ac:dyDescent="0.2">
      <c r="A16" s="27">
        <v>14</v>
      </c>
      <c r="B16" s="27">
        <f t="shared" ca="1" si="0"/>
        <v>0.81200087227770024</v>
      </c>
      <c r="C16" s="27" t="s">
        <v>227</v>
      </c>
      <c r="I16" s="28">
        <v>0.39</v>
      </c>
      <c r="J16" s="29">
        <v>7.0038910505836577E-2</v>
      </c>
      <c r="K16" s="29">
        <v>0.99794238683127567</v>
      </c>
    </row>
    <row r="17" spans="1:11" x14ac:dyDescent="0.2">
      <c r="A17" s="27">
        <v>15</v>
      </c>
      <c r="B17" s="27">
        <f t="shared" ca="1" si="0"/>
        <v>0.63661777601429459</v>
      </c>
      <c r="C17" s="27" t="s">
        <v>227</v>
      </c>
      <c r="I17" s="28">
        <v>0.42</v>
      </c>
      <c r="J17" s="29">
        <v>0.11673151750972763</v>
      </c>
      <c r="K17" s="29">
        <v>0.99588477366255146</v>
      </c>
    </row>
    <row r="18" spans="1:11" x14ac:dyDescent="0.2">
      <c r="A18" s="27">
        <v>16</v>
      </c>
      <c r="B18" s="27">
        <f t="shared" ca="1" si="0"/>
        <v>0.71232520094145368</v>
      </c>
      <c r="C18" s="27" t="s">
        <v>226</v>
      </c>
      <c r="I18" s="28">
        <v>0.45</v>
      </c>
      <c r="J18" s="29">
        <v>0.12865497076023391</v>
      </c>
      <c r="K18" s="29">
        <v>0.99383983572895274</v>
      </c>
    </row>
    <row r="19" spans="1:11" x14ac:dyDescent="0.2">
      <c r="A19" s="27">
        <v>17</v>
      </c>
      <c r="B19" s="27">
        <f t="shared" ca="1" si="0"/>
        <v>0.76184257169784952</v>
      </c>
      <c r="C19" s="27" t="s">
        <v>227</v>
      </c>
      <c r="I19" s="28">
        <v>0.48</v>
      </c>
      <c r="J19" s="29">
        <v>0.21011673151750973</v>
      </c>
      <c r="K19" s="29">
        <v>0.98765432098765427</v>
      </c>
    </row>
    <row r="20" spans="1:11" x14ac:dyDescent="0.2">
      <c r="A20" s="27">
        <v>18</v>
      </c>
      <c r="B20" s="27">
        <f t="shared" ca="1" si="0"/>
        <v>0.45358121160873616</v>
      </c>
      <c r="C20" s="27" t="s">
        <v>226</v>
      </c>
      <c r="I20" s="28">
        <v>0.51</v>
      </c>
      <c r="J20" s="29">
        <v>0.28404669260700388</v>
      </c>
      <c r="K20" s="29">
        <v>0.96296296296296291</v>
      </c>
    </row>
    <row r="21" spans="1:11" x14ac:dyDescent="0.2">
      <c r="A21" s="27">
        <v>19</v>
      </c>
      <c r="B21" s="27">
        <f t="shared" ca="1" si="0"/>
        <v>0.69821331988032653</v>
      </c>
      <c r="C21" s="27" t="s">
        <v>227</v>
      </c>
      <c r="I21" s="28">
        <v>0.54</v>
      </c>
      <c r="J21" s="29">
        <v>0.35019455252918286</v>
      </c>
      <c r="K21" s="29">
        <v>0.93827160493827155</v>
      </c>
    </row>
    <row r="22" spans="1:11" x14ac:dyDescent="0.2">
      <c r="A22" s="27">
        <v>20</v>
      </c>
      <c r="B22" s="27">
        <f t="shared" ca="1" si="0"/>
        <v>0.84335738628685986</v>
      </c>
      <c r="C22" s="27" t="s">
        <v>227</v>
      </c>
      <c r="I22" s="28">
        <v>0.56999999999999995</v>
      </c>
      <c r="J22" s="29">
        <v>0.43385214007782102</v>
      </c>
      <c r="K22" s="29">
        <v>0.92181069958847739</v>
      </c>
    </row>
    <row r="23" spans="1:11" x14ac:dyDescent="0.2">
      <c r="A23" s="27">
        <v>21</v>
      </c>
      <c r="B23" s="27">
        <f t="shared" ca="1" si="0"/>
        <v>0.68430106488680298</v>
      </c>
      <c r="C23" s="27" t="s">
        <v>227</v>
      </c>
      <c r="I23" s="28">
        <v>0.6</v>
      </c>
      <c r="J23" s="29">
        <v>0.47470817120622566</v>
      </c>
      <c r="K23" s="29">
        <v>0.83744855967078191</v>
      </c>
    </row>
    <row r="24" spans="1:11" x14ac:dyDescent="0.2">
      <c r="A24" s="27">
        <v>22</v>
      </c>
      <c r="B24" s="27">
        <f t="shared" ca="1" si="0"/>
        <v>0.56122444864656851</v>
      </c>
      <c r="C24" s="27" t="s">
        <v>226</v>
      </c>
      <c r="I24" s="28">
        <v>0.63</v>
      </c>
      <c r="J24" s="29">
        <v>0.58171206225680938</v>
      </c>
      <c r="K24" s="29">
        <v>0.76954732510288071</v>
      </c>
    </row>
    <row r="25" spans="1:11" x14ac:dyDescent="0.2">
      <c r="A25" s="27">
        <v>23</v>
      </c>
      <c r="B25" s="27">
        <f t="shared" ca="1" si="0"/>
        <v>0.91770297598018002</v>
      </c>
      <c r="C25" s="27" t="s">
        <v>227</v>
      </c>
      <c r="I25" s="28">
        <v>0.66</v>
      </c>
      <c r="J25" s="29">
        <v>0.62962962962962965</v>
      </c>
      <c r="K25" s="29">
        <v>0.64887063655030797</v>
      </c>
    </row>
    <row r="26" spans="1:11" x14ac:dyDescent="0.2">
      <c r="A26" s="27">
        <v>24</v>
      </c>
      <c r="B26" s="27">
        <f t="shared" ca="1" si="0"/>
        <v>0.5654489451207847</v>
      </c>
      <c r="C26" s="27" t="s">
        <v>227</v>
      </c>
      <c r="I26" s="28">
        <v>0.69</v>
      </c>
      <c r="J26" s="29">
        <v>0.71734892787524362</v>
      </c>
      <c r="K26" s="29">
        <v>0.55030800821355241</v>
      </c>
    </row>
    <row r="27" spans="1:11" x14ac:dyDescent="0.2">
      <c r="A27" s="27">
        <v>25</v>
      </c>
      <c r="B27" s="27">
        <f t="shared" ca="1" si="0"/>
        <v>0.60414399671865904</v>
      </c>
      <c r="C27" s="27" t="s">
        <v>227</v>
      </c>
      <c r="I27" s="28">
        <v>0.72</v>
      </c>
      <c r="J27" s="29">
        <v>0.80116959064327486</v>
      </c>
      <c r="K27" s="29">
        <v>0.41889117043121149</v>
      </c>
    </row>
    <row r="28" spans="1:11" x14ac:dyDescent="0.2">
      <c r="A28" s="27">
        <v>26</v>
      </c>
      <c r="B28" s="27">
        <f t="shared" ca="1" si="0"/>
        <v>0.73557113083111658</v>
      </c>
      <c r="C28" s="27" t="s">
        <v>227</v>
      </c>
      <c r="I28" s="28">
        <v>0.75</v>
      </c>
      <c r="J28" s="29">
        <v>0.84405458089668617</v>
      </c>
      <c r="K28" s="29">
        <v>0.3613963039014374</v>
      </c>
    </row>
    <row r="29" spans="1:11" x14ac:dyDescent="0.2">
      <c r="A29" s="27">
        <v>27</v>
      </c>
      <c r="B29" s="27">
        <f t="shared" ca="1" si="0"/>
        <v>0.44327931196439063</v>
      </c>
      <c r="C29" s="27" t="s">
        <v>226</v>
      </c>
      <c r="I29" s="28">
        <v>0.78</v>
      </c>
      <c r="J29" s="29">
        <v>0.89083820662768032</v>
      </c>
      <c r="K29" s="29">
        <v>0.20123203285420946</v>
      </c>
    </row>
    <row r="30" spans="1:11" x14ac:dyDescent="0.2">
      <c r="A30" s="27">
        <v>28</v>
      </c>
      <c r="B30" s="27">
        <f t="shared" ca="1" si="0"/>
        <v>0.66373215025565835</v>
      </c>
      <c r="C30" s="27" t="s">
        <v>227</v>
      </c>
      <c r="I30" s="28">
        <v>0.81</v>
      </c>
      <c r="J30" s="29">
        <v>0.91245136186770426</v>
      </c>
      <c r="K30" s="29">
        <v>0.1440329218106996</v>
      </c>
    </row>
    <row r="31" spans="1:11" x14ac:dyDescent="0.2">
      <c r="A31" s="27">
        <v>29</v>
      </c>
      <c r="B31" s="27">
        <f t="shared" ca="1" si="0"/>
        <v>0.66252602723896703</v>
      </c>
      <c r="C31" s="27" t="s">
        <v>226</v>
      </c>
      <c r="I31" s="28">
        <v>0.84</v>
      </c>
      <c r="J31" s="29">
        <v>0.93762183235867447</v>
      </c>
      <c r="K31" s="29">
        <v>6.3655030800821355E-2</v>
      </c>
    </row>
    <row r="32" spans="1:11" x14ac:dyDescent="0.2">
      <c r="A32" s="27">
        <v>30</v>
      </c>
      <c r="B32" s="27">
        <f t="shared" ca="1" si="0"/>
        <v>0.5114098382306933</v>
      </c>
      <c r="C32" s="27" t="s">
        <v>227</v>
      </c>
      <c r="I32" s="28">
        <v>0.87</v>
      </c>
      <c r="J32" s="29">
        <v>0.9688715953307393</v>
      </c>
      <c r="K32" s="29">
        <v>5.9670781893004114E-2</v>
      </c>
    </row>
    <row r="33" spans="1:11" x14ac:dyDescent="0.2">
      <c r="A33" s="27">
        <v>31</v>
      </c>
      <c r="B33" s="27">
        <f t="shared" ca="1" si="0"/>
        <v>0.77103233045457698</v>
      </c>
      <c r="C33" s="27" t="s">
        <v>227</v>
      </c>
      <c r="I33" s="28">
        <v>0.9</v>
      </c>
      <c r="J33" s="29">
        <v>0.96686159844054576</v>
      </c>
      <c r="K33" s="29">
        <v>2.0533880903490759E-2</v>
      </c>
    </row>
    <row r="34" spans="1:11" x14ac:dyDescent="0.2">
      <c r="A34" s="27">
        <v>32</v>
      </c>
      <c r="B34" s="27">
        <f t="shared" ca="1" si="0"/>
        <v>0.43394607936079987</v>
      </c>
      <c r="C34" s="27" t="s">
        <v>226</v>
      </c>
      <c r="I34" s="28">
        <v>0.93</v>
      </c>
      <c r="J34" s="29">
        <v>0.98635477582845998</v>
      </c>
      <c r="K34" s="29">
        <v>8.2135523613963042E-3</v>
      </c>
    </row>
    <row r="35" spans="1:11" x14ac:dyDescent="0.2">
      <c r="A35" s="27">
        <v>33</v>
      </c>
      <c r="B35" s="27">
        <f t="shared" ca="1" si="0"/>
        <v>0.74580148604680363</v>
      </c>
      <c r="C35" s="27" t="s">
        <v>226</v>
      </c>
      <c r="I35" s="28">
        <v>0.96</v>
      </c>
      <c r="J35" s="29">
        <v>0.99416342412451364</v>
      </c>
      <c r="K35" s="29">
        <v>6.1728395061728392E-3</v>
      </c>
    </row>
    <row r="36" spans="1:11" x14ac:dyDescent="0.2">
      <c r="A36" s="27">
        <v>34</v>
      </c>
      <c r="B36" s="27">
        <f t="shared" ca="1" si="0"/>
        <v>0.74067322550403225</v>
      </c>
      <c r="C36" s="27" t="s">
        <v>226</v>
      </c>
      <c r="I36" s="28">
        <v>0.99</v>
      </c>
      <c r="J36" s="29">
        <v>0.99610136452241715</v>
      </c>
      <c r="K36" s="29">
        <v>2.0533880903490761E-3</v>
      </c>
    </row>
    <row r="37" spans="1:11" x14ac:dyDescent="0.2">
      <c r="A37" s="27">
        <v>35</v>
      </c>
      <c r="B37" s="27">
        <f t="shared" ca="1" si="0"/>
        <v>0.80405893745680723</v>
      </c>
      <c r="C37" s="27" t="s">
        <v>227</v>
      </c>
      <c r="I37" s="28"/>
    </row>
    <row r="38" spans="1:11" x14ac:dyDescent="0.2">
      <c r="A38" s="27">
        <v>36</v>
      </c>
      <c r="B38" s="27">
        <f t="shared" ca="1" si="0"/>
        <v>0.85767418238812354</v>
      </c>
      <c r="C38" s="27" t="s">
        <v>226</v>
      </c>
    </row>
    <row r="39" spans="1:11" x14ac:dyDescent="0.2">
      <c r="A39" s="27">
        <v>37</v>
      </c>
      <c r="B39" s="27">
        <f t="shared" ca="1" si="0"/>
        <v>0.499924916394762</v>
      </c>
      <c r="C39" s="27" t="s">
        <v>226</v>
      </c>
    </row>
    <row r="40" spans="1:11" x14ac:dyDescent="0.2">
      <c r="A40" s="27">
        <v>38</v>
      </c>
      <c r="B40" s="27">
        <f t="shared" ca="1" si="0"/>
        <v>0.70434555542337729</v>
      </c>
      <c r="C40" s="27" t="s">
        <v>227</v>
      </c>
    </row>
    <row r="41" spans="1:11" x14ac:dyDescent="0.2">
      <c r="A41" s="27">
        <v>39</v>
      </c>
      <c r="B41" s="27">
        <f t="shared" ca="1" si="0"/>
        <v>0.69184455350923524</v>
      </c>
      <c r="C41" s="27" t="s">
        <v>226</v>
      </c>
    </row>
    <row r="42" spans="1:11" x14ac:dyDescent="0.2">
      <c r="A42" s="27">
        <v>40</v>
      </c>
      <c r="B42" s="27">
        <f t="shared" ca="1" si="0"/>
        <v>0.5472668571325976</v>
      </c>
      <c r="C42" s="27" t="s">
        <v>227</v>
      </c>
    </row>
    <row r="43" spans="1:11" x14ac:dyDescent="0.2">
      <c r="A43" s="27">
        <v>41</v>
      </c>
      <c r="B43" s="27">
        <f t="shared" ca="1" si="0"/>
        <v>0.3819517035561496</v>
      </c>
      <c r="C43" s="27" t="s">
        <v>226</v>
      </c>
    </row>
    <row r="44" spans="1:11" x14ac:dyDescent="0.2">
      <c r="A44" s="27">
        <v>42</v>
      </c>
      <c r="B44" s="27">
        <f t="shared" ca="1" si="0"/>
        <v>0.7816261858553003</v>
      </c>
      <c r="C44" s="27" t="s">
        <v>226</v>
      </c>
    </row>
    <row r="45" spans="1:11" x14ac:dyDescent="0.2">
      <c r="A45" s="27">
        <v>43</v>
      </c>
      <c r="B45" s="27">
        <f t="shared" ca="1" si="0"/>
        <v>0.34999148551181858</v>
      </c>
      <c r="C45" s="27" t="s">
        <v>226</v>
      </c>
    </row>
    <row r="46" spans="1:11" x14ac:dyDescent="0.2">
      <c r="A46" s="27">
        <v>44</v>
      </c>
      <c r="B46" s="27">
        <f t="shared" ca="1" si="0"/>
        <v>0.72993619993955505</v>
      </c>
      <c r="C46" s="27" t="s">
        <v>226</v>
      </c>
    </row>
    <row r="47" spans="1:11" x14ac:dyDescent="0.2">
      <c r="A47" s="27">
        <v>45</v>
      </c>
      <c r="B47" s="27">
        <f t="shared" ca="1" si="0"/>
        <v>0.81600209973812421</v>
      </c>
      <c r="C47" s="27" t="s">
        <v>226</v>
      </c>
    </row>
    <row r="48" spans="1:11" x14ac:dyDescent="0.2">
      <c r="A48" s="27">
        <v>46</v>
      </c>
      <c r="B48" s="27">
        <f t="shared" ca="1" si="0"/>
        <v>0.71272109172741893</v>
      </c>
      <c r="C48" s="27" t="s">
        <v>227</v>
      </c>
    </row>
    <row r="49" spans="1:3" x14ac:dyDescent="0.2">
      <c r="A49" s="27">
        <v>47</v>
      </c>
      <c r="B49" s="27">
        <f t="shared" ca="1" si="0"/>
        <v>0.56280487967958559</v>
      </c>
      <c r="C49" s="27" t="s">
        <v>227</v>
      </c>
    </row>
    <row r="50" spans="1:3" x14ac:dyDescent="0.2">
      <c r="A50" s="27">
        <v>48</v>
      </c>
      <c r="B50" s="27">
        <f t="shared" ca="1" si="0"/>
        <v>0.70833312418225181</v>
      </c>
      <c r="C50" s="27" t="s">
        <v>226</v>
      </c>
    </row>
    <row r="51" spans="1:3" x14ac:dyDescent="0.2">
      <c r="A51" s="27">
        <v>49</v>
      </c>
      <c r="B51" s="27">
        <f t="shared" ca="1" si="0"/>
        <v>0.77852804314359692</v>
      </c>
      <c r="C51" s="27" t="s">
        <v>227</v>
      </c>
    </row>
    <row r="52" spans="1:3" x14ac:dyDescent="0.2">
      <c r="A52" s="27">
        <v>50</v>
      </c>
      <c r="B52" s="27">
        <f t="shared" ca="1" si="0"/>
        <v>0.44368226594024512</v>
      </c>
      <c r="C52" s="27" t="s">
        <v>227</v>
      </c>
    </row>
    <row r="53" spans="1:3" x14ac:dyDescent="0.2">
      <c r="A53" s="27">
        <v>51</v>
      </c>
      <c r="B53" s="27">
        <f t="shared" ca="1" si="0"/>
        <v>0.63507630203604992</v>
      </c>
      <c r="C53" s="27" t="s">
        <v>227</v>
      </c>
    </row>
    <row r="54" spans="1:3" x14ac:dyDescent="0.2">
      <c r="A54" s="27">
        <v>52</v>
      </c>
      <c r="B54" s="27">
        <f t="shared" ca="1" si="0"/>
        <v>0.44513171828032178</v>
      </c>
      <c r="C54" s="27" t="s">
        <v>226</v>
      </c>
    </row>
    <row r="55" spans="1:3" x14ac:dyDescent="0.2">
      <c r="A55" s="27">
        <v>53</v>
      </c>
      <c r="B55" s="27">
        <f t="shared" ca="1" si="0"/>
        <v>0.2960046220969676</v>
      </c>
      <c r="C55" s="27" t="s">
        <v>226</v>
      </c>
    </row>
    <row r="56" spans="1:3" x14ac:dyDescent="0.2">
      <c r="A56" s="27">
        <v>54</v>
      </c>
      <c r="B56" s="27">
        <f t="shared" ca="1" si="0"/>
        <v>0.67442988333580545</v>
      </c>
      <c r="C56" s="27" t="s">
        <v>227</v>
      </c>
    </row>
    <row r="57" spans="1:3" x14ac:dyDescent="0.2">
      <c r="A57" s="27">
        <v>55</v>
      </c>
      <c r="B57" s="27">
        <f t="shared" ca="1" si="0"/>
        <v>0.65972807397398292</v>
      </c>
      <c r="C57" s="27" t="s">
        <v>227</v>
      </c>
    </row>
    <row r="58" spans="1:3" x14ac:dyDescent="0.2">
      <c r="A58" s="27">
        <v>56</v>
      </c>
      <c r="B58" s="27">
        <f t="shared" ca="1" si="0"/>
        <v>0.60729764459738367</v>
      </c>
      <c r="C58" s="27" t="s">
        <v>227</v>
      </c>
    </row>
    <row r="59" spans="1:3" x14ac:dyDescent="0.2">
      <c r="A59" s="27">
        <v>57</v>
      </c>
      <c r="B59" s="27">
        <f t="shared" ca="1" si="0"/>
        <v>0.48435033604181466</v>
      </c>
      <c r="C59" s="27" t="s">
        <v>226</v>
      </c>
    </row>
    <row r="60" spans="1:3" x14ac:dyDescent="0.2">
      <c r="A60" s="27">
        <v>58</v>
      </c>
      <c r="B60" s="27">
        <f t="shared" ca="1" si="0"/>
        <v>0.82433876464029865</v>
      </c>
      <c r="C60" s="27" t="s">
        <v>227</v>
      </c>
    </row>
    <row r="61" spans="1:3" x14ac:dyDescent="0.2">
      <c r="A61" s="27">
        <v>59</v>
      </c>
      <c r="B61" s="27">
        <f t="shared" ca="1" si="0"/>
        <v>0.75455172768286638</v>
      </c>
      <c r="C61" s="27" t="s">
        <v>227</v>
      </c>
    </row>
    <row r="62" spans="1:3" x14ac:dyDescent="0.2">
      <c r="A62" s="27">
        <v>60</v>
      </c>
      <c r="B62" s="27">
        <f t="shared" ca="1" si="0"/>
        <v>0.93752484305967065</v>
      </c>
      <c r="C62" s="27" t="s">
        <v>226</v>
      </c>
    </row>
    <row r="63" spans="1:3" x14ac:dyDescent="0.2">
      <c r="A63" s="27">
        <v>61</v>
      </c>
      <c r="B63" s="27">
        <f t="shared" ca="1" si="0"/>
        <v>0.37834737289216963</v>
      </c>
      <c r="C63" s="27" t="s">
        <v>226</v>
      </c>
    </row>
    <row r="64" spans="1:3" x14ac:dyDescent="0.2">
      <c r="A64" s="27">
        <v>62</v>
      </c>
      <c r="B64" s="27">
        <f t="shared" ca="1" si="0"/>
        <v>0.58425967768306075</v>
      </c>
      <c r="C64" s="27" t="s">
        <v>226</v>
      </c>
    </row>
    <row r="65" spans="1:3" x14ac:dyDescent="0.2">
      <c r="A65" s="27">
        <v>63</v>
      </c>
      <c r="B65" s="27">
        <f t="shared" ca="1" si="0"/>
        <v>0.7191949216553607</v>
      </c>
      <c r="C65" s="27" t="s">
        <v>227</v>
      </c>
    </row>
    <row r="66" spans="1:3" x14ac:dyDescent="0.2">
      <c r="A66" s="27">
        <v>64</v>
      </c>
      <c r="B66" s="27">
        <f t="shared" ca="1" si="0"/>
        <v>0.71971731136454631</v>
      </c>
      <c r="C66" s="27" t="s">
        <v>227</v>
      </c>
    </row>
    <row r="67" spans="1:3" x14ac:dyDescent="0.2">
      <c r="A67" s="27">
        <v>65</v>
      </c>
      <c r="B67" s="27">
        <f t="shared" ref="B67:B130" ca="1" si="1">IF(C67="Bomb",_xlfn.NORM.INV(RAND(),0.7,0.1),_xlfn.NORM.INV(RAND(),0.6,0.15))</f>
        <v>0.67445888711432878</v>
      </c>
      <c r="C67" s="27" t="s">
        <v>227</v>
      </c>
    </row>
    <row r="68" spans="1:3" x14ac:dyDescent="0.2">
      <c r="A68" s="27">
        <v>66</v>
      </c>
      <c r="B68" s="27">
        <f t="shared" ca="1" si="1"/>
        <v>0.63086470084046975</v>
      </c>
      <c r="C68" s="27" t="s">
        <v>227</v>
      </c>
    </row>
    <row r="69" spans="1:3" x14ac:dyDescent="0.2">
      <c r="A69" s="27">
        <v>67</v>
      </c>
      <c r="B69" s="27">
        <f t="shared" ca="1" si="1"/>
        <v>0.67371608667824079</v>
      </c>
      <c r="C69" s="27" t="s">
        <v>227</v>
      </c>
    </row>
    <row r="70" spans="1:3" x14ac:dyDescent="0.2">
      <c r="A70" s="27">
        <v>68</v>
      </c>
      <c r="B70" s="27">
        <f t="shared" ca="1" si="1"/>
        <v>0.55926303025173918</v>
      </c>
      <c r="C70" s="27" t="s">
        <v>226</v>
      </c>
    </row>
    <row r="71" spans="1:3" x14ac:dyDescent="0.2">
      <c r="A71" s="27">
        <v>69</v>
      </c>
      <c r="B71" s="27">
        <f t="shared" ca="1" si="1"/>
        <v>0.61495958206755164</v>
      </c>
      <c r="C71" s="27" t="s">
        <v>226</v>
      </c>
    </row>
    <row r="72" spans="1:3" x14ac:dyDescent="0.2">
      <c r="A72" s="27">
        <v>70</v>
      </c>
      <c r="B72" s="27">
        <f t="shared" ca="1" si="1"/>
        <v>0.74636068115082288</v>
      </c>
      <c r="C72" s="27" t="s">
        <v>226</v>
      </c>
    </row>
    <row r="73" spans="1:3" x14ac:dyDescent="0.2">
      <c r="A73" s="27">
        <v>71</v>
      </c>
      <c r="B73" s="27">
        <f t="shared" ca="1" si="1"/>
        <v>0.66020960806111995</v>
      </c>
      <c r="C73" s="27" t="s">
        <v>226</v>
      </c>
    </row>
    <row r="74" spans="1:3" x14ac:dyDescent="0.2">
      <c r="A74" s="27">
        <v>72</v>
      </c>
      <c r="B74" s="27">
        <f t="shared" ca="1" si="1"/>
        <v>0.46466453317770562</v>
      </c>
      <c r="C74" s="27" t="s">
        <v>226</v>
      </c>
    </row>
    <row r="75" spans="1:3" x14ac:dyDescent="0.2">
      <c r="A75" s="27">
        <v>73</v>
      </c>
      <c r="B75" s="27">
        <f t="shared" ca="1" si="1"/>
        <v>0.59018004323554574</v>
      </c>
      <c r="C75" s="27" t="s">
        <v>227</v>
      </c>
    </row>
    <row r="76" spans="1:3" x14ac:dyDescent="0.2">
      <c r="A76" s="27">
        <v>74</v>
      </c>
      <c r="B76" s="27">
        <f t="shared" ca="1" si="1"/>
        <v>0.57706619879420917</v>
      </c>
      <c r="C76" s="27" t="s">
        <v>227</v>
      </c>
    </row>
    <row r="77" spans="1:3" x14ac:dyDescent="0.2">
      <c r="A77" s="27">
        <v>75</v>
      </c>
      <c r="B77" s="27">
        <f t="shared" ca="1" si="1"/>
        <v>0.7874778796971349</v>
      </c>
      <c r="C77" s="27" t="s">
        <v>227</v>
      </c>
    </row>
    <row r="78" spans="1:3" x14ac:dyDescent="0.2">
      <c r="A78" s="27">
        <v>76</v>
      </c>
      <c r="B78" s="27">
        <f t="shared" ca="1" si="1"/>
        <v>0.83926485834145781</v>
      </c>
      <c r="C78" s="27" t="s">
        <v>227</v>
      </c>
    </row>
    <row r="79" spans="1:3" x14ac:dyDescent="0.2">
      <c r="A79" s="27">
        <v>77</v>
      </c>
      <c r="B79" s="27">
        <f t="shared" ca="1" si="1"/>
        <v>0.61424906735698781</v>
      </c>
      <c r="C79" s="27" t="s">
        <v>226</v>
      </c>
    </row>
    <row r="80" spans="1:3" x14ac:dyDescent="0.2">
      <c r="A80" s="27">
        <v>78</v>
      </c>
      <c r="B80" s="27">
        <f t="shared" ca="1" si="1"/>
        <v>0.7664745597160727</v>
      </c>
      <c r="C80" s="27" t="s">
        <v>227</v>
      </c>
    </row>
    <row r="81" spans="1:3" x14ac:dyDescent="0.2">
      <c r="A81" s="27">
        <v>79</v>
      </c>
      <c r="B81" s="27">
        <f t="shared" ca="1" si="1"/>
        <v>0.76398306099908697</v>
      </c>
      <c r="C81" s="27" t="s">
        <v>226</v>
      </c>
    </row>
    <row r="82" spans="1:3" x14ac:dyDescent="0.2">
      <c r="A82" s="27">
        <v>80</v>
      </c>
      <c r="B82" s="27">
        <f t="shared" ca="1" si="1"/>
        <v>0.74165470045939386</v>
      </c>
      <c r="C82" s="27" t="s">
        <v>227</v>
      </c>
    </row>
    <row r="83" spans="1:3" x14ac:dyDescent="0.2">
      <c r="A83" s="27">
        <v>81</v>
      </c>
      <c r="B83" s="27">
        <f t="shared" ca="1" si="1"/>
        <v>0.61830472792518332</v>
      </c>
      <c r="C83" s="27" t="s">
        <v>227</v>
      </c>
    </row>
    <row r="84" spans="1:3" x14ac:dyDescent="0.2">
      <c r="A84" s="27">
        <v>82</v>
      </c>
      <c r="B84" s="27">
        <f t="shared" ca="1" si="1"/>
        <v>0.83567832695121758</v>
      </c>
      <c r="C84" s="27" t="s">
        <v>226</v>
      </c>
    </row>
    <row r="85" spans="1:3" x14ac:dyDescent="0.2">
      <c r="A85" s="27">
        <v>83</v>
      </c>
      <c r="B85" s="27">
        <f t="shared" ca="1" si="1"/>
        <v>0.73667483913418441</v>
      </c>
      <c r="C85" s="27" t="s">
        <v>227</v>
      </c>
    </row>
    <row r="86" spans="1:3" x14ac:dyDescent="0.2">
      <c r="A86" s="27">
        <v>84</v>
      </c>
      <c r="B86" s="27">
        <f t="shared" ca="1" si="1"/>
        <v>0.75252703232127316</v>
      </c>
      <c r="C86" s="27" t="s">
        <v>227</v>
      </c>
    </row>
    <row r="87" spans="1:3" x14ac:dyDescent="0.2">
      <c r="A87" s="27">
        <v>85</v>
      </c>
      <c r="B87" s="27">
        <f t="shared" ca="1" si="1"/>
        <v>0.35491663749872848</v>
      </c>
      <c r="C87" s="27" t="s">
        <v>226</v>
      </c>
    </row>
    <row r="88" spans="1:3" x14ac:dyDescent="0.2">
      <c r="A88" s="27">
        <v>86</v>
      </c>
      <c r="B88" s="27">
        <f t="shared" ca="1" si="1"/>
        <v>0.58644089759419282</v>
      </c>
      <c r="C88" s="27" t="s">
        <v>226</v>
      </c>
    </row>
    <row r="89" spans="1:3" x14ac:dyDescent="0.2">
      <c r="A89" s="27">
        <v>87</v>
      </c>
      <c r="B89" s="27">
        <f t="shared" ca="1" si="1"/>
        <v>0.45301956993741366</v>
      </c>
      <c r="C89" s="27" t="s">
        <v>226</v>
      </c>
    </row>
    <row r="90" spans="1:3" x14ac:dyDescent="0.2">
      <c r="A90" s="27">
        <v>88</v>
      </c>
      <c r="B90" s="27">
        <f t="shared" ca="1" si="1"/>
        <v>0.55252307708132586</v>
      </c>
      <c r="C90" s="27" t="s">
        <v>226</v>
      </c>
    </row>
    <row r="91" spans="1:3" x14ac:dyDescent="0.2">
      <c r="A91" s="27">
        <v>89</v>
      </c>
      <c r="B91" s="27">
        <f t="shared" ca="1" si="1"/>
        <v>0.64755372917255205</v>
      </c>
      <c r="C91" s="27" t="s">
        <v>226</v>
      </c>
    </row>
    <row r="92" spans="1:3" x14ac:dyDescent="0.2">
      <c r="A92" s="27">
        <v>90</v>
      </c>
      <c r="B92" s="27">
        <f t="shared" ca="1" si="1"/>
        <v>0.79321177338756854</v>
      </c>
      <c r="C92" s="27" t="s">
        <v>227</v>
      </c>
    </row>
    <row r="93" spans="1:3" x14ac:dyDescent="0.2">
      <c r="A93" s="27">
        <v>91</v>
      </c>
      <c r="B93" s="27">
        <f t="shared" ca="1" si="1"/>
        <v>0.66839215403321128</v>
      </c>
      <c r="C93" s="27" t="s">
        <v>227</v>
      </c>
    </row>
    <row r="94" spans="1:3" x14ac:dyDescent="0.2">
      <c r="A94" s="27">
        <v>92</v>
      </c>
      <c r="B94" s="27">
        <f t="shared" ca="1" si="1"/>
        <v>0.49152778062997371</v>
      </c>
      <c r="C94" s="27" t="s">
        <v>226</v>
      </c>
    </row>
    <row r="95" spans="1:3" x14ac:dyDescent="0.2">
      <c r="A95" s="27">
        <v>93</v>
      </c>
      <c r="B95" s="27">
        <f t="shared" ca="1" si="1"/>
        <v>0.76009564990371703</v>
      </c>
      <c r="C95" s="27" t="s">
        <v>227</v>
      </c>
    </row>
    <row r="96" spans="1:3" x14ac:dyDescent="0.2">
      <c r="A96" s="27">
        <v>94</v>
      </c>
      <c r="B96" s="27">
        <f t="shared" ca="1" si="1"/>
        <v>0.76348693468729911</v>
      </c>
      <c r="C96" s="27" t="s">
        <v>227</v>
      </c>
    </row>
    <row r="97" spans="1:3" x14ac:dyDescent="0.2">
      <c r="A97" s="27">
        <v>95</v>
      </c>
      <c r="B97" s="27">
        <f t="shared" ca="1" si="1"/>
        <v>0.27007495905610451</v>
      </c>
      <c r="C97" s="27" t="s">
        <v>226</v>
      </c>
    </row>
    <row r="98" spans="1:3" x14ac:dyDescent="0.2">
      <c r="A98" s="27">
        <v>96</v>
      </c>
      <c r="B98" s="27">
        <f t="shared" ca="1" si="1"/>
        <v>0.37419065036668864</v>
      </c>
      <c r="C98" s="27" t="s">
        <v>226</v>
      </c>
    </row>
    <row r="99" spans="1:3" x14ac:dyDescent="0.2">
      <c r="A99" s="27">
        <v>97</v>
      </c>
      <c r="B99" s="27">
        <f t="shared" ca="1" si="1"/>
        <v>0.78145663939792942</v>
      </c>
      <c r="C99" s="27" t="s">
        <v>227</v>
      </c>
    </row>
    <row r="100" spans="1:3" x14ac:dyDescent="0.2">
      <c r="A100" s="27">
        <v>98</v>
      </c>
      <c r="B100" s="27">
        <f t="shared" ca="1" si="1"/>
        <v>0.76417069759339906</v>
      </c>
      <c r="C100" s="27" t="s">
        <v>227</v>
      </c>
    </row>
    <row r="101" spans="1:3" x14ac:dyDescent="0.2">
      <c r="A101" s="27">
        <v>99</v>
      </c>
      <c r="B101" s="27">
        <f t="shared" ca="1" si="1"/>
        <v>0.49715789374789654</v>
      </c>
      <c r="C101" s="27" t="s">
        <v>227</v>
      </c>
    </row>
    <row r="102" spans="1:3" x14ac:dyDescent="0.2">
      <c r="A102" s="27">
        <v>100</v>
      </c>
      <c r="B102" s="27">
        <f t="shared" ca="1" si="1"/>
        <v>0.25726275208981758</v>
      </c>
      <c r="C102" s="27" t="s">
        <v>226</v>
      </c>
    </row>
    <row r="103" spans="1:3" x14ac:dyDescent="0.2">
      <c r="A103" s="27">
        <v>101</v>
      </c>
      <c r="B103" s="27">
        <f t="shared" ca="1" si="1"/>
        <v>0.73520674130717723</v>
      </c>
      <c r="C103" s="27" t="s">
        <v>227</v>
      </c>
    </row>
    <row r="104" spans="1:3" x14ac:dyDescent="0.2">
      <c r="A104" s="27">
        <v>102</v>
      </c>
      <c r="B104" s="27">
        <f t="shared" ca="1" si="1"/>
        <v>0.58303029580641341</v>
      </c>
      <c r="C104" s="27" t="s">
        <v>226</v>
      </c>
    </row>
    <row r="105" spans="1:3" x14ac:dyDescent="0.2">
      <c r="A105" s="27">
        <v>103</v>
      </c>
      <c r="B105" s="27">
        <f t="shared" ca="1" si="1"/>
        <v>0.71374042252670233</v>
      </c>
      <c r="C105" s="27" t="s">
        <v>226</v>
      </c>
    </row>
    <row r="106" spans="1:3" x14ac:dyDescent="0.2">
      <c r="A106" s="27">
        <v>104</v>
      </c>
      <c r="B106" s="27">
        <f t="shared" ca="1" si="1"/>
        <v>0.28955564525754884</v>
      </c>
      <c r="C106" s="27" t="s">
        <v>226</v>
      </c>
    </row>
    <row r="107" spans="1:3" x14ac:dyDescent="0.2">
      <c r="A107" s="27">
        <v>105</v>
      </c>
      <c r="B107" s="27">
        <f t="shared" ca="1" si="1"/>
        <v>0.76895770303334032</v>
      </c>
      <c r="C107" s="27" t="s">
        <v>227</v>
      </c>
    </row>
    <row r="108" spans="1:3" x14ac:dyDescent="0.2">
      <c r="A108" s="27">
        <v>106</v>
      </c>
      <c r="B108" s="27">
        <f t="shared" ca="1" si="1"/>
        <v>0.65253488457271958</v>
      </c>
      <c r="C108" s="27" t="s">
        <v>226</v>
      </c>
    </row>
    <row r="109" spans="1:3" x14ac:dyDescent="0.2">
      <c r="A109" s="27">
        <v>107</v>
      </c>
      <c r="B109" s="27">
        <f t="shared" ca="1" si="1"/>
        <v>0.64313384098587456</v>
      </c>
      <c r="C109" s="27" t="s">
        <v>226</v>
      </c>
    </row>
    <row r="110" spans="1:3" x14ac:dyDescent="0.2">
      <c r="A110" s="27">
        <v>108</v>
      </c>
      <c r="B110" s="27">
        <f t="shared" ca="1" si="1"/>
        <v>0.86404019007337307</v>
      </c>
      <c r="C110" s="27" t="s">
        <v>226</v>
      </c>
    </row>
    <row r="111" spans="1:3" x14ac:dyDescent="0.2">
      <c r="A111" s="27">
        <v>109</v>
      </c>
      <c r="B111" s="27">
        <f t="shared" ca="1" si="1"/>
        <v>0.48612840199052654</v>
      </c>
      <c r="C111" s="27" t="s">
        <v>226</v>
      </c>
    </row>
    <row r="112" spans="1:3" x14ac:dyDescent="0.2">
      <c r="A112" s="27">
        <v>110</v>
      </c>
      <c r="B112" s="27">
        <f t="shared" ca="1" si="1"/>
        <v>0.40002847580101536</v>
      </c>
      <c r="C112" s="27" t="s">
        <v>226</v>
      </c>
    </row>
    <row r="113" spans="1:3" x14ac:dyDescent="0.2">
      <c r="A113" s="27">
        <v>111</v>
      </c>
      <c r="B113" s="27">
        <f t="shared" ca="1" si="1"/>
        <v>0.71455128578938942</v>
      </c>
      <c r="C113" s="27" t="s">
        <v>227</v>
      </c>
    </row>
    <row r="114" spans="1:3" x14ac:dyDescent="0.2">
      <c r="A114" s="27">
        <v>112</v>
      </c>
      <c r="B114" s="27">
        <f t="shared" ca="1" si="1"/>
        <v>0.71023033482601206</v>
      </c>
      <c r="C114" s="27" t="s">
        <v>226</v>
      </c>
    </row>
    <row r="115" spans="1:3" x14ac:dyDescent="0.2">
      <c r="A115" s="27">
        <v>113</v>
      </c>
      <c r="B115" s="27">
        <f t="shared" ca="1" si="1"/>
        <v>0.75607687701888471</v>
      </c>
      <c r="C115" s="27" t="s">
        <v>226</v>
      </c>
    </row>
    <row r="116" spans="1:3" x14ac:dyDescent="0.2">
      <c r="A116" s="27">
        <v>114</v>
      </c>
      <c r="B116" s="27">
        <f t="shared" ca="1" si="1"/>
        <v>0.50080876576121658</v>
      </c>
      <c r="C116" s="27" t="s">
        <v>226</v>
      </c>
    </row>
    <row r="117" spans="1:3" x14ac:dyDescent="0.2">
      <c r="A117" s="27">
        <v>115</v>
      </c>
      <c r="B117" s="27">
        <f t="shared" ca="1" si="1"/>
        <v>0.38791598956835838</v>
      </c>
      <c r="C117" s="27" t="s">
        <v>226</v>
      </c>
    </row>
    <row r="118" spans="1:3" x14ac:dyDescent="0.2">
      <c r="A118" s="27">
        <v>116</v>
      </c>
      <c r="B118" s="27">
        <f t="shared" ca="1" si="1"/>
        <v>0.33330319459392044</v>
      </c>
      <c r="C118" s="27" t="s">
        <v>226</v>
      </c>
    </row>
    <row r="119" spans="1:3" x14ac:dyDescent="0.2">
      <c r="A119" s="27">
        <v>117</v>
      </c>
      <c r="B119" s="27">
        <f t="shared" ca="1" si="1"/>
        <v>0.52882526315761536</v>
      </c>
      <c r="C119" s="27" t="s">
        <v>226</v>
      </c>
    </row>
    <row r="120" spans="1:3" x14ac:dyDescent="0.2">
      <c r="A120" s="27">
        <v>118</v>
      </c>
      <c r="B120" s="27">
        <f t="shared" ca="1" si="1"/>
        <v>0.52013373021408316</v>
      </c>
      <c r="C120" s="27" t="s">
        <v>226</v>
      </c>
    </row>
    <row r="121" spans="1:3" x14ac:dyDescent="0.2">
      <c r="A121" s="27">
        <v>119</v>
      </c>
      <c r="B121" s="27">
        <f t="shared" ca="1" si="1"/>
        <v>0.55975525670339665</v>
      </c>
      <c r="C121" s="27" t="s">
        <v>226</v>
      </c>
    </row>
    <row r="122" spans="1:3" x14ac:dyDescent="0.2">
      <c r="A122" s="27">
        <v>120</v>
      </c>
      <c r="B122" s="27">
        <f t="shared" ca="1" si="1"/>
        <v>0.70695802433226707</v>
      </c>
      <c r="C122" s="27" t="s">
        <v>227</v>
      </c>
    </row>
    <row r="123" spans="1:3" x14ac:dyDescent="0.2">
      <c r="A123" s="27">
        <v>121</v>
      </c>
      <c r="B123" s="27">
        <f t="shared" ca="1" si="1"/>
        <v>0.61815033898543326</v>
      </c>
      <c r="C123" s="27" t="s">
        <v>227</v>
      </c>
    </row>
    <row r="124" spans="1:3" x14ac:dyDescent="0.2">
      <c r="A124" s="27">
        <v>122</v>
      </c>
      <c r="B124" s="27">
        <f t="shared" ca="1" si="1"/>
        <v>0.55029670620668847</v>
      </c>
      <c r="C124" s="27" t="s">
        <v>226</v>
      </c>
    </row>
    <row r="125" spans="1:3" x14ac:dyDescent="0.2">
      <c r="A125" s="27">
        <v>123</v>
      </c>
      <c r="B125" s="27">
        <f t="shared" ca="1" si="1"/>
        <v>0.66442308750939683</v>
      </c>
      <c r="C125" s="27" t="s">
        <v>227</v>
      </c>
    </row>
    <row r="126" spans="1:3" x14ac:dyDescent="0.2">
      <c r="A126" s="27">
        <v>124</v>
      </c>
      <c r="B126" s="27">
        <f t="shared" ca="1" si="1"/>
        <v>0.72615006402148752</v>
      </c>
      <c r="C126" s="27" t="s">
        <v>227</v>
      </c>
    </row>
    <row r="127" spans="1:3" x14ac:dyDescent="0.2">
      <c r="A127" s="27">
        <v>125</v>
      </c>
      <c r="B127" s="27">
        <f t="shared" ca="1" si="1"/>
        <v>0.79830847206721178</v>
      </c>
      <c r="C127" s="27" t="s">
        <v>226</v>
      </c>
    </row>
    <row r="128" spans="1:3" x14ac:dyDescent="0.2">
      <c r="A128" s="27">
        <v>126</v>
      </c>
      <c r="B128" s="27">
        <f t="shared" ca="1" si="1"/>
        <v>1.0025147910950123</v>
      </c>
      <c r="C128" s="27" t="s">
        <v>226</v>
      </c>
    </row>
    <row r="129" spans="1:3" x14ac:dyDescent="0.2">
      <c r="A129" s="27">
        <v>127</v>
      </c>
      <c r="B129" s="27">
        <f t="shared" ca="1" si="1"/>
        <v>0.72954709801266127</v>
      </c>
      <c r="C129" s="27" t="s">
        <v>226</v>
      </c>
    </row>
    <row r="130" spans="1:3" x14ac:dyDescent="0.2">
      <c r="A130" s="27">
        <v>128</v>
      </c>
      <c r="B130" s="27">
        <f t="shared" ca="1" si="1"/>
        <v>0.63588959267428424</v>
      </c>
      <c r="C130" s="27" t="s">
        <v>226</v>
      </c>
    </row>
    <row r="131" spans="1:3" x14ac:dyDescent="0.2">
      <c r="A131" s="27">
        <v>129</v>
      </c>
      <c r="B131" s="27">
        <f t="shared" ref="B131:B194" ca="1" si="2">IF(C131="Bomb",_xlfn.NORM.INV(RAND(),0.7,0.1),_xlfn.NORM.INV(RAND(),0.6,0.15))</f>
        <v>0.65125230779738186</v>
      </c>
      <c r="C131" s="27" t="s">
        <v>226</v>
      </c>
    </row>
    <row r="132" spans="1:3" x14ac:dyDescent="0.2">
      <c r="A132" s="27">
        <v>130</v>
      </c>
      <c r="B132" s="27">
        <f t="shared" ca="1" si="2"/>
        <v>0.75036527076838289</v>
      </c>
      <c r="C132" s="27" t="s">
        <v>227</v>
      </c>
    </row>
    <row r="133" spans="1:3" x14ac:dyDescent="0.2">
      <c r="A133" s="27">
        <v>131</v>
      </c>
      <c r="B133" s="27">
        <f t="shared" ca="1" si="2"/>
        <v>0.44273574904371871</v>
      </c>
      <c r="C133" s="27" t="s">
        <v>227</v>
      </c>
    </row>
    <row r="134" spans="1:3" x14ac:dyDescent="0.2">
      <c r="A134" s="27">
        <v>132</v>
      </c>
      <c r="B134" s="27">
        <f t="shared" ca="1" si="2"/>
        <v>0.70980839203423762</v>
      </c>
      <c r="C134" s="27" t="s">
        <v>227</v>
      </c>
    </row>
    <row r="135" spans="1:3" x14ac:dyDescent="0.2">
      <c r="A135" s="27">
        <v>133</v>
      </c>
      <c r="B135" s="27">
        <f t="shared" ca="1" si="2"/>
        <v>0.69181258603964979</v>
      </c>
      <c r="C135" s="27" t="s">
        <v>227</v>
      </c>
    </row>
    <row r="136" spans="1:3" x14ac:dyDescent="0.2">
      <c r="A136" s="27">
        <v>134</v>
      </c>
      <c r="B136" s="27">
        <f t="shared" ca="1" si="2"/>
        <v>0.71697706424909491</v>
      </c>
      <c r="C136" s="27" t="s">
        <v>226</v>
      </c>
    </row>
    <row r="137" spans="1:3" x14ac:dyDescent="0.2">
      <c r="A137" s="27">
        <v>135</v>
      </c>
      <c r="B137" s="27">
        <f t="shared" ca="1" si="2"/>
        <v>0.5345012616238457</v>
      </c>
      <c r="C137" s="27" t="s">
        <v>227</v>
      </c>
    </row>
    <row r="138" spans="1:3" x14ac:dyDescent="0.2">
      <c r="A138" s="27">
        <v>136</v>
      </c>
      <c r="B138" s="27">
        <f t="shared" ca="1" si="2"/>
        <v>0.64240605784493676</v>
      </c>
      <c r="C138" s="27" t="s">
        <v>227</v>
      </c>
    </row>
    <row r="139" spans="1:3" x14ac:dyDescent="0.2">
      <c r="A139" s="27">
        <v>137</v>
      </c>
      <c r="B139" s="27">
        <f t="shared" ca="1" si="2"/>
        <v>0.65751419997069194</v>
      </c>
      <c r="C139" s="27" t="s">
        <v>226</v>
      </c>
    </row>
    <row r="140" spans="1:3" x14ac:dyDescent="0.2">
      <c r="A140" s="27">
        <v>138</v>
      </c>
      <c r="B140" s="27">
        <f t="shared" ca="1" si="2"/>
        <v>0.68156323678365072</v>
      </c>
      <c r="C140" s="27" t="s">
        <v>227</v>
      </c>
    </row>
    <row r="141" spans="1:3" x14ac:dyDescent="0.2">
      <c r="A141" s="27">
        <v>139</v>
      </c>
      <c r="B141" s="27">
        <f t="shared" ca="1" si="2"/>
        <v>0.56947742836233917</v>
      </c>
      <c r="C141" s="27" t="s">
        <v>226</v>
      </c>
    </row>
    <row r="142" spans="1:3" x14ac:dyDescent="0.2">
      <c r="A142" s="27">
        <v>140</v>
      </c>
      <c r="B142" s="27">
        <f t="shared" ca="1" si="2"/>
        <v>0.19474929061487783</v>
      </c>
      <c r="C142" s="27" t="s">
        <v>226</v>
      </c>
    </row>
    <row r="143" spans="1:3" x14ac:dyDescent="0.2">
      <c r="A143" s="27">
        <v>141</v>
      </c>
      <c r="B143" s="27">
        <f t="shared" ca="1" si="2"/>
        <v>0.62009746088974815</v>
      </c>
      <c r="C143" s="27" t="s">
        <v>226</v>
      </c>
    </row>
    <row r="144" spans="1:3" x14ac:dyDescent="0.2">
      <c r="A144" s="27">
        <v>142</v>
      </c>
      <c r="B144" s="27">
        <f t="shared" ca="1" si="2"/>
        <v>0.7088241585049222</v>
      </c>
      <c r="C144" s="27" t="s">
        <v>227</v>
      </c>
    </row>
    <row r="145" spans="1:3" x14ac:dyDescent="0.2">
      <c r="A145" s="27">
        <v>143</v>
      </c>
      <c r="B145" s="27">
        <f t="shared" ca="1" si="2"/>
        <v>0.53961686409295018</v>
      </c>
      <c r="C145" s="27" t="s">
        <v>226</v>
      </c>
    </row>
    <row r="146" spans="1:3" x14ac:dyDescent="0.2">
      <c r="A146" s="27">
        <v>144</v>
      </c>
      <c r="B146" s="27">
        <f t="shared" ca="1" si="2"/>
        <v>0.76128206155086864</v>
      </c>
      <c r="C146" s="27" t="s">
        <v>227</v>
      </c>
    </row>
    <row r="147" spans="1:3" x14ac:dyDescent="0.2">
      <c r="A147" s="27">
        <v>145</v>
      </c>
      <c r="B147" s="27">
        <f t="shared" ca="1" si="2"/>
        <v>0.99745058649996077</v>
      </c>
      <c r="C147" s="27" t="s">
        <v>226</v>
      </c>
    </row>
    <row r="148" spans="1:3" x14ac:dyDescent="0.2">
      <c r="A148" s="27">
        <v>146</v>
      </c>
      <c r="B148" s="27">
        <f t="shared" ca="1" si="2"/>
        <v>0.14523800210953847</v>
      </c>
      <c r="C148" s="27" t="s">
        <v>226</v>
      </c>
    </row>
    <row r="149" spans="1:3" x14ac:dyDescent="0.2">
      <c r="A149" s="27">
        <v>147</v>
      </c>
      <c r="B149" s="27">
        <f t="shared" ca="1" si="2"/>
        <v>0.76458551468410541</v>
      </c>
      <c r="C149" s="27" t="s">
        <v>227</v>
      </c>
    </row>
    <row r="150" spans="1:3" x14ac:dyDescent="0.2">
      <c r="A150" s="27">
        <v>148</v>
      </c>
      <c r="B150" s="27">
        <f t="shared" ca="1" si="2"/>
        <v>0.61909688420555442</v>
      </c>
      <c r="C150" s="27" t="s">
        <v>226</v>
      </c>
    </row>
    <row r="151" spans="1:3" x14ac:dyDescent="0.2">
      <c r="A151" s="27">
        <v>149</v>
      </c>
      <c r="B151" s="27">
        <f t="shared" ca="1" si="2"/>
        <v>0.73821484769970258</v>
      </c>
      <c r="C151" s="27" t="s">
        <v>226</v>
      </c>
    </row>
    <row r="152" spans="1:3" x14ac:dyDescent="0.2">
      <c r="A152" s="27">
        <v>150</v>
      </c>
      <c r="B152" s="27">
        <f t="shared" ca="1" si="2"/>
        <v>0.89355498506138353</v>
      </c>
      <c r="C152" s="27" t="s">
        <v>226</v>
      </c>
    </row>
    <row r="153" spans="1:3" x14ac:dyDescent="0.2">
      <c r="A153" s="27">
        <v>151</v>
      </c>
      <c r="B153" s="27">
        <f t="shared" ca="1" si="2"/>
        <v>0.57929063365277955</v>
      </c>
      <c r="C153" s="27" t="s">
        <v>227</v>
      </c>
    </row>
    <row r="154" spans="1:3" x14ac:dyDescent="0.2">
      <c r="A154" s="27">
        <v>152</v>
      </c>
      <c r="B154" s="27">
        <f t="shared" ca="1" si="2"/>
        <v>0.6257714229880037</v>
      </c>
      <c r="C154" s="27" t="s">
        <v>227</v>
      </c>
    </row>
    <row r="155" spans="1:3" x14ac:dyDescent="0.2">
      <c r="A155" s="27">
        <v>153</v>
      </c>
      <c r="B155" s="27">
        <f t="shared" ca="1" si="2"/>
        <v>0.8562282861814845</v>
      </c>
      <c r="C155" s="27" t="s">
        <v>227</v>
      </c>
    </row>
    <row r="156" spans="1:3" x14ac:dyDescent="0.2">
      <c r="A156" s="27">
        <v>154</v>
      </c>
      <c r="B156" s="27">
        <f t="shared" ca="1" si="2"/>
        <v>0.47011621366592293</v>
      </c>
      <c r="C156" s="27" t="s">
        <v>226</v>
      </c>
    </row>
    <row r="157" spans="1:3" x14ac:dyDescent="0.2">
      <c r="A157" s="27">
        <v>155</v>
      </c>
      <c r="B157" s="27">
        <f t="shared" ca="1" si="2"/>
        <v>0.66981309060268945</v>
      </c>
      <c r="C157" s="27" t="s">
        <v>227</v>
      </c>
    </row>
    <row r="158" spans="1:3" x14ac:dyDescent="0.2">
      <c r="A158" s="27">
        <v>156</v>
      </c>
      <c r="B158" s="27">
        <f t="shared" ca="1" si="2"/>
        <v>0.61380112890875782</v>
      </c>
      <c r="C158" s="27" t="s">
        <v>227</v>
      </c>
    </row>
    <row r="159" spans="1:3" x14ac:dyDescent="0.2">
      <c r="A159" s="27">
        <v>157</v>
      </c>
      <c r="B159" s="27">
        <f t="shared" ca="1" si="2"/>
        <v>0.62755012046295011</v>
      </c>
      <c r="C159" s="27" t="s">
        <v>226</v>
      </c>
    </row>
    <row r="160" spans="1:3" x14ac:dyDescent="0.2">
      <c r="A160" s="27">
        <v>158</v>
      </c>
      <c r="B160" s="27">
        <f t="shared" ca="1" si="2"/>
        <v>0.78305223385193679</v>
      </c>
      <c r="C160" s="27" t="s">
        <v>226</v>
      </c>
    </row>
    <row r="161" spans="1:3" x14ac:dyDescent="0.2">
      <c r="A161" s="27">
        <v>159</v>
      </c>
      <c r="B161" s="27">
        <f t="shared" ca="1" si="2"/>
        <v>0.57288945142710634</v>
      </c>
      <c r="C161" s="27" t="s">
        <v>227</v>
      </c>
    </row>
    <row r="162" spans="1:3" x14ac:dyDescent="0.2">
      <c r="A162" s="27">
        <v>160</v>
      </c>
      <c r="B162" s="27">
        <f t="shared" ca="1" si="2"/>
        <v>0.79928678430892675</v>
      </c>
      <c r="C162" s="27" t="s">
        <v>227</v>
      </c>
    </row>
    <row r="163" spans="1:3" x14ac:dyDescent="0.2">
      <c r="A163" s="27">
        <v>161</v>
      </c>
      <c r="B163" s="27">
        <f t="shared" ca="1" si="2"/>
        <v>0.87485570989893602</v>
      </c>
      <c r="C163" s="27" t="s">
        <v>227</v>
      </c>
    </row>
    <row r="164" spans="1:3" x14ac:dyDescent="0.2">
      <c r="A164" s="27">
        <v>162</v>
      </c>
      <c r="B164" s="27">
        <f t="shared" ca="1" si="2"/>
        <v>0.652876434189957</v>
      </c>
      <c r="C164" s="27" t="s">
        <v>226</v>
      </c>
    </row>
    <row r="165" spans="1:3" x14ac:dyDescent="0.2">
      <c r="A165" s="27">
        <v>163</v>
      </c>
      <c r="B165" s="27">
        <f t="shared" ca="1" si="2"/>
        <v>0.51717770303688659</v>
      </c>
      <c r="C165" s="27" t="s">
        <v>226</v>
      </c>
    </row>
    <row r="166" spans="1:3" x14ac:dyDescent="0.2">
      <c r="A166" s="27">
        <v>164</v>
      </c>
      <c r="B166" s="27">
        <f t="shared" ca="1" si="2"/>
        <v>0.91317588147427387</v>
      </c>
      <c r="C166" s="27" t="s">
        <v>226</v>
      </c>
    </row>
    <row r="167" spans="1:3" x14ac:dyDescent="0.2">
      <c r="A167" s="27">
        <v>165</v>
      </c>
      <c r="B167" s="27">
        <f t="shared" ca="1" si="2"/>
        <v>0.67180998278719006</v>
      </c>
      <c r="C167" s="27" t="s">
        <v>226</v>
      </c>
    </row>
    <row r="168" spans="1:3" x14ac:dyDescent="0.2">
      <c r="A168" s="27">
        <v>166</v>
      </c>
      <c r="B168" s="27">
        <f t="shared" ca="1" si="2"/>
        <v>0.67006989621625312</v>
      </c>
      <c r="C168" s="27" t="s">
        <v>227</v>
      </c>
    </row>
    <row r="169" spans="1:3" x14ac:dyDescent="0.2">
      <c r="A169" s="27">
        <v>167</v>
      </c>
      <c r="B169" s="27">
        <f t="shared" ca="1" si="2"/>
        <v>0.58461532562667551</v>
      </c>
      <c r="C169" s="27" t="s">
        <v>227</v>
      </c>
    </row>
    <row r="170" spans="1:3" x14ac:dyDescent="0.2">
      <c r="A170" s="27">
        <v>168</v>
      </c>
      <c r="B170" s="27">
        <f t="shared" ca="1" si="2"/>
        <v>0.65339599178357799</v>
      </c>
      <c r="C170" s="27" t="s">
        <v>227</v>
      </c>
    </row>
    <row r="171" spans="1:3" x14ac:dyDescent="0.2">
      <c r="A171" s="27">
        <v>169</v>
      </c>
      <c r="B171" s="27">
        <f t="shared" ca="1" si="2"/>
        <v>0.62397578598172454</v>
      </c>
      <c r="C171" s="27" t="s">
        <v>226</v>
      </c>
    </row>
    <row r="172" spans="1:3" x14ac:dyDescent="0.2">
      <c r="A172" s="27">
        <v>170</v>
      </c>
      <c r="B172" s="27">
        <f t="shared" ca="1" si="2"/>
        <v>0.51562195953665191</v>
      </c>
      <c r="C172" s="27" t="s">
        <v>226</v>
      </c>
    </row>
    <row r="173" spans="1:3" x14ac:dyDescent="0.2">
      <c r="A173" s="27">
        <v>171</v>
      </c>
      <c r="B173" s="27">
        <f t="shared" ca="1" si="2"/>
        <v>0.74664473534858677</v>
      </c>
      <c r="C173" s="27" t="s">
        <v>227</v>
      </c>
    </row>
    <row r="174" spans="1:3" x14ac:dyDescent="0.2">
      <c r="A174" s="27">
        <v>172</v>
      </c>
      <c r="B174" s="27">
        <f t="shared" ca="1" si="2"/>
        <v>0.7821428935259761</v>
      </c>
      <c r="C174" s="27" t="s">
        <v>227</v>
      </c>
    </row>
    <row r="175" spans="1:3" x14ac:dyDescent="0.2">
      <c r="A175" s="27">
        <v>173</v>
      </c>
      <c r="B175" s="27">
        <f t="shared" ca="1" si="2"/>
        <v>0.64160161594926679</v>
      </c>
      <c r="C175" s="27" t="s">
        <v>227</v>
      </c>
    </row>
    <row r="176" spans="1:3" x14ac:dyDescent="0.2">
      <c r="A176" s="27">
        <v>174</v>
      </c>
      <c r="B176" s="27">
        <f t="shared" ca="1" si="2"/>
        <v>0.75700154876697412</v>
      </c>
      <c r="C176" s="27" t="s">
        <v>226</v>
      </c>
    </row>
    <row r="177" spans="1:3" x14ac:dyDescent="0.2">
      <c r="A177" s="27">
        <v>175</v>
      </c>
      <c r="B177" s="27">
        <f t="shared" ca="1" si="2"/>
        <v>0.75129918868335421</v>
      </c>
      <c r="C177" s="27" t="s">
        <v>227</v>
      </c>
    </row>
    <row r="178" spans="1:3" x14ac:dyDescent="0.2">
      <c r="A178" s="27">
        <v>176</v>
      </c>
      <c r="B178" s="27">
        <f t="shared" ca="1" si="2"/>
        <v>0.7391556374624435</v>
      </c>
      <c r="C178" s="27" t="s">
        <v>227</v>
      </c>
    </row>
    <row r="179" spans="1:3" x14ac:dyDescent="0.2">
      <c r="A179" s="27">
        <v>177</v>
      </c>
      <c r="B179" s="27">
        <f t="shared" ca="1" si="2"/>
        <v>0.70567490137211941</v>
      </c>
      <c r="C179" s="27" t="s">
        <v>226</v>
      </c>
    </row>
    <row r="180" spans="1:3" x14ac:dyDescent="0.2">
      <c r="A180" s="27">
        <v>178</v>
      </c>
      <c r="B180" s="27">
        <f t="shared" ca="1" si="2"/>
        <v>0.62046955754565869</v>
      </c>
      <c r="C180" s="27" t="s">
        <v>226</v>
      </c>
    </row>
    <row r="181" spans="1:3" x14ac:dyDescent="0.2">
      <c r="A181" s="27">
        <v>179</v>
      </c>
      <c r="B181" s="27">
        <f t="shared" ca="1" si="2"/>
        <v>0.7701152883822987</v>
      </c>
      <c r="C181" s="27" t="s">
        <v>227</v>
      </c>
    </row>
    <row r="182" spans="1:3" x14ac:dyDescent="0.2">
      <c r="A182" s="27">
        <v>180</v>
      </c>
      <c r="B182" s="27">
        <f t="shared" ca="1" si="2"/>
        <v>0.6224776206514977</v>
      </c>
      <c r="C182" s="27" t="s">
        <v>227</v>
      </c>
    </row>
    <row r="183" spans="1:3" x14ac:dyDescent="0.2">
      <c r="A183" s="27">
        <v>181</v>
      </c>
      <c r="B183" s="27">
        <f t="shared" ca="1" si="2"/>
        <v>0.50843622870527139</v>
      </c>
      <c r="C183" s="27" t="s">
        <v>227</v>
      </c>
    </row>
    <row r="184" spans="1:3" x14ac:dyDescent="0.2">
      <c r="A184" s="27">
        <v>182</v>
      </c>
      <c r="B184" s="27">
        <f t="shared" ca="1" si="2"/>
        <v>0.57205517087030633</v>
      </c>
      <c r="C184" s="27" t="s">
        <v>227</v>
      </c>
    </row>
    <row r="185" spans="1:3" x14ac:dyDescent="0.2">
      <c r="A185" s="27">
        <v>183</v>
      </c>
      <c r="B185" s="27">
        <f t="shared" ca="1" si="2"/>
        <v>0.54853179709227617</v>
      </c>
      <c r="C185" s="27" t="s">
        <v>226</v>
      </c>
    </row>
    <row r="186" spans="1:3" x14ac:dyDescent="0.2">
      <c r="A186" s="27">
        <v>184</v>
      </c>
      <c r="B186" s="27">
        <f t="shared" ca="1" si="2"/>
        <v>0.67732386745348649</v>
      </c>
      <c r="C186" s="27" t="s">
        <v>227</v>
      </c>
    </row>
    <row r="187" spans="1:3" x14ac:dyDescent="0.2">
      <c r="A187" s="27">
        <v>185</v>
      </c>
      <c r="B187" s="27">
        <f t="shared" ca="1" si="2"/>
        <v>0.63279929077727659</v>
      </c>
      <c r="C187" s="27" t="s">
        <v>226</v>
      </c>
    </row>
    <row r="188" spans="1:3" x14ac:dyDescent="0.2">
      <c r="A188" s="27">
        <v>186</v>
      </c>
      <c r="B188" s="27">
        <f t="shared" ca="1" si="2"/>
        <v>0.57851978974655338</v>
      </c>
      <c r="C188" s="27" t="s">
        <v>227</v>
      </c>
    </row>
    <row r="189" spans="1:3" x14ac:dyDescent="0.2">
      <c r="A189" s="27">
        <v>187</v>
      </c>
      <c r="B189" s="27">
        <f t="shared" ca="1" si="2"/>
        <v>0.56596349167591564</v>
      </c>
      <c r="C189" s="27" t="s">
        <v>226</v>
      </c>
    </row>
    <row r="190" spans="1:3" x14ac:dyDescent="0.2">
      <c r="A190" s="27">
        <v>188</v>
      </c>
      <c r="B190" s="27">
        <f t="shared" ca="1" si="2"/>
        <v>0.62726768198378924</v>
      </c>
      <c r="C190" s="27" t="s">
        <v>227</v>
      </c>
    </row>
    <row r="191" spans="1:3" x14ac:dyDescent="0.2">
      <c r="A191" s="27">
        <v>189</v>
      </c>
      <c r="B191" s="27">
        <f t="shared" ca="1" si="2"/>
        <v>0.88331941890492938</v>
      </c>
      <c r="C191" s="27" t="s">
        <v>227</v>
      </c>
    </row>
    <row r="192" spans="1:3" x14ac:dyDescent="0.2">
      <c r="A192" s="27">
        <v>190</v>
      </c>
      <c r="B192" s="27">
        <f t="shared" ca="1" si="2"/>
        <v>0.57839017548518667</v>
      </c>
      <c r="C192" s="27" t="s">
        <v>226</v>
      </c>
    </row>
    <row r="193" spans="1:3" x14ac:dyDescent="0.2">
      <c r="A193" s="27">
        <v>191</v>
      </c>
      <c r="B193" s="27">
        <f t="shared" ca="1" si="2"/>
        <v>0.64741487112312845</v>
      </c>
      <c r="C193" s="27" t="s">
        <v>227</v>
      </c>
    </row>
    <row r="194" spans="1:3" x14ac:dyDescent="0.2">
      <c r="A194" s="27">
        <v>192</v>
      </c>
      <c r="B194" s="27">
        <f t="shared" ca="1" si="2"/>
        <v>0.70432792463713323</v>
      </c>
      <c r="C194" s="27" t="s">
        <v>226</v>
      </c>
    </row>
    <row r="195" spans="1:3" x14ac:dyDescent="0.2">
      <c r="A195" s="27">
        <v>193</v>
      </c>
      <c r="B195" s="27">
        <f t="shared" ref="B195:B258" ca="1" si="3">IF(C195="Bomb",_xlfn.NORM.INV(RAND(),0.7,0.1),_xlfn.NORM.INV(RAND(),0.6,0.15))</f>
        <v>0.56119073257081575</v>
      </c>
      <c r="C195" s="27" t="s">
        <v>227</v>
      </c>
    </row>
    <row r="196" spans="1:3" x14ac:dyDescent="0.2">
      <c r="A196" s="27">
        <v>194</v>
      </c>
      <c r="B196" s="27">
        <f t="shared" ca="1" si="3"/>
        <v>0.5128437629991569</v>
      </c>
      <c r="C196" s="27" t="s">
        <v>226</v>
      </c>
    </row>
    <row r="197" spans="1:3" x14ac:dyDescent="0.2">
      <c r="A197" s="27">
        <v>195</v>
      </c>
      <c r="B197" s="27">
        <f t="shared" ca="1" si="3"/>
        <v>0.6778922786866276</v>
      </c>
      <c r="C197" s="27" t="s">
        <v>226</v>
      </c>
    </row>
    <row r="198" spans="1:3" x14ac:dyDescent="0.2">
      <c r="A198" s="27">
        <v>196</v>
      </c>
      <c r="B198" s="27">
        <f t="shared" ca="1" si="3"/>
        <v>0.7188990967393506</v>
      </c>
      <c r="C198" s="27" t="s">
        <v>227</v>
      </c>
    </row>
    <row r="199" spans="1:3" x14ac:dyDescent="0.2">
      <c r="A199" s="27">
        <v>197</v>
      </c>
      <c r="B199" s="27">
        <f t="shared" ca="1" si="3"/>
        <v>0.5361084397264988</v>
      </c>
      <c r="C199" s="27" t="s">
        <v>226</v>
      </c>
    </row>
    <row r="200" spans="1:3" x14ac:dyDescent="0.2">
      <c r="A200" s="27">
        <v>198</v>
      </c>
      <c r="B200" s="27">
        <f t="shared" ca="1" si="3"/>
        <v>0.8887867411934216</v>
      </c>
      <c r="C200" s="27" t="s">
        <v>227</v>
      </c>
    </row>
    <row r="201" spans="1:3" x14ac:dyDescent="0.2">
      <c r="A201" s="27">
        <v>199</v>
      </c>
      <c r="B201" s="27">
        <f t="shared" ca="1" si="3"/>
        <v>0.36445663485011082</v>
      </c>
      <c r="C201" s="27" t="s">
        <v>226</v>
      </c>
    </row>
    <row r="202" spans="1:3" x14ac:dyDescent="0.2">
      <c r="A202" s="27">
        <v>200</v>
      </c>
      <c r="B202" s="27">
        <f t="shared" ca="1" si="3"/>
        <v>0.69680102891042528</v>
      </c>
      <c r="C202" s="27" t="s">
        <v>227</v>
      </c>
    </row>
    <row r="203" spans="1:3" x14ac:dyDescent="0.2">
      <c r="A203" s="27">
        <v>201</v>
      </c>
      <c r="B203" s="27">
        <f t="shared" ca="1" si="3"/>
        <v>0.23091944945936071</v>
      </c>
      <c r="C203" s="27" t="s">
        <v>226</v>
      </c>
    </row>
    <row r="204" spans="1:3" x14ac:dyDescent="0.2">
      <c r="A204" s="27">
        <v>202</v>
      </c>
      <c r="B204" s="27">
        <f t="shared" ca="1" si="3"/>
        <v>0.77188176983363543</v>
      </c>
      <c r="C204" s="27" t="s">
        <v>227</v>
      </c>
    </row>
    <row r="205" spans="1:3" x14ac:dyDescent="0.2">
      <c r="A205" s="27">
        <v>203</v>
      </c>
      <c r="B205" s="27">
        <f t="shared" ca="1" si="3"/>
        <v>0.7338517677289309</v>
      </c>
      <c r="C205" s="27" t="s">
        <v>226</v>
      </c>
    </row>
    <row r="206" spans="1:3" x14ac:dyDescent="0.2">
      <c r="A206" s="27">
        <v>204</v>
      </c>
      <c r="B206" s="27">
        <f t="shared" ca="1" si="3"/>
        <v>0.81811305629341102</v>
      </c>
      <c r="C206" s="27" t="s">
        <v>226</v>
      </c>
    </row>
    <row r="207" spans="1:3" x14ac:dyDescent="0.2">
      <c r="A207" s="27">
        <v>205</v>
      </c>
      <c r="B207" s="27">
        <f t="shared" ca="1" si="3"/>
        <v>0.73984973272359966</v>
      </c>
      <c r="C207" s="27" t="s">
        <v>226</v>
      </c>
    </row>
    <row r="208" spans="1:3" x14ac:dyDescent="0.2">
      <c r="A208" s="27">
        <v>206</v>
      </c>
      <c r="B208" s="27">
        <f t="shared" ca="1" si="3"/>
        <v>0.5047754223613381</v>
      </c>
      <c r="C208" s="27" t="s">
        <v>227</v>
      </c>
    </row>
    <row r="209" spans="1:3" x14ac:dyDescent="0.2">
      <c r="A209" s="27">
        <v>207</v>
      </c>
      <c r="B209" s="27">
        <f t="shared" ca="1" si="3"/>
        <v>0.84392679406781845</v>
      </c>
      <c r="C209" s="27" t="s">
        <v>227</v>
      </c>
    </row>
    <row r="210" spans="1:3" x14ac:dyDescent="0.2">
      <c r="A210" s="27">
        <v>208</v>
      </c>
      <c r="B210" s="27">
        <f t="shared" ca="1" si="3"/>
        <v>0.68000072312458215</v>
      </c>
      <c r="C210" s="27" t="s">
        <v>227</v>
      </c>
    </row>
    <row r="211" spans="1:3" x14ac:dyDescent="0.2">
      <c r="A211" s="27">
        <v>209</v>
      </c>
      <c r="B211" s="27">
        <f t="shared" ca="1" si="3"/>
        <v>0.38810914587862089</v>
      </c>
      <c r="C211" s="27" t="s">
        <v>226</v>
      </c>
    </row>
    <row r="212" spans="1:3" x14ac:dyDescent="0.2">
      <c r="A212" s="27">
        <v>210</v>
      </c>
      <c r="B212" s="27">
        <f t="shared" ca="1" si="3"/>
        <v>0.63922948248947442</v>
      </c>
      <c r="C212" s="27" t="s">
        <v>226</v>
      </c>
    </row>
    <row r="213" spans="1:3" x14ac:dyDescent="0.2">
      <c r="A213" s="27">
        <v>211</v>
      </c>
      <c r="B213" s="27">
        <f t="shared" ca="1" si="3"/>
        <v>0.66905930243846234</v>
      </c>
      <c r="C213" s="27" t="s">
        <v>226</v>
      </c>
    </row>
    <row r="214" spans="1:3" x14ac:dyDescent="0.2">
      <c r="A214" s="27">
        <v>212</v>
      </c>
      <c r="B214" s="27">
        <f t="shared" ca="1" si="3"/>
        <v>0.65642760918327803</v>
      </c>
      <c r="C214" s="27" t="s">
        <v>226</v>
      </c>
    </row>
    <row r="215" spans="1:3" x14ac:dyDescent="0.2">
      <c r="A215" s="27">
        <v>213</v>
      </c>
      <c r="B215" s="27">
        <f t="shared" ca="1" si="3"/>
        <v>0.77532678071768979</v>
      </c>
      <c r="C215" s="27" t="s">
        <v>226</v>
      </c>
    </row>
    <row r="216" spans="1:3" x14ac:dyDescent="0.2">
      <c r="A216" s="27">
        <v>214</v>
      </c>
      <c r="B216" s="27">
        <f t="shared" ca="1" si="3"/>
        <v>0.5980456933261924</v>
      </c>
      <c r="C216" s="27" t="s">
        <v>226</v>
      </c>
    </row>
    <row r="217" spans="1:3" x14ac:dyDescent="0.2">
      <c r="A217" s="27">
        <v>215</v>
      </c>
      <c r="B217" s="27">
        <f t="shared" ca="1" si="3"/>
        <v>0.79814229008087456</v>
      </c>
      <c r="C217" s="27" t="s">
        <v>227</v>
      </c>
    </row>
    <row r="218" spans="1:3" x14ac:dyDescent="0.2">
      <c r="A218" s="27">
        <v>216</v>
      </c>
      <c r="B218" s="27">
        <f t="shared" ca="1" si="3"/>
        <v>0.85494859729256245</v>
      </c>
      <c r="C218" s="27" t="s">
        <v>227</v>
      </c>
    </row>
    <row r="219" spans="1:3" x14ac:dyDescent="0.2">
      <c r="A219" s="27">
        <v>217</v>
      </c>
      <c r="B219" s="27">
        <f t="shared" ca="1" si="3"/>
        <v>0.60780820225495391</v>
      </c>
      <c r="C219" s="27" t="s">
        <v>227</v>
      </c>
    </row>
    <row r="220" spans="1:3" x14ac:dyDescent="0.2">
      <c r="A220" s="27">
        <v>218</v>
      </c>
      <c r="B220" s="27">
        <f t="shared" ca="1" si="3"/>
        <v>0.76782428883945975</v>
      </c>
      <c r="C220" s="27" t="s">
        <v>226</v>
      </c>
    </row>
    <row r="221" spans="1:3" x14ac:dyDescent="0.2">
      <c r="A221" s="27">
        <v>219</v>
      </c>
      <c r="B221" s="27">
        <f t="shared" ca="1" si="3"/>
        <v>0.89588667419408785</v>
      </c>
      <c r="C221" s="27" t="s">
        <v>227</v>
      </c>
    </row>
    <row r="222" spans="1:3" x14ac:dyDescent="0.2">
      <c r="A222" s="27">
        <v>220</v>
      </c>
      <c r="B222" s="27">
        <f t="shared" ca="1" si="3"/>
        <v>0.72113727777442915</v>
      </c>
      <c r="C222" s="27" t="s">
        <v>226</v>
      </c>
    </row>
    <row r="223" spans="1:3" x14ac:dyDescent="0.2">
      <c r="A223" s="27">
        <v>221</v>
      </c>
      <c r="B223" s="27">
        <f t="shared" ca="1" si="3"/>
        <v>0.6920419474066809</v>
      </c>
      <c r="C223" s="27" t="s">
        <v>227</v>
      </c>
    </row>
    <row r="224" spans="1:3" x14ac:dyDescent="0.2">
      <c r="A224" s="27">
        <v>222</v>
      </c>
      <c r="B224" s="27">
        <f t="shared" ca="1" si="3"/>
        <v>0.74886900469490369</v>
      </c>
      <c r="C224" s="27" t="s">
        <v>227</v>
      </c>
    </row>
    <row r="225" spans="1:3" x14ac:dyDescent="0.2">
      <c r="A225" s="27">
        <v>223</v>
      </c>
      <c r="B225" s="27">
        <f t="shared" ca="1" si="3"/>
        <v>0.43949170652341069</v>
      </c>
      <c r="C225" s="27" t="s">
        <v>226</v>
      </c>
    </row>
    <row r="226" spans="1:3" x14ac:dyDescent="0.2">
      <c r="A226" s="27">
        <v>224</v>
      </c>
      <c r="B226" s="27">
        <f t="shared" ca="1" si="3"/>
        <v>0.7798770169218272</v>
      </c>
      <c r="C226" s="27" t="s">
        <v>226</v>
      </c>
    </row>
    <row r="227" spans="1:3" x14ac:dyDescent="0.2">
      <c r="A227" s="27">
        <v>225</v>
      </c>
      <c r="B227" s="27">
        <f t="shared" ca="1" si="3"/>
        <v>0.70132847647950436</v>
      </c>
      <c r="C227" s="27" t="s">
        <v>227</v>
      </c>
    </row>
    <row r="228" spans="1:3" x14ac:dyDescent="0.2">
      <c r="A228" s="27">
        <v>226</v>
      </c>
      <c r="B228" s="27">
        <f t="shared" ca="1" si="3"/>
        <v>0.66916481121484339</v>
      </c>
      <c r="C228" s="27" t="s">
        <v>226</v>
      </c>
    </row>
    <row r="229" spans="1:3" x14ac:dyDescent="0.2">
      <c r="A229" s="27">
        <v>227</v>
      </c>
      <c r="B229" s="27">
        <f t="shared" ca="1" si="3"/>
        <v>0.79715176444478386</v>
      </c>
      <c r="C229" s="27" t="s">
        <v>226</v>
      </c>
    </row>
    <row r="230" spans="1:3" x14ac:dyDescent="0.2">
      <c r="A230" s="27">
        <v>228</v>
      </c>
      <c r="B230" s="27">
        <f t="shared" ca="1" si="3"/>
        <v>0.49585348324184103</v>
      </c>
      <c r="C230" s="27" t="s">
        <v>226</v>
      </c>
    </row>
    <row r="231" spans="1:3" x14ac:dyDescent="0.2">
      <c r="A231" s="27">
        <v>229</v>
      </c>
      <c r="B231" s="27">
        <f t="shared" ca="1" si="3"/>
        <v>0.85364817227812317</v>
      </c>
      <c r="C231" s="27" t="s">
        <v>226</v>
      </c>
    </row>
    <row r="232" spans="1:3" x14ac:dyDescent="0.2">
      <c r="A232" s="27">
        <v>230</v>
      </c>
      <c r="B232" s="27">
        <f t="shared" ca="1" si="3"/>
        <v>0.7354552023734211</v>
      </c>
      <c r="C232" s="27" t="s">
        <v>227</v>
      </c>
    </row>
    <row r="233" spans="1:3" x14ac:dyDescent="0.2">
      <c r="A233" s="27">
        <v>231</v>
      </c>
      <c r="B233" s="27">
        <f t="shared" ca="1" si="3"/>
        <v>0.72771857979618604</v>
      </c>
      <c r="C233" s="27" t="s">
        <v>227</v>
      </c>
    </row>
    <row r="234" spans="1:3" x14ac:dyDescent="0.2">
      <c r="A234" s="27">
        <v>232</v>
      </c>
      <c r="B234" s="27">
        <f t="shared" ca="1" si="3"/>
        <v>0.58620938726906424</v>
      </c>
      <c r="C234" s="27" t="s">
        <v>226</v>
      </c>
    </row>
    <row r="235" spans="1:3" x14ac:dyDescent="0.2">
      <c r="A235" s="27">
        <v>233</v>
      </c>
      <c r="B235" s="27">
        <f t="shared" ca="1" si="3"/>
        <v>0.43063665181781635</v>
      </c>
      <c r="C235" s="27" t="s">
        <v>226</v>
      </c>
    </row>
    <row r="236" spans="1:3" x14ac:dyDescent="0.2">
      <c r="A236" s="27">
        <v>234</v>
      </c>
      <c r="B236" s="27">
        <f t="shared" ca="1" si="3"/>
        <v>0.63742394147202575</v>
      </c>
      <c r="C236" s="27" t="s">
        <v>227</v>
      </c>
    </row>
    <row r="237" spans="1:3" x14ac:dyDescent="0.2">
      <c r="A237" s="27">
        <v>235</v>
      </c>
      <c r="B237" s="27">
        <f t="shared" ca="1" si="3"/>
        <v>0.88427504430493831</v>
      </c>
      <c r="C237" s="27" t="s">
        <v>226</v>
      </c>
    </row>
    <row r="238" spans="1:3" x14ac:dyDescent="0.2">
      <c r="A238" s="27">
        <v>236</v>
      </c>
      <c r="B238" s="27">
        <f t="shared" ca="1" si="3"/>
        <v>0.62863023248755678</v>
      </c>
      <c r="C238" s="27" t="s">
        <v>227</v>
      </c>
    </row>
    <row r="239" spans="1:3" x14ac:dyDescent="0.2">
      <c r="A239" s="27">
        <v>237</v>
      </c>
      <c r="B239" s="27">
        <f t="shared" ca="1" si="3"/>
        <v>0.73590291983455125</v>
      </c>
      <c r="C239" s="27" t="s">
        <v>226</v>
      </c>
    </row>
    <row r="240" spans="1:3" x14ac:dyDescent="0.2">
      <c r="A240" s="27">
        <v>238</v>
      </c>
      <c r="B240" s="27">
        <f t="shared" ca="1" si="3"/>
        <v>0.8890888406615971</v>
      </c>
      <c r="C240" s="27" t="s">
        <v>227</v>
      </c>
    </row>
    <row r="241" spans="1:3" x14ac:dyDescent="0.2">
      <c r="A241" s="27">
        <v>239</v>
      </c>
      <c r="B241" s="27">
        <f t="shared" ca="1" si="3"/>
        <v>0.51206037897760526</v>
      </c>
      <c r="C241" s="27" t="s">
        <v>226</v>
      </c>
    </row>
    <row r="242" spans="1:3" x14ac:dyDescent="0.2">
      <c r="A242" s="27">
        <v>240</v>
      </c>
      <c r="B242" s="27">
        <f t="shared" ca="1" si="3"/>
        <v>0.57131265308161461</v>
      </c>
      <c r="C242" s="27" t="s">
        <v>226</v>
      </c>
    </row>
    <row r="243" spans="1:3" x14ac:dyDescent="0.2">
      <c r="A243" s="27">
        <v>241</v>
      </c>
      <c r="B243" s="27">
        <f t="shared" ca="1" si="3"/>
        <v>0.7856102701036245</v>
      </c>
      <c r="C243" s="27" t="s">
        <v>227</v>
      </c>
    </row>
    <row r="244" spans="1:3" x14ac:dyDescent="0.2">
      <c r="A244" s="27">
        <v>242</v>
      </c>
      <c r="B244" s="27">
        <f t="shared" ca="1" si="3"/>
        <v>0.67868217637073869</v>
      </c>
      <c r="C244" s="27" t="s">
        <v>227</v>
      </c>
    </row>
    <row r="245" spans="1:3" x14ac:dyDescent="0.2">
      <c r="A245" s="27">
        <v>243</v>
      </c>
      <c r="B245" s="27">
        <f t="shared" ca="1" si="3"/>
        <v>0.71625121291056948</v>
      </c>
      <c r="C245" s="27" t="s">
        <v>227</v>
      </c>
    </row>
    <row r="246" spans="1:3" x14ac:dyDescent="0.2">
      <c r="A246" s="27">
        <v>244</v>
      </c>
      <c r="B246" s="27">
        <f t="shared" ca="1" si="3"/>
        <v>0.74884532330984122</v>
      </c>
      <c r="C246" s="27" t="s">
        <v>226</v>
      </c>
    </row>
    <row r="247" spans="1:3" x14ac:dyDescent="0.2">
      <c r="A247" s="27">
        <v>245</v>
      </c>
      <c r="B247" s="27">
        <f t="shared" ca="1" si="3"/>
        <v>0.74501625159466001</v>
      </c>
      <c r="C247" s="27" t="s">
        <v>227</v>
      </c>
    </row>
    <row r="248" spans="1:3" x14ac:dyDescent="0.2">
      <c r="A248" s="27">
        <v>246</v>
      </c>
      <c r="B248" s="27">
        <f t="shared" ca="1" si="3"/>
        <v>0.90192966227523852</v>
      </c>
      <c r="C248" s="27" t="s">
        <v>227</v>
      </c>
    </row>
    <row r="249" spans="1:3" x14ac:dyDescent="0.2">
      <c r="A249" s="27">
        <v>247</v>
      </c>
      <c r="B249" s="27">
        <f t="shared" ca="1" si="3"/>
        <v>0.94121297565818085</v>
      </c>
      <c r="C249" s="27" t="s">
        <v>226</v>
      </c>
    </row>
    <row r="250" spans="1:3" x14ac:dyDescent="0.2">
      <c r="A250" s="27">
        <v>248</v>
      </c>
      <c r="B250" s="27">
        <f t="shared" ca="1" si="3"/>
        <v>0.68005577490694125</v>
      </c>
      <c r="C250" s="27" t="s">
        <v>227</v>
      </c>
    </row>
    <row r="251" spans="1:3" x14ac:dyDescent="0.2">
      <c r="A251" s="27">
        <v>249</v>
      </c>
      <c r="B251" s="27">
        <f t="shared" ca="1" si="3"/>
        <v>0.43248676123604601</v>
      </c>
      <c r="C251" s="27" t="s">
        <v>226</v>
      </c>
    </row>
    <row r="252" spans="1:3" x14ac:dyDescent="0.2">
      <c r="A252" s="27">
        <v>250</v>
      </c>
      <c r="B252" s="27">
        <f t="shared" ca="1" si="3"/>
        <v>0.85555895778362945</v>
      </c>
      <c r="C252" s="27" t="s">
        <v>227</v>
      </c>
    </row>
    <row r="253" spans="1:3" x14ac:dyDescent="0.2">
      <c r="A253" s="27">
        <v>251</v>
      </c>
      <c r="B253" s="27">
        <f t="shared" ca="1" si="3"/>
        <v>0.81238596507615635</v>
      </c>
      <c r="C253" s="27" t="s">
        <v>226</v>
      </c>
    </row>
    <row r="254" spans="1:3" x14ac:dyDescent="0.2">
      <c r="A254" s="27">
        <v>252</v>
      </c>
      <c r="B254" s="27">
        <f t="shared" ca="1" si="3"/>
        <v>0.77564136880124057</v>
      </c>
      <c r="C254" s="27" t="s">
        <v>227</v>
      </c>
    </row>
    <row r="255" spans="1:3" x14ac:dyDescent="0.2">
      <c r="A255" s="27">
        <v>253</v>
      </c>
      <c r="B255" s="27">
        <f t="shared" ca="1" si="3"/>
        <v>0.82476713531307821</v>
      </c>
      <c r="C255" s="27" t="s">
        <v>227</v>
      </c>
    </row>
    <row r="256" spans="1:3" x14ac:dyDescent="0.2">
      <c r="A256" s="27">
        <v>254</v>
      </c>
      <c r="B256" s="27">
        <f t="shared" ca="1" si="3"/>
        <v>0.76582004396471115</v>
      </c>
      <c r="C256" s="27" t="s">
        <v>227</v>
      </c>
    </row>
    <row r="257" spans="1:3" x14ac:dyDescent="0.2">
      <c r="A257" s="27">
        <v>255</v>
      </c>
      <c r="B257" s="27">
        <f t="shared" ca="1" si="3"/>
        <v>0.56295620033375449</v>
      </c>
      <c r="C257" s="27" t="s">
        <v>226</v>
      </c>
    </row>
    <row r="258" spans="1:3" x14ac:dyDescent="0.2">
      <c r="A258" s="27">
        <v>256</v>
      </c>
      <c r="B258" s="27">
        <f t="shared" ca="1" si="3"/>
        <v>0.61245194858673835</v>
      </c>
      <c r="C258" s="27" t="s">
        <v>226</v>
      </c>
    </row>
    <row r="259" spans="1:3" x14ac:dyDescent="0.2">
      <c r="A259" s="27">
        <v>257</v>
      </c>
      <c r="B259" s="27">
        <f t="shared" ref="B259:B322" ca="1" si="4">IF(C259="Bomb",_xlfn.NORM.INV(RAND(),0.7,0.1),_xlfn.NORM.INV(RAND(),0.6,0.15))</f>
        <v>0.37862635011988627</v>
      </c>
      <c r="C259" s="27" t="s">
        <v>226</v>
      </c>
    </row>
    <row r="260" spans="1:3" x14ac:dyDescent="0.2">
      <c r="A260" s="27">
        <v>258</v>
      </c>
      <c r="B260" s="27">
        <f t="shared" ca="1" si="4"/>
        <v>0.59290924201834172</v>
      </c>
      <c r="C260" s="27" t="s">
        <v>226</v>
      </c>
    </row>
    <row r="261" spans="1:3" x14ac:dyDescent="0.2">
      <c r="A261" s="27">
        <v>259</v>
      </c>
      <c r="B261" s="27">
        <f t="shared" ca="1" si="4"/>
        <v>0.96738819212131388</v>
      </c>
      <c r="C261" s="27" t="s">
        <v>226</v>
      </c>
    </row>
    <row r="262" spans="1:3" x14ac:dyDescent="0.2">
      <c r="A262" s="27">
        <v>260</v>
      </c>
      <c r="B262" s="27">
        <f t="shared" ca="1" si="4"/>
        <v>0.68323251759019754</v>
      </c>
      <c r="C262" s="27" t="s">
        <v>227</v>
      </c>
    </row>
    <row r="263" spans="1:3" x14ac:dyDescent="0.2">
      <c r="A263" s="27">
        <v>261</v>
      </c>
      <c r="B263" s="27">
        <f t="shared" ca="1" si="4"/>
        <v>0.65300846529920409</v>
      </c>
      <c r="C263" s="27" t="s">
        <v>227</v>
      </c>
    </row>
    <row r="264" spans="1:3" x14ac:dyDescent="0.2">
      <c r="A264" s="27">
        <v>262</v>
      </c>
      <c r="B264" s="27">
        <f t="shared" ca="1" si="4"/>
        <v>0.66996225537824905</v>
      </c>
      <c r="C264" s="27" t="s">
        <v>227</v>
      </c>
    </row>
    <row r="265" spans="1:3" x14ac:dyDescent="0.2">
      <c r="A265" s="27">
        <v>263</v>
      </c>
      <c r="B265" s="27">
        <f t="shared" ca="1" si="4"/>
        <v>0.76700564983621611</v>
      </c>
      <c r="C265" s="27" t="s">
        <v>227</v>
      </c>
    </row>
    <row r="266" spans="1:3" x14ac:dyDescent="0.2">
      <c r="A266" s="27">
        <v>264</v>
      </c>
      <c r="B266" s="27">
        <f t="shared" ca="1" si="4"/>
        <v>0.56306936939403751</v>
      </c>
      <c r="C266" s="27" t="s">
        <v>226</v>
      </c>
    </row>
    <row r="267" spans="1:3" x14ac:dyDescent="0.2">
      <c r="A267" s="27">
        <v>265</v>
      </c>
      <c r="B267" s="27">
        <f t="shared" ca="1" si="4"/>
        <v>0.62422670324571405</v>
      </c>
      <c r="C267" s="27" t="s">
        <v>227</v>
      </c>
    </row>
    <row r="268" spans="1:3" x14ac:dyDescent="0.2">
      <c r="A268" s="27">
        <v>266</v>
      </c>
      <c r="B268" s="27">
        <f t="shared" ca="1" si="4"/>
        <v>0.68353201709150879</v>
      </c>
      <c r="C268" s="27" t="s">
        <v>227</v>
      </c>
    </row>
    <row r="269" spans="1:3" x14ac:dyDescent="0.2">
      <c r="A269" s="27">
        <v>267</v>
      </c>
      <c r="B269" s="27">
        <f t="shared" ca="1" si="4"/>
        <v>0.6922314822105996</v>
      </c>
      <c r="C269" s="27" t="s">
        <v>226</v>
      </c>
    </row>
    <row r="270" spans="1:3" x14ac:dyDescent="0.2">
      <c r="A270" s="27">
        <v>268</v>
      </c>
      <c r="B270" s="27">
        <f t="shared" ca="1" si="4"/>
        <v>0.69903035581248563</v>
      </c>
      <c r="C270" s="27" t="s">
        <v>226</v>
      </c>
    </row>
    <row r="271" spans="1:3" x14ac:dyDescent="0.2">
      <c r="A271" s="27">
        <v>269</v>
      </c>
      <c r="B271" s="27">
        <f t="shared" ca="1" si="4"/>
        <v>0.60425052450752392</v>
      </c>
      <c r="C271" s="27" t="s">
        <v>227</v>
      </c>
    </row>
    <row r="272" spans="1:3" x14ac:dyDescent="0.2">
      <c r="A272" s="27">
        <v>270</v>
      </c>
      <c r="B272" s="27">
        <f t="shared" ca="1" si="4"/>
        <v>0.53895246238353312</v>
      </c>
      <c r="C272" s="27" t="s">
        <v>227</v>
      </c>
    </row>
    <row r="273" spans="1:3" x14ac:dyDescent="0.2">
      <c r="A273" s="27">
        <v>271</v>
      </c>
      <c r="B273" s="27">
        <f t="shared" ca="1" si="4"/>
        <v>0.61519968676165759</v>
      </c>
      <c r="C273" s="27" t="s">
        <v>226</v>
      </c>
    </row>
    <row r="274" spans="1:3" x14ac:dyDescent="0.2">
      <c r="A274" s="27">
        <v>272</v>
      </c>
      <c r="B274" s="27">
        <f t="shared" ca="1" si="4"/>
        <v>0.68745449205699694</v>
      </c>
      <c r="C274" s="27" t="s">
        <v>226</v>
      </c>
    </row>
    <row r="275" spans="1:3" x14ac:dyDescent="0.2">
      <c r="A275" s="27">
        <v>273</v>
      </c>
      <c r="B275" s="27">
        <f t="shared" ca="1" si="4"/>
        <v>0.67794150189872815</v>
      </c>
      <c r="C275" s="27" t="s">
        <v>227</v>
      </c>
    </row>
    <row r="276" spans="1:3" x14ac:dyDescent="0.2">
      <c r="A276" s="27">
        <v>274</v>
      </c>
      <c r="B276" s="27">
        <f t="shared" ca="1" si="4"/>
        <v>0.55166544100598691</v>
      </c>
      <c r="C276" s="27" t="s">
        <v>226</v>
      </c>
    </row>
    <row r="277" spans="1:3" x14ac:dyDescent="0.2">
      <c r="A277" s="27">
        <v>275</v>
      </c>
      <c r="B277" s="27">
        <f t="shared" ca="1" si="4"/>
        <v>0.32014304150398737</v>
      </c>
      <c r="C277" s="27" t="s">
        <v>226</v>
      </c>
    </row>
    <row r="278" spans="1:3" x14ac:dyDescent="0.2">
      <c r="A278" s="27">
        <v>276</v>
      </c>
      <c r="B278" s="27">
        <f t="shared" ca="1" si="4"/>
        <v>0.71105752205784778</v>
      </c>
      <c r="C278" s="27" t="s">
        <v>227</v>
      </c>
    </row>
    <row r="279" spans="1:3" x14ac:dyDescent="0.2">
      <c r="A279" s="27">
        <v>277</v>
      </c>
      <c r="B279" s="27">
        <f t="shared" ca="1" si="4"/>
        <v>0.62344952277673138</v>
      </c>
      <c r="C279" s="27" t="s">
        <v>227</v>
      </c>
    </row>
    <row r="280" spans="1:3" x14ac:dyDescent="0.2">
      <c r="A280" s="27">
        <v>278</v>
      </c>
      <c r="B280" s="27">
        <f t="shared" ca="1" si="4"/>
        <v>0.55536200619107567</v>
      </c>
      <c r="C280" s="27" t="s">
        <v>226</v>
      </c>
    </row>
    <row r="281" spans="1:3" x14ac:dyDescent="0.2">
      <c r="A281" s="27">
        <v>279</v>
      </c>
      <c r="B281" s="27">
        <f t="shared" ca="1" si="4"/>
        <v>0.6799166399574047</v>
      </c>
      <c r="C281" s="27" t="s">
        <v>226</v>
      </c>
    </row>
    <row r="282" spans="1:3" x14ac:dyDescent="0.2">
      <c r="A282" s="27">
        <v>280</v>
      </c>
      <c r="B282" s="27">
        <f t="shared" ca="1" si="4"/>
        <v>0.48382319936327006</v>
      </c>
      <c r="C282" s="27" t="s">
        <v>226</v>
      </c>
    </row>
    <row r="283" spans="1:3" x14ac:dyDescent="0.2">
      <c r="A283" s="27">
        <v>281</v>
      </c>
      <c r="B283" s="27">
        <f t="shared" ca="1" si="4"/>
        <v>0.58932372759242235</v>
      </c>
      <c r="C283" s="27" t="s">
        <v>226</v>
      </c>
    </row>
    <row r="284" spans="1:3" x14ac:dyDescent="0.2">
      <c r="A284" s="27">
        <v>282</v>
      </c>
      <c r="B284" s="27">
        <f t="shared" ca="1" si="4"/>
        <v>0.77825093639054299</v>
      </c>
      <c r="C284" s="27" t="s">
        <v>227</v>
      </c>
    </row>
    <row r="285" spans="1:3" x14ac:dyDescent="0.2">
      <c r="A285" s="27">
        <v>283</v>
      </c>
      <c r="B285" s="27">
        <f t="shared" ca="1" si="4"/>
        <v>0.67893638578217286</v>
      </c>
      <c r="C285" s="27" t="s">
        <v>227</v>
      </c>
    </row>
    <row r="286" spans="1:3" x14ac:dyDescent="0.2">
      <c r="A286" s="27">
        <v>284</v>
      </c>
      <c r="B286" s="27">
        <f t="shared" ca="1" si="4"/>
        <v>0.66734878241414086</v>
      </c>
      <c r="C286" s="27" t="s">
        <v>227</v>
      </c>
    </row>
    <row r="287" spans="1:3" x14ac:dyDescent="0.2">
      <c r="A287" s="27">
        <v>285</v>
      </c>
      <c r="B287" s="27">
        <f t="shared" ca="1" si="4"/>
        <v>0.7902232630986793</v>
      </c>
      <c r="C287" s="27" t="s">
        <v>226</v>
      </c>
    </row>
    <row r="288" spans="1:3" x14ac:dyDescent="0.2">
      <c r="A288" s="27">
        <v>286</v>
      </c>
      <c r="B288" s="27">
        <f t="shared" ca="1" si="4"/>
        <v>0.94405737529790923</v>
      </c>
      <c r="C288" s="27" t="s">
        <v>227</v>
      </c>
    </row>
    <row r="289" spans="1:3" x14ac:dyDescent="0.2">
      <c r="A289" s="27">
        <v>287</v>
      </c>
      <c r="B289" s="27">
        <f t="shared" ca="1" si="4"/>
        <v>0.71993416016006684</v>
      </c>
      <c r="C289" s="27" t="s">
        <v>227</v>
      </c>
    </row>
    <row r="290" spans="1:3" x14ac:dyDescent="0.2">
      <c r="A290" s="27">
        <v>288</v>
      </c>
      <c r="B290" s="27">
        <f t="shared" ca="1" si="4"/>
        <v>0.63725132757309211</v>
      </c>
      <c r="C290" s="27" t="s">
        <v>227</v>
      </c>
    </row>
    <row r="291" spans="1:3" x14ac:dyDescent="0.2">
      <c r="A291" s="27">
        <v>289</v>
      </c>
      <c r="B291" s="27">
        <f t="shared" ca="1" si="4"/>
        <v>0.58828520023017017</v>
      </c>
      <c r="C291" s="27" t="s">
        <v>227</v>
      </c>
    </row>
    <row r="292" spans="1:3" x14ac:dyDescent="0.2">
      <c r="A292" s="27">
        <v>290</v>
      </c>
      <c r="B292" s="27">
        <f t="shared" ca="1" si="4"/>
        <v>0.62475352140246365</v>
      </c>
      <c r="C292" s="27" t="s">
        <v>226</v>
      </c>
    </row>
    <row r="293" spans="1:3" x14ac:dyDescent="0.2">
      <c r="A293" s="27">
        <v>291</v>
      </c>
      <c r="B293" s="27">
        <f t="shared" ca="1" si="4"/>
        <v>0.72262096124220776</v>
      </c>
      <c r="C293" s="27" t="s">
        <v>227</v>
      </c>
    </row>
    <row r="294" spans="1:3" x14ac:dyDescent="0.2">
      <c r="A294" s="27">
        <v>292</v>
      </c>
      <c r="B294" s="27">
        <f t="shared" ca="1" si="4"/>
        <v>0.42816279856098471</v>
      </c>
      <c r="C294" s="27" t="s">
        <v>226</v>
      </c>
    </row>
    <row r="295" spans="1:3" x14ac:dyDescent="0.2">
      <c r="A295" s="27">
        <v>293</v>
      </c>
      <c r="B295" s="27">
        <f t="shared" ca="1" si="4"/>
        <v>0.92622308226262584</v>
      </c>
      <c r="C295" s="27" t="s">
        <v>227</v>
      </c>
    </row>
    <row r="296" spans="1:3" x14ac:dyDescent="0.2">
      <c r="A296" s="27">
        <v>294</v>
      </c>
      <c r="B296" s="27">
        <f t="shared" ca="1" si="4"/>
        <v>0.76007599536941517</v>
      </c>
      <c r="C296" s="27" t="s">
        <v>226</v>
      </c>
    </row>
    <row r="297" spans="1:3" x14ac:dyDescent="0.2">
      <c r="A297" s="27">
        <v>295</v>
      </c>
      <c r="B297" s="27">
        <f t="shared" ca="1" si="4"/>
        <v>0.52274664503532009</v>
      </c>
      <c r="C297" s="27" t="s">
        <v>226</v>
      </c>
    </row>
    <row r="298" spans="1:3" x14ac:dyDescent="0.2">
      <c r="A298" s="27">
        <v>296</v>
      </c>
      <c r="B298" s="27">
        <f t="shared" ca="1" si="4"/>
        <v>0.72764992553284202</v>
      </c>
      <c r="C298" s="27" t="s">
        <v>227</v>
      </c>
    </row>
    <row r="299" spans="1:3" x14ac:dyDescent="0.2">
      <c r="A299" s="27">
        <v>297</v>
      </c>
      <c r="B299" s="27">
        <f t="shared" ca="1" si="4"/>
        <v>0.80071232135372883</v>
      </c>
      <c r="C299" s="27" t="s">
        <v>227</v>
      </c>
    </row>
    <row r="300" spans="1:3" x14ac:dyDescent="0.2">
      <c r="A300" s="27">
        <v>298</v>
      </c>
      <c r="B300" s="27">
        <f t="shared" ca="1" si="4"/>
        <v>0.52872528331077229</v>
      </c>
      <c r="C300" s="27" t="s">
        <v>226</v>
      </c>
    </row>
    <row r="301" spans="1:3" x14ac:dyDescent="0.2">
      <c r="A301" s="27">
        <v>299</v>
      </c>
      <c r="B301" s="27">
        <f t="shared" ca="1" si="4"/>
        <v>1.0413402178951547</v>
      </c>
      <c r="C301" s="27" t="s">
        <v>227</v>
      </c>
    </row>
    <row r="302" spans="1:3" x14ac:dyDescent="0.2">
      <c r="A302" s="27">
        <v>300</v>
      </c>
      <c r="B302" s="27">
        <f t="shared" ca="1" si="4"/>
        <v>0.57953351359478211</v>
      </c>
      <c r="C302" s="27" t="s">
        <v>227</v>
      </c>
    </row>
    <row r="303" spans="1:3" x14ac:dyDescent="0.2">
      <c r="A303" s="27">
        <v>301</v>
      </c>
      <c r="B303" s="27">
        <f t="shared" ca="1" si="4"/>
        <v>0.79019516974760751</v>
      </c>
      <c r="C303" s="27" t="s">
        <v>227</v>
      </c>
    </row>
    <row r="304" spans="1:3" x14ac:dyDescent="0.2">
      <c r="A304" s="27">
        <v>302</v>
      </c>
      <c r="B304" s="27">
        <f t="shared" ca="1" si="4"/>
        <v>0.63754056032825268</v>
      </c>
      <c r="C304" s="27" t="s">
        <v>227</v>
      </c>
    </row>
    <row r="305" spans="1:3" x14ac:dyDescent="0.2">
      <c r="A305" s="27">
        <v>303</v>
      </c>
      <c r="B305" s="27">
        <f t="shared" ca="1" si="4"/>
        <v>0.50645714941142306</v>
      </c>
      <c r="C305" s="27" t="s">
        <v>227</v>
      </c>
    </row>
    <row r="306" spans="1:3" x14ac:dyDescent="0.2">
      <c r="A306" s="27">
        <v>304</v>
      </c>
      <c r="B306" s="27">
        <f t="shared" ca="1" si="4"/>
        <v>0.60152712916714612</v>
      </c>
      <c r="C306" s="27" t="s">
        <v>227</v>
      </c>
    </row>
    <row r="307" spans="1:3" x14ac:dyDescent="0.2">
      <c r="A307" s="27">
        <v>305</v>
      </c>
      <c r="B307" s="27">
        <f t="shared" ca="1" si="4"/>
        <v>0.79932136431932843</v>
      </c>
      <c r="C307" s="27" t="s">
        <v>226</v>
      </c>
    </row>
    <row r="308" spans="1:3" x14ac:dyDescent="0.2">
      <c r="A308" s="27">
        <v>306</v>
      </c>
      <c r="B308" s="27">
        <f t="shared" ca="1" si="4"/>
        <v>0.65492475911539261</v>
      </c>
      <c r="C308" s="27" t="s">
        <v>227</v>
      </c>
    </row>
    <row r="309" spans="1:3" x14ac:dyDescent="0.2">
      <c r="A309" s="27">
        <v>307</v>
      </c>
      <c r="B309" s="27">
        <f t="shared" ca="1" si="4"/>
        <v>0.22147068667211356</v>
      </c>
      <c r="C309" s="27" t="s">
        <v>226</v>
      </c>
    </row>
    <row r="310" spans="1:3" x14ac:dyDescent="0.2">
      <c r="A310" s="27">
        <v>308</v>
      </c>
      <c r="B310" s="27">
        <f t="shared" ca="1" si="4"/>
        <v>0.82123809004353598</v>
      </c>
      <c r="C310" s="27" t="s">
        <v>227</v>
      </c>
    </row>
    <row r="311" spans="1:3" x14ac:dyDescent="0.2">
      <c r="A311" s="27">
        <v>309</v>
      </c>
      <c r="B311" s="27">
        <f t="shared" ca="1" si="4"/>
        <v>0.64588400387031453</v>
      </c>
      <c r="C311" s="27" t="s">
        <v>227</v>
      </c>
    </row>
    <row r="312" spans="1:3" x14ac:dyDescent="0.2">
      <c r="A312" s="27">
        <v>310</v>
      </c>
      <c r="B312" s="27">
        <f t="shared" ca="1" si="4"/>
        <v>0.76766130630388707</v>
      </c>
      <c r="C312" s="27" t="s">
        <v>226</v>
      </c>
    </row>
    <row r="313" spans="1:3" x14ac:dyDescent="0.2">
      <c r="A313" s="27">
        <v>311</v>
      </c>
      <c r="B313" s="27">
        <f t="shared" ca="1" si="4"/>
        <v>0.85317981091417772</v>
      </c>
      <c r="C313" s="27" t="s">
        <v>227</v>
      </c>
    </row>
    <row r="314" spans="1:3" x14ac:dyDescent="0.2">
      <c r="A314" s="27">
        <v>312</v>
      </c>
      <c r="B314" s="27">
        <f t="shared" ca="1" si="4"/>
        <v>0.71066108108832837</v>
      </c>
      <c r="C314" s="27" t="s">
        <v>227</v>
      </c>
    </row>
    <row r="315" spans="1:3" x14ac:dyDescent="0.2">
      <c r="A315" s="27">
        <v>313</v>
      </c>
      <c r="B315" s="27">
        <f t="shared" ca="1" si="4"/>
        <v>0.64214760371070267</v>
      </c>
      <c r="C315" s="27" t="s">
        <v>226</v>
      </c>
    </row>
    <row r="316" spans="1:3" x14ac:dyDescent="0.2">
      <c r="A316" s="27">
        <v>314</v>
      </c>
      <c r="B316" s="27">
        <f t="shared" ca="1" si="4"/>
        <v>0.42320038970024076</v>
      </c>
      <c r="C316" s="27" t="s">
        <v>226</v>
      </c>
    </row>
    <row r="317" spans="1:3" x14ac:dyDescent="0.2">
      <c r="A317" s="27">
        <v>315</v>
      </c>
      <c r="B317" s="27">
        <f t="shared" ca="1" si="4"/>
        <v>0.72432661305648038</v>
      </c>
      <c r="C317" s="27" t="s">
        <v>227</v>
      </c>
    </row>
    <row r="318" spans="1:3" x14ac:dyDescent="0.2">
      <c r="A318" s="27">
        <v>316</v>
      </c>
      <c r="B318" s="27">
        <f t="shared" ca="1" si="4"/>
        <v>0.78909159985555521</v>
      </c>
      <c r="C318" s="27" t="s">
        <v>227</v>
      </c>
    </row>
    <row r="319" spans="1:3" x14ac:dyDescent="0.2">
      <c r="A319" s="27">
        <v>317</v>
      </c>
      <c r="B319" s="27">
        <f t="shared" ca="1" si="4"/>
        <v>0.68948520329387109</v>
      </c>
      <c r="C319" s="27" t="s">
        <v>226</v>
      </c>
    </row>
    <row r="320" spans="1:3" x14ac:dyDescent="0.2">
      <c r="A320" s="27">
        <v>318</v>
      </c>
      <c r="B320" s="27">
        <f t="shared" ca="1" si="4"/>
        <v>0.81764354107038451</v>
      </c>
      <c r="C320" s="27" t="s">
        <v>227</v>
      </c>
    </row>
    <row r="321" spans="1:3" x14ac:dyDescent="0.2">
      <c r="A321" s="27">
        <v>319</v>
      </c>
      <c r="B321" s="27">
        <f t="shared" ca="1" si="4"/>
        <v>0.71417332053627502</v>
      </c>
      <c r="C321" s="27" t="s">
        <v>226</v>
      </c>
    </row>
    <row r="322" spans="1:3" x14ac:dyDescent="0.2">
      <c r="A322" s="27">
        <v>320</v>
      </c>
      <c r="B322" s="27">
        <f t="shared" ca="1" si="4"/>
        <v>0.6255629748063527</v>
      </c>
      <c r="C322" s="27" t="s">
        <v>226</v>
      </c>
    </row>
    <row r="323" spans="1:3" x14ac:dyDescent="0.2">
      <c r="A323" s="27">
        <v>321</v>
      </c>
      <c r="B323" s="27">
        <f t="shared" ref="B323:B386" ca="1" si="5">IF(C323="Bomb",_xlfn.NORM.INV(RAND(),0.7,0.1),_xlfn.NORM.INV(RAND(),0.6,0.15))</f>
        <v>0.7571337396740605</v>
      </c>
      <c r="C323" s="27" t="s">
        <v>227</v>
      </c>
    </row>
    <row r="324" spans="1:3" x14ac:dyDescent="0.2">
      <c r="A324" s="27">
        <v>322</v>
      </c>
      <c r="B324" s="27">
        <f t="shared" ca="1" si="5"/>
        <v>0.80247464056206019</v>
      </c>
      <c r="C324" s="27" t="s">
        <v>227</v>
      </c>
    </row>
    <row r="325" spans="1:3" x14ac:dyDescent="0.2">
      <c r="A325" s="27">
        <v>323</v>
      </c>
      <c r="B325" s="27">
        <f t="shared" ca="1" si="5"/>
        <v>0.76723993892526043</v>
      </c>
      <c r="C325" s="27" t="s">
        <v>227</v>
      </c>
    </row>
    <row r="326" spans="1:3" x14ac:dyDescent="0.2">
      <c r="A326" s="27">
        <v>324</v>
      </c>
      <c r="B326" s="27">
        <f t="shared" ca="1" si="5"/>
        <v>0.75661583102193175</v>
      </c>
      <c r="C326" s="27" t="s">
        <v>226</v>
      </c>
    </row>
    <row r="327" spans="1:3" x14ac:dyDescent="0.2">
      <c r="A327" s="27">
        <v>325</v>
      </c>
      <c r="B327" s="27">
        <f t="shared" ca="1" si="5"/>
        <v>0.27619218370823068</v>
      </c>
      <c r="C327" s="27" t="s">
        <v>226</v>
      </c>
    </row>
    <row r="328" spans="1:3" x14ac:dyDescent="0.2">
      <c r="A328" s="27">
        <v>326</v>
      </c>
      <c r="B328" s="27">
        <f t="shared" ca="1" si="5"/>
        <v>0.55541857149090668</v>
      </c>
      <c r="C328" s="27" t="s">
        <v>227</v>
      </c>
    </row>
    <row r="329" spans="1:3" x14ac:dyDescent="0.2">
      <c r="A329" s="27">
        <v>327</v>
      </c>
      <c r="B329" s="27">
        <f t="shared" ca="1" si="5"/>
        <v>0.60478640044176035</v>
      </c>
      <c r="C329" s="27" t="s">
        <v>226</v>
      </c>
    </row>
    <row r="330" spans="1:3" x14ac:dyDescent="0.2">
      <c r="A330" s="27">
        <v>328</v>
      </c>
      <c r="B330" s="27">
        <f t="shared" ca="1" si="5"/>
        <v>0.54171276595880891</v>
      </c>
      <c r="C330" s="27" t="s">
        <v>226</v>
      </c>
    </row>
    <row r="331" spans="1:3" x14ac:dyDescent="0.2">
      <c r="A331" s="27">
        <v>329</v>
      </c>
      <c r="B331" s="27">
        <f t="shared" ca="1" si="5"/>
        <v>0.74041527397062679</v>
      </c>
      <c r="C331" s="27" t="s">
        <v>227</v>
      </c>
    </row>
    <row r="332" spans="1:3" x14ac:dyDescent="0.2">
      <c r="A332" s="27">
        <v>330</v>
      </c>
      <c r="B332" s="27">
        <f t="shared" ca="1" si="5"/>
        <v>0.81121179059083937</v>
      </c>
      <c r="C332" s="27" t="s">
        <v>226</v>
      </c>
    </row>
    <row r="333" spans="1:3" x14ac:dyDescent="0.2">
      <c r="A333" s="27">
        <v>331</v>
      </c>
      <c r="B333" s="27">
        <f t="shared" ca="1" si="5"/>
        <v>0.51234593461717737</v>
      </c>
      <c r="C333" s="27" t="s">
        <v>226</v>
      </c>
    </row>
    <row r="334" spans="1:3" x14ac:dyDescent="0.2">
      <c r="A334" s="27">
        <v>332</v>
      </c>
      <c r="B334" s="27">
        <f t="shared" ca="1" si="5"/>
        <v>0.73064089675510535</v>
      </c>
      <c r="C334" s="27" t="s">
        <v>227</v>
      </c>
    </row>
    <row r="335" spans="1:3" x14ac:dyDescent="0.2">
      <c r="A335" s="27">
        <v>333</v>
      </c>
      <c r="B335" s="27">
        <f t="shared" ca="1" si="5"/>
        <v>0.5840180051278534</v>
      </c>
      <c r="C335" s="27" t="s">
        <v>226</v>
      </c>
    </row>
    <row r="336" spans="1:3" x14ac:dyDescent="0.2">
      <c r="A336" s="27">
        <v>334</v>
      </c>
      <c r="B336" s="27">
        <f t="shared" ca="1" si="5"/>
        <v>0.93804803022381555</v>
      </c>
      <c r="C336" s="27" t="s">
        <v>226</v>
      </c>
    </row>
    <row r="337" spans="1:3" x14ac:dyDescent="0.2">
      <c r="A337" s="27">
        <v>335</v>
      </c>
      <c r="B337" s="27">
        <f t="shared" ca="1" si="5"/>
        <v>0.52874406820938913</v>
      </c>
      <c r="C337" s="27" t="s">
        <v>226</v>
      </c>
    </row>
    <row r="338" spans="1:3" x14ac:dyDescent="0.2">
      <c r="A338" s="27">
        <v>336</v>
      </c>
      <c r="B338" s="27">
        <f t="shared" ca="1" si="5"/>
        <v>0.91749912564562008</v>
      </c>
      <c r="C338" s="27" t="s">
        <v>227</v>
      </c>
    </row>
    <row r="339" spans="1:3" x14ac:dyDescent="0.2">
      <c r="A339" s="27">
        <v>337</v>
      </c>
      <c r="B339" s="27">
        <f t="shared" ca="1" si="5"/>
        <v>0.63412584860886578</v>
      </c>
      <c r="C339" s="27" t="s">
        <v>227</v>
      </c>
    </row>
    <row r="340" spans="1:3" x14ac:dyDescent="0.2">
      <c r="A340" s="27">
        <v>338</v>
      </c>
      <c r="B340" s="27">
        <f t="shared" ca="1" si="5"/>
        <v>0.7103773497582434</v>
      </c>
      <c r="C340" s="27" t="s">
        <v>227</v>
      </c>
    </row>
    <row r="341" spans="1:3" x14ac:dyDescent="0.2">
      <c r="A341" s="27">
        <v>339</v>
      </c>
      <c r="B341" s="27">
        <f t="shared" ca="1" si="5"/>
        <v>0.52788195892844614</v>
      </c>
      <c r="C341" s="27" t="s">
        <v>226</v>
      </c>
    </row>
    <row r="342" spans="1:3" x14ac:dyDescent="0.2">
      <c r="A342" s="27">
        <v>340</v>
      </c>
      <c r="B342" s="27">
        <f t="shared" ca="1" si="5"/>
        <v>1.0307289034557956</v>
      </c>
      <c r="C342" s="27" t="s">
        <v>226</v>
      </c>
    </row>
    <row r="343" spans="1:3" x14ac:dyDescent="0.2">
      <c r="A343" s="27">
        <v>341</v>
      </c>
      <c r="B343" s="27">
        <f t="shared" ca="1" si="5"/>
        <v>0.62572938845810555</v>
      </c>
      <c r="C343" s="27" t="s">
        <v>226</v>
      </c>
    </row>
    <row r="344" spans="1:3" x14ac:dyDescent="0.2">
      <c r="A344" s="27">
        <v>342</v>
      </c>
      <c r="B344" s="27">
        <f t="shared" ca="1" si="5"/>
        <v>0.69681969861157578</v>
      </c>
      <c r="C344" s="27" t="s">
        <v>226</v>
      </c>
    </row>
    <row r="345" spans="1:3" x14ac:dyDescent="0.2">
      <c r="A345" s="27">
        <v>343</v>
      </c>
      <c r="B345" s="27">
        <f t="shared" ca="1" si="5"/>
        <v>0.61942882458345172</v>
      </c>
      <c r="C345" s="27" t="s">
        <v>227</v>
      </c>
    </row>
    <row r="346" spans="1:3" x14ac:dyDescent="0.2">
      <c r="A346" s="27">
        <v>344</v>
      </c>
      <c r="B346" s="27">
        <f t="shared" ca="1" si="5"/>
        <v>0.74484946347763603</v>
      </c>
      <c r="C346" s="27" t="s">
        <v>227</v>
      </c>
    </row>
    <row r="347" spans="1:3" x14ac:dyDescent="0.2">
      <c r="A347" s="27">
        <v>345</v>
      </c>
      <c r="B347" s="27">
        <f t="shared" ca="1" si="5"/>
        <v>0.52474549827979433</v>
      </c>
      <c r="C347" s="27" t="s">
        <v>226</v>
      </c>
    </row>
    <row r="348" spans="1:3" x14ac:dyDescent="0.2">
      <c r="A348" s="27">
        <v>346</v>
      </c>
      <c r="B348" s="27">
        <f t="shared" ca="1" si="5"/>
        <v>0.71137393597070298</v>
      </c>
      <c r="C348" s="27" t="s">
        <v>227</v>
      </c>
    </row>
    <row r="349" spans="1:3" x14ac:dyDescent="0.2">
      <c r="A349" s="27">
        <v>347</v>
      </c>
      <c r="B349" s="27">
        <f t="shared" ca="1" si="5"/>
        <v>0.60587043744182512</v>
      </c>
      <c r="C349" s="27" t="s">
        <v>226</v>
      </c>
    </row>
    <row r="350" spans="1:3" x14ac:dyDescent="0.2">
      <c r="A350" s="27">
        <v>348</v>
      </c>
      <c r="B350" s="27">
        <f t="shared" ca="1" si="5"/>
        <v>0.87197440869870635</v>
      </c>
      <c r="C350" s="27" t="s">
        <v>227</v>
      </c>
    </row>
    <row r="351" spans="1:3" x14ac:dyDescent="0.2">
      <c r="A351" s="27">
        <v>349</v>
      </c>
      <c r="B351" s="27">
        <f t="shared" ca="1" si="5"/>
        <v>0.48761795907897149</v>
      </c>
      <c r="C351" s="27" t="s">
        <v>227</v>
      </c>
    </row>
    <row r="352" spans="1:3" x14ac:dyDescent="0.2">
      <c r="A352" s="27">
        <v>350</v>
      </c>
      <c r="B352" s="27">
        <f t="shared" ca="1" si="5"/>
        <v>0.4783113453302234</v>
      </c>
      <c r="C352" s="27" t="s">
        <v>226</v>
      </c>
    </row>
    <row r="353" spans="1:3" x14ac:dyDescent="0.2">
      <c r="A353" s="27">
        <v>351</v>
      </c>
      <c r="B353" s="27">
        <f t="shared" ca="1" si="5"/>
        <v>0.50793789991052174</v>
      </c>
      <c r="C353" s="27" t="s">
        <v>226</v>
      </c>
    </row>
    <row r="354" spans="1:3" x14ac:dyDescent="0.2">
      <c r="A354" s="27">
        <v>352</v>
      </c>
      <c r="B354" s="27">
        <f t="shared" ca="1" si="5"/>
        <v>0.35532002406803498</v>
      </c>
      <c r="C354" s="27" t="s">
        <v>226</v>
      </c>
    </row>
    <row r="355" spans="1:3" x14ac:dyDescent="0.2">
      <c r="A355" s="27">
        <v>353</v>
      </c>
      <c r="B355" s="27">
        <f t="shared" ca="1" si="5"/>
        <v>0.6045703280919924</v>
      </c>
      <c r="C355" s="27" t="s">
        <v>227</v>
      </c>
    </row>
    <row r="356" spans="1:3" x14ac:dyDescent="0.2">
      <c r="A356" s="27">
        <v>354</v>
      </c>
      <c r="B356" s="27">
        <f t="shared" ca="1" si="5"/>
        <v>0.68060664075840294</v>
      </c>
      <c r="C356" s="27" t="s">
        <v>227</v>
      </c>
    </row>
    <row r="357" spans="1:3" x14ac:dyDescent="0.2">
      <c r="A357" s="27">
        <v>355</v>
      </c>
      <c r="B357" s="27">
        <f t="shared" ca="1" si="5"/>
        <v>0.68995250815276576</v>
      </c>
      <c r="C357" s="27" t="s">
        <v>227</v>
      </c>
    </row>
    <row r="358" spans="1:3" x14ac:dyDescent="0.2">
      <c r="A358" s="27">
        <v>356</v>
      </c>
      <c r="B358" s="27">
        <f t="shared" ca="1" si="5"/>
        <v>0.46535439996984618</v>
      </c>
      <c r="C358" s="27" t="s">
        <v>227</v>
      </c>
    </row>
    <row r="359" spans="1:3" x14ac:dyDescent="0.2">
      <c r="A359" s="27">
        <v>357</v>
      </c>
      <c r="B359" s="27">
        <f t="shared" ca="1" si="5"/>
        <v>0.65433190798840468</v>
      </c>
      <c r="C359" s="27" t="s">
        <v>226</v>
      </c>
    </row>
    <row r="360" spans="1:3" x14ac:dyDescent="0.2">
      <c r="A360" s="27">
        <v>358</v>
      </c>
      <c r="B360" s="27">
        <f t="shared" ca="1" si="5"/>
        <v>0.77582108489996082</v>
      </c>
      <c r="C360" s="27" t="s">
        <v>227</v>
      </c>
    </row>
    <row r="361" spans="1:3" x14ac:dyDescent="0.2">
      <c r="A361" s="27">
        <v>359</v>
      </c>
      <c r="B361" s="27">
        <f t="shared" ca="1" si="5"/>
        <v>0.51741596669971912</v>
      </c>
      <c r="C361" s="27" t="s">
        <v>226</v>
      </c>
    </row>
    <row r="362" spans="1:3" x14ac:dyDescent="0.2">
      <c r="A362" s="27">
        <v>360</v>
      </c>
      <c r="B362" s="27">
        <f t="shared" ca="1" si="5"/>
        <v>0.69253573430553694</v>
      </c>
      <c r="C362" s="27" t="s">
        <v>226</v>
      </c>
    </row>
    <row r="363" spans="1:3" x14ac:dyDescent="0.2">
      <c r="A363" s="27">
        <v>361</v>
      </c>
      <c r="B363" s="27">
        <f t="shared" ca="1" si="5"/>
        <v>0.76519057703583371</v>
      </c>
      <c r="C363" s="27" t="s">
        <v>227</v>
      </c>
    </row>
    <row r="364" spans="1:3" x14ac:dyDescent="0.2">
      <c r="A364" s="27">
        <v>362</v>
      </c>
      <c r="B364" s="27">
        <f t="shared" ca="1" si="5"/>
        <v>0.73273428937751428</v>
      </c>
      <c r="C364" s="27" t="s">
        <v>227</v>
      </c>
    </row>
    <row r="365" spans="1:3" x14ac:dyDescent="0.2">
      <c r="A365" s="27">
        <v>363</v>
      </c>
      <c r="B365" s="27">
        <f t="shared" ca="1" si="5"/>
        <v>0.38421449369827199</v>
      </c>
      <c r="C365" s="27" t="s">
        <v>226</v>
      </c>
    </row>
    <row r="366" spans="1:3" x14ac:dyDescent="0.2">
      <c r="A366" s="27">
        <v>364</v>
      </c>
      <c r="B366" s="27">
        <f t="shared" ca="1" si="5"/>
        <v>0.64694942278586887</v>
      </c>
      <c r="C366" s="27" t="s">
        <v>227</v>
      </c>
    </row>
    <row r="367" spans="1:3" x14ac:dyDescent="0.2">
      <c r="A367" s="27">
        <v>365</v>
      </c>
      <c r="B367" s="27">
        <f t="shared" ca="1" si="5"/>
        <v>0.43435021309055794</v>
      </c>
      <c r="C367" s="27" t="s">
        <v>226</v>
      </c>
    </row>
    <row r="368" spans="1:3" x14ac:dyDescent="0.2">
      <c r="A368" s="27">
        <v>366</v>
      </c>
      <c r="B368" s="27">
        <f t="shared" ca="1" si="5"/>
        <v>0.50649543817781373</v>
      </c>
      <c r="C368" s="27" t="s">
        <v>226</v>
      </c>
    </row>
    <row r="369" spans="1:3" x14ac:dyDescent="0.2">
      <c r="A369" s="27">
        <v>367</v>
      </c>
      <c r="B369" s="27">
        <f t="shared" ca="1" si="5"/>
        <v>0.54739510812110825</v>
      </c>
      <c r="C369" s="27" t="s">
        <v>227</v>
      </c>
    </row>
    <row r="370" spans="1:3" x14ac:dyDescent="0.2">
      <c r="A370" s="27">
        <v>368</v>
      </c>
      <c r="B370" s="27">
        <f t="shared" ca="1" si="5"/>
        <v>0.66281860446992669</v>
      </c>
      <c r="C370" s="27" t="s">
        <v>227</v>
      </c>
    </row>
    <row r="371" spans="1:3" x14ac:dyDescent="0.2">
      <c r="A371" s="27">
        <v>369</v>
      </c>
      <c r="B371" s="27">
        <f t="shared" ca="1" si="5"/>
        <v>0.39781186944584224</v>
      </c>
      <c r="C371" s="27" t="s">
        <v>226</v>
      </c>
    </row>
    <row r="372" spans="1:3" x14ac:dyDescent="0.2">
      <c r="A372" s="27">
        <v>370</v>
      </c>
      <c r="B372" s="27">
        <f t="shared" ca="1" si="5"/>
        <v>0.7591257994537659</v>
      </c>
      <c r="C372" s="27" t="s">
        <v>227</v>
      </c>
    </row>
    <row r="373" spans="1:3" x14ac:dyDescent="0.2">
      <c r="A373" s="27">
        <v>371</v>
      </c>
      <c r="B373" s="27">
        <f t="shared" ca="1" si="5"/>
        <v>0.70598292803409357</v>
      </c>
      <c r="C373" s="27" t="s">
        <v>227</v>
      </c>
    </row>
    <row r="374" spans="1:3" x14ac:dyDescent="0.2">
      <c r="A374" s="27">
        <v>372</v>
      </c>
      <c r="B374" s="27">
        <f t="shared" ca="1" si="5"/>
        <v>0.61570464939050484</v>
      </c>
      <c r="C374" s="27" t="s">
        <v>226</v>
      </c>
    </row>
    <row r="375" spans="1:3" x14ac:dyDescent="0.2">
      <c r="A375" s="27">
        <v>373</v>
      </c>
      <c r="B375" s="27">
        <f t="shared" ca="1" si="5"/>
        <v>0.68467733427296551</v>
      </c>
      <c r="C375" s="27" t="s">
        <v>227</v>
      </c>
    </row>
    <row r="376" spans="1:3" x14ac:dyDescent="0.2">
      <c r="A376" s="27">
        <v>374</v>
      </c>
      <c r="B376" s="27">
        <f t="shared" ca="1" si="5"/>
        <v>0.6249180036292854</v>
      </c>
      <c r="C376" s="27" t="s">
        <v>227</v>
      </c>
    </row>
    <row r="377" spans="1:3" x14ac:dyDescent="0.2">
      <c r="A377" s="27">
        <v>375</v>
      </c>
      <c r="B377" s="27">
        <f t="shared" ca="1" si="5"/>
        <v>0.48992262186058505</v>
      </c>
      <c r="C377" s="27" t="s">
        <v>226</v>
      </c>
    </row>
    <row r="378" spans="1:3" x14ac:dyDescent="0.2">
      <c r="A378" s="27">
        <v>376</v>
      </c>
      <c r="B378" s="27">
        <f t="shared" ca="1" si="5"/>
        <v>0.66205253730906477</v>
      </c>
      <c r="C378" s="27" t="s">
        <v>227</v>
      </c>
    </row>
    <row r="379" spans="1:3" x14ac:dyDescent="0.2">
      <c r="A379" s="27">
        <v>377</v>
      </c>
      <c r="B379" s="27">
        <f t="shared" ca="1" si="5"/>
        <v>0.67021298286152564</v>
      </c>
      <c r="C379" s="27" t="s">
        <v>227</v>
      </c>
    </row>
    <row r="380" spans="1:3" x14ac:dyDescent="0.2">
      <c r="A380" s="27">
        <v>378</v>
      </c>
      <c r="B380" s="27">
        <f t="shared" ca="1" si="5"/>
        <v>0.55085648269689469</v>
      </c>
      <c r="C380" s="27" t="s">
        <v>227</v>
      </c>
    </row>
    <row r="381" spans="1:3" x14ac:dyDescent="0.2">
      <c r="A381" s="27">
        <v>379</v>
      </c>
      <c r="B381" s="27">
        <f t="shared" ca="1" si="5"/>
        <v>0.77321765710113688</v>
      </c>
      <c r="C381" s="27" t="s">
        <v>227</v>
      </c>
    </row>
    <row r="382" spans="1:3" x14ac:dyDescent="0.2">
      <c r="A382" s="27">
        <v>380</v>
      </c>
      <c r="B382" s="27">
        <f t="shared" ca="1" si="5"/>
        <v>0.66635284754860291</v>
      </c>
      <c r="C382" s="27" t="s">
        <v>227</v>
      </c>
    </row>
    <row r="383" spans="1:3" x14ac:dyDescent="0.2">
      <c r="A383" s="27">
        <v>381</v>
      </c>
      <c r="B383" s="27">
        <f t="shared" ca="1" si="5"/>
        <v>0.6199805716229736</v>
      </c>
      <c r="C383" s="27" t="s">
        <v>227</v>
      </c>
    </row>
    <row r="384" spans="1:3" x14ac:dyDescent="0.2">
      <c r="A384" s="27">
        <v>382</v>
      </c>
      <c r="B384" s="27">
        <f t="shared" ca="1" si="5"/>
        <v>0.7213951887512694</v>
      </c>
      <c r="C384" s="27" t="s">
        <v>227</v>
      </c>
    </row>
    <row r="385" spans="1:3" x14ac:dyDescent="0.2">
      <c r="A385" s="27">
        <v>383</v>
      </c>
      <c r="B385" s="27">
        <f t="shared" ca="1" si="5"/>
        <v>0.78565589892888865</v>
      </c>
      <c r="C385" s="27" t="s">
        <v>226</v>
      </c>
    </row>
    <row r="386" spans="1:3" x14ac:dyDescent="0.2">
      <c r="A386" s="27">
        <v>384</v>
      </c>
      <c r="B386" s="27">
        <f t="shared" ca="1" si="5"/>
        <v>0.73500966721241179</v>
      </c>
      <c r="C386" s="27" t="s">
        <v>227</v>
      </c>
    </row>
    <row r="387" spans="1:3" x14ac:dyDescent="0.2">
      <c r="A387" s="27">
        <v>385</v>
      </c>
      <c r="B387" s="27">
        <f t="shared" ref="B387:B450" ca="1" si="6">IF(C387="Bomb",_xlfn.NORM.INV(RAND(),0.7,0.1),_xlfn.NORM.INV(RAND(),0.6,0.15))</f>
        <v>0.57418424765935583</v>
      </c>
      <c r="C387" s="27" t="s">
        <v>226</v>
      </c>
    </row>
    <row r="388" spans="1:3" x14ac:dyDescent="0.2">
      <c r="A388" s="27">
        <v>386</v>
      </c>
      <c r="B388" s="27">
        <f t="shared" ca="1" si="6"/>
        <v>0.34479334994607047</v>
      </c>
      <c r="C388" s="27" t="s">
        <v>226</v>
      </c>
    </row>
    <row r="389" spans="1:3" x14ac:dyDescent="0.2">
      <c r="A389" s="27">
        <v>387</v>
      </c>
      <c r="B389" s="27">
        <f t="shared" ca="1" si="6"/>
        <v>0.87785341723171362</v>
      </c>
      <c r="C389" s="27" t="s">
        <v>226</v>
      </c>
    </row>
    <row r="390" spans="1:3" x14ac:dyDescent="0.2">
      <c r="A390" s="27">
        <v>388</v>
      </c>
      <c r="B390" s="27">
        <f t="shared" ca="1" si="6"/>
        <v>0.62989927069808416</v>
      </c>
      <c r="C390" s="27" t="s">
        <v>226</v>
      </c>
    </row>
    <row r="391" spans="1:3" x14ac:dyDescent="0.2">
      <c r="A391" s="27">
        <v>389</v>
      </c>
      <c r="B391" s="27">
        <f t="shared" ca="1" si="6"/>
        <v>0.48891301623886635</v>
      </c>
      <c r="C391" s="27" t="s">
        <v>226</v>
      </c>
    </row>
    <row r="392" spans="1:3" x14ac:dyDescent="0.2">
      <c r="A392" s="27">
        <v>390</v>
      </c>
      <c r="B392" s="27">
        <f t="shared" ca="1" si="6"/>
        <v>0.79301323553679604</v>
      </c>
      <c r="C392" s="27" t="s">
        <v>227</v>
      </c>
    </row>
    <row r="393" spans="1:3" x14ac:dyDescent="0.2">
      <c r="A393" s="27">
        <v>391</v>
      </c>
      <c r="B393" s="27">
        <f t="shared" ca="1" si="6"/>
        <v>0.65051207612890294</v>
      </c>
      <c r="C393" s="27" t="s">
        <v>227</v>
      </c>
    </row>
    <row r="394" spans="1:3" x14ac:dyDescent="0.2">
      <c r="A394" s="27">
        <v>392</v>
      </c>
      <c r="B394" s="27">
        <f t="shared" ca="1" si="6"/>
        <v>0.69954115174469667</v>
      </c>
      <c r="C394" s="27" t="s">
        <v>226</v>
      </c>
    </row>
    <row r="395" spans="1:3" x14ac:dyDescent="0.2">
      <c r="A395" s="27">
        <v>393</v>
      </c>
      <c r="B395" s="27">
        <f t="shared" ca="1" si="6"/>
        <v>0.41500622452225094</v>
      </c>
      <c r="C395" s="27" t="s">
        <v>226</v>
      </c>
    </row>
    <row r="396" spans="1:3" x14ac:dyDescent="0.2">
      <c r="A396" s="27">
        <v>394</v>
      </c>
      <c r="B396" s="27">
        <f t="shared" ca="1" si="6"/>
        <v>0.76941096998656588</v>
      </c>
      <c r="C396" s="27" t="s">
        <v>226</v>
      </c>
    </row>
    <row r="397" spans="1:3" x14ac:dyDescent="0.2">
      <c r="A397" s="27">
        <v>395</v>
      </c>
      <c r="B397" s="27">
        <f t="shared" ca="1" si="6"/>
        <v>0.56590778833475752</v>
      </c>
      <c r="C397" s="27" t="s">
        <v>227</v>
      </c>
    </row>
    <row r="398" spans="1:3" x14ac:dyDescent="0.2">
      <c r="A398" s="27">
        <v>396</v>
      </c>
      <c r="B398" s="27">
        <f t="shared" ca="1" si="6"/>
        <v>0.67147769911268362</v>
      </c>
      <c r="C398" s="27" t="s">
        <v>227</v>
      </c>
    </row>
    <row r="399" spans="1:3" x14ac:dyDescent="0.2">
      <c r="A399" s="27">
        <v>397</v>
      </c>
      <c r="B399" s="27">
        <f t="shared" ca="1" si="6"/>
        <v>0.78427121044229198</v>
      </c>
      <c r="C399" s="27" t="s">
        <v>226</v>
      </c>
    </row>
    <row r="400" spans="1:3" x14ac:dyDescent="0.2">
      <c r="A400" s="27">
        <v>398</v>
      </c>
      <c r="B400" s="27">
        <f t="shared" ca="1" si="6"/>
        <v>0.61294525112774678</v>
      </c>
      <c r="C400" s="27" t="s">
        <v>227</v>
      </c>
    </row>
    <row r="401" spans="1:3" x14ac:dyDescent="0.2">
      <c r="A401" s="27">
        <v>399</v>
      </c>
      <c r="B401" s="27">
        <f t="shared" ca="1" si="6"/>
        <v>0.66183351439944982</v>
      </c>
      <c r="C401" s="27" t="s">
        <v>226</v>
      </c>
    </row>
    <row r="402" spans="1:3" x14ac:dyDescent="0.2">
      <c r="A402" s="27">
        <v>400</v>
      </c>
      <c r="B402" s="27">
        <f t="shared" ca="1" si="6"/>
        <v>0.82714506913603736</v>
      </c>
      <c r="C402" s="27" t="s">
        <v>227</v>
      </c>
    </row>
    <row r="403" spans="1:3" x14ac:dyDescent="0.2">
      <c r="A403" s="27">
        <v>401</v>
      </c>
      <c r="B403" s="27">
        <f t="shared" ca="1" si="6"/>
        <v>0.81580598459441633</v>
      </c>
      <c r="C403" s="27" t="s">
        <v>226</v>
      </c>
    </row>
    <row r="404" spans="1:3" x14ac:dyDescent="0.2">
      <c r="A404" s="27">
        <v>402</v>
      </c>
      <c r="B404" s="27">
        <f t="shared" ca="1" si="6"/>
        <v>0.99789249464551733</v>
      </c>
      <c r="C404" s="27" t="s">
        <v>226</v>
      </c>
    </row>
    <row r="405" spans="1:3" x14ac:dyDescent="0.2">
      <c r="A405" s="27">
        <v>403</v>
      </c>
      <c r="B405" s="27">
        <f t="shared" ca="1" si="6"/>
        <v>0.52771074530978801</v>
      </c>
      <c r="C405" s="27" t="s">
        <v>226</v>
      </c>
    </row>
    <row r="406" spans="1:3" x14ac:dyDescent="0.2">
      <c r="A406" s="27">
        <v>404</v>
      </c>
      <c r="B406" s="27">
        <f t="shared" ca="1" si="6"/>
        <v>0.76898315934186989</v>
      </c>
      <c r="C406" s="27" t="s">
        <v>227</v>
      </c>
    </row>
    <row r="407" spans="1:3" x14ac:dyDescent="0.2">
      <c r="A407" s="27">
        <v>405</v>
      </c>
      <c r="B407" s="27">
        <f t="shared" ca="1" si="6"/>
        <v>0.67466341838571586</v>
      </c>
      <c r="C407" s="27" t="s">
        <v>227</v>
      </c>
    </row>
    <row r="408" spans="1:3" x14ac:dyDescent="0.2">
      <c r="A408" s="27">
        <v>406</v>
      </c>
      <c r="B408" s="27">
        <f t="shared" ca="1" si="6"/>
        <v>0.71319812202399313</v>
      </c>
      <c r="C408" s="27" t="s">
        <v>226</v>
      </c>
    </row>
    <row r="409" spans="1:3" x14ac:dyDescent="0.2">
      <c r="A409" s="27">
        <v>407</v>
      </c>
      <c r="B409" s="27">
        <f t="shared" ca="1" si="6"/>
        <v>1.0717448440301547</v>
      </c>
      <c r="C409" s="27" t="s">
        <v>226</v>
      </c>
    </row>
    <row r="410" spans="1:3" x14ac:dyDescent="0.2">
      <c r="A410" s="27">
        <v>408</v>
      </c>
      <c r="B410" s="27">
        <f t="shared" ca="1" si="6"/>
        <v>0.62643639701801512</v>
      </c>
      <c r="C410" s="27" t="s">
        <v>227</v>
      </c>
    </row>
    <row r="411" spans="1:3" x14ac:dyDescent="0.2">
      <c r="A411" s="27">
        <v>409</v>
      </c>
      <c r="B411" s="27">
        <f t="shared" ca="1" si="6"/>
        <v>0.72919598545628372</v>
      </c>
      <c r="C411" s="27" t="s">
        <v>227</v>
      </c>
    </row>
    <row r="412" spans="1:3" x14ac:dyDescent="0.2">
      <c r="A412" s="27">
        <v>410</v>
      </c>
      <c r="B412" s="27">
        <f t="shared" ca="1" si="6"/>
        <v>0.6371432452127056</v>
      </c>
      <c r="C412" s="27" t="s">
        <v>227</v>
      </c>
    </row>
    <row r="413" spans="1:3" x14ac:dyDescent="0.2">
      <c r="A413" s="27">
        <v>411</v>
      </c>
      <c r="B413" s="27">
        <f t="shared" ca="1" si="6"/>
        <v>0.79600022359871325</v>
      </c>
      <c r="C413" s="27" t="s">
        <v>226</v>
      </c>
    </row>
    <row r="414" spans="1:3" x14ac:dyDescent="0.2">
      <c r="A414" s="27">
        <v>412</v>
      </c>
      <c r="B414" s="27">
        <f t="shared" ca="1" si="6"/>
        <v>0.70523461023338363</v>
      </c>
      <c r="C414" s="27" t="s">
        <v>226</v>
      </c>
    </row>
    <row r="415" spans="1:3" x14ac:dyDescent="0.2">
      <c r="A415" s="27">
        <v>413</v>
      </c>
      <c r="B415" s="27">
        <f t="shared" ca="1" si="6"/>
        <v>0.76793588340871755</v>
      </c>
      <c r="C415" s="27" t="s">
        <v>227</v>
      </c>
    </row>
    <row r="416" spans="1:3" x14ac:dyDescent="0.2">
      <c r="A416" s="27">
        <v>414</v>
      </c>
      <c r="B416" s="27">
        <f t="shared" ca="1" si="6"/>
        <v>0.61721055001342062</v>
      </c>
      <c r="C416" s="27" t="s">
        <v>227</v>
      </c>
    </row>
    <row r="417" spans="1:3" x14ac:dyDescent="0.2">
      <c r="A417" s="27">
        <v>415</v>
      </c>
      <c r="B417" s="27">
        <f t="shared" ca="1" si="6"/>
        <v>0.73467110802324742</v>
      </c>
      <c r="C417" s="27" t="s">
        <v>226</v>
      </c>
    </row>
    <row r="418" spans="1:3" x14ac:dyDescent="0.2">
      <c r="A418" s="27">
        <v>416</v>
      </c>
      <c r="B418" s="27">
        <f t="shared" ca="1" si="6"/>
        <v>0.6887285952741502</v>
      </c>
      <c r="C418" s="27" t="s">
        <v>227</v>
      </c>
    </row>
    <row r="419" spans="1:3" x14ac:dyDescent="0.2">
      <c r="A419" s="27">
        <v>417</v>
      </c>
      <c r="B419" s="27">
        <f t="shared" ca="1" si="6"/>
        <v>0.91050543156060226</v>
      </c>
      <c r="C419" s="27" t="s">
        <v>227</v>
      </c>
    </row>
    <row r="420" spans="1:3" x14ac:dyDescent="0.2">
      <c r="A420" s="27">
        <v>418</v>
      </c>
      <c r="B420" s="27">
        <f t="shared" ca="1" si="6"/>
        <v>0.5287179211284927</v>
      </c>
      <c r="C420" s="27" t="s">
        <v>226</v>
      </c>
    </row>
    <row r="421" spans="1:3" x14ac:dyDescent="0.2">
      <c r="A421" s="27">
        <v>419</v>
      </c>
      <c r="B421" s="27">
        <f t="shared" ca="1" si="6"/>
        <v>0.83830227197679574</v>
      </c>
      <c r="C421" s="27" t="s">
        <v>226</v>
      </c>
    </row>
    <row r="422" spans="1:3" x14ac:dyDescent="0.2">
      <c r="A422" s="27">
        <v>420</v>
      </c>
      <c r="B422" s="27">
        <f t="shared" ca="1" si="6"/>
        <v>0.77198449197305741</v>
      </c>
      <c r="C422" s="27" t="s">
        <v>227</v>
      </c>
    </row>
    <row r="423" spans="1:3" x14ac:dyDescent="0.2">
      <c r="A423" s="27">
        <v>421</v>
      </c>
      <c r="B423" s="27">
        <f t="shared" ca="1" si="6"/>
        <v>0.65901833465940385</v>
      </c>
      <c r="C423" s="27" t="s">
        <v>227</v>
      </c>
    </row>
    <row r="424" spans="1:3" x14ac:dyDescent="0.2">
      <c r="A424" s="27">
        <v>422</v>
      </c>
      <c r="B424" s="27">
        <f t="shared" ca="1" si="6"/>
        <v>0.29265838742204825</v>
      </c>
      <c r="C424" s="27" t="s">
        <v>226</v>
      </c>
    </row>
    <row r="425" spans="1:3" x14ac:dyDescent="0.2">
      <c r="A425" s="27">
        <v>423</v>
      </c>
      <c r="B425" s="27">
        <f t="shared" ca="1" si="6"/>
        <v>0.92255789427335366</v>
      </c>
      <c r="C425" s="27" t="s">
        <v>226</v>
      </c>
    </row>
    <row r="426" spans="1:3" x14ac:dyDescent="0.2">
      <c r="A426" s="27">
        <v>424</v>
      </c>
      <c r="B426" s="27">
        <f t="shared" ca="1" si="6"/>
        <v>0.54737446706645099</v>
      </c>
      <c r="C426" s="27" t="s">
        <v>226</v>
      </c>
    </row>
    <row r="427" spans="1:3" x14ac:dyDescent="0.2">
      <c r="A427" s="27">
        <v>425</v>
      </c>
      <c r="B427" s="27">
        <f t="shared" ca="1" si="6"/>
        <v>0.61942811944328269</v>
      </c>
      <c r="C427" s="27" t="s">
        <v>227</v>
      </c>
    </row>
    <row r="428" spans="1:3" x14ac:dyDescent="0.2">
      <c r="A428" s="27">
        <v>426</v>
      </c>
      <c r="B428" s="27">
        <f t="shared" ca="1" si="6"/>
        <v>0.73106787172823273</v>
      </c>
      <c r="C428" s="27" t="s">
        <v>226</v>
      </c>
    </row>
    <row r="429" spans="1:3" x14ac:dyDescent="0.2">
      <c r="A429" s="27">
        <v>427</v>
      </c>
      <c r="B429" s="27">
        <f t="shared" ca="1" si="6"/>
        <v>0.73317414891202359</v>
      </c>
      <c r="C429" s="27" t="s">
        <v>227</v>
      </c>
    </row>
    <row r="430" spans="1:3" x14ac:dyDescent="0.2">
      <c r="A430" s="27">
        <v>428</v>
      </c>
      <c r="B430" s="27">
        <f t="shared" ca="1" si="6"/>
        <v>0.67662946339931807</v>
      </c>
      <c r="C430" s="27" t="s">
        <v>226</v>
      </c>
    </row>
    <row r="431" spans="1:3" x14ac:dyDescent="0.2">
      <c r="A431" s="27">
        <v>429</v>
      </c>
      <c r="B431" s="27">
        <f t="shared" ca="1" si="6"/>
        <v>0.72298502979767243</v>
      </c>
      <c r="C431" s="27" t="s">
        <v>226</v>
      </c>
    </row>
    <row r="432" spans="1:3" x14ac:dyDescent="0.2">
      <c r="A432" s="27">
        <v>430</v>
      </c>
      <c r="B432" s="27">
        <f t="shared" ca="1" si="6"/>
        <v>0.60177368434188527</v>
      </c>
      <c r="C432" s="27" t="s">
        <v>227</v>
      </c>
    </row>
    <row r="433" spans="1:3" x14ac:dyDescent="0.2">
      <c r="A433" s="27">
        <v>431</v>
      </c>
      <c r="B433" s="27">
        <f t="shared" ca="1" si="6"/>
        <v>0.82545754697739471</v>
      </c>
      <c r="C433" s="27" t="s">
        <v>227</v>
      </c>
    </row>
    <row r="434" spans="1:3" x14ac:dyDescent="0.2">
      <c r="A434" s="27">
        <v>432</v>
      </c>
      <c r="B434" s="27">
        <f t="shared" ca="1" si="6"/>
        <v>0.65145682126222193</v>
      </c>
      <c r="C434" s="27" t="s">
        <v>226</v>
      </c>
    </row>
    <row r="435" spans="1:3" x14ac:dyDescent="0.2">
      <c r="A435" s="27">
        <v>433</v>
      </c>
      <c r="B435" s="27">
        <f t="shared" ca="1" si="6"/>
        <v>0.84496804647233859</v>
      </c>
      <c r="C435" s="27" t="s">
        <v>227</v>
      </c>
    </row>
    <row r="436" spans="1:3" x14ac:dyDescent="0.2">
      <c r="A436" s="27">
        <v>434</v>
      </c>
      <c r="B436" s="27">
        <f t="shared" ca="1" si="6"/>
        <v>0.56786848359019237</v>
      </c>
      <c r="C436" s="27" t="s">
        <v>226</v>
      </c>
    </row>
    <row r="437" spans="1:3" x14ac:dyDescent="0.2">
      <c r="A437" s="27">
        <v>435</v>
      </c>
      <c r="B437" s="27">
        <f t="shared" ca="1" si="6"/>
        <v>0.70230968134026683</v>
      </c>
      <c r="C437" s="27" t="s">
        <v>227</v>
      </c>
    </row>
    <row r="438" spans="1:3" x14ac:dyDescent="0.2">
      <c r="A438" s="27">
        <v>436</v>
      </c>
      <c r="B438" s="27">
        <f t="shared" ca="1" si="6"/>
        <v>0.77745220953967087</v>
      </c>
      <c r="C438" s="27" t="s">
        <v>227</v>
      </c>
    </row>
    <row r="439" spans="1:3" x14ac:dyDescent="0.2">
      <c r="A439" s="27">
        <v>437</v>
      </c>
      <c r="B439" s="27">
        <f t="shared" ca="1" si="6"/>
        <v>0.445574771670327</v>
      </c>
      <c r="C439" s="27" t="s">
        <v>226</v>
      </c>
    </row>
    <row r="440" spans="1:3" x14ac:dyDescent="0.2">
      <c r="A440" s="27">
        <v>438</v>
      </c>
      <c r="B440" s="27">
        <f t="shared" ca="1" si="6"/>
        <v>0.5156703162123295</v>
      </c>
      <c r="C440" s="27" t="s">
        <v>227</v>
      </c>
    </row>
    <row r="441" spans="1:3" x14ac:dyDescent="0.2">
      <c r="A441" s="27">
        <v>439</v>
      </c>
      <c r="B441" s="27">
        <f t="shared" ca="1" si="6"/>
        <v>0.81263934009788463</v>
      </c>
      <c r="C441" s="27" t="s">
        <v>227</v>
      </c>
    </row>
    <row r="442" spans="1:3" x14ac:dyDescent="0.2">
      <c r="A442" s="27">
        <v>440</v>
      </c>
      <c r="B442" s="27">
        <f t="shared" ca="1" si="6"/>
        <v>0.75548849853443334</v>
      </c>
      <c r="C442" s="27" t="s">
        <v>227</v>
      </c>
    </row>
    <row r="443" spans="1:3" x14ac:dyDescent="0.2">
      <c r="A443" s="27">
        <v>441</v>
      </c>
      <c r="B443" s="27">
        <f t="shared" ca="1" si="6"/>
        <v>0.67033775915555649</v>
      </c>
      <c r="C443" s="27" t="s">
        <v>227</v>
      </c>
    </row>
    <row r="444" spans="1:3" x14ac:dyDescent="0.2">
      <c r="A444" s="27">
        <v>442</v>
      </c>
      <c r="B444" s="27">
        <f t="shared" ca="1" si="6"/>
        <v>0.70466575695459277</v>
      </c>
      <c r="C444" s="27" t="s">
        <v>227</v>
      </c>
    </row>
    <row r="445" spans="1:3" x14ac:dyDescent="0.2">
      <c r="A445" s="27">
        <v>443</v>
      </c>
      <c r="B445" s="27">
        <f t="shared" ca="1" si="6"/>
        <v>0.85367980240977104</v>
      </c>
      <c r="C445" s="27" t="s">
        <v>227</v>
      </c>
    </row>
    <row r="446" spans="1:3" x14ac:dyDescent="0.2">
      <c r="A446" s="27">
        <v>444</v>
      </c>
      <c r="B446" s="27">
        <f t="shared" ca="1" si="6"/>
        <v>0.68752226376287373</v>
      </c>
      <c r="C446" s="27" t="s">
        <v>226</v>
      </c>
    </row>
    <row r="447" spans="1:3" x14ac:dyDescent="0.2">
      <c r="A447" s="27">
        <v>445</v>
      </c>
      <c r="B447" s="27">
        <f t="shared" ca="1" si="6"/>
        <v>0.57942155861272771</v>
      </c>
      <c r="C447" s="27" t="s">
        <v>226</v>
      </c>
    </row>
    <row r="448" spans="1:3" x14ac:dyDescent="0.2">
      <c r="A448" s="27">
        <v>446</v>
      </c>
      <c r="B448" s="27">
        <f t="shared" ca="1" si="6"/>
        <v>0.61523490104020162</v>
      </c>
      <c r="C448" s="27" t="s">
        <v>227</v>
      </c>
    </row>
    <row r="449" spans="1:3" x14ac:dyDescent="0.2">
      <c r="A449" s="27">
        <v>447</v>
      </c>
      <c r="B449" s="27">
        <f t="shared" ca="1" si="6"/>
        <v>0.47716536483763428</v>
      </c>
      <c r="C449" s="27" t="s">
        <v>226</v>
      </c>
    </row>
    <row r="450" spans="1:3" x14ac:dyDescent="0.2">
      <c r="A450" s="27">
        <v>448</v>
      </c>
      <c r="B450" s="27">
        <f t="shared" ca="1" si="6"/>
        <v>0.87093901988228595</v>
      </c>
      <c r="C450" s="27" t="s">
        <v>227</v>
      </c>
    </row>
    <row r="451" spans="1:3" x14ac:dyDescent="0.2">
      <c r="A451" s="27">
        <v>449</v>
      </c>
      <c r="B451" s="27">
        <f t="shared" ref="B451:B514" ca="1" si="7">IF(C451="Bomb",_xlfn.NORM.INV(RAND(),0.7,0.1),_xlfn.NORM.INV(RAND(),0.6,0.15))</f>
        <v>0.57755928148604585</v>
      </c>
      <c r="C451" s="27" t="s">
        <v>227</v>
      </c>
    </row>
    <row r="452" spans="1:3" x14ac:dyDescent="0.2">
      <c r="A452" s="27">
        <v>450</v>
      </c>
      <c r="B452" s="27">
        <f t="shared" ca="1" si="7"/>
        <v>0.2534475101965914</v>
      </c>
      <c r="C452" s="27" t="s">
        <v>226</v>
      </c>
    </row>
    <row r="453" spans="1:3" x14ac:dyDescent="0.2">
      <c r="A453" s="27">
        <v>451</v>
      </c>
      <c r="B453" s="27">
        <f t="shared" ca="1" si="7"/>
        <v>0.70871832061586304</v>
      </c>
      <c r="C453" s="27" t="s">
        <v>227</v>
      </c>
    </row>
    <row r="454" spans="1:3" x14ac:dyDescent="0.2">
      <c r="A454" s="27">
        <v>452</v>
      </c>
      <c r="B454" s="27">
        <f t="shared" ca="1" si="7"/>
        <v>0.79519074787559929</v>
      </c>
      <c r="C454" s="27" t="s">
        <v>227</v>
      </c>
    </row>
    <row r="455" spans="1:3" x14ac:dyDescent="0.2">
      <c r="A455" s="27">
        <v>453</v>
      </c>
      <c r="B455" s="27">
        <f t="shared" ca="1" si="7"/>
        <v>0.445243441668143</v>
      </c>
      <c r="C455" s="27" t="s">
        <v>226</v>
      </c>
    </row>
    <row r="456" spans="1:3" x14ac:dyDescent="0.2">
      <c r="A456" s="27">
        <v>454</v>
      </c>
      <c r="B456" s="27">
        <f t="shared" ca="1" si="7"/>
        <v>0.57546217380012832</v>
      </c>
      <c r="C456" s="27" t="s">
        <v>227</v>
      </c>
    </row>
    <row r="457" spans="1:3" x14ac:dyDescent="0.2">
      <c r="A457" s="27">
        <v>455</v>
      </c>
      <c r="B457" s="27">
        <f t="shared" ca="1" si="7"/>
        <v>0.94246946502854889</v>
      </c>
      <c r="C457" s="27" t="s">
        <v>226</v>
      </c>
    </row>
    <row r="458" spans="1:3" x14ac:dyDescent="0.2">
      <c r="A458" s="27">
        <v>456</v>
      </c>
      <c r="B458" s="27">
        <f t="shared" ca="1" si="7"/>
        <v>0.63837147136359274</v>
      </c>
      <c r="C458" s="27" t="s">
        <v>226</v>
      </c>
    </row>
    <row r="459" spans="1:3" x14ac:dyDescent="0.2">
      <c r="A459" s="27">
        <v>457</v>
      </c>
      <c r="B459" s="27">
        <f t="shared" ca="1" si="7"/>
        <v>0.63051828228274176</v>
      </c>
      <c r="C459" s="27" t="s">
        <v>226</v>
      </c>
    </row>
    <row r="460" spans="1:3" x14ac:dyDescent="0.2">
      <c r="A460" s="27">
        <v>458</v>
      </c>
      <c r="B460" s="27">
        <f t="shared" ca="1" si="7"/>
        <v>0.74536349941783153</v>
      </c>
      <c r="C460" s="27" t="s">
        <v>226</v>
      </c>
    </row>
    <row r="461" spans="1:3" x14ac:dyDescent="0.2">
      <c r="A461" s="27">
        <v>459</v>
      </c>
      <c r="B461" s="27">
        <f t="shared" ca="1" si="7"/>
        <v>0.95833511949268069</v>
      </c>
      <c r="C461" s="27" t="s">
        <v>227</v>
      </c>
    </row>
    <row r="462" spans="1:3" x14ac:dyDescent="0.2">
      <c r="A462" s="27">
        <v>460</v>
      </c>
      <c r="B462" s="27">
        <f t="shared" ca="1" si="7"/>
        <v>0.6773505729876268</v>
      </c>
      <c r="C462" s="27" t="s">
        <v>227</v>
      </c>
    </row>
    <row r="463" spans="1:3" x14ac:dyDescent="0.2">
      <c r="A463" s="27">
        <v>461</v>
      </c>
      <c r="B463" s="27">
        <f t="shared" ca="1" si="7"/>
        <v>0.47752954471929199</v>
      </c>
      <c r="C463" s="27" t="s">
        <v>226</v>
      </c>
    </row>
    <row r="464" spans="1:3" x14ac:dyDescent="0.2">
      <c r="A464" s="27">
        <v>462</v>
      </c>
      <c r="B464" s="27">
        <f t="shared" ca="1" si="7"/>
        <v>0.58434238756707335</v>
      </c>
      <c r="C464" s="27" t="s">
        <v>227</v>
      </c>
    </row>
    <row r="465" spans="1:3" x14ac:dyDescent="0.2">
      <c r="A465" s="27">
        <v>463</v>
      </c>
      <c r="B465" s="27">
        <f t="shared" ca="1" si="7"/>
        <v>0.84284794052490142</v>
      </c>
      <c r="C465" s="27" t="s">
        <v>227</v>
      </c>
    </row>
    <row r="466" spans="1:3" x14ac:dyDescent="0.2">
      <c r="A466" s="27">
        <v>464</v>
      </c>
      <c r="B466" s="27">
        <f t="shared" ca="1" si="7"/>
        <v>0.77033914355984223</v>
      </c>
      <c r="C466" s="27" t="s">
        <v>227</v>
      </c>
    </row>
    <row r="467" spans="1:3" x14ac:dyDescent="0.2">
      <c r="A467" s="27">
        <v>465</v>
      </c>
      <c r="B467" s="27">
        <f t="shared" ca="1" si="7"/>
        <v>0.57790731043037735</v>
      </c>
      <c r="C467" s="27" t="s">
        <v>227</v>
      </c>
    </row>
    <row r="468" spans="1:3" x14ac:dyDescent="0.2">
      <c r="A468" s="27">
        <v>466</v>
      </c>
      <c r="B468" s="27">
        <f t="shared" ca="1" si="7"/>
        <v>0.8204501275098568</v>
      </c>
      <c r="C468" s="27" t="s">
        <v>226</v>
      </c>
    </row>
    <row r="469" spans="1:3" x14ac:dyDescent="0.2">
      <c r="A469" s="27">
        <v>467</v>
      </c>
      <c r="B469" s="27">
        <f t="shared" ca="1" si="7"/>
        <v>0.81952281898564439</v>
      </c>
      <c r="C469" s="27" t="s">
        <v>226</v>
      </c>
    </row>
    <row r="470" spans="1:3" x14ac:dyDescent="0.2">
      <c r="A470" s="27">
        <v>468</v>
      </c>
      <c r="B470" s="27">
        <f t="shared" ca="1" si="7"/>
        <v>0.81142315245989272</v>
      </c>
      <c r="C470" s="27" t="s">
        <v>226</v>
      </c>
    </row>
    <row r="471" spans="1:3" x14ac:dyDescent="0.2">
      <c r="A471" s="27">
        <v>469</v>
      </c>
      <c r="B471" s="27">
        <f t="shared" ca="1" si="7"/>
        <v>0.79288864055799302</v>
      </c>
      <c r="C471" s="27" t="s">
        <v>227</v>
      </c>
    </row>
    <row r="472" spans="1:3" x14ac:dyDescent="0.2">
      <c r="A472" s="27">
        <v>470</v>
      </c>
      <c r="B472" s="27">
        <f t="shared" ca="1" si="7"/>
        <v>1.0052467170519908</v>
      </c>
      <c r="C472" s="27" t="s">
        <v>226</v>
      </c>
    </row>
    <row r="473" spans="1:3" x14ac:dyDescent="0.2">
      <c r="A473" s="27">
        <v>471</v>
      </c>
      <c r="B473" s="27">
        <f t="shared" ca="1" si="7"/>
        <v>0.80408485028171028</v>
      </c>
      <c r="C473" s="27" t="s">
        <v>227</v>
      </c>
    </row>
    <row r="474" spans="1:3" x14ac:dyDescent="0.2">
      <c r="A474" s="27">
        <v>472</v>
      </c>
      <c r="B474" s="27">
        <f t="shared" ca="1" si="7"/>
        <v>0.69250687610275419</v>
      </c>
      <c r="C474" s="27" t="s">
        <v>227</v>
      </c>
    </row>
    <row r="475" spans="1:3" x14ac:dyDescent="0.2">
      <c r="A475" s="27">
        <v>473</v>
      </c>
      <c r="B475" s="27">
        <f t="shared" ca="1" si="7"/>
        <v>0.66078377092644947</v>
      </c>
      <c r="C475" s="27" t="s">
        <v>227</v>
      </c>
    </row>
    <row r="476" spans="1:3" x14ac:dyDescent="0.2">
      <c r="A476" s="27">
        <v>474</v>
      </c>
      <c r="B476" s="27">
        <f t="shared" ca="1" si="7"/>
        <v>0.37690485490528258</v>
      </c>
      <c r="C476" s="27" t="s">
        <v>226</v>
      </c>
    </row>
    <row r="477" spans="1:3" x14ac:dyDescent="0.2">
      <c r="A477" s="27">
        <v>475</v>
      </c>
      <c r="B477" s="27">
        <f t="shared" ca="1" si="7"/>
        <v>0.81662815601329541</v>
      </c>
      <c r="C477" s="27" t="s">
        <v>227</v>
      </c>
    </row>
    <row r="478" spans="1:3" x14ac:dyDescent="0.2">
      <c r="A478" s="27">
        <v>476</v>
      </c>
      <c r="B478" s="27">
        <f t="shared" ca="1" si="7"/>
        <v>0.74311456678078736</v>
      </c>
      <c r="C478" s="27" t="s">
        <v>227</v>
      </c>
    </row>
    <row r="479" spans="1:3" x14ac:dyDescent="0.2">
      <c r="A479" s="27">
        <v>477</v>
      </c>
      <c r="B479" s="27">
        <f t="shared" ca="1" si="7"/>
        <v>0.6039833672816356</v>
      </c>
      <c r="C479" s="27" t="s">
        <v>226</v>
      </c>
    </row>
    <row r="480" spans="1:3" x14ac:dyDescent="0.2">
      <c r="A480" s="27">
        <v>478</v>
      </c>
      <c r="B480" s="27">
        <f t="shared" ca="1" si="7"/>
        <v>0.82358216747705082</v>
      </c>
      <c r="C480" s="27" t="s">
        <v>226</v>
      </c>
    </row>
    <row r="481" spans="1:3" x14ac:dyDescent="0.2">
      <c r="A481" s="27">
        <v>479</v>
      </c>
      <c r="B481" s="27">
        <f t="shared" ca="1" si="7"/>
        <v>0.64106020076995229</v>
      </c>
      <c r="C481" s="27" t="s">
        <v>227</v>
      </c>
    </row>
    <row r="482" spans="1:3" x14ac:dyDescent="0.2">
      <c r="A482" s="27">
        <v>480</v>
      </c>
      <c r="B482" s="27">
        <f t="shared" ca="1" si="7"/>
        <v>0.73290687215773087</v>
      </c>
      <c r="C482" s="27" t="s">
        <v>227</v>
      </c>
    </row>
    <row r="483" spans="1:3" x14ac:dyDescent="0.2">
      <c r="A483" s="27">
        <v>481</v>
      </c>
      <c r="B483" s="27">
        <f t="shared" ca="1" si="7"/>
        <v>0.73609105620370963</v>
      </c>
      <c r="C483" s="27" t="s">
        <v>226</v>
      </c>
    </row>
    <row r="484" spans="1:3" x14ac:dyDescent="0.2">
      <c r="A484" s="27">
        <v>482</v>
      </c>
      <c r="B484" s="27">
        <f t="shared" ca="1" si="7"/>
        <v>0.72125174983230822</v>
      </c>
      <c r="C484" s="27" t="s">
        <v>226</v>
      </c>
    </row>
    <row r="485" spans="1:3" x14ac:dyDescent="0.2">
      <c r="A485" s="27">
        <v>483</v>
      </c>
      <c r="B485" s="27">
        <f t="shared" ca="1" si="7"/>
        <v>0.64712802568082151</v>
      </c>
      <c r="C485" s="27" t="s">
        <v>227</v>
      </c>
    </row>
    <row r="486" spans="1:3" x14ac:dyDescent="0.2">
      <c r="A486" s="27">
        <v>484</v>
      </c>
      <c r="B486" s="27">
        <f t="shared" ca="1" si="7"/>
        <v>0.54569563143079303</v>
      </c>
      <c r="C486" s="27" t="s">
        <v>227</v>
      </c>
    </row>
    <row r="487" spans="1:3" x14ac:dyDescent="0.2">
      <c r="A487" s="27">
        <v>485</v>
      </c>
      <c r="B487" s="27">
        <f t="shared" ca="1" si="7"/>
        <v>0.66219585682619675</v>
      </c>
      <c r="C487" s="27" t="s">
        <v>227</v>
      </c>
    </row>
    <row r="488" spans="1:3" x14ac:dyDescent="0.2">
      <c r="A488" s="27">
        <v>486</v>
      </c>
      <c r="B488" s="27">
        <f t="shared" ca="1" si="7"/>
        <v>0.52710666245664284</v>
      </c>
      <c r="C488" s="27" t="s">
        <v>226</v>
      </c>
    </row>
    <row r="489" spans="1:3" x14ac:dyDescent="0.2">
      <c r="A489" s="27">
        <v>487</v>
      </c>
      <c r="B489" s="27">
        <f t="shared" ca="1" si="7"/>
        <v>0.74811010008203038</v>
      </c>
      <c r="C489" s="27" t="s">
        <v>227</v>
      </c>
    </row>
    <row r="490" spans="1:3" x14ac:dyDescent="0.2">
      <c r="A490" s="27">
        <v>488</v>
      </c>
      <c r="B490" s="27">
        <f t="shared" ca="1" si="7"/>
        <v>0.45619245824125931</v>
      </c>
      <c r="C490" s="27" t="s">
        <v>226</v>
      </c>
    </row>
    <row r="491" spans="1:3" x14ac:dyDescent="0.2">
      <c r="A491" s="27">
        <v>489</v>
      </c>
      <c r="B491" s="27">
        <f t="shared" ca="1" si="7"/>
        <v>0.5819530718009982</v>
      </c>
      <c r="C491" s="27" t="s">
        <v>226</v>
      </c>
    </row>
    <row r="492" spans="1:3" x14ac:dyDescent="0.2">
      <c r="A492" s="27">
        <v>490</v>
      </c>
      <c r="B492" s="27">
        <f t="shared" ca="1" si="7"/>
        <v>0.75172776484716519</v>
      </c>
      <c r="C492" s="27" t="s">
        <v>227</v>
      </c>
    </row>
    <row r="493" spans="1:3" x14ac:dyDescent="0.2">
      <c r="A493" s="27">
        <v>491</v>
      </c>
      <c r="B493" s="27">
        <f t="shared" ca="1" si="7"/>
        <v>0.72085426860504409</v>
      </c>
      <c r="C493" s="27" t="s">
        <v>226</v>
      </c>
    </row>
    <row r="494" spans="1:3" x14ac:dyDescent="0.2">
      <c r="A494" s="27">
        <v>492</v>
      </c>
      <c r="B494" s="27">
        <f t="shared" ca="1" si="7"/>
        <v>0.73055997180278154</v>
      </c>
      <c r="C494" s="27" t="s">
        <v>227</v>
      </c>
    </row>
    <row r="495" spans="1:3" x14ac:dyDescent="0.2">
      <c r="A495" s="27">
        <v>493</v>
      </c>
      <c r="B495" s="27">
        <f t="shared" ca="1" si="7"/>
        <v>0.58692212244922104</v>
      </c>
      <c r="C495" s="27" t="s">
        <v>226</v>
      </c>
    </row>
    <row r="496" spans="1:3" x14ac:dyDescent="0.2">
      <c r="A496" s="27">
        <v>494</v>
      </c>
      <c r="B496" s="27">
        <f t="shared" ca="1" si="7"/>
        <v>0.58877910992161719</v>
      </c>
      <c r="C496" s="27" t="s">
        <v>226</v>
      </c>
    </row>
    <row r="497" spans="1:3" x14ac:dyDescent="0.2">
      <c r="A497" s="27">
        <v>495</v>
      </c>
      <c r="B497" s="27">
        <f t="shared" ca="1" si="7"/>
        <v>0.79504286518387401</v>
      </c>
      <c r="C497" s="27" t="s">
        <v>227</v>
      </c>
    </row>
    <row r="498" spans="1:3" x14ac:dyDescent="0.2">
      <c r="A498" s="27">
        <v>496</v>
      </c>
      <c r="B498" s="27">
        <f t="shared" ca="1" si="7"/>
        <v>0.72804501056866977</v>
      </c>
      <c r="C498" s="27" t="s">
        <v>227</v>
      </c>
    </row>
    <row r="499" spans="1:3" x14ac:dyDescent="0.2">
      <c r="A499" s="27">
        <v>497</v>
      </c>
      <c r="B499" s="27">
        <f t="shared" ca="1" si="7"/>
        <v>0.62400195898894217</v>
      </c>
      <c r="C499" s="27" t="s">
        <v>227</v>
      </c>
    </row>
    <row r="500" spans="1:3" x14ac:dyDescent="0.2">
      <c r="A500" s="27">
        <v>498</v>
      </c>
      <c r="B500" s="27">
        <f t="shared" ca="1" si="7"/>
        <v>0.57983157712989952</v>
      </c>
      <c r="C500" s="27" t="s">
        <v>226</v>
      </c>
    </row>
    <row r="501" spans="1:3" x14ac:dyDescent="0.2">
      <c r="A501" s="27">
        <v>499</v>
      </c>
      <c r="B501" s="27">
        <f t="shared" ca="1" si="7"/>
        <v>0.6675406428796925</v>
      </c>
      <c r="C501" s="27" t="s">
        <v>227</v>
      </c>
    </row>
    <row r="502" spans="1:3" x14ac:dyDescent="0.2">
      <c r="A502" s="27">
        <v>500</v>
      </c>
      <c r="B502" s="27">
        <f t="shared" ca="1" si="7"/>
        <v>0.45927638265039422</v>
      </c>
      <c r="C502" s="27" t="s">
        <v>227</v>
      </c>
    </row>
    <row r="503" spans="1:3" x14ac:dyDescent="0.2">
      <c r="A503" s="27">
        <v>501</v>
      </c>
      <c r="B503" s="27">
        <f t="shared" ca="1" si="7"/>
        <v>0.73885178246908434</v>
      </c>
      <c r="C503" s="27" t="s">
        <v>226</v>
      </c>
    </row>
    <row r="504" spans="1:3" x14ac:dyDescent="0.2">
      <c r="A504" s="27">
        <v>502</v>
      </c>
      <c r="B504" s="27">
        <f t="shared" ca="1" si="7"/>
        <v>0.6912815628291028</v>
      </c>
      <c r="C504" s="27" t="s">
        <v>226</v>
      </c>
    </row>
    <row r="505" spans="1:3" x14ac:dyDescent="0.2">
      <c r="A505" s="27">
        <v>503</v>
      </c>
      <c r="B505" s="27">
        <f t="shared" ca="1" si="7"/>
        <v>0.45254195842156059</v>
      </c>
      <c r="C505" s="27" t="s">
        <v>226</v>
      </c>
    </row>
    <row r="506" spans="1:3" x14ac:dyDescent="0.2">
      <c r="A506" s="27">
        <v>504</v>
      </c>
      <c r="B506" s="27">
        <f t="shared" ca="1" si="7"/>
        <v>0.80494969856362919</v>
      </c>
      <c r="C506" s="27" t="s">
        <v>226</v>
      </c>
    </row>
    <row r="507" spans="1:3" x14ac:dyDescent="0.2">
      <c r="A507" s="27">
        <v>505</v>
      </c>
      <c r="B507" s="27">
        <f t="shared" ca="1" si="7"/>
        <v>0.75187212657595692</v>
      </c>
      <c r="C507" s="27" t="s">
        <v>227</v>
      </c>
    </row>
    <row r="508" spans="1:3" x14ac:dyDescent="0.2">
      <c r="A508" s="27">
        <v>506</v>
      </c>
      <c r="B508" s="27">
        <f t="shared" ca="1" si="7"/>
        <v>0.66272238842037834</v>
      </c>
      <c r="C508" s="27" t="s">
        <v>227</v>
      </c>
    </row>
    <row r="509" spans="1:3" x14ac:dyDescent="0.2">
      <c r="A509" s="27">
        <v>507</v>
      </c>
      <c r="B509" s="27">
        <f t="shared" ca="1" si="7"/>
        <v>0.64880342789445844</v>
      </c>
      <c r="C509" s="27" t="s">
        <v>227</v>
      </c>
    </row>
    <row r="510" spans="1:3" x14ac:dyDescent="0.2">
      <c r="A510" s="27">
        <v>508</v>
      </c>
      <c r="B510" s="27">
        <f t="shared" ca="1" si="7"/>
        <v>0.61699129646144546</v>
      </c>
      <c r="C510" s="27" t="s">
        <v>226</v>
      </c>
    </row>
    <row r="511" spans="1:3" x14ac:dyDescent="0.2">
      <c r="A511" s="27">
        <v>509</v>
      </c>
      <c r="B511" s="27">
        <f t="shared" ca="1" si="7"/>
        <v>0.68492855450629353</v>
      </c>
      <c r="C511" s="27" t="s">
        <v>227</v>
      </c>
    </row>
    <row r="512" spans="1:3" x14ac:dyDescent="0.2">
      <c r="A512" s="27">
        <v>510</v>
      </c>
      <c r="B512" s="27">
        <f t="shared" ca="1" si="7"/>
        <v>0.68834936691189208</v>
      </c>
      <c r="C512" s="27" t="s">
        <v>227</v>
      </c>
    </row>
    <row r="513" spans="1:3" x14ac:dyDescent="0.2">
      <c r="A513" s="27">
        <v>511</v>
      </c>
      <c r="B513" s="27">
        <f t="shared" ca="1" si="7"/>
        <v>0.76374625232294346</v>
      </c>
      <c r="C513" s="27" t="s">
        <v>227</v>
      </c>
    </row>
    <row r="514" spans="1:3" x14ac:dyDescent="0.2">
      <c r="A514" s="27">
        <v>512</v>
      </c>
      <c r="B514" s="27">
        <f t="shared" ca="1" si="7"/>
        <v>0.59795044038237555</v>
      </c>
      <c r="C514" s="27" t="s">
        <v>227</v>
      </c>
    </row>
    <row r="515" spans="1:3" x14ac:dyDescent="0.2">
      <c r="A515" s="27">
        <v>513</v>
      </c>
      <c r="B515" s="27">
        <f t="shared" ref="B515:B578" ca="1" si="8">IF(C515="Bomb",_xlfn.NORM.INV(RAND(),0.7,0.1),_xlfn.NORM.INV(RAND(),0.6,0.15))</f>
        <v>0.74503176501794088</v>
      </c>
      <c r="C515" s="27" t="s">
        <v>227</v>
      </c>
    </row>
    <row r="516" spans="1:3" x14ac:dyDescent="0.2">
      <c r="A516" s="27">
        <v>514</v>
      </c>
      <c r="B516" s="27">
        <f t="shared" ca="1" si="8"/>
        <v>0.54385456541339405</v>
      </c>
      <c r="C516" s="27" t="s">
        <v>226</v>
      </c>
    </row>
    <row r="517" spans="1:3" x14ac:dyDescent="0.2">
      <c r="A517" s="27">
        <v>515</v>
      </c>
      <c r="B517" s="27">
        <f t="shared" ca="1" si="8"/>
        <v>0.58649178969659344</v>
      </c>
      <c r="C517" s="27" t="s">
        <v>227</v>
      </c>
    </row>
    <row r="518" spans="1:3" x14ac:dyDescent="0.2">
      <c r="A518" s="27">
        <v>516</v>
      </c>
      <c r="B518" s="27">
        <f t="shared" ca="1" si="8"/>
        <v>0.83201025349818258</v>
      </c>
      <c r="C518" s="27" t="s">
        <v>227</v>
      </c>
    </row>
    <row r="519" spans="1:3" x14ac:dyDescent="0.2">
      <c r="A519" s="27">
        <v>517</v>
      </c>
      <c r="B519" s="27">
        <f t="shared" ca="1" si="8"/>
        <v>0.71360645531988798</v>
      </c>
      <c r="C519" s="27" t="s">
        <v>227</v>
      </c>
    </row>
    <row r="520" spans="1:3" x14ac:dyDescent="0.2">
      <c r="A520" s="27">
        <v>518</v>
      </c>
      <c r="B520" s="27">
        <f t="shared" ca="1" si="8"/>
        <v>0.75769193554839642</v>
      </c>
      <c r="C520" s="27" t="s">
        <v>226</v>
      </c>
    </row>
    <row r="521" spans="1:3" x14ac:dyDescent="0.2">
      <c r="A521" s="27">
        <v>519</v>
      </c>
      <c r="B521" s="27">
        <f t="shared" ca="1" si="8"/>
        <v>0.61811524126517403</v>
      </c>
      <c r="C521" s="27" t="s">
        <v>227</v>
      </c>
    </row>
    <row r="522" spans="1:3" x14ac:dyDescent="0.2">
      <c r="A522" s="27">
        <v>520</v>
      </c>
      <c r="B522" s="27">
        <f t="shared" ca="1" si="8"/>
        <v>0.6262410642893409</v>
      </c>
      <c r="C522" s="27" t="s">
        <v>226</v>
      </c>
    </row>
    <row r="523" spans="1:3" x14ac:dyDescent="0.2">
      <c r="A523" s="27">
        <v>521</v>
      </c>
      <c r="B523" s="27">
        <f t="shared" ca="1" si="8"/>
        <v>0.54563171285375756</v>
      </c>
      <c r="C523" s="27" t="s">
        <v>226</v>
      </c>
    </row>
    <row r="524" spans="1:3" x14ac:dyDescent="0.2">
      <c r="A524" s="27">
        <v>522</v>
      </c>
      <c r="B524" s="27">
        <f t="shared" ca="1" si="8"/>
        <v>0.57051073780537997</v>
      </c>
      <c r="C524" s="27" t="s">
        <v>227</v>
      </c>
    </row>
    <row r="525" spans="1:3" x14ac:dyDescent="0.2">
      <c r="A525" s="27">
        <v>523</v>
      </c>
      <c r="B525" s="27">
        <f t="shared" ca="1" si="8"/>
        <v>0.82253141202650037</v>
      </c>
      <c r="C525" s="27" t="s">
        <v>227</v>
      </c>
    </row>
    <row r="526" spans="1:3" x14ac:dyDescent="0.2">
      <c r="A526" s="27">
        <v>524</v>
      </c>
      <c r="B526" s="27">
        <f t="shared" ca="1" si="8"/>
        <v>0.4967718753833924</v>
      </c>
      <c r="C526" s="27" t="s">
        <v>226</v>
      </c>
    </row>
    <row r="527" spans="1:3" x14ac:dyDescent="0.2">
      <c r="A527" s="27">
        <v>525</v>
      </c>
      <c r="B527" s="27">
        <f t="shared" ca="1" si="8"/>
        <v>0.73837732368640885</v>
      </c>
      <c r="C527" s="27" t="s">
        <v>227</v>
      </c>
    </row>
    <row r="528" spans="1:3" x14ac:dyDescent="0.2">
      <c r="A528" s="27">
        <v>526</v>
      </c>
      <c r="B528" s="27">
        <f t="shared" ca="1" si="8"/>
        <v>0.59795735671914996</v>
      </c>
      <c r="C528" s="27" t="s">
        <v>226</v>
      </c>
    </row>
    <row r="529" spans="1:3" x14ac:dyDescent="0.2">
      <c r="A529" s="27">
        <v>527</v>
      </c>
      <c r="B529" s="27">
        <f t="shared" ca="1" si="8"/>
        <v>0.72312541833693367</v>
      </c>
      <c r="C529" s="27" t="s">
        <v>226</v>
      </c>
    </row>
    <row r="530" spans="1:3" x14ac:dyDescent="0.2">
      <c r="A530" s="27">
        <v>528</v>
      </c>
      <c r="B530" s="27">
        <f t="shared" ca="1" si="8"/>
        <v>0.7973905911820024</v>
      </c>
      <c r="C530" s="27" t="s">
        <v>227</v>
      </c>
    </row>
    <row r="531" spans="1:3" x14ac:dyDescent="0.2">
      <c r="A531" s="27">
        <v>529</v>
      </c>
      <c r="B531" s="27">
        <f t="shared" ca="1" si="8"/>
        <v>0.82756229420765082</v>
      </c>
      <c r="C531" s="27" t="s">
        <v>227</v>
      </c>
    </row>
    <row r="532" spans="1:3" x14ac:dyDescent="0.2">
      <c r="A532" s="27">
        <v>530</v>
      </c>
      <c r="B532" s="27">
        <f t="shared" ca="1" si="8"/>
        <v>0.67865005977596415</v>
      </c>
      <c r="C532" s="27" t="s">
        <v>226</v>
      </c>
    </row>
    <row r="533" spans="1:3" x14ac:dyDescent="0.2">
      <c r="A533" s="27">
        <v>531</v>
      </c>
      <c r="B533" s="27">
        <f t="shared" ca="1" si="8"/>
        <v>0.7666296007184874</v>
      </c>
      <c r="C533" s="27" t="s">
        <v>227</v>
      </c>
    </row>
    <row r="534" spans="1:3" x14ac:dyDescent="0.2">
      <c r="A534" s="27">
        <v>532</v>
      </c>
      <c r="B534" s="27">
        <f t="shared" ca="1" si="8"/>
        <v>0.62005272252488985</v>
      </c>
      <c r="C534" s="27" t="s">
        <v>226</v>
      </c>
    </row>
    <row r="535" spans="1:3" x14ac:dyDescent="0.2">
      <c r="A535" s="27">
        <v>533</v>
      </c>
      <c r="B535" s="27">
        <f t="shared" ca="1" si="8"/>
        <v>0.77985713872066653</v>
      </c>
      <c r="C535" s="27" t="s">
        <v>226</v>
      </c>
    </row>
    <row r="536" spans="1:3" x14ac:dyDescent="0.2">
      <c r="A536" s="27">
        <v>534</v>
      </c>
      <c r="B536" s="27">
        <f t="shared" ca="1" si="8"/>
        <v>0.64425571562569561</v>
      </c>
      <c r="C536" s="27" t="s">
        <v>227</v>
      </c>
    </row>
    <row r="537" spans="1:3" x14ac:dyDescent="0.2">
      <c r="A537" s="27">
        <v>535</v>
      </c>
      <c r="B537" s="27">
        <f t="shared" ca="1" si="8"/>
        <v>0.43742588045163588</v>
      </c>
      <c r="C537" s="27" t="s">
        <v>226</v>
      </c>
    </row>
    <row r="538" spans="1:3" x14ac:dyDescent="0.2">
      <c r="A538" s="27">
        <v>536</v>
      </c>
      <c r="B538" s="27">
        <f t="shared" ca="1" si="8"/>
        <v>0.52682224287438439</v>
      </c>
      <c r="C538" s="27" t="s">
        <v>226</v>
      </c>
    </row>
    <row r="539" spans="1:3" x14ac:dyDescent="0.2">
      <c r="A539" s="27">
        <v>537</v>
      </c>
      <c r="B539" s="27">
        <f t="shared" ca="1" si="8"/>
        <v>0.73825658624296309</v>
      </c>
      <c r="C539" s="27" t="s">
        <v>226</v>
      </c>
    </row>
    <row r="540" spans="1:3" x14ac:dyDescent="0.2">
      <c r="A540" s="27">
        <v>538</v>
      </c>
      <c r="B540" s="27">
        <f t="shared" ca="1" si="8"/>
        <v>0.78453470956177074</v>
      </c>
      <c r="C540" s="27" t="s">
        <v>227</v>
      </c>
    </row>
    <row r="541" spans="1:3" x14ac:dyDescent="0.2">
      <c r="A541" s="27">
        <v>539</v>
      </c>
      <c r="B541" s="27">
        <f t="shared" ca="1" si="8"/>
        <v>0.39040491224547363</v>
      </c>
      <c r="C541" s="27" t="s">
        <v>226</v>
      </c>
    </row>
    <row r="542" spans="1:3" x14ac:dyDescent="0.2">
      <c r="A542" s="27">
        <v>540</v>
      </c>
      <c r="B542" s="27">
        <f t="shared" ca="1" si="8"/>
        <v>0.52078556718330227</v>
      </c>
      <c r="C542" s="27" t="s">
        <v>226</v>
      </c>
    </row>
    <row r="543" spans="1:3" x14ac:dyDescent="0.2">
      <c r="A543" s="27">
        <v>541</v>
      </c>
      <c r="B543" s="27">
        <f t="shared" ca="1" si="8"/>
        <v>0.56569044270316626</v>
      </c>
      <c r="C543" s="27" t="s">
        <v>226</v>
      </c>
    </row>
    <row r="544" spans="1:3" x14ac:dyDescent="0.2">
      <c r="A544" s="27">
        <v>542</v>
      </c>
      <c r="B544" s="27">
        <f t="shared" ca="1" si="8"/>
        <v>0.6692518284415705</v>
      </c>
      <c r="C544" s="27" t="s">
        <v>227</v>
      </c>
    </row>
    <row r="545" spans="1:3" x14ac:dyDescent="0.2">
      <c r="A545" s="27">
        <v>543</v>
      </c>
      <c r="B545" s="27">
        <f t="shared" ca="1" si="8"/>
        <v>0.57076780680459338</v>
      </c>
      <c r="C545" s="27" t="s">
        <v>227</v>
      </c>
    </row>
    <row r="546" spans="1:3" x14ac:dyDescent="0.2">
      <c r="A546" s="27">
        <v>544</v>
      </c>
      <c r="B546" s="27">
        <f t="shared" ca="1" si="8"/>
        <v>0.6287249827428687</v>
      </c>
      <c r="C546" s="27" t="s">
        <v>227</v>
      </c>
    </row>
    <row r="547" spans="1:3" x14ac:dyDescent="0.2">
      <c r="A547" s="27">
        <v>545</v>
      </c>
      <c r="B547" s="27">
        <f t="shared" ca="1" si="8"/>
        <v>0.78696794008907611</v>
      </c>
      <c r="C547" s="27" t="s">
        <v>226</v>
      </c>
    </row>
    <row r="548" spans="1:3" x14ac:dyDescent="0.2">
      <c r="A548" s="27">
        <v>546</v>
      </c>
      <c r="B548" s="27">
        <f t="shared" ca="1" si="8"/>
        <v>0.6813270803874425</v>
      </c>
      <c r="C548" s="27" t="s">
        <v>226</v>
      </c>
    </row>
    <row r="549" spans="1:3" x14ac:dyDescent="0.2">
      <c r="A549" s="27">
        <v>547</v>
      </c>
      <c r="B549" s="27">
        <f t="shared" ca="1" si="8"/>
        <v>0.76877275702406411</v>
      </c>
      <c r="C549" s="27" t="s">
        <v>227</v>
      </c>
    </row>
    <row r="550" spans="1:3" x14ac:dyDescent="0.2">
      <c r="A550" s="27">
        <v>548</v>
      </c>
      <c r="B550" s="27">
        <f t="shared" ca="1" si="8"/>
        <v>0.72822673776656843</v>
      </c>
      <c r="C550" s="27" t="s">
        <v>227</v>
      </c>
    </row>
    <row r="551" spans="1:3" x14ac:dyDescent="0.2">
      <c r="A551" s="27">
        <v>549</v>
      </c>
      <c r="B551" s="27">
        <f t="shared" ca="1" si="8"/>
        <v>0.50747534089706703</v>
      </c>
      <c r="C551" s="27" t="s">
        <v>226</v>
      </c>
    </row>
    <row r="552" spans="1:3" x14ac:dyDescent="0.2">
      <c r="A552" s="27">
        <v>550</v>
      </c>
      <c r="B552" s="27">
        <f t="shared" ca="1" si="8"/>
        <v>0.69957703892573764</v>
      </c>
      <c r="C552" s="27" t="s">
        <v>227</v>
      </c>
    </row>
    <row r="553" spans="1:3" x14ac:dyDescent="0.2">
      <c r="A553" s="27">
        <v>551</v>
      </c>
      <c r="B553" s="27">
        <f t="shared" ca="1" si="8"/>
        <v>0.62925191251794088</v>
      </c>
      <c r="C553" s="27" t="s">
        <v>226</v>
      </c>
    </row>
    <row r="554" spans="1:3" x14ac:dyDescent="0.2">
      <c r="A554" s="27">
        <v>552</v>
      </c>
      <c r="B554" s="27">
        <f t="shared" ca="1" si="8"/>
        <v>0.78087433141237406</v>
      </c>
      <c r="C554" s="27" t="s">
        <v>226</v>
      </c>
    </row>
    <row r="555" spans="1:3" x14ac:dyDescent="0.2">
      <c r="A555" s="27">
        <v>553</v>
      </c>
      <c r="B555" s="27">
        <f t="shared" ca="1" si="8"/>
        <v>0.49913953007461054</v>
      </c>
      <c r="C555" s="27" t="s">
        <v>226</v>
      </c>
    </row>
    <row r="556" spans="1:3" x14ac:dyDescent="0.2">
      <c r="A556" s="27">
        <v>554</v>
      </c>
      <c r="B556" s="27">
        <f t="shared" ca="1" si="8"/>
        <v>0.69794393009922906</v>
      </c>
      <c r="C556" s="27" t="s">
        <v>227</v>
      </c>
    </row>
    <row r="557" spans="1:3" x14ac:dyDescent="0.2">
      <c r="A557" s="27">
        <v>555</v>
      </c>
      <c r="B557" s="27">
        <f t="shared" ca="1" si="8"/>
        <v>0.58758173398288427</v>
      </c>
      <c r="C557" s="27" t="s">
        <v>226</v>
      </c>
    </row>
    <row r="558" spans="1:3" x14ac:dyDescent="0.2">
      <c r="A558" s="27">
        <v>556</v>
      </c>
      <c r="B558" s="27">
        <f t="shared" ca="1" si="8"/>
        <v>0.75362597478913618</v>
      </c>
      <c r="C558" s="27" t="s">
        <v>227</v>
      </c>
    </row>
    <row r="559" spans="1:3" x14ac:dyDescent="0.2">
      <c r="A559" s="27">
        <v>557</v>
      </c>
      <c r="B559" s="27">
        <f t="shared" ca="1" si="8"/>
        <v>0.62106242121933908</v>
      </c>
      <c r="C559" s="27" t="s">
        <v>227</v>
      </c>
    </row>
    <row r="560" spans="1:3" x14ac:dyDescent="0.2">
      <c r="A560" s="27">
        <v>558</v>
      </c>
      <c r="B560" s="27">
        <f t="shared" ca="1" si="8"/>
        <v>0.21834069475171608</v>
      </c>
      <c r="C560" s="27" t="s">
        <v>226</v>
      </c>
    </row>
    <row r="561" spans="1:3" x14ac:dyDescent="0.2">
      <c r="A561" s="27">
        <v>559</v>
      </c>
      <c r="B561" s="27">
        <f t="shared" ca="1" si="8"/>
        <v>0.81601354370713153</v>
      </c>
      <c r="C561" s="27" t="s">
        <v>227</v>
      </c>
    </row>
    <row r="562" spans="1:3" x14ac:dyDescent="0.2">
      <c r="A562" s="27">
        <v>560</v>
      </c>
      <c r="B562" s="27">
        <f t="shared" ca="1" si="8"/>
        <v>0.6210235913249631</v>
      </c>
      <c r="C562" s="27" t="s">
        <v>226</v>
      </c>
    </row>
    <row r="563" spans="1:3" x14ac:dyDescent="0.2">
      <c r="A563" s="27">
        <v>561</v>
      </c>
      <c r="B563" s="27">
        <f t="shared" ca="1" si="8"/>
        <v>0.72703355837906225</v>
      </c>
      <c r="C563" s="27" t="s">
        <v>226</v>
      </c>
    </row>
    <row r="564" spans="1:3" x14ac:dyDescent="0.2">
      <c r="A564" s="27">
        <v>562</v>
      </c>
      <c r="B564" s="27">
        <f t="shared" ca="1" si="8"/>
        <v>0.70779654963421768</v>
      </c>
      <c r="C564" s="27" t="s">
        <v>226</v>
      </c>
    </row>
    <row r="565" spans="1:3" x14ac:dyDescent="0.2">
      <c r="A565" s="27">
        <v>563</v>
      </c>
      <c r="B565" s="27">
        <f t="shared" ca="1" si="8"/>
        <v>0.62639350971371466</v>
      </c>
      <c r="C565" s="27" t="s">
        <v>226</v>
      </c>
    </row>
    <row r="566" spans="1:3" x14ac:dyDescent="0.2">
      <c r="A566" s="27">
        <v>564</v>
      </c>
      <c r="B566" s="27">
        <f t="shared" ca="1" si="8"/>
        <v>0.65690859430245274</v>
      </c>
      <c r="C566" s="27" t="s">
        <v>226</v>
      </c>
    </row>
    <row r="567" spans="1:3" x14ac:dyDescent="0.2">
      <c r="A567" s="27">
        <v>565</v>
      </c>
      <c r="B567" s="27">
        <f t="shared" ca="1" si="8"/>
        <v>0.66126497787493177</v>
      </c>
      <c r="C567" s="27" t="s">
        <v>226</v>
      </c>
    </row>
    <row r="568" spans="1:3" x14ac:dyDescent="0.2">
      <c r="A568" s="27">
        <v>566</v>
      </c>
      <c r="B568" s="27">
        <f t="shared" ca="1" si="8"/>
        <v>0.7686969231358719</v>
      </c>
      <c r="C568" s="27" t="s">
        <v>227</v>
      </c>
    </row>
    <row r="569" spans="1:3" x14ac:dyDescent="0.2">
      <c r="A569" s="27">
        <v>567</v>
      </c>
      <c r="B569" s="27">
        <f t="shared" ca="1" si="8"/>
        <v>0.68468197747692949</v>
      </c>
      <c r="C569" s="27" t="s">
        <v>227</v>
      </c>
    </row>
    <row r="570" spans="1:3" x14ac:dyDescent="0.2">
      <c r="A570" s="27">
        <v>568</v>
      </c>
      <c r="B570" s="27">
        <f t="shared" ca="1" si="8"/>
        <v>0.80063047868454107</v>
      </c>
      <c r="C570" s="27" t="s">
        <v>227</v>
      </c>
    </row>
    <row r="571" spans="1:3" x14ac:dyDescent="0.2">
      <c r="A571" s="27">
        <v>569</v>
      </c>
      <c r="B571" s="27">
        <f t="shared" ca="1" si="8"/>
        <v>0.53781685303580518</v>
      </c>
      <c r="C571" s="27" t="s">
        <v>226</v>
      </c>
    </row>
    <row r="572" spans="1:3" x14ac:dyDescent="0.2">
      <c r="A572" s="27">
        <v>570</v>
      </c>
      <c r="B572" s="27">
        <f t="shared" ca="1" si="8"/>
        <v>0.42197663901837296</v>
      </c>
      <c r="C572" s="27" t="s">
        <v>227</v>
      </c>
    </row>
    <row r="573" spans="1:3" x14ac:dyDescent="0.2">
      <c r="A573" s="27">
        <v>571</v>
      </c>
      <c r="B573" s="27">
        <f t="shared" ca="1" si="8"/>
        <v>0.42795611495771035</v>
      </c>
      <c r="C573" s="27" t="s">
        <v>226</v>
      </c>
    </row>
    <row r="574" spans="1:3" x14ac:dyDescent="0.2">
      <c r="A574" s="27">
        <v>572</v>
      </c>
      <c r="B574" s="27">
        <f t="shared" ca="1" si="8"/>
        <v>0.76403031990948778</v>
      </c>
      <c r="C574" s="27" t="s">
        <v>227</v>
      </c>
    </row>
    <row r="575" spans="1:3" x14ac:dyDescent="0.2">
      <c r="A575" s="27">
        <v>573</v>
      </c>
      <c r="B575" s="27">
        <f t="shared" ca="1" si="8"/>
        <v>0.51239769961340786</v>
      </c>
      <c r="C575" s="27" t="s">
        <v>227</v>
      </c>
    </row>
    <row r="576" spans="1:3" x14ac:dyDescent="0.2">
      <c r="A576" s="27">
        <v>574</v>
      </c>
      <c r="B576" s="27">
        <f t="shared" ca="1" si="8"/>
        <v>0.55789842368024978</v>
      </c>
      <c r="C576" s="27" t="s">
        <v>227</v>
      </c>
    </row>
    <row r="577" spans="1:3" x14ac:dyDescent="0.2">
      <c r="A577" s="27">
        <v>575</v>
      </c>
      <c r="B577" s="27">
        <f t="shared" ca="1" si="8"/>
        <v>0.53763337142188961</v>
      </c>
      <c r="C577" s="27" t="s">
        <v>226</v>
      </c>
    </row>
    <row r="578" spans="1:3" x14ac:dyDescent="0.2">
      <c r="A578" s="27">
        <v>576</v>
      </c>
      <c r="B578" s="27">
        <f t="shared" ca="1" si="8"/>
        <v>0.5278595987246153</v>
      </c>
      <c r="C578" s="27" t="s">
        <v>226</v>
      </c>
    </row>
    <row r="579" spans="1:3" x14ac:dyDescent="0.2">
      <c r="A579" s="27">
        <v>577</v>
      </c>
      <c r="B579" s="27">
        <f t="shared" ref="B579:B642" ca="1" si="9">IF(C579="Bomb",_xlfn.NORM.INV(RAND(),0.7,0.1),_xlfn.NORM.INV(RAND(),0.6,0.15))</f>
        <v>0.677278967462703</v>
      </c>
      <c r="C579" s="27" t="s">
        <v>226</v>
      </c>
    </row>
    <row r="580" spans="1:3" x14ac:dyDescent="0.2">
      <c r="A580" s="27">
        <v>578</v>
      </c>
      <c r="B580" s="27">
        <f t="shared" ca="1" si="9"/>
        <v>0.74006369468846833</v>
      </c>
      <c r="C580" s="27" t="s">
        <v>227</v>
      </c>
    </row>
    <row r="581" spans="1:3" x14ac:dyDescent="0.2">
      <c r="A581" s="27">
        <v>579</v>
      </c>
      <c r="B581" s="27">
        <f t="shared" ca="1" si="9"/>
        <v>0.94487697856762187</v>
      </c>
      <c r="C581" s="27" t="s">
        <v>227</v>
      </c>
    </row>
    <row r="582" spans="1:3" x14ac:dyDescent="0.2">
      <c r="A582" s="27">
        <v>580</v>
      </c>
      <c r="B582" s="27">
        <f t="shared" ca="1" si="9"/>
        <v>0.68946804497652314</v>
      </c>
      <c r="C582" s="27" t="s">
        <v>227</v>
      </c>
    </row>
    <row r="583" spans="1:3" x14ac:dyDescent="0.2">
      <c r="A583" s="27">
        <v>581</v>
      </c>
      <c r="B583" s="27">
        <f t="shared" ca="1" si="9"/>
        <v>0.66764558152062869</v>
      </c>
      <c r="C583" s="27" t="s">
        <v>226</v>
      </c>
    </row>
    <row r="584" spans="1:3" x14ac:dyDescent="0.2">
      <c r="A584" s="27">
        <v>582</v>
      </c>
      <c r="B584" s="27">
        <f t="shared" ca="1" si="9"/>
        <v>0.61571522649970045</v>
      </c>
      <c r="C584" s="27" t="s">
        <v>227</v>
      </c>
    </row>
    <row r="585" spans="1:3" x14ac:dyDescent="0.2">
      <c r="A585" s="27">
        <v>583</v>
      </c>
      <c r="B585" s="27">
        <f t="shared" ca="1" si="9"/>
        <v>0.59115144003242182</v>
      </c>
      <c r="C585" s="27" t="s">
        <v>226</v>
      </c>
    </row>
    <row r="586" spans="1:3" x14ac:dyDescent="0.2">
      <c r="A586" s="27">
        <v>584</v>
      </c>
      <c r="B586" s="27">
        <f t="shared" ca="1" si="9"/>
        <v>0.89918624297819039</v>
      </c>
      <c r="C586" s="27" t="s">
        <v>227</v>
      </c>
    </row>
    <row r="587" spans="1:3" x14ac:dyDescent="0.2">
      <c r="A587" s="27">
        <v>585</v>
      </c>
      <c r="B587" s="27">
        <f t="shared" ca="1" si="9"/>
        <v>0.51201389233351824</v>
      </c>
      <c r="C587" s="27" t="s">
        <v>226</v>
      </c>
    </row>
    <row r="588" spans="1:3" x14ac:dyDescent="0.2">
      <c r="A588" s="27">
        <v>586</v>
      </c>
      <c r="B588" s="27">
        <f t="shared" ca="1" si="9"/>
        <v>0.36639953711605472</v>
      </c>
      <c r="C588" s="27" t="s">
        <v>226</v>
      </c>
    </row>
    <row r="589" spans="1:3" x14ac:dyDescent="0.2">
      <c r="A589" s="27">
        <v>587</v>
      </c>
      <c r="B589" s="27">
        <f t="shared" ca="1" si="9"/>
        <v>0.84805698737217916</v>
      </c>
      <c r="C589" s="27" t="s">
        <v>227</v>
      </c>
    </row>
    <row r="590" spans="1:3" x14ac:dyDescent="0.2">
      <c r="A590" s="27">
        <v>588</v>
      </c>
      <c r="B590" s="27">
        <f t="shared" ca="1" si="9"/>
        <v>0.69283715605492824</v>
      </c>
      <c r="C590" s="27" t="s">
        <v>226</v>
      </c>
    </row>
    <row r="591" spans="1:3" x14ac:dyDescent="0.2">
      <c r="A591" s="27">
        <v>589</v>
      </c>
      <c r="B591" s="27">
        <f t="shared" ca="1" si="9"/>
        <v>0.7110070371268401</v>
      </c>
      <c r="C591" s="27" t="s">
        <v>226</v>
      </c>
    </row>
    <row r="592" spans="1:3" x14ac:dyDescent="0.2">
      <c r="A592" s="27">
        <v>590</v>
      </c>
      <c r="B592" s="27">
        <f t="shared" ca="1" si="9"/>
        <v>0.7167882512579411</v>
      </c>
      <c r="C592" s="27" t="s">
        <v>227</v>
      </c>
    </row>
    <row r="593" spans="1:3" x14ac:dyDescent="0.2">
      <c r="A593" s="27">
        <v>591</v>
      </c>
      <c r="B593" s="27">
        <f t="shared" ca="1" si="9"/>
        <v>0.74395534127215512</v>
      </c>
      <c r="C593" s="27" t="s">
        <v>226</v>
      </c>
    </row>
    <row r="594" spans="1:3" x14ac:dyDescent="0.2">
      <c r="A594" s="27">
        <v>592</v>
      </c>
      <c r="B594" s="27">
        <f t="shared" ca="1" si="9"/>
        <v>0.85025758637844784</v>
      </c>
      <c r="C594" s="27" t="s">
        <v>227</v>
      </c>
    </row>
    <row r="595" spans="1:3" x14ac:dyDescent="0.2">
      <c r="A595" s="27">
        <v>593</v>
      </c>
      <c r="B595" s="27">
        <f t="shared" ca="1" si="9"/>
        <v>0.5112460088793418</v>
      </c>
      <c r="C595" s="27" t="s">
        <v>226</v>
      </c>
    </row>
    <row r="596" spans="1:3" x14ac:dyDescent="0.2">
      <c r="A596" s="27">
        <v>594</v>
      </c>
      <c r="B596" s="27">
        <f t="shared" ca="1" si="9"/>
        <v>0.63830735995224175</v>
      </c>
      <c r="C596" s="27" t="s">
        <v>227</v>
      </c>
    </row>
    <row r="597" spans="1:3" x14ac:dyDescent="0.2">
      <c r="A597" s="27">
        <v>595</v>
      </c>
      <c r="B597" s="27">
        <f t="shared" ca="1" si="9"/>
        <v>0.76306514240847267</v>
      </c>
      <c r="C597" s="27" t="s">
        <v>227</v>
      </c>
    </row>
    <row r="598" spans="1:3" x14ac:dyDescent="0.2">
      <c r="A598" s="27">
        <v>596</v>
      </c>
      <c r="B598" s="27">
        <f t="shared" ca="1" si="9"/>
        <v>0.85669059096114508</v>
      </c>
      <c r="C598" s="27" t="s">
        <v>227</v>
      </c>
    </row>
    <row r="599" spans="1:3" x14ac:dyDescent="0.2">
      <c r="A599" s="27">
        <v>597</v>
      </c>
      <c r="B599" s="27">
        <f t="shared" ca="1" si="9"/>
        <v>0.8786553288812714</v>
      </c>
      <c r="C599" s="27" t="s">
        <v>227</v>
      </c>
    </row>
    <row r="600" spans="1:3" x14ac:dyDescent="0.2">
      <c r="A600" s="27">
        <v>598</v>
      </c>
      <c r="B600" s="27">
        <f t="shared" ca="1" si="9"/>
        <v>0.8441732089035231</v>
      </c>
      <c r="C600" s="27" t="s">
        <v>226</v>
      </c>
    </row>
    <row r="601" spans="1:3" x14ac:dyDescent="0.2">
      <c r="A601" s="27">
        <v>599</v>
      </c>
      <c r="B601" s="27">
        <f t="shared" ca="1" si="9"/>
        <v>0.61703441267139592</v>
      </c>
      <c r="C601" s="27" t="s">
        <v>227</v>
      </c>
    </row>
    <row r="602" spans="1:3" x14ac:dyDescent="0.2">
      <c r="A602" s="27">
        <v>600</v>
      </c>
      <c r="B602" s="27">
        <f t="shared" ca="1" si="9"/>
        <v>0.65203750994486087</v>
      </c>
      <c r="C602" s="27" t="s">
        <v>227</v>
      </c>
    </row>
    <row r="603" spans="1:3" x14ac:dyDescent="0.2">
      <c r="A603" s="27">
        <v>601</v>
      </c>
      <c r="B603" s="27">
        <f t="shared" ca="1" si="9"/>
        <v>0.76383845878949697</v>
      </c>
      <c r="C603" s="27" t="s">
        <v>226</v>
      </c>
    </row>
    <row r="604" spans="1:3" x14ac:dyDescent="0.2">
      <c r="A604" s="27">
        <v>602</v>
      </c>
      <c r="B604" s="27">
        <f t="shared" ca="1" si="9"/>
        <v>0.76538590787198357</v>
      </c>
      <c r="C604" s="27" t="s">
        <v>226</v>
      </c>
    </row>
    <row r="605" spans="1:3" x14ac:dyDescent="0.2">
      <c r="A605" s="27">
        <v>603</v>
      </c>
      <c r="B605" s="27">
        <f t="shared" ca="1" si="9"/>
        <v>0.94280634395200003</v>
      </c>
      <c r="C605" s="27" t="s">
        <v>226</v>
      </c>
    </row>
    <row r="606" spans="1:3" x14ac:dyDescent="0.2">
      <c r="A606" s="27">
        <v>604</v>
      </c>
      <c r="B606" s="27">
        <f t="shared" ca="1" si="9"/>
        <v>0.95407707325922808</v>
      </c>
      <c r="C606" s="27" t="s">
        <v>227</v>
      </c>
    </row>
    <row r="607" spans="1:3" x14ac:dyDescent="0.2">
      <c r="A607" s="27">
        <v>605</v>
      </c>
      <c r="B607" s="27">
        <f t="shared" ca="1" si="9"/>
        <v>0.81673824154620056</v>
      </c>
      <c r="C607" s="27" t="s">
        <v>226</v>
      </c>
    </row>
    <row r="608" spans="1:3" x14ac:dyDescent="0.2">
      <c r="A608" s="27">
        <v>606</v>
      </c>
      <c r="B608" s="27">
        <f t="shared" ca="1" si="9"/>
        <v>0.74914213010166109</v>
      </c>
      <c r="C608" s="27" t="s">
        <v>227</v>
      </c>
    </row>
    <row r="609" spans="1:3" x14ac:dyDescent="0.2">
      <c r="A609" s="27">
        <v>607</v>
      </c>
      <c r="B609" s="27">
        <f t="shared" ca="1" si="9"/>
        <v>0.7104576468720174</v>
      </c>
      <c r="C609" s="27" t="s">
        <v>226</v>
      </c>
    </row>
    <row r="610" spans="1:3" x14ac:dyDescent="0.2">
      <c r="A610" s="27">
        <v>608</v>
      </c>
      <c r="B610" s="27">
        <f t="shared" ca="1" si="9"/>
        <v>0.63408408609965339</v>
      </c>
      <c r="C610" s="27" t="s">
        <v>227</v>
      </c>
    </row>
    <row r="611" spans="1:3" x14ac:dyDescent="0.2">
      <c r="A611" s="27">
        <v>609</v>
      </c>
      <c r="B611" s="27">
        <f t="shared" ca="1" si="9"/>
        <v>0.71547604914789775</v>
      </c>
      <c r="C611" s="27" t="s">
        <v>226</v>
      </c>
    </row>
    <row r="612" spans="1:3" x14ac:dyDescent="0.2">
      <c r="A612" s="27">
        <v>610</v>
      </c>
      <c r="B612" s="27">
        <f t="shared" ca="1" si="9"/>
        <v>0.77651482946042572</v>
      </c>
      <c r="C612" s="27" t="s">
        <v>226</v>
      </c>
    </row>
    <row r="613" spans="1:3" x14ac:dyDescent="0.2">
      <c r="A613" s="27">
        <v>611</v>
      </c>
      <c r="B613" s="27">
        <f t="shared" ca="1" si="9"/>
        <v>0.80515167491921824</v>
      </c>
      <c r="C613" s="27" t="s">
        <v>227</v>
      </c>
    </row>
    <row r="614" spans="1:3" x14ac:dyDescent="0.2">
      <c r="A614" s="27">
        <v>612</v>
      </c>
      <c r="B614" s="27">
        <f t="shared" ca="1" si="9"/>
        <v>0.79391279568518491</v>
      </c>
      <c r="C614" s="27" t="s">
        <v>227</v>
      </c>
    </row>
    <row r="615" spans="1:3" x14ac:dyDescent="0.2">
      <c r="A615" s="27">
        <v>613</v>
      </c>
      <c r="B615" s="27">
        <f t="shared" ca="1" si="9"/>
        <v>0.64367989972316297</v>
      </c>
      <c r="C615" s="27" t="s">
        <v>226</v>
      </c>
    </row>
    <row r="616" spans="1:3" x14ac:dyDescent="0.2">
      <c r="A616" s="27">
        <v>614</v>
      </c>
      <c r="B616" s="27">
        <f t="shared" ca="1" si="9"/>
        <v>0.67081058762653711</v>
      </c>
      <c r="C616" s="27" t="s">
        <v>226</v>
      </c>
    </row>
    <row r="617" spans="1:3" x14ac:dyDescent="0.2">
      <c r="A617" s="27">
        <v>615</v>
      </c>
      <c r="B617" s="27">
        <f t="shared" ca="1" si="9"/>
        <v>0.47648366979926882</v>
      </c>
      <c r="C617" s="27" t="s">
        <v>226</v>
      </c>
    </row>
    <row r="618" spans="1:3" x14ac:dyDescent="0.2">
      <c r="A618" s="27">
        <v>616</v>
      </c>
      <c r="B618" s="27">
        <f t="shared" ca="1" si="9"/>
        <v>0.59706961041292339</v>
      </c>
      <c r="C618" s="27" t="s">
        <v>227</v>
      </c>
    </row>
    <row r="619" spans="1:3" x14ac:dyDescent="0.2">
      <c r="A619" s="27">
        <v>617</v>
      </c>
      <c r="B619" s="27">
        <f t="shared" ca="1" si="9"/>
        <v>0.58757718079454002</v>
      </c>
      <c r="C619" s="27" t="s">
        <v>227</v>
      </c>
    </row>
    <row r="620" spans="1:3" x14ac:dyDescent="0.2">
      <c r="A620" s="27">
        <v>618</v>
      </c>
      <c r="B620" s="27">
        <f t="shared" ca="1" si="9"/>
        <v>0.80291092892276983</v>
      </c>
      <c r="C620" s="27" t="s">
        <v>227</v>
      </c>
    </row>
    <row r="621" spans="1:3" x14ac:dyDescent="0.2">
      <c r="A621" s="27">
        <v>619</v>
      </c>
      <c r="B621" s="27">
        <f t="shared" ca="1" si="9"/>
        <v>0.73731493151254401</v>
      </c>
      <c r="C621" s="27" t="s">
        <v>226</v>
      </c>
    </row>
    <row r="622" spans="1:3" x14ac:dyDescent="0.2">
      <c r="A622" s="27">
        <v>620</v>
      </c>
      <c r="B622" s="27">
        <f t="shared" ca="1" si="9"/>
        <v>0.63638632135080453</v>
      </c>
      <c r="C622" s="27" t="s">
        <v>226</v>
      </c>
    </row>
    <row r="623" spans="1:3" x14ac:dyDescent="0.2">
      <c r="A623" s="27">
        <v>621</v>
      </c>
      <c r="B623" s="27">
        <f t="shared" ca="1" si="9"/>
        <v>0.64129515520858527</v>
      </c>
      <c r="C623" s="27" t="s">
        <v>227</v>
      </c>
    </row>
    <row r="624" spans="1:3" x14ac:dyDescent="0.2">
      <c r="A624" s="27">
        <v>622</v>
      </c>
      <c r="B624" s="27">
        <f t="shared" ca="1" si="9"/>
        <v>0.77767011073425252</v>
      </c>
      <c r="C624" s="27" t="s">
        <v>227</v>
      </c>
    </row>
    <row r="625" spans="1:3" x14ac:dyDescent="0.2">
      <c r="A625" s="27">
        <v>623</v>
      </c>
      <c r="B625" s="27">
        <f t="shared" ca="1" si="9"/>
        <v>0.77373718848503703</v>
      </c>
      <c r="C625" s="27" t="s">
        <v>227</v>
      </c>
    </row>
    <row r="626" spans="1:3" x14ac:dyDescent="0.2">
      <c r="A626" s="27">
        <v>624</v>
      </c>
      <c r="B626" s="27">
        <f t="shared" ca="1" si="9"/>
        <v>0.92457676064968441</v>
      </c>
      <c r="C626" s="27" t="s">
        <v>226</v>
      </c>
    </row>
    <row r="627" spans="1:3" x14ac:dyDescent="0.2">
      <c r="A627" s="27">
        <v>625</v>
      </c>
      <c r="B627" s="27">
        <f t="shared" ca="1" si="9"/>
        <v>0.72802457226796802</v>
      </c>
      <c r="C627" s="27" t="s">
        <v>227</v>
      </c>
    </row>
    <row r="628" spans="1:3" x14ac:dyDescent="0.2">
      <c r="A628" s="27">
        <v>626</v>
      </c>
      <c r="B628" s="27">
        <f t="shared" ca="1" si="9"/>
        <v>0.40350779693731936</v>
      </c>
      <c r="C628" s="27" t="s">
        <v>226</v>
      </c>
    </row>
    <row r="629" spans="1:3" x14ac:dyDescent="0.2">
      <c r="A629" s="27">
        <v>627</v>
      </c>
      <c r="B629" s="27">
        <f t="shared" ca="1" si="9"/>
        <v>0.35802273289824654</v>
      </c>
      <c r="C629" s="27" t="s">
        <v>226</v>
      </c>
    </row>
    <row r="630" spans="1:3" x14ac:dyDescent="0.2">
      <c r="A630" s="27">
        <v>628</v>
      </c>
      <c r="B630" s="27">
        <f t="shared" ca="1" si="9"/>
        <v>0.69114227853333254</v>
      </c>
      <c r="C630" s="27" t="s">
        <v>226</v>
      </c>
    </row>
    <row r="631" spans="1:3" x14ac:dyDescent="0.2">
      <c r="A631" s="27">
        <v>629</v>
      </c>
      <c r="B631" s="27">
        <f t="shared" ca="1" si="9"/>
        <v>0.44942887912845964</v>
      </c>
      <c r="C631" s="27" t="s">
        <v>226</v>
      </c>
    </row>
    <row r="632" spans="1:3" x14ac:dyDescent="0.2">
      <c r="A632" s="27">
        <v>630</v>
      </c>
      <c r="B632" s="27">
        <f t="shared" ca="1" si="9"/>
        <v>0.63339934346135884</v>
      </c>
      <c r="C632" s="27" t="s">
        <v>227</v>
      </c>
    </row>
    <row r="633" spans="1:3" x14ac:dyDescent="0.2">
      <c r="A633" s="27">
        <v>631</v>
      </c>
      <c r="B633" s="27">
        <f t="shared" ca="1" si="9"/>
        <v>0.61518345170761202</v>
      </c>
      <c r="C633" s="27" t="s">
        <v>227</v>
      </c>
    </row>
    <row r="634" spans="1:3" x14ac:dyDescent="0.2">
      <c r="A634" s="27">
        <v>632</v>
      </c>
      <c r="B634" s="27">
        <f t="shared" ca="1" si="9"/>
        <v>0.64105948941886803</v>
      </c>
      <c r="C634" s="27" t="s">
        <v>226</v>
      </c>
    </row>
    <row r="635" spans="1:3" x14ac:dyDescent="0.2">
      <c r="A635" s="27">
        <v>633</v>
      </c>
      <c r="B635" s="27">
        <f t="shared" ca="1" si="9"/>
        <v>0.6468114142831628</v>
      </c>
      <c r="C635" s="27" t="s">
        <v>227</v>
      </c>
    </row>
    <row r="636" spans="1:3" x14ac:dyDescent="0.2">
      <c r="A636" s="27">
        <v>634</v>
      </c>
      <c r="B636" s="27">
        <f t="shared" ca="1" si="9"/>
        <v>0.73819863546619546</v>
      </c>
      <c r="C636" s="27" t="s">
        <v>227</v>
      </c>
    </row>
    <row r="637" spans="1:3" x14ac:dyDescent="0.2">
      <c r="A637" s="27">
        <v>635</v>
      </c>
      <c r="B637" s="27">
        <f t="shared" ca="1" si="9"/>
        <v>0.66684934682293462</v>
      </c>
      <c r="C637" s="27" t="s">
        <v>227</v>
      </c>
    </row>
    <row r="638" spans="1:3" x14ac:dyDescent="0.2">
      <c r="A638" s="27">
        <v>636</v>
      </c>
      <c r="B638" s="27">
        <f t="shared" ca="1" si="9"/>
        <v>0.6911483106334565</v>
      </c>
      <c r="C638" s="27" t="s">
        <v>226</v>
      </c>
    </row>
    <row r="639" spans="1:3" x14ac:dyDescent="0.2">
      <c r="A639" s="27">
        <v>637</v>
      </c>
      <c r="B639" s="27">
        <f t="shared" ca="1" si="9"/>
        <v>0.65495786081650653</v>
      </c>
      <c r="C639" s="27" t="s">
        <v>226</v>
      </c>
    </row>
    <row r="640" spans="1:3" x14ac:dyDescent="0.2">
      <c r="A640" s="27">
        <v>638</v>
      </c>
      <c r="B640" s="27">
        <f t="shared" ca="1" si="9"/>
        <v>0.73496963835968909</v>
      </c>
      <c r="C640" s="27" t="s">
        <v>227</v>
      </c>
    </row>
    <row r="641" spans="1:3" x14ac:dyDescent="0.2">
      <c r="A641" s="27">
        <v>639</v>
      </c>
      <c r="B641" s="27">
        <f t="shared" ca="1" si="9"/>
        <v>0.68710626593853208</v>
      </c>
      <c r="C641" s="27" t="s">
        <v>226</v>
      </c>
    </row>
    <row r="642" spans="1:3" x14ac:dyDescent="0.2">
      <c r="A642" s="27">
        <v>640</v>
      </c>
      <c r="B642" s="27">
        <f t="shared" ca="1" si="9"/>
        <v>0.54609960062902718</v>
      </c>
      <c r="C642" s="27" t="s">
        <v>227</v>
      </c>
    </row>
    <row r="643" spans="1:3" x14ac:dyDescent="0.2">
      <c r="A643" s="27">
        <v>641</v>
      </c>
      <c r="B643" s="27">
        <f t="shared" ref="B643:B706" ca="1" si="10">IF(C643="Bomb",_xlfn.NORM.INV(RAND(),0.7,0.1),_xlfn.NORM.INV(RAND(),0.6,0.15))</f>
        <v>0.64014598692896918</v>
      </c>
      <c r="C643" s="27" t="s">
        <v>227</v>
      </c>
    </row>
    <row r="644" spans="1:3" x14ac:dyDescent="0.2">
      <c r="A644" s="27">
        <v>642</v>
      </c>
      <c r="B644" s="27">
        <f t="shared" ca="1" si="10"/>
        <v>0.75729220770172723</v>
      </c>
      <c r="C644" s="27" t="s">
        <v>226</v>
      </c>
    </row>
    <row r="645" spans="1:3" x14ac:dyDescent="0.2">
      <c r="A645" s="27">
        <v>643</v>
      </c>
      <c r="B645" s="27">
        <f t="shared" ca="1" si="10"/>
        <v>0.68168242794260547</v>
      </c>
      <c r="C645" s="27" t="s">
        <v>227</v>
      </c>
    </row>
    <row r="646" spans="1:3" x14ac:dyDescent="0.2">
      <c r="A646" s="27">
        <v>644</v>
      </c>
      <c r="B646" s="27">
        <f t="shared" ca="1" si="10"/>
        <v>0.67229449214207504</v>
      </c>
      <c r="C646" s="27" t="s">
        <v>226</v>
      </c>
    </row>
    <row r="647" spans="1:3" x14ac:dyDescent="0.2">
      <c r="A647" s="27">
        <v>645</v>
      </c>
      <c r="B647" s="27">
        <f t="shared" ca="1" si="10"/>
        <v>0.58959349711674791</v>
      </c>
      <c r="C647" s="27" t="s">
        <v>226</v>
      </c>
    </row>
    <row r="648" spans="1:3" x14ac:dyDescent="0.2">
      <c r="A648" s="27">
        <v>646</v>
      </c>
      <c r="B648" s="27">
        <f t="shared" ca="1" si="10"/>
        <v>0.79041111170276945</v>
      </c>
      <c r="C648" s="27" t="s">
        <v>226</v>
      </c>
    </row>
    <row r="649" spans="1:3" x14ac:dyDescent="0.2">
      <c r="A649" s="27">
        <v>647</v>
      </c>
      <c r="B649" s="27">
        <f t="shared" ca="1" si="10"/>
        <v>0.82027840899255244</v>
      </c>
      <c r="C649" s="27" t="s">
        <v>227</v>
      </c>
    </row>
    <row r="650" spans="1:3" x14ac:dyDescent="0.2">
      <c r="A650" s="27">
        <v>648</v>
      </c>
      <c r="B650" s="27">
        <f t="shared" ca="1" si="10"/>
        <v>0.77605740511321419</v>
      </c>
      <c r="C650" s="27" t="s">
        <v>227</v>
      </c>
    </row>
    <row r="651" spans="1:3" x14ac:dyDescent="0.2">
      <c r="A651" s="27">
        <v>649</v>
      </c>
      <c r="B651" s="27">
        <f t="shared" ca="1" si="10"/>
        <v>0.64123844808193153</v>
      </c>
      <c r="C651" s="27" t="s">
        <v>227</v>
      </c>
    </row>
    <row r="652" spans="1:3" x14ac:dyDescent="0.2">
      <c r="A652" s="27">
        <v>650</v>
      </c>
      <c r="B652" s="27">
        <f t="shared" ca="1" si="10"/>
        <v>0.79482895754430982</v>
      </c>
      <c r="C652" s="27" t="s">
        <v>227</v>
      </c>
    </row>
    <row r="653" spans="1:3" x14ac:dyDescent="0.2">
      <c r="A653" s="27">
        <v>651</v>
      </c>
      <c r="B653" s="27">
        <f t="shared" ca="1" si="10"/>
        <v>0.12147137047828355</v>
      </c>
      <c r="C653" s="27" t="s">
        <v>226</v>
      </c>
    </row>
    <row r="654" spans="1:3" x14ac:dyDescent="0.2">
      <c r="A654" s="27">
        <v>652</v>
      </c>
      <c r="B654" s="27">
        <f t="shared" ca="1" si="10"/>
        <v>0.3393474037539605</v>
      </c>
      <c r="C654" s="27" t="s">
        <v>226</v>
      </c>
    </row>
    <row r="655" spans="1:3" x14ac:dyDescent="0.2">
      <c r="A655" s="27">
        <v>653</v>
      </c>
      <c r="B655" s="27">
        <f t="shared" ca="1" si="10"/>
        <v>0.74697425227774206</v>
      </c>
      <c r="C655" s="27" t="s">
        <v>226</v>
      </c>
    </row>
    <row r="656" spans="1:3" x14ac:dyDescent="0.2">
      <c r="A656" s="27">
        <v>654</v>
      </c>
      <c r="B656" s="27">
        <f t="shared" ca="1" si="10"/>
        <v>0.7154160574789481</v>
      </c>
      <c r="C656" s="27" t="s">
        <v>226</v>
      </c>
    </row>
    <row r="657" spans="1:3" x14ac:dyDescent="0.2">
      <c r="A657" s="27">
        <v>655</v>
      </c>
      <c r="B657" s="27">
        <f t="shared" ca="1" si="10"/>
        <v>0.50443817365727506</v>
      </c>
      <c r="C657" s="27" t="s">
        <v>226</v>
      </c>
    </row>
    <row r="658" spans="1:3" x14ac:dyDescent="0.2">
      <c r="A658" s="27">
        <v>656</v>
      </c>
      <c r="B658" s="27">
        <f t="shared" ca="1" si="10"/>
        <v>0.6023166681928841</v>
      </c>
      <c r="C658" s="27" t="s">
        <v>226</v>
      </c>
    </row>
    <row r="659" spans="1:3" x14ac:dyDescent="0.2">
      <c r="A659" s="27">
        <v>657</v>
      </c>
      <c r="B659" s="27">
        <f t="shared" ca="1" si="10"/>
        <v>0.65140624970361383</v>
      </c>
      <c r="C659" s="27" t="s">
        <v>227</v>
      </c>
    </row>
    <row r="660" spans="1:3" x14ac:dyDescent="0.2">
      <c r="A660" s="27">
        <v>658</v>
      </c>
      <c r="B660" s="27">
        <f t="shared" ca="1" si="10"/>
        <v>0.40738431987236445</v>
      </c>
      <c r="C660" s="27" t="s">
        <v>226</v>
      </c>
    </row>
    <row r="661" spans="1:3" x14ac:dyDescent="0.2">
      <c r="A661" s="27">
        <v>659</v>
      </c>
      <c r="B661" s="27">
        <f t="shared" ca="1" si="10"/>
        <v>0.85637237770047014</v>
      </c>
      <c r="C661" s="27" t="s">
        <v>227</v>
      </c>
    </row>
    <row r="662" spans="1:3" x14ac:dyDescent="0.2">
      <c r="A662" s="27">
        <v>660</v>
      </c>
      <c r="B662" s="27">
        <f t="shared" ca="1" si="10"/>
        <v>0.69274537140174264</v>
      </c>
      <c r="C662" s="27" t="s">
        <v>226</v>
      </c>
    </row>
    <row r="663" spans="1:3" x14ac:dyDescent="0.2">
      <c r="A663" s="27">
        <v>661</v>
      </c>
      <c r="B663" s="27">
        <f t="shared" ca="1" si="10"/>
        <v>0.83646225869564339</v>
      </c>
      <c r="C663" s="27" t="s">
        <v>227</v>
      </c>
    </row>
    <row r="664" spans="1:3" x14ac:dyDescent="0.2">
      <c r="A664" s="27">
        <v>662</v>
      </c>
      <c r="B664" s="27">
        <f t="shared" ca="1" si="10"/>
        <v>0.61986856328749762</v>
      </c>
      <c r="C664" s="27" t="s">
        <v>226</v>
      </c>
    </row>
    <row r="665" spans="1:3" x14ac:dyDescent="0.2">
      <c r="A665" s="27">
        <v>663</v>
      </c>
      <c r="B665" s="27">
        <f t="shared" ca="1" si="10"/>
        <v>0.62223062424143427</v>
      </c>
      <c r="C665" s="27" t="s">
        <v>226</v>
      </c>
    </row>
    <row r="666" spans="1:3" x14ac:dyDescent="0.2">
      <c r="A666" s="27">
        <v>664</v>
      </c>
      <c r="B666" s="27">
        <f t="shared" ca="1" si="10"/>
        <v>0.61784502965534749</v>
      </c>
      <c r="C666" s="27" t="s">
        <v>227</v>
      </c>
    </row>
    <row r="667" spans="1:3" x14ac:dyDescent="0.2">
      <c r="A667" s="27">
        <v>665</v>
      </c>
      <c r="B667" s="27">
        <f t="shared" ca="1" si="10"/>
        <v>0.64514512442356575</v>
      </c>
      <c r="C667" s="27" t="s">
        <v>226</v>
      </c>
    </row>
    <row r="668" spans="1:3" x14ac:dyDescent="0.2">
      <c r="A668" s="27">
        <v>666</v>
      </c>
      <c r="B668" s="27">
        <f t="shared" ca="1" si="10"/>
        <v>0.4966503122798418</v>
      </c>
      <c r="C668" s="27" t="s">
        <v>226</v>
      </c>
    </row>
    <row r="669" spans="1:3" x14ac:dyDescent="0.2">
      <c r="A669" s="27">
        <v>667</v>
      </c>
      <c r="B669" s="27">
        <f t="shared" ca="1" si="10"/>
        <v>0.59842554380571022</v>
      </c>
      <c r="C669" s="27" t="s">
        <v>227</v>
      </c>
    </row>
    <row r="670" spans="1:3" x14ac:dyDescent="0.2">
      <c r="A670" s="27">
        <v>668</v>
      </c>
      <c r="B670" s="27">
        <f t="shared" ca="1" si="10"/>
        <v>0.19863673100290341</v>
      </c>
      <c r="C670" s="27" t="s">
        <v>226</v>
      </c>
    </row>
    <row r="671" spans="1:3" x14ac:dyDescent="0.2">
      <c r="A671" s="27">
        <v>669</v>
      </c>
      <c r="B671" s="27">
        <f t="shared" ca="1" si="10"/>
        <v>0.47960275129820362</v>
      </c>
      <c r="C671" s="27" t="s">
        <v>226</v>
      </c>
    </row>
    <row r="672" spans="1:3" x14ac:dyDescent="0.2">
      <c r="A672" s="27">
        <v>670</v>
      </c>
      <c r="B672" s="27">
        <f t="shared" ca="1" si="10"/>
        <v>0.63638112914900979</v>
      </c>
      <c r="C672" s="27" t="s">
        <v>226</v>
      </c>
    </row>
    <row r="673" spans="1:3" x14ac:dyDescent="0.2">
      <c r="A673" s="27">
        <v>671</v>
      </c>
      <c r="B673" s="27">
        <f t="shared" ca="1" si="10"/>
        <v>0.4970677482279876</v>
      </c>
      <c r="C673" s="27" t="s">
        <v>226</v>
      </c>
    </row>
    <row r="674" spans="1:3" x14ac:dyDescent="0.2">
      <c r="A674" s="27">
        <v>672</v>
      </c>
      <c r="B674" s="27">
        <f t="shared" ca="1" si="10"/>
        <v>0.73332371447064837</v>
      </c>
      <c r="C674" s="27" t="s">
        <v>226</v>
      </c>
    </row>
    <row r="675" spans="1:3" x14ac:dyDescent="0.2">
      <c r="A675" s="27">
        <v>673</v>
      </c>
      <c r="B675" s="27">
        <f t="shared" ca="1" si="10"/>
        <v>0.86973242426844233</v>
      </c>
      <c r="C675" s="27" t="s">
        <v>226</v>
      </c>
    </row>
    <row r="676" spans="1:3" x14ac:dyDescent="0.2">
      <c r="A676" s="27">
        <v>674</v>
      </c>
      <c r="B676" s="27">
        <f t="shared" ca="1" si="10"/>
        <v>0.67757200789213479</v>
      </c>
      <c r="C676" s="27" t="s">
        <v>227</v>
      </c>
    </row>
    <row r="677" spans="1:3" x14ac:dyDescent="0.2">
      <c r="A677" s="27">
        <v>675</v>
      </c>
      <c r="B677" s="27">
        <f t="shared" ca="1" si="10"/>
        <v>0.65849972375290933</v>
      </c>
      <c r="C677" s="27" t="s">
        <v>226</v>
      </c>
    </row>
    <row r="678" spans="1:3" x14ac:dyDescent="0.2">
      <c r="A678" s="27">
        <v>676</v>
      </c>
      <c r="B678" s="27">
        <f t="shared" ca="1" si="10"/>
        <v>0.66243425929752286</v>
      </c>
      <c r="C678" s="27" t="s">
        <v>227</v>
      </c>
    </row>
    <row r="679" spans="1:3" x14ac:dyDescent="0.2">
      <c r="A679" s="27">
        <v>677</v>
      </c>
      <c r="B679" s="27">
        <f t="shared" ca="1" si="10"/>
        <v>0.61424996117059638</v>
      </c>
      <c r="C679" s="27" t="s">
        <v>226</v>
      </c>
    </row>
    <row r="680" spans="1:3" x14ac:dyDescent="0.2">
      <c r="A680" s="27">
        <v>678</v>
      </c>
      <c r="B680" s="27">
        <f t="shared" ca="1" si="10"/>
        <v>0.59774014916452423</v>
      </c>
      <c r="C680" s="27" t="s">
        <v>227</v>
      </c>
    </row>
    <row r="681" spans="1:3" x14ac:dyDescent="0.2">
      <c r="A681" s="27">
        <v>679</v>
      </c>
      <c r="B681" s="27">
        <f t="shared" ca="1" si="10"/>
        <v>0.69003272785693803</v>
      </c>
      <c r="C681" s="27" t="s">
        <v>226</v>
      </c>
    </row>
    <row r="682" spans="1:3" x14ac:dyDescent="0.2">
      <c r="A682" s="27">
        <v>680</v>
      </c>
      <c r="B682" s="27">
        <f t="shared" ca="1" si="10"/>
        <v>0.6441259395902148</v>
      </c>
      <c r="C682" s="27" t="s">
        <v>226</v>
      </c>
    </row>
    <row r="683" spans="1:3" x14ac:dyDescent="0.2">
      <c r="A683" s="27">
        <v>681</v>
      </c>
      <c r="B683" s="27">
        <f t="shared" ca="1" si="10"/>
        <v>0.70847842526931726</v>
      </c>
      <c r="C683" s="27" t="s">
        <v>226</v>
      </c>
    </row>
    <row r="684" spans="1:3" x14ac:dyDescent="0.2">
      <c r="A684" s="27">
        <v>682</v>
      </c>
      <c r="B684" s="27">
        <f t="shared" ca="1" si="10"/>
        <v>0.79495422298636942</v>
      </c>
      <c r="C684" s="27" t="s">
        <v>226</v>
      </c>
    </row>
    <row r="685" spans="1:3" x14ac:dyDescent="0.2">
      <c r="A685" s="27">
        <v>683</v>
      </c>
      <c r="B685" s="27">
        <f t="shared" ca="1" si="10"/>
        <v>0.53488732796345173</v>
      </c>
      <c r="C685" s="27" t="s">
        <v>226</v>
      </c>
    </row>
    <row r="686" spans="1:3" x14ac:dyDescent="0.2">
      <c r="A686" s="27">
        <v>684</v>
      </c>
      <c r="B686" s="27">
        <f t="shared" ca="1" si="10"/>
        <v>0.44548268550004666</v>
      </c>
      <c r="C686" s="27" t="s">
        <v>226</v>
      </c>
    </row>
    <row r="687" spans="1:3" x14ac:dyDescent="0.2">
      <c r="A687" s="27">
        <v>685</v>
      </c>
      <c r="B687" s="27">
        <f t="shared" ca="1" si="10"/>
        <v>0.721216220576405</v>
      </c>
      <c r="C687" s="27" t="s">
        <v>227</v>
      </c>
    </row>
    <row r="688" spans="1:3" x14ac:dyDescent="0.2">
      <c r="A688" s="27">
        <v>686</v>
      </c>
      <c r="B688" s="27">
        <f t="shared" ca="1" si="10"/>
        <v>0.29998755205568128</v>
      </c>
      <c r="C688" s="27" t="s">
        <v>226</v>
      </c>
    </row>
    <row r="689" spans="1:3" x14ac:dyDescent="0.2">
      <c r="A689" s="27">
        <v>687</v>
      </c>
      <c r="B689" s="27">
        <f t="shared" ca="1" si="10"/>
        <v>0.56992501153523467</v>
      </c>
      <c r="C689" s="27" t="s">
        <v>226</v>
      </c>
    </row>
    <row r="690" spans="1:3" x14ac:dyDescent="0.2">
      <c r="A690" s="27">
        <v>688</v>
      </c>
      <c r="B690" s="27">
        <f t="shared" ca="1" si="10"/>
        <v>0.4870434542331647</v>
      </c>
      <c r="C690" s="27" t="s">
        <v>226</v>
      </c>
    </row>
    <row r="691" spans="1:3" x14ac:dyDescent="0.2">
      <c r="A691" s="27">
        <v>689</v>
      </c>
      <c r="B691" s="27">
        <f t="shared" ca="1" si="10"/>
        <v>0.56990148589438205</v>
      </c>
      <c r="C691" s="27" t="s">
        <v>226</v>
      </c>
    </row>
    <row r="692" spans="1:3" x14ac:dyDescent="0.2">
      <c r="A692" s="27">
        <v>690</v>
      </c>
      <c r="B692" s="27">
        <f t="shared" ca="1" si="10"/>
        <v>0.87478790575956122</v>
      </c>
      <c r="C692" s="27" t="s">
        <v>227</v>
      </c>
    </row>
    <row r="693" spans="1:3" x14ac:dyDescent="0.2">
      <c r="A693" s="27">
        <v>691</v>
      </c>
      <c r="B693" s="27">
        <f t="shared" ca="1" si="10"/>
        <v>0.58956791639204686</v>
      </c>
      <c r="C693" s="27" t="s">
        <v>227</v>
      </c>
    </row>
    <row r="694" spans="1:3" x14ac:dyDescent="0.2">
      <c r="A694" s="27">
        <v>692</v>
      </c>
      <c r="B694" s="27">
        <f t="shared" ca="1" si="10"/>
        <v>0.68571212226083</v>
      </c>
      <c r="C694" s="27" t="s">
        <v>227</v>
      </c>
    </row>
    <row r="695" spans="1:3" x14ac:dyDescent="0.2">
      <c r="A695" s="27">
        <v>693</v>
      </c>
      <c r="B695" s="27">
        <f t="shared" ca="1" si="10"/>
        <v>0.85733055963950644</v>
      </c>
      <c r="C695" s="27" t="s">
        <v>227</v>
      </c>
    </row>
    <row r="696" spans="1:3" x14ac:dyDescent="0.2">
      <c r="A696" s="27">
        <v>694</v>
      </c>
      <c r="B696" s="27">
        <f t="shared" ca="1" si="10"/>
        <v>0.76097240956228285</v>
      </c>
      <c r="C696" s="27" t="s">
        <v>226</v>
      </c>
    </row>
    <row r="697" spans="1:3" x14ac:dyDescent="0.2">
      <c r="A697" s="27">
        <v>695</v>
      </c>
      <c r="B697" s="27">
        <f t="shared" ca="1" si="10"/>
        <v>0.76931714543970564</v>
      </c>
      <c r="C697" s="27" t="s">
        <v>226</v>
      </c>
    </row>
    <row r="698" spans="1:3" x14ac:dyDescent="0.2">
      <c r="A698" s="27">
        <v>696</v>
      </c>
      <c r="B698" s="27">
        <f t="shared" ca="1" si="10"/>
        <v>0.66732268874029022</v>
      </c>
      <c r="C698" s="27" t="s">
        <v>226</v>
      </c>
    </row>
    <row r="699" spans="1:3" x14ac:dyDescent="0.2">
      <c r="A699" s="27">
        <v>697</v>
      </c>
      <c r="B699" s="27">
        <f t="shared" ca="1" si="10"/>
        <v>0.39616875920878381</v>
      </c>
      <c r="C699" s="27" t="s">
        <v>226</v>
      </c>
    </row>
    <row r="700" spans="1:3" x14ac:dyDescent="0.2">
      <c r="A700" s="27">
        <v>698</v>
      </c>
      <c r="B700" s="27">
        <f t="shared" ca="1" si="10"/>
        <v>0.41648577786228075</v>
      </c>
      <c r="C700" s="27" t="s">
        <v>227</v>
      </c>
    </row>
    <row r="701" spans="1:3" x14ac:dyDescent="0.2">
      <c r="A701" s="27">
        <v>699</v>
      </c>
      <c r="B701" s="27">
        <f t="shared" ca="1" si="10"/>
        <v>0.78377346498561473</v>
      </c>
      <c r="C701" s="27" t="s">
        <v>226</v>
      </c>
    </row>
    <row r="702" spans="1:3" x14ac:dyDescent="0.2">
      <c r="A702" s="27">
        <v>700</v>
      </c>
      <c r="B702" s="27">
        <f t="shared" ca="1" si="10"/>
        <v>0.29450308942618419</v>
      </c>
      <c r="C702" s="27" t="s">
        <v>226</v>
      </c>
    </row>
    <row r="703" spans="1:3" x14ac:dyDescent="0.2">
      <c r="A703" s="27">
        <v>701</v>
      </c>
      <c r="B703" s="27">
        <f t="shared" ca="1" si="10"/>
        <v>0.77276090561590771</v>
      </c>
      <c r="C703" s="27" t="s">
        <v>226</v>
      </c>
    </row>
    <row r="704" spans="1:3" x14ac:dyDescent="0.2">
      <c r="A704" s="27">
        <v>702</v>
      </c>
      <c r="B704" s="27">
        <f t="shared" ca="1" si="10"/>
        <v>0.59163731853146928</v>
      </c>
      <c r="C704" s="27" t="s">
        <v>226</v>
      </c>
    </row>
    <row r="705" spans="1:3" x14ac:dyDescent="0.2">
      <c r="A705" s="27">
        <v>703</v>
      </c>
      <c r="B705" s="27">
        <f t="shared" ca="1" si="10"/>
        <v>0.6193549531973126</v>
      </c>
      <c r="C705" s="27" t="s">
        <v>227</v>
      </c>
    </row>
    <row r="706" spans="1:3" x14ac:dyDescent="0.2">
      <c r="A706" s="27">
        <v>704</v>
      </c>
      <c r="B706" s="27">
        <f t="shared" ca="1" si="10"/>
        <v>0.76392883597994543</v>
      </c>
      <c r="C706" s="27" t="s">
        <v>227</v>
      </c>
    </row>
    <row r="707" spans="1:3" x14ac:dyDescent="0.2">
      <c r="A707" s="27">
        <v>705</v>
      </c>
      <c r="B707" s="27">
        <f t="shared" ref="B707:B770" ca="1" si="11">IF(C707="Bomb",_xlfn.NORM.INV(RAND(),0.7,0.1),_xlfn.NORM.INV(RAND(),0.6,0.15))</f>
        <v>0.45790907255130353</v>
      </c>
      <c r="C707" s="27" t="s">
        <v>226</v>
      </c>
    </row>
    <row r="708" spans="1:3" x14ac:dyDescent="0.2">
      <c r="A708" s="27">
        <v>706</v>
      </c>
      <c r="B708" s="27">
        <f t="shared" ca="1" si="11"/>
        <v>0.45336849139881591</v>
      </c>
      <c r="C708" s="27" t="s">
        <v>226</v>
      </c>
    </row>
    <row r="709" spans="1:3" x14ac:dyDescent="0.2">
      <c r="A709" s="27">
        <v>707</v>
      </c>
      <c r="B709" s="27">
        <f t="shared" ca="1" si="11"/>
        <v>0.37696823934765489</v>
      </c>
      <c r="C709" s="27" t="s">
        <v>226</v>
      </c>
    </row>
    <row r="710" spans="1:3" x14ac:dyDescent="0.2">
      <c r="A710" s="27">
        <v>708</v>
      </c>
      <c r="B710" s="27">
        <f t="shared" ca="1" si="11"/>
        <v>0.5970180950981423</v>
      </c>
      <c r="C710" s="27" t="s">
        <v>227</v>
      </c>
    </row>
    <row r="711" spans="1:3" x14ac:dyDescent="0.2">
      <c r="A711" s="27">
        <v>709</v>
      </c>
      <c r="B711" s="27">
        <f t="shared" ca="1" si="11"/>
        <v>0.80929990923879724</v>
      </c>
      <c r="C711" s="27" t="s">
        <v>227</v>
      </c>
    </row>
    <row r="712" spans="1:3" x14ac:dyDescent="0.2">
      <c r="A712" s="27">
        <v>710</v>
      </c>
      <c r="B712" s="27">
        <f t="shared" ca="1" si="11"/>
        <v>0.77324716927777926</v>
      </c>
      <c r="C712" s="27" t="s">
        <v>227</v>
      </c>
    </row>
    <row r="713" spans="1:3" x14ac:dyDescent="0.2">
      <c r="A713" s="27">
        <v>711</v>
      </c>
      <c r="B713" s="27">
        <f t="shared" ca="1" si="11"/>
        <v>0.57046061652488211</v>
      </c>
      <c r="C713" s="27" t="s">
        <v>226</v>
      </c>
    </row>
    <row r="714" spans="1:3" x14ac:dyDescent="0.2">
      <c r="A714" s="27">
        <v>712</v>
      </c>
      <c r="B714" s="27">
        <f t="shared" ca="1" si="11"/>
        <v>0.67279133322397411</v>
      </c>
      <c r="C714" s="27" t="s">
        <v>227</v>
      </c>
    </row>
    <row r="715" spans="1:3" x14ac:dyDescent="0.2">
      <c r="A715" s="27">
        <v>713</v>
      </c>
      <c r="B715" s="27">
        <f t="shared" ca="1" si="11"/>
        <v>0.66035109169547279</v>
      </c>
      <c r="C715" s="27" t="s">
        <v>226</v>
      </c>
    </row>
    <row r="716" spans="1:3" x14ac:dyDescent="0.2">
      <c r="A716" s="27">
        <v>714</v>
      </c>
      <c r="B716" s="27">
        <f t="shared" ca="1" si="11"/>
        <v>0.57383749122882355</v>
      </c>
      <c r="C716" s="27" t="s">
        <v>226</v>
      </c>
    </row>
    <row r="717" spans="1:3" x14ac:dyDescent="0.2">
      <c r="A717" s="27">
        <v>715</v>
      </c>
      <c r="B717" s="27">
        <f t="shared" ca="1" si="11"/>
        <v>0.44394573564415984</v>
      </c>
      <c r="C717" s="27" t="s">
        <v>226</v>
      </c>
    </row>
    <row r="718" spans="1:3" x14ac:dyDescent="0.2">
      <c r="A718" s="27">
        <v>716</v>
      </c>
      <c r="B718" s="27">
        <f t="shared" ca="1" si="11"/>
        <v>0.61516952476182507</v>
      </c>
      <c r="C718" s="27" t="s">
        <v>227</v>
      </c>
    </row>
    <row r="719" spans="1:3" x14ac:dyDescent="0.2">
      <c r="A719" s="27">
        <v>717</v>
      </c>
      <c r="B719" s="27">
        <f t="shared" ca="1" si="11"/>
        <v>0.70516012657384441</v>
      </c>
      <c r="C719" s="27" t="s">
        <v>226</v>
      </c>
    </row>
    <row r="720" spans="1:3" x14ac:dyDescent="0.2">
      <c r="A720" s="27">
        <v>718</v>
      </c>
      <c r="B720" s="27">
        <f t="shared" ca="1" si="11"/>
        <v>0.80058439524268077</v>
      </c>
      <c r="C720" s="27" t="s">
        <v>226</v>
      </c>
    </row>
    <row r="721" spans="1:3" x14ac:dyDescent="0.2">
      <c r="A721" s="27">
        <v>719</v>
      </c>
      <c r="B721" s="27">
        <f t="shared" ca="1" si="11"/>
        <v>0.69840812429579535</v>
      </c>
      <c r="C721" s="27" t="s">
        <v>226</v>
      </c>
    </row>
    <row r="722" spans="1:3" x14ac:dyDescent="0.2">
      <c r="A722" s="27">
        <v>720</v>
      </c>
      <c r="B722" s="27">
        <f t="shared" ca="1" si="11"/>
        <v>0.74976772659196111</v>
      </c>
      <c r="C722" s="27" t="s">
        <v>226</v>
      </c>
    </row>
    <row r="723" spans="1:3" x14ac:dyDescent="0.2">
      <c r="A723" s="27">
        <v>721</v>
      </c>
      <c r="B723" s="27">
        <f t="shared" ca="1" si="11"/>
        <v>0.62041274804119884</v>
      </c>
      <c r="C723" s="27" t="s">
        <v>227</v>
      </c>
    </row>
    <row r="724" spans="1:3" x14ac:dyDescent="0.2">
      <c r="A724" s="27">
        <v>722</v>
      </c>
      <c r="B724" s="27">
        <f t="shared" ca="1" si="11"/>
        <v>0.68070550804829399</v>
      </c>
      <c r="C724" s="27" t="s">
        <v>226</v>
      </c>
    </row>
    <row r="725" spans="1:3" x14ac:dyDescent="0.2">
      <c r="A725" s="27">
        <v>723</v>
      </c>
      <c r="B725" s="27">
        <f t="shared" ca="1" si="11"/>
        <v>0.74791384635649516</v>
      </c>
      <c r="C725" s="27" t="s">
        <v>227</v>
      </c>
    </row>
    <row r="726" spans="1:3" x14ac:dyDescent="0.2">
      <c r="A726" s="27">
        <v>724</v>
      </c>
      <c r="B726" s="27">
        <f t="shared" ca="1" si="11"/>
        <v>0.76865938727579075</v>
      </c>
      <c r="C726" s="27" t="s">
        <v>227</v>
      </c>
    </row>
    <row r="727" spans="1:3" x14ac:dyDescent="0.2">
      <c r="A727" s="27">
        <v>725</v>
      </c>
      <c r="B727" s="27">
        <f t="shared" ca="1" si="11"/>
        <v>0.57345426161658797</v>
      </c>
      <c r="C727" s="27" t="s">
        <v>226</v>
      </c>
    </row>
    <row r="728" spans="1:3" x14ac:dyDescent="0.2">
      <c r="A728" s="27">
        <v>726</v>
      </c>
      <c r="B728" s="27">
        <f t="shared" ca="1" si="11"/>
        <v>0.53015633319452138</v>
      </c>
      <c r="C728" s="27" t="s">
        <v>226</v>
      </c>
    </row>
    <row r="729" spans="1:3" x14ac:dyDescent="0.2">
      <c r="A729" s="27">
        <v>727</v>
      </c>
      <c r="B729" s="27">
        <f t="shared" ca="1" si="11"/>
        <v>0.78525818013794257</v>
      </c>
      <c r="C729" s="27" t="s">
        <v>227</v>
      </c>
    </row>
    <row r="730" spans="1:3" x14ac:dyDescent="0.2">
      <c r="A730" s="27">
        <v>728</v>
      </c>
      <c r="B730" s="27">
        <f t="shared" ca="1" si="11"/>
        <v>0.72657330335330006</v>
      </c>
      <c r="C730" s="27" t="s">
        <v>226</v>
      </c>
    </row>
    <row r="731" spans="1:3" x14ac:dyDescent="0.2">
      <c r="A731" s="27">
        <v>729</v>
      </c>
      <c r="B731" s="27">
        <f t="shared" ca="1" si="11"/>
        <v>0.76245941584973542</v>
      </c>
      <c r="C731" s="27" t="s">
        <v>227</v>
      </c>
    </row>
    <row r="732" spans="1:3" x14ac:dyDescent="0.2">
      <c r="A732" s="27">
        <v>730</v>
      </c>
      <c r="B732" s="27">
        <f t="shared" ca="1" si="11"/>
        <v>0.58868137689951494</v>
      </c>
      <c r="C732" s="27" t="s">
        <v>227</v>
      </c>
    </row>
    <row r="733" spans="1:3" x14ac:dyDescent="0.2">
      <c r="A733" s="27">
        <v>731</v>
      </c>
      <c r="B733" s="27">
        <f t="shared" ca="1" si="11"/>
        <v>0.57703477213477994</v>
      </c>
      <c r="C733" s="27" t="s">
        <v>227</v>
      </c>
    </row>
    <row r="734" spans="1:3" x14ac:dyDescent="0.2">
      <c r="A734" s="27">
        <v>732</v>
      </c>
      <c r="B734" s="27">
        <f t="shared" ca="1" si="11"/>
        <v>0.76978194781369502</v>
      </c>
      <c r="C734" s="27" t="s">
        <v>226</v>
      </c>
    </row>
    <row r="735" spans="1:3" x14ac:dyDescent="0.2">
      <c r="A735" s="27">
        <v>733</v>
      </c>
      <c r="B735" s="27">
        <f t="shared" ca="1" si="11"/>
        <v>0.78124910087510424</v>
      </c>
      <c r="C735" s="27" t="s">
        <v>226</v>
      </c>
    </row>
    <row r="736" spans="1:3" x14ac:dyDescent="0.2">
      <c r="A736" s="27">
        <v>734</v>
      </c>
      <c r="B736" s="27">
        <f t="shared" ca="1" si="11"/>
        <v>0.97097558429780673</v>
      </c>
      <c r="C736" s="27" t="s">
        <v>226</v>
      </c>
    </row>
    <row r="737" spans="1:3" x14ac:dyDescent="0.2">
      <c r="A737" s="27">
        <v>735</v>
      </c>
      <c r="B737" s="27">
        <f t="shared" ca="1" si="11"/>
        <v>0.68172399626480384</v>
      </c>
      <c r="C737" s="27" t="s">
        <v>227</v>
      </c>
    </row>
    <row r="738" spans="1:3" x14ac:dyDescent="0.2">
      <c r="A738" s="27">
        <v>736</v>
      </c>
      <c r="B738" s="27">
        <f t="shared" ca="1" si="11"/>
        <v>0.79118308205653287</v>
      </c>
      <c r="C738" s="27" t="s">
        <v>227</v>
      </c>
    </row>
    <row r="739" spans="1:3" x14ac:dyDescent="0.2">
      <c r="A739" s="27">
        <v>737</v>
      </c>
      <c r="B739" s="27">
        <f t="shared" ca="1" si="11"/>
        <v>0.49215360788457746</v>
      </c>
      <c r="C739" s="27" t="s">
        <v>226</v>
      </c>
    </row>
    <row r="740" spans="1:3" x14ac:dyDescent="0.2">
      <c r="A740" s="27">
        <v>738</v>
      </c>
      <c r="B740" s="27">
        <f t="shared" ca="1" si="11"/>
        <v>0.50585856233749493</v>
      </c>
      <c r="C740" s="27" t="s">
        <v>226</v>
      </c>
    </row>
    <row r="741" spans="1:3" x14ac:dyDescent="0.2">
      <c r="A741" s="27">
        <v>739</v>
      </c>
      <c r="B741" s="27">
        <f t="shared" ca="1" si="11"/>
        <v>0.67525759647860684</v>
      </c>
      <c r="C741" s="27" t="s">
        <v>227</v>
      </c>
    </row>
    <row r="742" spans="1:3" x14ac:dyDescent="0.2">
      <c r="A742" s="27">
        <v>740</v>
      </c>
      <c r="B742" s="27">
        <f t="shared" ca="1" si="11"/>
        <v>0.50370870939757972</v>
      </c>
      <c r="C742" s="27" t="s">
        <v>226</v>
      </c>
    </row>
    <row r="743" spans="1:3" x14ac:dyDescent="0.2">
      <c r="A743" s="27">
        <v>741</v>
      </c>
      <c r="B743" s="27">
        <f t="shared" ca="1" si="11"/>
        <v>0.33933043181102668</v>
      </c>
      <c r="C743" s="27" t="s">
        <v>226</v>
      </c>
    </row>
    <row r="744" spans="1:3" x14ac:dyDescent="0.2">
      <c r="A744" s="27">
        <v>742</v>
      </c>
      <c r="B744" s="27">
        <f t="shared" ca="1" si="11"/>
        <v>0.64103918055277553</v>
      </c>
      <c r="C744" s="27" t="s">
        <v>226</v>
      </c>
    </row>
    <row r="745" spans="1:3" x14ac:dyDescent="0.2">
      <c r="A745" s="27">
        <v>743</v>
      </c>
      <c r="B745" s="27">
        <f t="shared" ca="1" si="11"/>
        <v>0.52812214289625636</v>
      </c>
      <c r="C745" s="27" t="s">
        <v>226</v>
      </c>
    </row>
    <row r="746" spans="1:3" x14ac:dyDescent="0.2">
      <c r="A746" s="27">
        <v>744</v>
      </c>
      <c r="B746" s="27">
        <f t="shared" ca="1" si="11"/>
        <v>0.41914968508534556</v>
      </c>
      <c r="C746" s="27" t="s">
        <v>226</v>
      </c>
    </row>
    <row r="747" spans="1:3" x14ac:dyDescent="0.2">
      <c r="A747" s="27">
        <v>745</v>
      </c>
      <c r="B747" s="27">
        <f t="shared" ca="1" si="11"/>
        <v>0.42857121036936285</v>
      </c>
      <c r="C747" s="27" t="s">
        <v>226</v>
      </c>
    </row>
    <row r="748" spans="1:3" x14ac:dyDescent="0.2">
      <c r="A748" s="27">
        <v>746</v>
      </c>
      <c r="B748" s="27">
        <f t="shared" ca="1" si="11"/>
        <v>0.64491389218351702</v>
      </c>
      <c r="C748" s="27" t="s">
        <v>227</v>
      </c>
    </row>
    <row r="749" spans="1:3" x14ac:dyDescent="0.2">
      <c r="A749" s="27">
        <v>747</v>
      </c>
      <c r="B749" s="27">
        <f t="shared" ca="1" si="11"/>
        <v>0.70499109350265199</v>
      </c>
      <c r="C749" s="27" t="s">
        <v>227</v>
      </c>
    </row>
    <row r="750" spans="1:3" x14ac:dyDescent="0.2">
      <c r="A750" s="27">
        <v>748</v>
      </c>
      <c r="B750" s="27">
        <f t="shared" ca="1" si="11"/>
        <v>0.61019998414823406</v>
      </c>
      <c r="C750" s="27" t="s">
        <v>226</v>
      </c>
    </row>
    <row r="751" spans="1:3" x14ac:dyDescent="0.2">
      <c r="A751" s="27">
        <v>749</v>
      </c>
      <c r="B751" s="27">
        <f t="shared" ca="1" si="11"/>
        <v>0.6855544183045631</v>
      </c>
      <c r="C751" s="27" t="s">
        <v>227</v>
      </c>
    </row>
    <row r="752" spans="1:3" x14ac:dyDescent="0.2">
      <c r="A752" s="27">
        <v>750</v>
      </c>
      <c r="B752" s="27">
        <f t="shared" ca="1" si="11"/>
        <v>0.67327127497857087</v>
      </c>
      <c r="C752" s="27" t="s">
        <v>226</v>
      </c>
    </row>
    <row r="753" spans="1:3" x14ac:dyDescent="0.2">
      <c r="A753" s="27">
        <v>751</v>
      </c>
      <c r="B753" s="27">
        <f t="shared" ca="1" si="11"/>
        <v>0.65262249298362707</v>
      </c>
      <c r="C753" s="27" t="s">
        <v>227</v>
      </c>
    </row>
    <row r="754" spans="1:3" x14ac:dyDescent="0.2">
      <c r="A754" s="27">
        <v>752</v>
      </c>
      <c r="B754" s="27">
        <f t="shared" ca="1" si="11"/>
        <v>0.65585359100396967</v>
      </c>
      <c r="C754" s="27" t="s">
        <v>227</v>
      </c>
    </row>
    <row r="755" spans="1:3" x14ac:dyDescent="0.2">
      <c r="A755" s="27">
        <v>753</v>
      </c>
      <c r="B755" s="27">
        <f t="shared" ca="1" si="11"/>
        <v>0.62650396195630731</v>
      </c>
      <c r="C755" s="27" t="s">
        <v>227</v>
      </c>
    </row>
    <row r="756" spans="1:3" x14ac:dyDescent="0.2">
      <c r="A756" s="27">
        <v>754</v>
      </c>
      <c r="B756" s="27">
        <f t="shared" ca="1" si="11"/>
        <v>0.65566527562492771</v>
      </c>
      <c r="C756" s="27" t="s">
        <v>227</v>
      </c>
    </row>
    <row r="757" spans="1:3" x14ac:dyDescent="0.2">
      <c r="A757" s="27">
        <v>755</v>
      </c>
      <c r="B757" s="27">
        <f t="shared" ca="1" si="11"/>
        <v>0.54072328912174361</v>
      </c>
      <c r="C757" s="27" t="s">
        <v>226</v>
      </c>
    </row>
    <row r="758" spans="1:3" x14ac:dyDescent="0.2">
      <c r="A758" s="27">
        <v>756</v>
      </c>
      <c r="B758" s="27">
        <f t="shared" ca="1" si="11"/>
        <v>0.79737202005772101</v>
      </c>
      <c r="C758" s="27" t="s">
        <v>227</v>
      </c>
    </row>
    <row r="759" spans="1:3" x14ac:dyDescent="0.2">
      <c r="A759" s="27">
        <v>757</v>
      </c>
      <c r="B759" s="27">
        <f t="shared" ca="1" si="11"/>
        <v>0.8422718491568244</v>
      </c>
      <c r="C759" s="27" t="s">
        <v>227</v>
      </c>
    </row>
    <row r="760" spans="1:3" x14ac:dyDescent="0.2">
      <c r="A760" s="27">
        <v>758</v>
      </c>
      <c r="B760" s="27">
        <f t="shared" ca="1" si="11"/>
        <v>0.64935451817648915</v>
      </c>
      <c r="C760" s="27" t="s">
        <v>227</v>
      </c>
    </row>
    <row r="761" spans="1:3" x14ac:dyDescent="0.2">
      <c r="A761" s="27">
        <v>759</v>
      </c>
      <c r="B761" s="27">
        <f t="shared" ca="1" si="11"/>
        <v>0.40071078491406853</v>
      </c>
      <c r="C761" s="27" t="s">
        <v>226</v>
      </c>
    </row>
    <row r="762" spans="1:3" x14ac:dyDescent="0.2">
      <c r="A762" s="27">
        <v>760</v>
      </c>
      <c r="B762" s="27">
        <f t="shared" ca="1" si="11"/>
        <v>0.89773845758878257</v>
      </c>
      <c r="C762" s="27" t="s">
        <v>227</v>
      </c>
    </row>
    <row r="763" spans="1:3" x14ac:dyDescent="0.2">
      <c r="A763" s="27">
        <v>761</v>
      </c>
      <c r="B763" s="27">
        <f t="shared" ca="1" si="11"/>
        <v>0.6710650022139516</v>
      </c>
      <c r="C763" s="27" t="s">
        <v>226</v>
      </c>
    </row>
    <row r="764" spans="1:3" x14ac:dyDescent="0.2">
      <c r="A764" s="27">
        <v>762</v>
      </c>
      <c r="B764" s="27">
        <f t="shared" ca="1" si="11"/>
        <v>0.73403080277182253</v>
      </c>
      <c r="C764" s="27" t="s">
        <v>226</v>
      </c>
    </row>
    <row r="765" spans="1:3" x14ac:dyDescent="0.2">
      <c r="A765" s="27">
        <v>763</v>
      </c>
      <c r="B765" s="27">
        <f t="shared" ca="1" si="11"/>
        <v>0.64421829513606976</v>
      </c>
      <c r="C765" s="27" t="s">
        <v>226</v>
      </c>
    </row>
    <row r="766" spans="1:3" x14ac:dyDescent="0.2">
      <c r="A766" s="27">
        <v>764</v>
      </c>
      <c r="B766" s="27">
        <f t="shared" ca="1" si="11"/>
        <v>0.69616702158453148</v>
      </c>
      <c r="C766" s="27" t="s">
        <v>226</v>
      </c>
    </row>
    <row r="767" spans="1:3" x14ac:dyDescent="0.2">
      <c r="A767" s="27">
        <v>765</v>
      </c>
      <c r="B767" s="27">
        <f t="shared" ca="1" si="11"/>
        <v>0.33213302113795062</v>
      </c>
      <c r="C767" s="27" t="s">
        <v>226</v>
      </c>
    </row>
    <row r="768" spans="1:3" x14ac:dyDescent="0.2">
      <c r="A768" s="27">
        <v>766</v>
      </c>
      <c r="B768" s="27">
        <f t="shared" ca="1" si="11"/>
        <v>0.54780783404950895</v>
      </c>
      <c r="C768" s="27" t="s">
        <v>226</v>
      </c>
    </row>
    <row r="769" spans="1:3" x14ac:dyDescent="0.2">
      <c r="A769" s="27">
        <v>767</v>
      </c>
      <c r="B769" s="27">
        <f t="shared" ca="1" si="11"/>
        <v>0.45784014815787927</v>
      </c>
      <c r="C769" s="27" t="s">
        <v>227</v>
      </c>
    </row>
    <row r="770" spans="1:3" x14ac:dyDescent="0.2">
      <c r="A770" s="27">
        <v>768</v>
      </c>
      <c r="B770" s="27">
        <f t="shared" ca="1" si="11"/>
        <v>0.75590561787532629</v>
      </c>
      <c r="C770" s="27" t="s">
        <v>227</v>
      </c>
    </row>
    <row r="771" spans="1:3" x14ac:dyDescent="0.2">
      <c r="A771" s="27">
        <v>769</v>
      </c>
      <c r="B771" s="27">
        <f t="shared" ref="B771:B834" ca="1" si="12">IF(C771="Bomb",_xlfn.NORM.INV(RAND(),0.7,0.1),_xlfn.NORM.INV(RAND(),0.6,0.15))</f>
        <v>0.62443430351259999</v>
      </c>
      <c r="C771" s="27" t="s">
        <v>226</v>
      </c>
    </row>
    <row r="772" spans="1:3" x14ac:dyDescent="0.2">
      <c r="A772" s="27">
        <v>770</v>
      </c>
      <c r="B772" s="27">
        <f t="shared" ca="1" si="12"/>
        <v>0.86201340965689288</v>
      </c>
      <c r="C772" s="27" t="s">
        <v>227</v>
      </c>
    </row>
    <row r="773" spans="1:3" x14ac:dyDescent="0.2">
      <c r="A773" s="27">
        <v>771</v>
      </c>
      <c r="B773" s="27">
        <f t="shared" ca="1" si="12"/>
        <v>0.49849353832477794</v>
      </c>
      <c r="C773" s="27" t="s">
        <v>226</v>
      </c>
    </row>
    <row r="774" spans="1:3" x14ac:dyDescent="0.2">
      <c r="A774" s="27">
        <v>772</v>
      </c>
      <c r="B774" s="27">
        <f t="shared" ca="1" si="12"/>
        <v>0.62226394401625928</v>
      </c>
      <c r="C774" s="27" t="s">
        <v>226</v>
      </c>
    </row>
    <row r="775" spans="1:3" x14ac:dyDescent="0.2">
      <c r="A775" s="27">
        <v>773</v>
      </c>
      <c r="B775" s="27">
        <f t="shared" ca="1" si="12"/>
        <v>0.53782010077405507</v>
      </c>
      <c r="C775" s="27" t="s">
        <v>226</v>
      </c>
    </row>
    <row r="776" spans="1:3" x14ac:dyDescent="0.2">
      <c r="A776" s="27">
        <v>774</v>
      </c>
      <c r="B776" s="27">
        <f t="shared" ca="1" si="12"/>
        <v>0.68130675026721077</v>
      </c>
      <c r="C776" s="27" t="s">
        <v>226</v>
      </c>
    </row>
    <row r="777" spans="1:3" x14ac:dyDescent="0.2">
      <c r="A777" s="27">
        <v>775</v>
      </c>
      <c r="B777" s="27">
        <f t="shared" ca="1" si="12"/>
        <v>0.75890441555230415</v>
      </c>
      <c r="C777" s="27" t="s">
        <v>227</v>
      </c>
    </row>
    <row r="778" spans="1:3" x14ac:dyDescent="0.2">
      <c r="A778" s="27">
        <v>776</v>
      </c>
      <c r="B778" s="27">
        <f t="shared" ca="1" si="12"/>
        <v>0.70189214543418932</v>
      </c>
      <c r="C778" s="27" t="s">
        <v>226</v>
      </c>
    </row>
    <row r="779" spans="1:3" x14ac:dyDescent="0.2">
      <c r="A779" s="27">
        <v>777</v>
      </c>
      <c r="B779" s="27">
        <f t="shared" ca="1" si="12"/>
        <v>0.86157239132558083</v>
      </c>
      <c r="C779" s="27" t="s">
        <v>227</v>
      </c>
    </row>
    <row r="780" spans="1:3" x14ac:dyDescent="0.2">
      <c r="A780" s="27">
        <v>778</v>
      </c>
      <c r="B780" s="27">
        <f t="shared" ca="1" si="12"/>
        <v>0.79855682657086569</v>
      </c>
      <c r="C780" s="27" t="s">
        <v>227</v>
      </c>
    </row>
    <row r="781" spans="1:3" x14ac:dyDescent="0.2">
      <c r="A781" s="27">
        <v>779</v>
      </c>
      <c r="B781" s="27">
        <f t="shared" ca="1" si="12"/>
        <v>0.63135766801536319</v>
      </c>
      <c r="C781" s="27" t="s">
        <v>227</v>
      </c>
    </row>
    <row r="782" spans="1:3" x14ac:dyDescent="0.2">
      <c r="A782" s="27">
        <v>780</v>
      </c>
      <c r="B782" s="27">
        <f t="shared" ca="1" si="12"/>
        <v>0.68089952609647708</v>
      </c>
      <c r="C782" s="27" t="s">
        <v>227</v>
      </c>
    </row>
    <row r="783" spans="1:3" x14ac:dyDescent="0.2">
      <c r="A783" s="27">
        <v>781</v>
      </c>
      <c r="B783" s="27">
        <f t="shared" ca="1" si="12"/>
        <v>0.70744379100594124</v>
      </c>
      <c r="C783" s="27" t="s">
        <v>227</v>
      </c>
    </row>
    <row r="784" spans="1:3" x14ac:dyDescent="0.2">
      <c r="A784" s="27">
        <v>782</v>
      </c>
      <c r="B784" s="27">
        <f t="shared" ca="1" si="12"/>
        <v>0.70489837886838203</v>
      </c>
      <c r="C784" s="27" t="s">
        <v>227</v>
      </c>
    </row>
    <row r="785" spans="1:3" x14ac:dyDescent="0.2">
      <c r="A785" s="27">
        <v>783</v>
      </c>
      <c r="B785" s="27">
        <f t="shared" ca="1" si="12"/>
        <v>0.55068075571985908</v>
      </c>
      <c r="C785" s="27" t="s">
        <v>227</v>
      </c>
    </row>
    <row r="786" spans="1:3" x14ac:dyDescent="0.2">
      <c r="A786" s="27">
        <v>784</v>
      </c>
      <c r="B786" s="27">
        <f t="shared" ca="1" si="12"/>
        <v>0.67249569490255801</v>
      </c>
      <c r="C786" s="27" t="s">
        <v>226</v>
      </c>
    </row>
    <row r="787" spans="1:3" x14ac:dyDescent="0.2">
      <c r="A787" s="27">
        <v>785</v>
      </c>
      <c r="B787" s="27">
        <f t="shared" ca="1" si="12"/>
        <v>0.4661100577327898</v>
      </c>
      <c r="C787" s="27" t="s">
        <v>226</v>
      </c>
    </row>
    <row r="788" spans="1:3" x14ac:dyDescent="0.2">
      <c r="A788" s="27">
        <v>786</v>
      </c>
      <c r="B788" s="27">
        <f t="shared" ca="1" si="12"/>
        <v>0.65469317661823678</v>
      </c>
      <c r="C788" s="27" t="s">
        <v>226</v>
      </c>
    </row>
    <row r="789" spans="1:3" x14ac:dyDescent="0.2">
      <c r="A789" s="27">
        <v>787</v>
      </c>
      <c r="B789" s="27">
        <f t="shared" ca="1" si="12"/>
        <v>0.55734005714491031</v>
      </c>
      <c r="C789" s="27" t="s">
        <v>227</v>
      </c>
    </row>
    <row r="790" spans="1:3" x14ac:dyDescent="0.2">
      <c r="A790" s="27">
        <v>788</v>
      </c>
      <c r="B790" s="27">
        <f t="shared" ca="1" si="12"/>
        <v>0.78763411134759864</v>
      </c>
      <c r="C790" s="27" t="s">
        <v>226</v>
      </c>
    </row>
    <row r="791" spans="1:3" x14ac:dyDescent="0.2">
      <c r="A791" s="27">
        <v>789</v>
      </c>
      <c r="B791" s="27">
        <f t="shared" ca="1" si="12"/>
        <v>0.70256808276143279</v>
      </c>
      <c r="C791" s="27" t="s">
        <v>227</v>
      </c>
    </row>
    <row r="792" spans="1:3" x14ac:dyDescent="0.2">
      <c r="A792" s="27">
        <v>790</v>
      </c>
      <c r="B792" s="27">
        <f t="shared" ca="1" si="12"/>
        <v>0.63248836626996185</v>
      </c>
      <c r="C792" s="27" t="s">
        <v>227</v>
      </c>
    </row>
    <row r="793" spans="1:3" x14ac:dyDescent="0.2">
      <c r="A793" s="27">
        <v>791</v>
      </c>
      <c r="B793" s="27">
        <f t="shared" ca="1" si="12"/>
        <v>0.72437524375542595</v>
      </c>
      <c r="C793" s="27" t="s">
        <v>226</v>
      </c>
    </row>
    <row r="794" spans="1:3" x14ac:dyDescent="0.2">
      <c r="A794" s="27">
        <v>792</v>
      </c>
      <c r="B794" s="27">
        <f t="shared" ca="1" si="12"/>
        <v>0.69730944247172255</v>
      </c>
      <c r="C794" s="27" t="s">
        <v>226</v>
      </c>
    </row>
    <row r="795" spans="1:3" x14ac:dyDescent="0.2">
      <c r="A795" s="27">
        <v>793</v>
      </c>
      <c r="B795" s="27">
        <f t="shared" ca="1" si="12"/>
        <v>0.54890040385946504</v>
      </c>
      <c r="C795" s="27" t="s">
        <v>227</v>
      </c>
    </row>
    <row r="796" spans="1:3" x14ac:dyDescent="0.2">
      <c r="A796" s="27">
        <v>794</v>
      </c>
      <c r="B796" s="27">
        <f t="shared" ca="1" si="12"/>
        <v>0.64542705554336544</v>
      </c>
      <c r="C796" s="27" t="s">
        <v>226</v>
      </c>
    </row>
    <row r="797" spans="1:3" x14ac:dyDescent="0.2">
      <c r="A797" s="27">
        <v>795</v>
      </c>
      <c r="B797" s="27">
        <f t="shared" ca="1" si="12"/>
        <v>0.44951737490148341</v>
      </c>
      <c r="C797" s="27" t="s">
        <v>226</v>
      </c>
    </row>
    <row r="798" spans="1:3" x14ac:dyDescent="0.2">
      <c r="A798" s="27">
        <v>796</v>
      </c>
      <c r="B798" s="27">
        <f t="shared" ca="1" si="12"/>
        <v>0.37357005958235862</v>
      </c>
      <c r="C798" s="27" t="s">
        <v>226</v>
      </c>
    </row>
    <row r="799" spans="1:3" x14ac:dyDescent="0.2">
      <c r="A799" s="27">
        <v>797</v>
      </c>
      <c r="B799" s="27">
        <f t="shared" ca="1" si="12"/>
        <v>0.55686073236287725</v>
      </c>
      <c r="C799" s="27" t="s">
        <v>226</v>
      </c>
    </row>
    <row r="800" spans="1:3" x14ac:dyDescent="0.2">
      <c r="A800" s="27">
        <v>798</v>
      </c>
      <c r="B800" s="27">
        <f t="shared" ca="1" si="12"/>
        <v>0.59981799800851521</v>
      </c>
      <c r="C800" s="27" t="s">
        <v>227</v>
      </c>
    </row>
    <row r="801" spans="1:3" x14ac:dyDescent="0.2">
      <c r="A801" s="27">
        <v>799</v>
      </c>
      <c r="B801" s="27">
        <f t="shared" ca="1" si="12"/>
        <v>0.45660949383142846</v>
      </c>
      <c r="C801" s="27" t="s">
        <v>226</v>
      </c>
    </row>
    <row r="802" spans="1:3" x14ac:dyDescent="0.2">
      <c r="A802" s="27">
        <v>800</v>
      </c>
      <c r="B802" s="27">
        <f t="shared" ca="1" si="12"/>
        <v>0.57383640081323151</v>
      </c>
      <c r="C802" s="27" t="s">
        <v>226</v>
      </c>
    </row>
    <row r="803" spans="1:3" x14ac:dyDescent="0.2">
      <c r="A803" s="27">
        <v>801</v>
      </c>
      <c r="B803" s="27">
        <f t="shared" ca="1" si="12"/>
        <v>0.49390907921484672</v>
      </c>
      <c r="C803" s="27" t="s">
        <v>226</v>
      </c>
    </row>
    <row r="804" spans="1:3" x14ac:dyDescent="0.2">
      <c r="A804" s="27">
        <v>802</v>
      </c>
      <c r="B804" s="27">
        <f t="shared" ca="1" si="12"/>
        <v>0.60011144671935124</v>
      </c>
      <c r="C804" s="27" t="s">
        <v>226</v>
      </c>
    </row>
    <row r="805" spans="1:3" x14ac:dyDescent="0.2">
      <c r="A805" s="27">
        <v>803</v>
      </c>
      <c r="B805" s="27">
        <f t="shared" ca="1" si="12"/>
        <v>0.78409692882269244</v>
      </c>
      <c r="C805" s="27" t="s">
        <v>227</v>
      </c>
    </row>
    <row r="806" spans="1:3" x14ac:dyDescent="0.2">
      <c r="A806" s="27">
        <v>804</v>
      </c>
      <c r="B806" s="27">
        <f t="shared" ca="1" si="12"/>
        <v>0.59195196732597499</v>
      </c>
      <c r="C806" s="27" t="s">
        <v>226</v>
      </c>
    </row>
    <row r="807" spans="1:3" x14ac:dyDescent="0.2">
      <c r="A807" s="27">
        <v>805</v>
      </c>
      <c r="B807" s="27">
        <f t="shared" ca="1" si="12"/>
        <v>0.66463312680942377</v>
      </c>
      <c r="C807" s="27" t="s">
        <v>227</v>
      </c>
    </row>
    <row r="808" spans="1:3" x14ac:dyDescent="0.2">
      <c r="A808" s="27">
        <v>806</v>
      </c>
      <c r="B808" s="27">
        <f t="shared" ca="1" si="12"/>
        <v>0.5431746552033041</v>
      </c>
      <c r="C808" s="27" t="s">
        <v>226</v>
      </c>
    </row>
    <row r="809" spans="1:3" x14ac:dyDescent="0.2">
      <c r="A809" s="27">
        <v>807</v>
      </c>
      <c r="B809" s="27">
        <f t="shared" ca="1" si="12"/>
        <v>0.84800562909429811</v>
      </c>
      <c r="C809" s="27" t="s">
        <v>227</v>
      </c>
    </row>
    <row r="810" spans="1:3" x14ac:dyDescent="0.2">
      <c r="A810" s="27">
        <v>808</v>
      </c>
      <c r="B810" s="27">
        <f t="shared" ca="1" si="12"/>
        <v>0.78960374872619654</v>
      </c>
      <c r="C810" s="27" t="s">
        <v>227</v>
      </c>
    </row>
    <row r="811" spans="1:3" x14ac:dyDescent="0.2">
      <c r="A811" s="27">
        <v>809</v>
      </c>
      <c r="B811" s="27">
        <f t="shared" ca="1" si="12"/>
        <v>0.68010476249829976</v>
      </c>
      <c r="C811" s="27" t="s">
        <v>227</v>
      </c>
    </row>
    <row r="812" spans="1:3" x14ac:dyDescent="0.2">
      <c r="A812" s="27">
        <v>810</v>
      </c>
      <c r="B812" s="27">
        <f t="shared" ca="1" si="12"/>
        <v>0.77265098587462377</v>
      </c>
      <c r="C812" s="27" t="s">
        <v>227</v>
      </c>
    </row>
    <row r="813" spans="1:3" x14ac:dyDescent="0.2">
      <c r="A813" s="27">
        <v>811</v>
      </c>
      <c r="B813" s="27">
        <f t="shared" ca="1" si="12"/>
        <v>0.71736669143171017</v>
      </c>
      <c r="C813" s="27" t="s">
        <v>226</v>
      </c>
    </row>
    <row r="814" spans="1:3" x14ac:dyDescent="0.2">
      <c r="A814" s="27">
        <v>812</v>
      </c>
      <c r="B814" s="27">
        <f t="shared" ca="1" si="12"/>
        <v>0.75323940445552584</v>
      </c>
      <c r="C814" s="27" t="s">
        <v>227</v>
      </c>
    </row>
    <row r="815" spans="1:3" x14ac:dyDescent="0.2">
      <c r="A815" s="27">
        <v>813</v>
      </c>
      <c r="B815" s="27">
        <f t="shared" ca="1" si="12"/>
        <v>0.64297767940464501</v>
      </c>
      <c r="C815" s="27" t="s">
        <v>227</v>
      </c>
    </row>
    <row r="816" spans="1:3" x14ac:dyDescent="0.2">
      <c r="A816" s="27">
        <v>814</v>
      </c>
      <c r="B816" s="27">
        <f t="shared" ca="1" si="12"/>
        <v>0.70898933449482759</v>
      </c>
      <c r="C816" s="27" t="s">
        <v>226</v>
      </c>
    </row>
    <row r="817" spans="1:3" x14ac:dyDescent="0.2">
      <c r="A817" s="27">
        <v>815</v>
      </c>
      <c r="B817" s="27">
        <f t="shared" ca="1" si="12"/>
        <v>0.59157672577027154</v>
      </c>
      <c r="C817" s="27" t="s">
        <v>226</v>
      </c>
    </row>
    <row r="818" spans="1:3" x14ac:dyDescent="0.2">
      <c r="A818" s="27">
        <v>816</v>
      </c>
      <c r="B818" s="27">
        <f t="shared" ca="1" si="12"/>
        <v>0.61471057759469083</v>
      </c>
      <c r="C818" s="27" t="s">
        <v>226</v>
      </c>
    </row>
    <row r="819" spans="1:3" x14ac:dyDescent="0.2">
      <c r="A819" s="27">
        <v>817</v>
      </c>
      <c r="B819" s="27">
        <f t="shared" ca="1" si="12"/>
        <v>0.74442521899836256</v>
      </c>
      <c r="C819" s="27" t="s">
        <v>226</v>
      </c>
    </row>
    <row r="820" spans="1:3" x14ac:dyDescent="0.2">
      <c r="A820" s="27">
        <v>818</v>
      </c>
      <c r="B820" s="27">
        <f t="shared" ca="1" si="12"/>
        <v>0.67293796898724889</v>
      </c>
      <c r="C820" s="27" t="s">
        <v>226</v>
      </c>
    </row>
    <row r="821" spans="1:3" x14ac:dyDescent="0.2">
      <c r="A821" s="27">
        <v>819</v>
      </c>
      <c r="B821" s="27">
        <f t="shared" ca="1" si="12"/>
        <v>0.4982890192960186</v>
      </c>
      <c r="C821" s="27" t="s">
        <v>226</v>
      </c>
    </row>
    <row r="822" spans="1:3" x14ac:dyDescent="0.2">
      <c r="A822" s="27">
        <v>820</v>
      </c>
      <c r="B822" s="27">
        <f t="shared" ca="1" si="12"/>
        <v>0.65854382617486196</v>
      </c>
      <c r="C822" s="27" t="s">
        <v>226</v>
      </c>
    </row>
    <row r="823" spans="1:3" x14ac:dyDescent="0.2">
      <c r="A823" s="27">
        <v>821</v>
      </c>
      <c r="B823" s="27">
        <f t="shared" ca="1" si="12"/>
        <v>0.7042803602995924</v>
      </c>
      <c r="C823" s="27" t="s">
        <v>227</v>
      </c>
    </row>
    <row r="824" spans="1:3" x14ac:dyDescent="0.2">
      <c r="A824" s="27">
        <v>822</v>
      </c>
      <c r="B824" s="27">
        <f t="shared" ca="1" si="12"/>
        <v>0.55489103037112308</v>
      </c>
      <c r="C824" s="27" t="s">
        <v>226</v>
      </c>
    </row>
    <row r="825" spans="1:3" x14ac:dyDescent="0.2">
      <c r="A825" s="27">
        <v>823</v>
      </c>
      <c r="B825" s="27">
        <f t="shared" ca="1" si="12"/>
        <v>0.6666669801744235</v>
      </c>
      <c r="C825" s="27" t="s">
        <v>227</v>
      </c>
    </row>
    <row r="826" spans="1:3" x14ac:dyDescent="0.2">
      <c r="A826" s="27">
        <v>824</v>
      </c>
      <c r="B826" s="27">
        <f t="shared" ca="1" si="12"/>
        <v>0.76230189862415987</v>
      </c>
      <c r="C826" s="27" t="s">
        <v>227</v>
      </c>
    </row>
    <row r="827" spans="1:3" x14ac:dyDescent="0.2">
      <c r="A827" s="27">
        <v>825</v>
      </c>
      <c r="B827" s="27">
        <f t="shared" ca="1" si="12"/>
        <v>0.77345409459277115</v>
      </c>
      <c r="C827" s="27" t="s">
        <v>227</v>
      </c>
    </row>
    <row r="828" spans="1:3" x14ac:dyDescent="0.2">
      <c r="A828" s="27">
        <v>826</v>
      </c>
      <c r="B828" s="27">
        <f t="shared" ca="1" si="12"/>
        <v>0.35472695608917193</v>
      </c>
      <c r="C828" s="27" t="s">
        <v>226</v>
      </c>
    </row>
    <row r="829" spans="1:3" x14ac:dyDescent="0.2">
      <c r="A829" s="27">
        <v>827</v>
      </c>
      <c r="B829" s="27">
        <f t="shared" ca="1" si="12"/>
        <v>0.41091615336783216</v>
      </c>
      <c r="C829" s="27" t="s">
        <v>226</v>
      </c>
    </row>
    <row r="830" spans="1:3" x14ac:dyDescent="0.2">
      <c r="A830" s="27">
        <v>828</v>
      </c>
      <c r="B830" s="27">
        <f t="shared" ca="1" si="12"/>
        <v>0.5596908753186467</v>
      </c>
      <c r="C830" s="27" t="s">
        <v>226</v>
      </c>
    </row>
    <row r="831" spans="1:3" x14ac:dyDescent="0.2">
      <c r="A831" s="27">
        <v>829</v>
      </c>
      <c r="B831" s="27">
        <f t="shared" ca="1" si="12"/>
        <v>0.58124800602434012</v>
      </c>
      <c r="C831" s="27" t="s">
        <v>227</v>
      </c>
    </row>
    <row r="832" spans="1:3" x14ac:dyDescent="0.2">
      <c r="A832" s="27">
        <v>830</v>
      </c>
      <c r="B832" s="27">
        <f t="shared" ca="1" si="12"/>
        <v>0.65937920365666414</v>
      </c>
      <c r="C832" s="27" t="s">
        <v>226</v>
      </c>
    </row>
    <row r="833" spans="1:3" x14ac:dyDescent="0.2">
      <c r="A833" s="27">
        <v>831</v>
      </c>
      <c r="B833" s="27">
        <f t="shared" ca="1" si="12"/>
        <v>0.7813533129919038</v>
      </c>
      <c r="C833" s="27" t="s">
        <v>226</v>
      </c>
    </row>
    <row r="834" spans="1:3" x14ac:dyDescent="0.2">
      <c r="A834" s="27">
        <v>832</v>
      </c>
      <c r="B834" s="27">
        <f t="shared" ca="1" si="12"/>
        <v>0.531324989190056</v>
      </c>
      <c r="C834" s="27" t="s">
        <v>226</v>
      </c>
    </row>
    <row r="835" spans="1:3" x14ac:dyDescent="0.2">
      <c r="A835" s="27">
        <v>833</v>
      </c>
      <c r="B835" s="27">
        <f t="shared" ref="B835:B898" ca="1" si="13">IF(C835="Bomb",_xlfn.NORM.INV(RAND(),0.7,0.1),_xlfn.NORM.INV(RAND(),0.6,0.15))</f>
        <v>0.88001359193132389</v>
      </c>
      <c r="C835" s="27" t="s">
        <v>227</v>
      </c>
    </row>
    <row r="836" spans="1:3" x14ac:dyDescent="0.2">
      <c r="A836" s="27">
        <v>834</v>
      </c>
      <c r="B836" s="27">
        <f t="shared" ca="1" si="13"/>
        <v>0.5327946506517186</v>
      </c>
      <c r="C836" s="27" t="s">
        <v>226</v>
      </c>
    </row>
    <row r="837" spans="1:3" x14ac:dyDescent="0.2">
      <c r="A837" s="27">
        <v>835</v>
      </c>
      <c r="B837" s="27">
        <f t="shared" ca="1" si="13"/>
        <v>0.61093072994874975</v>
      </c>
      <c r="C837" s="27" t="s">
        <v>227</v>
      </c>
    </row>
    <row r="838" spans="1:3" x14ac:dyDescent="0.2">
      <c r="A838" s="27">
        <v>836</v>
      </c>
      <c r="B838" s="27">
        <f t="shared" ca="1" si="13"/>
        <v>0.5855769618144997</v>
      </c>
      <c r="C838" s="27" t="s">
        <v>226</v>
      </c>
    </row>
    <row r="839" spans="1:3" x14ac:dyDescent="0.2">
      <c r="A839" s="27">
        <v>837</v>
      </c>
      <c r="B839" s="27">
        <f t="shared" ca="1" si="13"/>
        <v>0.61988025977068095</v>
      </c>
      <c r="C839" s="27" t="s">
        <v>227</v>
      </c>
    </row>
    <row r="840" spans="1:3" x14ac:dyDescent="0.2">
      <c r="A840" s="27">
        <v>838</v>
      </c>
      <c r="B840" s="27">
        <f t="shared" ca="1" si="13"/>
        <v>0.62983189778758386</v>
      </c>
      <c r="C840" s="27" t="s">
        <v>226</v>
      </c>
    </row>
    <row r="841" spans="1:3" x14ac:dyDescent="0.2">
      <c r="A841" s="27">
        <v>839</v>
      </c>
      <c r="B841" s="27">
        <f t="shared" ca="1" si="13"/>
        <v>0.89093192367410756</v>
      </c>
      <c r="C841" s="27" t="s">
        <v>227</v>
      </c>
    </row>
    <row r="842" spans="1:3" x14ac:dyDescent="0.2">
      <c r="A842" s="27">
        <v>840</v>
      </c>
      <c r="B842" s="27">
        <f t="shared" ca="1" si="13"/>
        <v>0.70963314335082417</v>
      </c>
      <c r="C842" s="27" t="s">
        <v>227</v>
      </c>
    </row>
    <row r="843" spans="1:3" x14ac:dyDescent="0.2">
      <c r="A843" s="27">
        <v>841</v>
      </c>
      <c r="B843" s="27">
        <f t="shared" ca="1" si="13"/>
        <v>0.79555819999701638</v>
      </c>
      <c r="C843" s="27" t="s">
        <v>227</v>
      </c>
    </row>
    <row r="844" spans="1:3" x14ac:dyDescent="0.2">
      <c r="A844" s="27">
        <v>842</v>
      </c>
      <c r="B844" s="27">
        <f t="shared" ca="1" si="13"/>
        <v>0.46702158151017326</v>
      </c>
      <c r="C844" s="27" t="s">
        <v>226</v>
      </c>
    </row>
    <row r="845" spans="1:3" x14ac:dyDescent="0.2">
      <c r="A845" s="27">
        <v>843</v>
      </c>
      <c r="B845" s="27">
        <f t="shared" ca="1" si="13"/>
        <v>0.83675345928691136</v>
      </c>
      <c r="C845" s="27" t="s">
        <v>226</v>
      </c>
    </row>
    <row r="846" spans="1:3" x14ac:dyDescent="0.2">
      <c r="A846" s="27">
        <v>844</v>
      </c>
      <c r="B846" s="27">
        <f t="shared" ca="1" si="13"/>
        <v>0.60953595037858221</v>
      </c>
      <c r="C846" s="27" t="s">
        <v>226</v>
      </c>
    </row>
    <row r="847" spans="1:3" x14ac:dyDescent="0.2">
      <c r="A847" s="27">
        <v>845</v>
      </c>
      <c r="B847" s="27">
        <f t="shared" ca="1" si="13"/>
        <v>0.30294647034985106</v>
      </c>
      <c r="C847" s="27" t="s">
        <v>226</v>
      </c>
    </row>
    <row r="848" spans="1:3" x14ac:dyDescent="0.2">
      <c r="A848" s="27">
        <v>846</v>
      </c>
      <c r="B848" s="27">
        <f t="shared" ca="1" si="13"/>
        <v>0.80621407789480981</v>
      </c>
      <c r="C848" s="27" t="s">
        <v>226</v>
      </c>
    </row>
    <row r="849" spans="1:3" x14ac:dyDescent="0.2">
      <c r="A849" s="27">
        <v>847</v>
      </c>
      <c r="B849" s="27">
        <f t="shared" ca="1" si="13"/>
        <v>0.52093222246719773</v>
      </c>
      <c r="C849" s="27" t="s">
        <v>227</v>
      </c>
    </row>
    <row r="850" spans="1:3" x14ac:dyDescent="0.2">
      <c r="A850" s="27">
        <v>848</v>
      </c>
      <c r="B850" s="27">
        <f t="shared" ca="1" si="13"/>
        <v>0.51549940729040356</v>
      </c>
      <c r="C850" s="27" t="s">
        <v>226</v>
      </c>
    </row>
    <row r="851" spans="1:3" x14ac:dyDescent="0.2">
      <c r="A851" s="27">
        <v>849</v>
      </c>
      <c r="B851" s="27">
        <f t="shared" ca="1" si="13"/>
        <v>0.62925930502839778</v>
      </c>
      <c r="C851" s="27" t="s">
        <v>227</v>
      </c>
    </row>
    <row r="852" spans="1:3" x14ac:dyDescent="0.2">
      <c r="A852" s="27">
        <v>850</v>
      </c>
      <c r="B852" s="27">
        <f t="shared" ca="1" si="13"/>
        <v>0.83564745092016168</v>
      </c>
      <c r="C852" s="27" t="s">
        <v>226</v>
      </c>
    </row>
    <row r="853" spans="1:3" x14ac:dyDescent="0.2">
      <c r="A853" s="27">
        <v>851</v>
      </c>
      <c r="B853" s="27">
        <f t="shared" ca="1" si="13"/>
        <v>0.52245092679993455</v>
      </c>
      <c r="C853" s="27" t="s">
        <v>226</v>
      </c>
    </row>
    <row r="854" spans="1:3" x14ac:dyDescent="0.2">
      <c r="A854" s="27">
        <v>852</v>
      </c>
      <c r="B854" s="27">
        <f t="shared" ca="1" si="13"/>
        <v>0.30453968927388003</v>
      </c>
      <c r="C854" s="27" t="s">
        <v>226</v>
      </c>
    </row>
    <row r="855" spans="1:3" x14ac:dyDescent="0.2">
      <c r="A855" s="27">
        <v>853</v>
      </c>
      <c r="B855" s="27">
        <f t="shared" ca="1" si="13"/>
        <v>0.61930890227257995</v>
      </c>
      <c r="C855" s="27" t="s">
        <v>226</v>
      </c>
    </row>
    <row r="856" spans="1:3" x14ac:dyDescent="0.2">
      <c r="A856" s="27">
        <v>854</v>
      </c>
      <c r="B856" s="27">
        <f t="shared" ca="1" si="13"/>
        <v>0.71924852975242659</v>
      </c>
      <c r="C856" s="27" t="s">
        <v>226</v>
      </c>
    </row>
    <row r="857" spans="1:3" x14ac:dyDescent="0.2">
      <c r="A857" s="27">
        <v>855</v>
      </c>
      <c r="B857" s="27">
        <f t="shared" ca="1" si="13"/>
        <v>0.61712408610896685</v>
      </c>
      <c r="C857" s="27" t="s">
        <v>227</v>
      </c>
    </row>
    <row r="858" spans="1:3" x14ac:dyDescent="0.2">
      <c r="A858" s="27">
        <v>856</v>
      </c>
      <c r="B858" s="27">
        <f t="shared" ca="1" si="13"/>
        <v>0.57280698300283595</v>
      </c>
      <c r="C858" s="27" t="s">
        <v>227</v>
      </c>
    </row>
    <row r="859" spans="1:3" x14ac:dyDescent="0.2">
      <c r="A859" s="27">
        <v>857</v>
      </c>
      <c r="B859" s="27">
        <f t="shared" ca="1" si="13"/>
        <v>0.73943600047521696</v>
      </c>
      <c r="C859" s="27" t="s">
        <v>226</v>
      </c>
    </row>
    <row r="860" spans="1:3" x14ac:dyDescent="0.2">
      <c r="A860" s="27">
        <v>858</v>
      </c>
      <c r="B860" s="27">
        <f t="shared" ca="1" si="13"/>
        <v>0.73170185554115941</v>
      </c>
      <c r="C860" s="27" t="s">
        <v>226</v>
      </c>
    </row>
    <row r="861" spans="1:3" x14ac:dyDescent="0.2">
      <c r="A861" s="27">
        <v>859</v>
      </c>
      <c r="B861" s="27">
        <f t="shared" ca="1" si="13"/>
        <v>0.67250429164402414</v>
      </c>
      <c r="C861" s="27" t="s">
        <v>226</v>
      </c>
    </row>
    <row r="862" spans="1:3" x14ac:dyDescent="0.2">
      <c r="A862" s="27">
        <v>860</v>
      </c>
      <c r="B862" s="27">
        <f t="shared" ca="1" si="13"/>
        <v>0.35573996195070223</v>
      </c>
      <c r="C862" s="27" t="s">
        <v>226</v>
      </c>
    </row>
    <row r="863" spans="1:3" x14ac:dyDescent="0.2">
      <c r="A863" s="27">
        <v>861</v>
      </c>
      <c r="B863" s="27">
        <f t="shared" ca="1" si="13"/>
        <v>0.78403131994802666</v>
      </c>
      <c r="C863" s="27" t="s">
        <v>227</v>
      </c>
    </row>
    <row r="864" spans="1:3" x14ac:dyDescent="0.2">
      <c r="A864" s="27">
        <v>862</v>
      </c>
      <c r="B864" s="27">
        <f t="shared" ca="1" si="13"/>
        <v>0.50493645700156153</v>
      </c>
      <c r="C864" s="27" t="s">
        <v>226</v>
      </c>
    </row>
    <row r="865" spans="1:3" x14ac:dyDescent="0.2">
      <c r="A865" s="27">
        <v>863</v>
      </c>
      <c r="B865" s="27">
        <f t="shared" ca="1" si="13"/>
        <v>0.63250826745129674</v>
      </c>
      <c r="C865" s="27" t="s">
        <v>226</v>
      </c>
    </row>
    <row r="866" spans="1:3" x14ac:dyDescent="0.2">
      <c r="A866" s="27">
        <v>864</v>
      </c>
      <c r="B866" s="27">
        <f t="shared" ca="1" si="13"/>
        <v>0.59216779772295325</v>
      </c>
      <c r="C866" s="27" t="s">
        <v>226</v>
      </c>
    </row>
    <row r="867" spans="1:3" x14ac:dyDescent="0.2">
      <c r="A867" s="27">
        <v>865</v>
      </c>
      <c r="B867" s="27">
        <f t="shared" ca="1" si="13"/>
        <v>0.78870145691678317</v>
      </c>
      <c r="C867" s="27" t="s">
        <v>226</v>
      </c>
    </row>
    <row r="868" spans="1:3" x14ac:dyDescent="0.2">
      <c r="A868" s="27">
        <v>866</v>
      </c>
      <c r="B868" s="27">
        <f t="shared" ca="1" si="13"/>
        <v>0.52764878563490036</v>
      </c>
      <c r="C868" s="27" t="s">
        <v>226</v>
      </c>
    </row>
    <row r="869" spans="1:3" x14ac:dyDescent="0.2">
      <c r="A869" s="27">
        <v>867</v>
      </c>
      <c r="B869" s="27">
        <f t="shared" ca="1" si="13"/>
        <v>0.45115772723803482</v>
      </c>
      <c r="C869" s="27" t="s">
        <v>226</v>
      </c>
    </row>
    <row r="870" spans="1:3" x14ac:dyDescent="0.2">
      <c r="A870" s="27">
        <v>868</v>
      </c>
      <c r="B870" s="27">
        <f t="shared" ca="1" si="13"/>
        <v>0.40654065662769345</v>
      </c>
      <c r="C870" s="27" t="s">
        <v>226</v>
      </c>
    </row>
    <row r="871" spans="1:3" x14ac:dyDescent="0.2">
      <c r="A871" s="27">
        <v>869</v>
      </c>
      <c r="B871" s="27">
        <f t="shared" ca="1" si="13"/>
        <v>0.56667378389510836</v>
      </c>
      <c r="C871" s="27" t="s">
        <v>226</v>
      </c>
    </row>
    <row r="872" spans="1:3" x14ac:dyDescent="0.2">
      <c r="A872" s="27">
        <v>870</v>
      </c>
      <c r="B872" s="27">
        <f t="shared" ca="1" si="13"/>
        <v>0.81576471344392842</v>
      </c>
      <c r="C872" s="27" t="s">
        <v>226</v>
      </c>
    </row>
    <row r="873" spans="1:3" x14ac:dyDescent="0.2">
      <c r="A873" s="27">
        <v>871</v>
      </c>
      <c r="B873" s="27">
        <f t="shared" ca="1" si="13"/>
        <v>0.76568331707356985</v>
      </c>
      <c r="C873" s="27" t="s">
        <v>227</v>
      </c>
    </row>
    <row r="874" spans="1:3" x14ac:dyDescent="0.2">
      <c r="A874" s="27">
        <v>872</v>
      </c>
      <c r="B874" s="27">
        <f t="shared" ca="1" si="13"/>
        <v>0.64103095247537856</v>
      </c>
      <c r="C874" s="27" t="s">
        <v>227</v>
      </c>
    </row>
    <row r="875" spans="1:3" x14ac:dyDescent="0.2">
      <c r="A875" s="27">
        <v>873</v>
      </c>
      <c r="B875" s="27">
        <f t="shared" ca="1" si="13"/>
        <v>0.72474622519886567</v>
      </c>
      <c r="C875" s="27" t="s">
        <v>227</v>
      </c>
    </row>
    <row r="876" spans="1:3" x14ac:dyDescent="0.2">
      <c r="A876" s="27">
        <v>874</v>
      </c>
      <c r="B876" s="27">
        <f t="shared" ca="1" si="13"/>
        <v>0.42001362747880289</v>
      </c>
      <c r="C876" s="27" t="s">
        <v>226</v>
      </c>
    </row>
    <row r="877" spans="1:3" x14ac:dyDescent="0.2">
      <c r="A877" s="27">
        <v>875</v>
      </c>
      <c r="B877" s="27">
        <f t="shared" ca="1" si="13"/>
        <v>0.59359362157465889</v>
      </c>
      <c r="C877" s="27" t="s">
        <v>226</v>
      </c>
    </row>
    <row r="878" spans="1:3" x14ac:dyDescent="0.2">
      <c r="A878" s="27">
        <v>876</v>
      </c>
      <c r="B878" s="27">
        <f t="shared" ca="1" si="13"/>
        <v>0.58118517087127541</v>
      </c>
      <c r="C878" s="27" t="s">
        <v>227</v>
      </c>
    </row>
    <row r="879" spans="1:3" x14ac:dyDescent="0.2">
      <c r="A879" s="27">
        <v>877</v>
      </c>
      <c r="B879" s="27">
        <f t="shared" ca="1" si="13"/>
        <v>0.74764396780745779</v>
      </c>
      <c r="C879" s="27" t="s">
        <v>226</v>
      </c>
    </row>
    <row r="880" spans="1:3" x14ac:dyDescent="0.2">
      <c r="A880" s="27">
        <v>878</v>
      </c>
      <c r="B880" s="27">
        <f t="shared" ca="1" si="13"/>
        <v>0.65946476052434266</v>
      </c>
      <c r="C880" s="27" t="s">
        <v>226</v>
      </c>
    </row>
    <row r="881" spans="1:3" x14ac:dyDescent="0.2">
      <c r="A881" s="27">
        <v>879</v>
      </c>
      <c r="B881" s="27">
        <f t="shared" ca="1" si="13"/>
        <v>0.70436878939496139</v>
      </c>
      <c r="C881" s="27" t="s">
        <v>227</v>
      </c>
    </row>
    <row r="882" spans="1:3" x14ac:dyDescent="0.2">
      <c r="A882" s="27">
        <v>880</v>
      </c>
      <c r="B882" s="27">
        <f t="shared" ca="1" si="13"/>
        <v>0.80217170869008048</v>
      </c>
      <c r="C882" s="27" t="s">
        <v>227</v>
      </c>
    </row>
    <row r="883" spans="1:3" x14ac:dyDescent="0.2">
      <c r="A883" s="27">
        <v>881</v>
      </c>
      <c r="B883" s="27">
        <f t="shared" ca="1" si="13"/>
        <v>0.93105215209024794</v>
      </c>
      <c r="C883" s="27" t="s">
        <v>227</v>
      </c>
    </row>
    <row r="884" spans="1:3" x14ac:dyDescent="0.2">
      <c r="A884" s="27">
        <v>882</v>
      </c>
      <c r="B884" s="27">
        <f t="shared" ca="1" si="13"/>
        <v>0.74603126612725057</v>
      </c>
      <c r="C884" s="27" t="s">
        <v>227</v>
      </c>
    </row>
    <row r="885" spans="1:3" x14ac:dyDescent="0.2">
      <c r="A885" s="27">
        <v>883</v>
      </c>
      <c r="B885" s="27">
        <f t="shared" ca="1" si="13"/>
        <v>0.63223718466336176</v>
      </c>
      <c r="C885" s="27" t="s">
        <v>226</v>
      </c>
    </row>
    <row r="886" spans="1:3" x14ac:dyDescent="0.2">
      <c r="A886" s="27">
        <v>884</v>
      </c>
      <c r="B886" s="27">
        <f t="shared" ca="1" si="13"/>
        <v>0.70108314259298132</v>
      </c>
      <c r="C886" s="27" t="s">
        <v>226</v>
      </c>
    </row>
    <row r="887" spans="1:3" x14ac:dyDescent="0.2">
      <c r="A887" s="27">
        <v>885</v>
      </c>
      <c r="B887" s="27">
        <f t="shared" ca="1" si="13"/>
        <v>0.71636572812987964</v>
      </c>
      <c r="C887" s="27" t="s">
        <v>226</v>
      </c>
    </row>
    <row r="888" spans="1:3" x14ac:dyDescent="0.2">
      <c r="A888" s="27">
        <v>886</v>
      </c>
      <c r="B888" s="27">
        <f t="shared" ca="1" si="13"/>
        <v>0.68800357098559262</v>
      </c>
      <c r="C888" s="27" t="s">
        <v>227</v>
      </c>
    </row>
    <row r="889" spans="1:3" x14ac:dyDescent="0.2">
      <c r="A889" s="27">
        <v>887</v>
      </c>
      <c r="B889" s="27">
        <f t="shared" ca="1" si="13"/>
        <v>0.67915547131446441</v>
      </c>
      <c r="C889" s="27" t="s">
        <v>227</v>
      </c>
    </row>
    <row r="890" spans="1:3" x14ac:dyDescent="0.2">
      <c r="A890" s="27">
        <v>888</v>
      </c>
      <c r="B890" s="27">
        <f t="shared" ca="1" si="13"/>
        <v>0.76921114870759022</v>
      </c>
      <c r="C890" s="27" t="s">
        <v>227</v>
      </c>
    </row>
    <row r="891" spans="1:3" x14ac:dyDescent="0.2">
      <c r="A891" s="27">
        <v>889</v>
      </c>
      <c r="B891" s="27">
        <f t="shared" ca="1" si="13"/>
        <v>0.64907513614848344</v>
      </c>
      <c r="C891" s="27" t="s">
        <v>226</v>
      </c>
    </row>
    <row r="892" spans="1:3" x14ac:dyDescent="0.2">
      <c r="A892" s="27">
        <v>890</v>
      </c>
      <c r="B892" s="27">
        <f t="shared" ca="1" si="13"/>
        <v>0.33485131349156666</v>
      </c>
      <c r="C892" s="27" t="s">
        <v>226</v>
      </c>
    </row>
    <row r="893" spans="1:3" x14ac:dyDescent="0.2">
      <c r="A893" s="27">
        <v>891</v>
      </c>
      <c r="B893" s="27">
        <f t="shared" ca="1" si="13"/>
        <v>0.7823600331601539</v>
      </c>
      <c r="C893" s="27" t="s">
        <v>226</v>
      </c>
    </row>
    <row r="894" spans="1:3" x14ac:dyDescent="0.2">
      <c r="A894" s="27">
        <v>892</v>
      </c>
      <c r="B894" s="27">
        <f t="shared" ca="1" si="13"/>
        <v>0.66448435730703137</v>
      </c>
      <c r="C894" s="27" t="s">
        <v>227</v>
      </c>
    </row>
    <row r="895" spans="1:3" x14ac:dyDescent="0.2">
      <c r="A895" s="27">
        <v>893</v>
      </c>
      <c r="B895" s="27">
        <f t="shared" ca="1" si="13"/>
        <v>0.84499110814775125</v>
      </c>
      <c r="C895" s="27" t="s">
        <v>226</v>
      </c>
    </row>
    <row r="896" spans="1:3" x14ac:dyDescent="0.2">
      <c r="A896" s="27">
        <v>894</v>
      </c>
      <c r="B896" s="27">
        <f t="shared" ca="1" si="13"/>
        <v>0.66351693720865934</v>
      </c>
      <c r="C896" s="27" t="s">
        <v>227</v>
      </c>
    </row>
    <row r="897" spans="1:3" x14ac:dyDescent="0.2">
      <c r="A897" s="27">
        <v>895</v>
      </c>
      <c r="B897" s="27">
        <f t="shared" ca="1" si="13"/>
        <v>0.92212359343531114</v>
      </c>
      <c r="C897" s="27" t="s">
        <v>226</v>
      </c>
    </row>
    <row r="898" spans="1:3" x14ac:dyDescent="0.2">
      <c r="A898" s="27">
        <v>896</v>
      </c>
      <c r="B898" s="27">
        <f t="shared" ca="1" si="13"/>
        <v>0.95394154576499635</v>
      </c>
      <c r="C898" s="27" t="s">
        <v>227</v>
      </c>
    </row>
    <row r="899" spans="1:3" x14ac:dyDescent="0.2">
      <c r="A899" s="27">
        <v>897</v>
      </c>
      <c r="B899" s="27">
        <f t="shared" ref="B899:B962" ca="1" si="14">IF(C899="Bomb",_xlfn.NORM.INV(RAND(),0.7,0.1),_xlfn.NORM.INV(RAND(),0.6,0.15))</f>
        <v>0.73074328747937101</v>
      </c>
      <c r="C899" s="27" t="s">
        <v>227</v>
      </c>
    </row>
    <row r="900" spans="1:3" x14ac:dyDescent="0.2">
      <c r="A900" s="27">
        <v>898</v>
      </c>
      <c r="B900" s="27">
        <f t="shared" ca="1" si="14"/>
        <v>0.5833479337302192</v>
      </c>
      <c r="C900" s="27" t="s">
        <v>227</v>
      </c>
    </row>
    <row r="901" spans="1:3" x14ac:dyDescent="0.2">
      <c r="A901" s="27">
        <v>899</v>
      </c>
      <c r="B901" s="27">
        <f t="shared" ca="1" si="14"/>
        <v>0.73340676068143229</v>
      </c>
      <c r="C901" s="27" t="s">
        <v>226</v>
      </c>
    </row>
    <row r="902" spans="1:3" x14ac:dyDescent="0.2">
      <c r="A902" s="27">
        <v>900</v>
      </c>
      <c r="B902" s="27">
        <f t="shared" ca="1" si="14"/>
        <v>0.45718389264017295</v>
      </c>
      <c r="C902" s="27" t="s">
        <v>227</v>
      </c>
    </row>
    <row r="903" spans="1:3" x14ac:dyDescent="0.2">
      <c r="A903" s="27">
        <v>901</v>
      </c>
      <c r="B903" s="27">
        <f t="shared" ca="1" si="14"/>
        <v>0.86726891069487277</v>
      </c>
      <c r="C903" s="27" t="s">
        <v>227</v>
      </c>
    </row>
    <row r="904" spans="1:3" x14ac:dyDescent="0.2">
      <c r="A904" s="27">
        <v>902</v>
      </c>
      <c r="B904" s="27">
        <f t="shared" ca="1" si="14"/>
        <v>0.78799237359954277</v>
      </c>
      <c r="C904" s="27" t="s">
        <v>227</v>
      </c>
    </row>
    <row r="905" spans="1:3" x14ac:dyDescent="0.2">
      <c r="A905" s="27">
        <v>903</v>
      </c>
      <c r="B905" s="27">
        <f t="shared" ca="1" si="14"/>
        <v>0.80818103824198528</v>
      </c>
      <c r="C905" s="27" t="s">
        <v>227</v>
      </c>
    </row>
    <row r="906" spans="1:3" x14ac:dyDescent="0.2">
      <c r="A906" s="27">
        <v>904</v>
      </c>
      <c r="B906" s="27">
        <f t="shared" ca="1" si="14"/>
        <v>0.7494325716599648</v>
      </c>
      <c r="C906" s="27" t="s">
        <v>227</v>
      </c>
    </row>
    <row r="907" spans="1:3" x14ac:dyDescent="0.2">
      <c r="A907" s="27">
        <v>905</v>
      </c>
      <c r="B907" s="27">
        <f t="shared" ca="1" si="14"/>
        <v>0.66699906950426202</v>
      </c>
      <c r="C907" s="27" t="s">
        <v>226</v>
      </c>
    </row>
    <row r="908" spans="1:3" x14ac:dyDescent="0.2">
      <c r="A908" s="27">
        <v>906</v>
      </c>
      <c r="B908" s="27">
        <f t="shared" ca="1" si="14"/>
        <v>0.51087297267606524</v>
      </c>
      <c r="C908" s="27" t="s">
        <v>226</v>
      </c>
    </row>
    <row r="909" spans="1:3" x14ac:dyDescent="0.2">
      <c r="A909" s="27">
        <v>907</v>
      </c>
      <c r="B909" s="27">
        <f t="shared" ca="1" si="14"/>
        <v>0.56513864907877709</v>
      </c>
      <c r="C909" s="27" t="s">
        <v>226</v>
      </c>
    </row>
    <row r="910" spans="1:3" x14ac:dyDescent="0.2">
      <c r="A910" s="27">
        <v>908</v>
      </c>
      <c r="B910" s="27">
        <f t="shared" ca="1" si="14"/>
        <v>0.35430975762578637</v>
      </c>
      <c r="C910" s="27" t="s">
        <v>226</v>
      </c>
    </row>
    <row r="911" spans="1:3" x14ac:dyDescent="0.2">
      <c r="A911" s="27">
        <v>909</v>
      </c>
      <c r="B911" s="27">
        <f t="shared" ca="1" si="14"/>
        <v>0.34533221100969169</v>
      </c>
      <c r="C911" s="27" t="s">
        <v>226</v>
      </c>
    </row>
    <row r="912" spans="1:3" x14ac:dyDescent="0.2">
      <c r="A912" s="27">
        <v>910</v>
      </c>
      <c r="B912" s="27">
        <f t="shared" ca="1" si="14"/>
        <v>0.71103275714009617</v>
      </c>
      <c r="C912" s="27" t="s">
        <v>227</v>
      </c>
    </row>
    <row r="913" spans="1:3" x14ac:dyDescent="0.2">
      <c r="A913" s="27">
        <v>911</v>
      </c>
      <c r="B913" s="27">
        <f t="shared" ca="1" si="14"/>
        <v>0.66870979518061924</v>
      </c>
      <c r="C913" s="27" t="s">
        <v>226</v>
      </c>
    </row>
    <row r="914" spans="1:3" x14ac:dyDescent="0.2">
      <c r="A914" s="27">
        <v>912</v>
      </c>
      <c r="B914" s="27">
        <f t="shared" ca="1" si="14"/>
        <v>0.60311843210966376</v>
      </c>
      <c r="C914" s="27" t="s">
        <v>226</v>
      </c>
    </row>
    <row r="915" spans="1:3" x14ac:dyDescent="0.2">
      <c r="A915" s="27">
        <v>913</v>
      </c>
      <c r="B915" s="27">
        <f t="shared" ca="1" si="14"/>
        <v>0.47780456228924528</v>
      </c>
      <c r="C915" s="27" t="s">
        <v>226</v>
      </c>
    </row>
    <row r="916" spans="1:3" x14ac:dyDescent="0.2">
      <c r="A916" s="27">
        <v>914</v>
      </c>
      <c r="B916" s="27">
        <f t="shared" ca="1" si="14"/>
        <v>0.59464356932691265</v>
      </c>
      <c r="C916" s="27" t="s">
        <v>227</v>
      </c>
    </row>
    <row r="917" spans="1:3" x14ac:dyDescent="0.2">
      <c r="A917" s="27">
        <v>915</v>
      </c>
      <c r="B917" s="27">
        <f t="shared" ca="1" si="14"/>
        <v>0.56890482345006199</v>
      </c>
      <c r="C917" s="27" t="s">
        <v>226</v>
      </c>
    </row>
    <row r="918" spans="1:3" x14ac:dyDescent="0.2">
      <c r="A918" s="27">
        <v>916</v>
      </c>
      <c r="B918" s="27">
        <f t="shared" ca="1" si="14"/>
        <v>0.59994854534838038</v>
      </c>
      <c r="C918" s="27" t="s">
        <v>227</v>
      </c>
    </row>
    <row r="919" spans="1:3" x14ac:dyDescent="0.2">
      <c r="A919" s="27">
        <v>917</v>
      </c>
      <c r="B919" s="27">
        <f t="shared" ca="1" si="14"/>
        <v>0.40020385067477887</v>
      </c>
      <c r="C919" s="27" t="s">
        <v>226</v>
      </c>
    </row>
    <row r="920" spans="1:3" x14ac:dyDescent="0.2">
      <c r="A920" s="27">
        <v>918</v>
      </c>
      <c r="B920" s="27">
        <f t="shared" ca="1" si="14"/>
        <v>0.85951438013618675</v>
      </c>
      <c r="C920" s="27" t="s">
        <v>227</v>
      </c>
    </row>
    <row r="921" spans="1:3" x14ac:dyDescent="0.2">
      <c r="A921" s="27">
        <v>919</v>
      </c>
      <c r="B921" s="27">
        <f t="shared" ca="1" si="14"/>
        <v>0.45936684926511606</v>
      </c>
      <c r="C921" s="27" t="s">
        <v>226</v>
      </c>
    </row>
    <row r="922" spans="1:3" x14ac:dyDescent="0.2">
      <c r="A922" s="27">
        <v>920</v>
      </c>
      <c r="B922" s="27">
        <f t="shared" ca="1" si="14"/>
        <v>0.78539501036695736</v>
      </c>
      <c r="C922" s="27" t="s">
        <v>227</v>
      </c>
    </row>
    <row r="923" spans="1:3" x14ac:dyDescent="0.2">
      <c r="A923" s="27">
        <v>921</v>
      </c>
      <c r="B923" s="27">
        <f t="shared" ca="1" si="14"/>
        <v>0.77882236219401924</v>
      </c>
      <c r="C923" s="27" t="s">
        <v>227</v>
      </c>
    </row>
    <row r="924" spans="1:3" x14ac:dyDescent="0.2">
      <c r="A924" s="27">
        <v>922</v>
      </c>
      <c r="B924" s="27">
        <f t="shared" ca="1" si="14"/>
        <v>0.61391201950553609</v>
      </c>
      <c r="C924" s="27" t="s">
        <v>226</v>
      </c>
    </row>
    <row r="925" spans="1:3" x14ac:dyDescent="0.2">
      <c r="A925" s="27">
        <v>923</v>
      </c>
      <c r="B925" s="27">
        <f t="shared" ca="1" si="14"/>
        <v>0.60741637938930926</v>
      </c>
      <c r="C925" s="27" t="s">
        <v>226</v>
      </c>
    </row>
    <row r="926" spans="1:3" x14ac:dyDescent="0.2">
      <c r="A926" s="27">
        <v>924</v>
      </c>
      <c r="B926" s="27">
        <f t="shared" ca="1" si="14"/>
        <v>0.85119040268134372</v>
      </c>
      <c r="C926" s="27" t="s">
        <v>226</v>
      </c>
    </row>
    <row r="927" spans="1:3" x14ac:dyDescent="0.2">
      <c r="A927" s="27">
        <v>925</v>
      </c>
      <c r="B927" s="27">
        <f t="shared" ca="1" si="14"/>
        <v>0.67071883812633859</v>
      </c>
      <c r="C927" s="27" t="s">
        <v>227</v>
      </c>
    </row>
    <row r="928" spans="1:3" x14ac:dyDescent="0.2">
      <c r="A928" s="27">
        <v>926</v>
      </c>
      <c r="B928" s="27">
        <f t="shared" ca="1" si="14"/>
        <v>0.78067450614001332</v>
      </c>
      <c r="C928" s="27" t="s">
        <v>227</v>
      </c>
    </row>
    <row r="929" spans="1:3" x14ac:dyDescent="0.2">
      <c r="A929" s="27">
        <v>927</v>
      </c>
      <c r="B929" s="27">
        <f t="shared" ca="1" si="14"/>
        <v>0.61134584673242565</v>
      </c>
      <c r="C929" s="27" t="s">
        <v>227</v>
      </c>
    </row>
    <row r="930" spans="1:3" x14ac:dyDescent="0.2">
      <c r="A930" s="27">
        <v>928</v>
      </c>
      <c r="B930" s="27">
        <f t="shared" ca="1" si="14"/>
        <v>0.61989035677570958</v>
      </c>
      <c r="C930" s="27" t="s">
        <v>227</v>
      </c>
    </row>
    <row r="931" spans="1:3" x14ac:dyDescent="0.2">
      <c r="A931" s="27">
        <v>929</v>
      </c>
      <c r="B931" s="27">
        <f t="shared" ca="1" si="14"/>
        <v>0.46639496045112305</v>
      </c>
      <c r="C931" s="27" t="s">
        <v>227</v>
      </c>
    </row>
    <row r="932" spans="1:3" x14ac:dyDescent="0.2">
      <c r="A932" s="27">
        <v>930</v>
      </c>
      <c r="B932" s="27">
        <f t="shared" ca="1" si="14"/>
        <v>0.63893746688080166</v>
      </c>
      <c r="C932" s="27" t="s">
        <v>227</v>
      </c>
    </row>
    <row r="933" spans="1:3" x14ac:dyDescent="0.2">
      <c r="A933" s="27">
        <v>931</v>
      </c>
      <c r="B933" s="27">
        <f t="shared" ca="1" si="14"/>
        <v>0.71060831663743018</v>
      </c>
      <c r="C933" s="27" t="s">
        <v>226</v>
      </c>
    </row>
    <row r="934" spans="1:3" x14ac:dyDescent="0.2">
      <c r="A934" s="27">
        <v>932</v>
      </c>
      <c r="B934" s="27">
        <f t="shared" ca="1" si="14"/>
        <v>0.68687310119986122</v>
      </c>
      <c r="C934" s="27" t="s">
        <v>227</v>
      </c>
    </row>
    <row r="935" spans="1:3" x14ac:dyDescent="0.2">
      <c r="A935" s="27">
        <v>933</v>
      </c>
      <c r="B935" s="27">
        <f t="shared" ca="1" si="14"/>
        <v>0.30503026049992787</v>
      </c>
      <c r="C935" s="27" t="s">
        <v>226</v>
      </c>
    </row>
    <row r="936" spans="1:3" x14ac:dyDescent="0.2">
      <c r="A936" s="27">
        <v>934</v>
      </c>
      <c r="B936" s="27">
        <f t="shared" ca="1" si="14"/>
        <v>0.79061257694160003</v>
      </c>
      <c r="C936" s="27" t="s">
        <v>227</v>
      </c>
    </row>
    <row r="937" spans="1:3" x14ac:dyDescent="0.2">
      <c r="A937" s="27">
        <v>935</v>
      </c>
      <c r="B937" s="27">
        <f t="shared" ca="1" si="14"/>
        <v>0.75878978544175868</v>
      </c>
      <c r="C937" s="27" t="s">
        <v>227</v>
      </c>
    </row>
    <row r="938" spans="1:3" x14ac:dyDescent="0.2">
      <c r="A938" s="27">
        <v>936</v>
      </c>
      <c r="B938" s="27">
        <f t="shared" ca="1" si="14"/>
        <v>0.4586422868992438</v>
      </c>
      <c r="C938" s="27" t="s">
        <v>226</v>
      </c>
    </row>
    <row r="939" spans="1:3" x14ac:dyDescent="0.2">
      <c r="A939" s="27">
        <v>937</v>
      </c>
      <c r="B939" s="27">
        <f t="shared" ca="1" si="14"/>
        <v>0.86736525450422519</v>
      </c>
      <c r="C939" s="27" t="s">
        <v>226</v>
      </c>
    </row>
    <row r="940" spans="1:3" x14ac:dyDescent="0.2">
      <c r="A940" s="27">
        <v>938</v>
      </c>
      <c r="B940" s="27">
        <f t="shared" ca="1" si="14"/>
        <v>0.77256229630355067</v>
      </c>
      <c r="C940" s="27" t="s">
        <v>227</v>
      </c>
    </row>
    <row r="941" spans="1:3" x14ac:dyDescent="0.2">
      <c r="A941" s="27">
        <v>939</v>
      </c>
      <c r="B941" s="27">
        <f t="shared" ca="1" si="14"/>
        <v>0.73612535378422383</v>
      </c>
      <c r="C941" s="27" t="s">
        <v>227</v>
      </c>
    </row>
    <row r="942" spans="1:3" x14ac:dyDescent="0.2">
      <c r="A942" s="27">
        <v>940</v>
      </c>
      <c r="B942" s="27">
        <f t="shared" ca="1" si="14"/>
        <v>0.65561331543428636</v>
      </c>
      <c r="C942" s="27" t="s">
        <v>226</v>
      </c>
    </row>
    <row r="943" spans="1:3" x14ac:dyDescent="0.2">
      <c r="A943" s="27">
        <v>941</v>
      </c>
      <c r="B943" s="27">
        <f t="shared" ca="1" si="14"/>
        <v>0.43323467897071621</v>
      </c>
      <c r="C943" s="27" t="s">
        <v>226</v>
      </c>
    </row>
    <row r="944" spans="1:3" x14ac:dyDescent="0.2">
      <c r="A944" s="27">
        <v>942</v>
      </c>
      <c r="B944" s="27">
        <f t="shared" ca="1" si="14"/>
        <v>0.60924296073035389</v>
      </c>
      <c r="C944" s="27" t="s">
        <v>226</v>
      </c>
    </row>
    <row r="945" spans="1:3" x14ac:dyDescent="0.2">
      <c r="A945" s="27">
        <v>943</v>
      </c>
      <c r="B945" s="27">
        <f t="shared" ca="1" si="14"/>
        <v>0.6762790734954981</v>
      </c>
      <c r="C945" s="27" t="s">
        <v>226</v>
      </c>
    </row>
    <row r="946" spans="1:3" x14ac:dyDescent="0.2">
      <c r="A946" s="27">
        <v>944</v>
      </c>
      <c r="B946" s="27">
        <f t="shared" ca="1" si="14"/>
        <v>0.77243533139647691</v>
      </c>
      <c r="C946" s="27" t="s">
        <v>226</v>
      </c>
    </row>
    <row r="947" spans="1:3" x14ac:dyDescent="0.2">
      <c r="A947" s="27">
        <v>945</v>
      </c>
      <c r="B947" s="27">
        <f t="shared" ca="1" si="14"/>
        <v>0.72503951298115066</v>
      </c>
      <c r="C947" s="27" t="s">
        <v>227</v>
      </c>
    </row>
    <row r="948" spans="1:3" x14ac:dyDescent="0.2">
      <c r="A948" s="27">
        <v>946</v>
      </c>
      <c r="B948" s="27">
        <f t="shared" ca="1" si="14"/>
        <v>0.6499003740498277</v>
      </c>
      <c r="C948" s="27" t="s">
        <v>226</v>
      </c>
    </row>
    <row r="949" spans="1:3" x14ac:dyDescent="0.2">
      <c r="A949" s="27">
        <v>947</v>
      </c>
      <c r="B949" s="27">
        <f t="shared" ca="1" si="14"/>
        <v>0.79307001247437026</v>
      </c>
      <c r="C949" s="27" t="s">
        <v>227</v>
      </c>
    </row>
    <row r="950" spans="1:3" x14ac:dyDescent="0.2">
      <c r="A950" s="27">
        <v>948</v>
      </c>
      <c r="B950" s="27">
        <f t="shared" ca="1" si="14"/>
        <v>0.41998967799297005</v>
      </c>
      <c r="C950" s="27" t="s">
        <v>226</v>
      </c>
    </row>
    <row r="951" spans="1:3" x14ac:dyDescent="0.2">
      <c r="A951" s="27">
        <v>949</v>
      </c>
      <c r="B951" s="27">
        <f t="shared" ca="1" si="14"/>
        <v>0.8570619340380855</v>
      </c>
      <c r="C951" s="27" t="s">
        <v>227</v>
      </c>
    </row>
    <row r="952" spans="1:3" x14ac:dyDescent="0.2">
      <c r="A952" s="27">
        <v>950</v>
      </c>
      <c r="B952" s="27">
        <f t="shared" ca="1" si="14"/>
        <v>0.55928866603843663</v>
      </c>
      <c r="C952" s="27" t="s">
        <v>227</v>
      </c>
    </row>
    <row r="953" spans="1:3" x14ac:dyDescent="0.2">
      <c r="A953" s="27">
        <v>951</v>
      </c>
      <c r="B953" s="27">
        <f t="shared" ca="1" si="14"/>
        <v>0.47893166531670417</v>
      </c>
      <c r="C953" s="27" t="s">
        <v>226</v>
      </c>
    </row>
    <row r="954" spans="1:3" x14ac:dyDescent="0.2">
      <c r="A954" s="27">
        <v>952</v>
      </c>
      <c r="B954" s="27">
        <f t="shared" ca="1" si="14"/>
        <v>0.79696441002911489</v>
      </c>
      <c r="C954" s="27" t="s">
        <v>226</v>
      </c>
    </row>
    <row r="955" spans="1:3" x14ac:dyDescent="0.2">
      <c r="A955" s="27">
        <v>953</v>
      </c>
      <c r="B955" s="27">
        <f t="shared" ca="1" si="14"/>
        <v>0.77434137399247849</v>
      </c>
      <c r="C955" s="27" t="s">
        <v>227</v>
      </c>
    </row>
    <row r="956" spans="1:3" x14ac:dyDescent="0.2">
      <c r="A956" s="27">
        <v>954</v>
      </c>
      <c r="B956" s="27">
        <f t="shared" ca="1" si="14"/>
        <v>0.47452488637768936</v>
      </c>
      <c r="C956" s="27" t="s">
        <v>226</v>
      </c>
    </row>
    <row r="957" spans="1:3" x14ac:dyDescent="0.2">
      <c r="A957" s="27">
        <v>955</v>
      </c>
      <c r="B957" s="27">
        <f t="shared" ca="1" si="14"/>
        <v>0.66281199916805489</v>
      </c>
      <c r="C957" s="27" t="s">
        <v>227</v>
      </c>
    </row>
    <row r="958" spans="1:3" x14ac:dyDescent="0.2">
      <c r="A958" s="27">
        <v>956</v>
      </c>
      <c r="B958" s="27">
        <f t="shared" ca="1" si="14"/>
        <v>0.60423370805662291</v>
      </c>
      <c r="C958" s="27" t="s">
        <v>227</v>
      </c>
    </row>
    <row r="959" spans="1:3" x14ac:dyDescent="0.2">
      <c r="A959" s="27">
        <v>957</v>
      </c>
      <c r="B959" s="27">
        <f t="shared" ca="1" si="14"/>
        <v>0.6277298890788725</v>
      </c>
      <c r="C959" s="27" t="s">
        <v>226</v>
      </c>
    </row>
    <row r="960" spans="1:3" x14ac:dyDescent="0.2">
      <c r="A960" s="27">
        <v>958</v>
      </c>
      <c r="B960" s="27">
        <f t="shared" ca="1" si="14"/>
        <v>0.58662081080407968</v>
      </c>
      <c r="C960" s="27" t="s">
        <v>227</v>
      </c>
    </row>
    <row r="961" spans="1:3" x14ac:dyDescent="0.2">
      <c r="A961" s="27">
        <v>959</v>
      </c>
      <c r="B961" s="27">
        <f t="shared" ca="1" si="14"/>
        <v>0.86325241695306731</v>
      </c>
      <c r="C961" s="27" t="s">
        <v>226</v>
      </c>
    </row>
    <row r="962" spans="1:3" x14ac:dyDescent="0.2">
      <c r="A962" s="27">
        <v>960</v>
      </c>
      <c r="B962" s="27">
        <f t="shared" ca="1" si="14"/>
        <v>0.76479735010555994</v>
      </c>
      <c r="C962" s="27" t="s">
        <v>226</v>
      </c>
    </row>
    <row r="963" spans="1:3" x14ac:dyDescent="0.2">
      <c r="A963" s="27">
        <v>961</v>
      </c>
      <c r="B963" s="27">
        <f t="shared" ref="B963:B1002" ca="1" si="15">IF(C963="Bomb",_xlfn.NORM.INV(RAND(),0.7,0.1),_xlfn.NORM.INV(RAND(),0.6,0.15))</f>
        <v>0.90398973611106848</v>
      </c>
      <c r="C963" s="27" t="s">
        <v>227</v>
      </c>
    </row>
    <row r="964" spans="1:3" x14ac:dyDescent="0.2">
      <c r="A964" s="27">
        <v>962</v>
      </c>
      <c r="B964" s="27">
        <f t="shared" ca="1" si="15"/>
        <v>0.81282606073813235</v>
      </c>
      <c r="C964" s="27" t="s">
        <v>227</v>
      </c>
    </row>
    <row r="965" spans="1:3" x14ac:dyDescent="0.2">
      <c r="A965" s="27">
        <v>963</v>
      </c>
      <c r="B965" s="27">
        <f t="shared" ca="1" si="15"/>
        <v>0.72833941418803649</v>
      </c>
      <c r="C965" s="27" t="s">
        <v>227</v>
      </c>
    </row>
    <row r="966" spans="1:3" x14ac:dyDescent="0.2">
      <c r="A966" s="27">
        <v>964</v>
      </c>
      <c r="B966" s="27">
        <f t="shared" ca="1" si="15"/>
        <v>0.6615902922626179</v>
      </c>
      <c r="C966" s="27" t="s">
        <v>227</v>
      </c>
    </row>
    <row r="967" spans="1:3" x14ac:dyDescent="0.2">
      <c r="A967" s="27">
        <v>965</v>
      </c>
      <c r="B967" s="27">
        <f t="shared" ca="1" si="15"/>
        <v>0.75634480339583199</v>
      </c>
      <c r="C967" s="27" t="s">
        <v>227</v>
      </c>
    </row>
    <row r="968" spans="1:3" x14ac:dyDescent="0.2">
      <c r="A968" s="27">
        <v>966</v>
      </c>
      <c r="B968" s="27">
        <f t="shared" ca="1" si="15"/>
        <v>0.68095217103595296</v>
      </c>
      <c r="C968" s="27" t="s">
        <v>227</v>
      </c>
    </row>
    <row r="969" spans="1:3" x14ac:dyDescent="0.2">
      <c r="A969" s="27">
        <v>967</v>
      </c>
      <c r="B969" s="27">
        <f t="shared" ca="1" si="15"/>
        <v>0.68727211254934117</v>
      </c>
      <c r="C969" s="27" t="s">
        <v>227</v>
      </c>
    </row>
    <row r="970" spans="1:3" x14ac:dyDescent="0.2">
      <c r="A970" s="27">
        <v>968</v>
      </c>
      <c r="B970" s="27">
        <f t="shared" ca="1" si="15"/>
        <v>0.50620109816116721</v>
      </c>
      <c r="C970" s="27" t="s">
        <v>227</v>
      </c>
    </row>
    <row r="971" spans="1:3" x14ac:dyDescent="0.2">
      <c r="A971" s="27">
        <v>969</v>
      </c>
      <c r="B971" s="27">
        <f t="shared" ca="1" si="15"/>
        <v>0.33080858530611129</v>
      </c>
      <c r="C971" s="27" t="s">
        <v>226</v>
      </c>
    </row>
    <row r="972" spans="1:3" x14ac:dyDescent="0.2">
      <c r="A972" s="27">
        <v>970</v>
      </c>
      <c r="B972" s="27">
        <f t="shared" ca="1" si="15"/>
        <v>0.40248941122048787</v>
      </c>
      <c r="C972" s="27" t="s">
        <v>226</v>
      </c>
    </row>
    <row r="973" spans="1:3" x14ac:dyDescent="0.2">
      <c r="A973" s="27">
        <v>971</v>
      </c>
      <c r="B973" s="27">
        <f t="shared" ca="1" si="15"/>
        <v>0.90892224896697915</v>
      </c>
      <c r="C973" s="27" t="s">
        <v>227</v>
      </c>
    </row>
    <row r="974" spans="1:3" x14ac:dyDescent="0.2">
      <c r="A974" s="27">
        <v>972</v>
      </c>
      <c r="B974" s="27">
        <f t="shared" ca="1" si="15"/>
        <v>0.26641649496018655</v>
      </c>
      <c r="C974" s="27" t="s">
        <v>226</v>
      </c>
    </row>
    <row r="975" spans="1:3" x14ac:dyDescent="0.2">
      <c r="A975" s="27">
        <v>973</v>
      </c>
      <c r="B975" s="27">
        <f t="shared" ca="1" si="15"/>
        <v>0.67358049022637267</v>
      </c>
      <c r="C975" s="27" t="s">
        <v>227</v>
      </c>
    </row>
    <row r="976" spans="1:3" x14ac:dyDescent="0.2">
      <c r="A976" s="27">
        <v>974</v>
      </c>
      <c r="B976" s="27">
        <f t="shared" ca="1" si="15"/>
        <v>0.93044795885117737</v>
      </c>
      <c r="C976" s="27" t="s">
        <v>227</v>
      </c>
    </row>
    <row r="977" spans="1:3" x14ac:dyDescent="0.2">
      <c r="A977" s="27">
        <v>975</v>
      </c>
      <c r="B977" s="27">
        <f t="shared" ca="1" si="15"/>
        <v>0.69837244350476224</v>
      </c>
      <c r="C977" s="27" t="s">
        <v>227</v>
      </c>
    </row>
    <row r="978" spans="1:3" x14ac:dyDescent="0.2">
      <c r="A978" s="27">
        <v>976</v>
      </c>
      <c r="B978" s="27">
        <f t="shared" ca="1" si="15"/>
        <v>0.63782313069624152</v>
      </c>
      <c r="C978" s="27" t="s">
        <v>227</v>
      </c>
    </row>
    <row r="979" spans="1:3" x14ac:dyDescent="0.2">
      <c r="A979" s="27">
        <v>977</v>
      </c>
      <c r="B979" s="27">
        <f t="shared" ca="1" si="15"/>
        <v>0.90763989243005738</v>
      </c>
      <c r="C979" s="27" t="s">
        <v>227</v>
      </c>
    </row>
    <row r="980" spans="1:3" x14ac:dyDescent="0.2">
      <c r="A980" s="27">
        <v>978</v>
      </c>
      <c r="B980" s="27">
        <f t="shared" ca="1" si="15"/>
        <v>0.61543757194612569</v>
      </c>
      <c r="C980" s="27" t="s">
        <v>227</v>
      </c>
    </row>
    <row r="981" spans="1:3" x14ac:dyDescent="0.2">
      <c r="A981" s="27">
        <v>979</v>
      </c>
      <c r="B981" s="27">
        <f t="shared" ca="1" si="15"/>
        <v>0.77805139997389894</v>
      </c>
      <c r="C981" s="27" t="s">
        <v>227</v>
      </c>
    </row>
    <row r="982" spans="1:3" x14ac:dyDescent="0.2">
      <c r="A982" s="27">
        <v>980</v>
      </c>
      <c r="B982" s="27">
        <f t="shared" ca="1" si="15"/>
        <v>0.26395946013857768</v>
      </c>
      <c r="C982" s="27" t="s">
        <v>226</v>
      </c>
    </row>
    <row r="983" spans="1:3" x14ac:dyDescent="0.2">
      <c r="A983" s="27">
        <v>981</v>
      </c>
      <c r="B983" s="27">
        <f t="shared" ca="1" si="15"/>
        <v>0.49237460788170001</v>
      </c>
      <c r="C983" s="27" t="s">
        <v>226</v>
      </c>
    </row>
    <row r="984" spans="1:3" x14ac:dyDescent="0.2">
      <c r="A984" s="27">
        <v>982</v>
      </c>
      <c r="B984" s="27">
        <f t="shared" ca="1" si="15"/>
        <v>0.84267010417594623</v>
      </c>
      <c r="C984" s="27" t="s">
        <v>227</v>
      </c>
    </row>
    <row r="985" spans="1:3" x14ac:dyDescent="0.2">
      <c r="A985" s="27">
        <v>983</v>
      </c>
      <c r="B985" s="27">
        <f t="shared" ca="1" si="15"/>
        <v>0.61955905802282574</v>
      </c>
      <c r="C985" s="27" t="s">
        <v>227</v>
      </c>
    </row>
    <row r="986" spans="1:3" x14ac:dyDescent="0.2">
      <c r="A986" s="27">
        <v>984</v>
      </c>
      <c r="B986" s="27">
        <f t="shared" ca="1" si="15"/>
        <v>0.52769165844095611</v>
      </c>
      <c r="C986" s="27" t="s">
        <v>226</v>
      </c>
    </row>
    <row r="987" spans="1:3" x14ac:dyDescent="0.2">
      <c r="A987" s="27">
        <v>985</v>
      </c>
      <c r="B987" s="27">
        <f t="shared" ca="1" si="15"/>
        <v>0.616948937835328</v>
      </c>
      <c r="C987" s="27" t="s">
        <v>226</v>
      </c>
    </row>
    <row r="988" spans="1:3" x14ac:dyDescent="0.2">
      <c r="A988" s="27">
        <v>986</v>
      </c>
      <c r="B988" s="27">
        <f t="shared" ca="1" si="15"/>
        <v>0.63760845262655597</v>
      </c>
      <c r="C988" s="27" t="s">
        <v>227</v>
      </c>
    </row>
    <row r="989" spans="1:3" x14ac:dyDescent="0.2">
      <c r="A989" s="27">
        <v>987</v>
      </c>
      <c r="B989" s="27">
        <f t="shared" ca="1" si="15"/>
        <v>0.72180861318366663</v>
      </c>
      <c r="C989" s="27" t="s">
        <v>226</v>
      </c>
    </row>
    <row r="990" spans="1:3" x14ac:dyDescent="0.2">
      <c r="A990" s="27">
        <v>988</v>
      </c>
      <c r="B990" s="27">
        <f t="shared" ca="1" si="15"/>
        <v>0.48454876706537647</v>
      </c>
      <c r="C990" s="27" t="s">
        <v>226</v>
      </c>
    </row>
    <row r="991" spans="1:3" x14ac:dyDescent="0.2">
      <c r="A991" s="27">
        <v>989</v>
      </c>
      <c r="B991" s="27">
        <f t="shared" ca="1" si="15"/>
        <v>0.77211529699877923</v>
      </c>
      <c r="C991" s="27" t="s">
        <v>227</v>
      </c>
    </row>
    <row r="992" spans="1:3" x14ac:dyDescent="0.2">
      <c r="A992" s="27">
        <v>990</v>
      </c>
      <c r="B992" s="27">
        <f t="shared" ca="1" si="15"/>
        <v>0.52078885853660506</v>
      </c>
      <c r="C992" s="27" t="s">
        <v>226</v>
      </c>
    </row>
    <row r="993" spans="1:3" x14ac:dyDescent="0.2">
      <c r="A993" s="27">
        <v>991</v>
      </c>
      <c r="B993" s="27">
        <f t="shared" ca="1" si="15"/>
        <v>0.67451947728639128</v>
      </c>
      <c r="C993" s="27" t="s">
        <v>227</v>
      </c>
    </row>
    <row r="994" spans="1:3" x14ac:dyDescent="0.2">
      <c r="A994" s="27">
        <v>992</v>
      </c>
      <c r="B994" s="27">
        <f t="shared" ca="1" si="15"/>
        <v>0.79277861998089894</v>
      </c>
      <c r="C994" s="27" t="s">
        <v>226</v>
      </c>
    </row>
    <row r="995" spans="1:3" x14ac:dyDescent="0.2">
      <c r="A995" s="27">
        <v>993</v>
      </c>
      <c r="B995" s="27">
        <f t="shared" ca="1" si="15"/>
        <v>0.75378844101036857</v>
      </c>
      <c r="C995" s="27" t="s">
        <v>227</v>
      </c>
    </row>
    <row r="996" spans="1:3" x14ac:dyDescent="0.2">
      <c r="A996" s="27">
        <v>994</v>
      </c>
      <c r="B996" s="27">
        <f t="shared" ca="1" si="15"/>
        <v>0.74677379798668575</v>
      </c>
      <c r="C996" s="27" t="s">
        <v>227</v>
      </c>
    </row>
    <row r="997" spans="1:3" x14ac:dyDescent="0.2">
      <c r="A997" s="27">
        <v>995</v>
      </c>
      <c r="B997" s="27">
        <f t="shared" ca="1" si="15"/>
        <v>0.36919885115171158</v>
      </c>
      <c r="C997" s="27" t="s">
        <v>226</v>
      </c>
    </row>
    <row r="998" spans="1:3" x14ac:dyDescent="0.2">
      <c r="A998" s="27">
        <v>996</v>
      </c>
      <c r="B998" s="27">
        <f t="shared" ca="1" si="15"/>
        <v>0.69502412026037386</v>
      </c>
      <c r="C998" s="27" t="s">
        <v>227</v>
      </c>
    </row>
    <row r="999" spans="1:3" x14ac:dyDescent="0.2">
      <c r="A999" s="27">
        <v>997</v>
      </c>
      <c r="B999" s="27">
        <f t="shared" ca="1" si="15"/>
        <v>0.73292709517674093</v>
      </c>
      <c r="C999" s="27" t="s">
        <v>226</v>
      </c>
    </row>
    <row r="1000" spans="1:3" x14ac:dyDescent="0.2">
      <c r="A1000" s="27">
        <v>998</v>
      </c>
      <c r="B1000" s="27">
        <f t="shared" ca="1" si="15"/>
        <v>0.61008480473977833</v>
      </c>
      <c r="C1000" s="27" t="s">
        <v>226</v>
      </c>
    </row>
    <row r="1001" spans="1:3" x14ac:dyDescent="0.2">
      <c r="A1001" s="27">
        <v>999</v>
      </c>
      <c r="B1001" s="27">
        <f t="shared" ca="1" si="15"/>
        <v>0.41587926056608265</v>
      </c>
      <c r="C1001" s="27" t="s">
        <v>226</v>
      </c>
    </row>
    <row r="1002" spans="1:3" x14ac:dyDescent="0.2">
      <c r="A1002" s="27">
        <v>1000</v>
      </c>
      <c r="B1002" s="27">
        <f t="shared" ca="1" si="15"/>
        <v>0.48144486207139325</v>
      </c>
      <c r="C1002" s="27" t="s">
        <v>226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EA94-405C-C54C-B1FA-407F65640D5D}">
  <sheetPr codeName="Sheet4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228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0.76044937858399519</v>
      </c>
      <c r="C3" s="2" t="str">
        <f ca="1">IF(RAND()&lt;0.5,"Bomb","Bird")</f>
        <v>Bomb</v>
      </c>
      <c r="E3" s="2" t="s">
        <v>230</v>
      </c>
      <c r="J3" s="31">
        <f ca="1">F7</f>
        <v>0</v>
      </c>
      <c r="K3" s="31">
        <f ca="1">E7</f>
        <v>1</v>
      </c>
    </row>
    <row r="4" spans="1:11" x14ac:dyDescent="0.2">
      <c r="A4" s="2">
        <v>2</v>
      </c>
      <c r="B4" s="2">
        <f t="shared" ca="1" si="0"/>
        <v>0.57827159537227879</v>
      </c>
      <c r="C4" s="2" t="s">
        <v>227</v>
      </c>
      <c r="E4" s="31">
        <v>0.03</v>
      </c>
      <c r="I4" s="31">
        <v>0.03</v>
      </c>
      <c r="J4" s="32">
        <f t="dataTable" ref="J4:K36" dt2D="0" dtr="0" r1="E4" ca="1"/>
        <v>0</v>
      </c>
      <c r="K4" s="32">
        <v>1</v>
      </c>
    </row>
    <row r="5" spans="1:11" x14ac:dyDescent="0.2">
      <c r="A5" s="2">
        <v>3</v>
      </c>
      <c r="B5" s="2">
        <f t="shared" ca="1" si="0"/>
        <v>0.66286089955024008</v>
      </c>
      <c r="C5" s="2" t="s">
        <v>226</v>
      </c>
      <c r="I5" s="31">
        <v>0.06</v>
      </c>
      <c r="J5" s="32">
        <v>0</v>
      </c>
      <c r="K5" s="32">
        <v>1</v>
      </c>
    </row>
    <row r="6" spans="1:11" x14ac:dyDescent="0.2">
      <c r="A6" s="2">
        <v>4</v>
      </c>
      <c r="B6" s="2">
        <f t="shared" ca="1" si="0"/>
        <v>0.41797669632735529</v>
      </c>
      <c r="C6" s="2" t="s">
        <v>227</v>
      </c>
      <c r="E6" s="4" t="s">
        <v>229</v>
      </c>
      <c r="F6" s="4" t="s">
        <v>228</v>
      </c>
      <c r="I6" s="31">
        <v>0.09</v>
      </c>
      <c r="J6" s="32">
        <v>0</v>
      </c>
      <c r="K6" s="32">
        <v>1</v>
      </c>
    </row>
    <row r="7" spans="1:11" x14ac:dyDescent="0.2">
      <c r="A7" s="2">
        <v>5</v>
      </c>
      <c r="B7" s="2">
        <f t="shared" ca="1" si="0"/>
        <v>0.58430342316062134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0</v>
      </c>
      <c r="I7" s="31">
        <v>0.12</v>
      </c>
      <c r="J7" s="32">
        <v>1.9455252918287938E-3</v>
      </c>
      <c r="K7" s="32">
        <v>1</v>
      </c>
    </row>
    <row r="8" spans="1:11" x14ac:dyDescent="0.2">
      <c r="A8" s="2">
        <v>6</v>
      </c>
      <c r="B8" s="2">
        <f t="shared" ca="1" si="0"/>
        <v>0.63308014031538873</v>
      </c>
      <c r="C8" s="2" t="s">
        <v>227</v>
      </c>
      <c r="I8" s="31">
        <v>0.15</v>
      </c>
      <c r="J8" s="32">
        <v>1.9493177387914229E-3</v>
      </c>
      <c r="K8" s="32">
        <v>1</v>
      </c>
    </row>
    <row r="9" spans="1:11" x14ac:dyDescent="0.2">
      <c r="A9" s="2">
        <v>7</v>
      </c>
      <c r="B9" s="2">
        <f t="shared" ca="1" si="0"/>
        <v>0.65963711002096048</v>
      </c>
      <c r="C9" s="2" t="s">
        <v>227</v>
      </c>
      <c r="I9" s="31">
        <v>0.18</v>
      </c>
      <c r="J9" s="32">
        <v>0</v>
      </c>
      <c r="K9" s="32">
        <v>1</v>
      </c>
    </row>
    <row r="10" spans="1:11" x14ac:dyDescent="0.2">
      <c r="A10" s="2">
        <v>8</v>
      </c>
      <c r="B10" s="2">
        <f t="shared" ca="1" si="0"/>
        <v>0.50954610609220696</v>
      </c>
      <c r="C10" s="2" t="s">
        <v>226</v>
      </c>
      <c r="I10" s="31">
        <v>0.21</v>
      </c>
      <c r="J10" s="32">
        <v>9.727626459143969E-3</v>
      </c>
      <c r="K10" s="32">
        <v>1</v>
      </c>
    </row>
    <row r="11" spans="1:11" x14ac:dyDescent="0.2">
      <c r="A11" s="2">
        <v>9</v>
      </c>
      <c r="B11" s="2">
        <f t="shared" ca="1" si="0"/>
        <v>0.66413630296581994</v>
      </c>
      <c r="C11" s="2" t="s">
        <v>226</v>
      </c>
      <c r="I11" s="31">
        <v>0.24</v>
      </c>
      <c r="J11" s="32">
        <v>9.7465886939571145E-3</v>
      </c>
      <c r="K11" s="32">
        <v>1</v>
      </c>
    </row>
    <row r="12" spans="1:11" x14ac:dyDescent="0.2">
      <c r="A12" s="2">
        <v>10</v>
      </c>
      <c r="B12" s="2">
        <f t="shared" ca="1" si="0"/>
        <v>0.53469875894829699</v>
      </c>
      <c r="C12" s="2" t="s">
        <v>226</v>
      </c>
      <c r="I12" s="31">
        <v>0.27</v>
      </c>
      <c r="J12" s="32">
        <v>2.1400778210116732E-2</v>
      </c>
      <c r="K12" s="32">
        <v>1</v>
      </c>
    </row>
    <row r="13" spans="1:11" x14ac:dyDescent="0.2">
      <c r="A13" s="2">
        <v>11</v>
      </c>
      <c r="B13" s="2">
        <f t="shared" ca="1" si="0"/>
        <v>0.63704565811941549</v>
      </c>
      <c r="C13" s="2" t="s">
        <v>226</v>
      </c>
      <c r="I13" s="31">
        <v>0.3</v>
      </c>
      <c r="J13" s="32">
        <v>2.1442495126705652E-2</v>
      </c>
      <c r="K13" s="32">
        <v>1</v>
      </c>
    </row>
    <row r="14" spans="1:11" x14ac:dyDescent="0.2">
      <c r="A14" s="2">
        <v>12</v>
      </c>
      <c r="B14" s="2">
        <f t="shared" ca="1" si="0"/>
        <v>0.61415628379761411</v>
      </c>
      <c r="C14" s="2" t="s">
        <v>226</v>
      </c>
      <c r="I14" s="31">
        <v>0.33</v>
      </c>
      <c r="J14" s="32">
        <v>2.7237354085603113E-2</v>
      </c>
      <c r="K14" s="32">
        <v>1</v>
      </c>
    </row>
    <row r="15" spans="1:11" x14ac:dyDescent="0.2">
      <c r="A15" s="2">
        <v>13</v>
      </c>
      <c r="B15" s="2">
        <f t="shared" ca="1" si="0"/>
        <v>0.69381578784884568</v>
      </c>
      <c r="C15" s="2" t="s">
        <v>227</v>
      </c>
      <c r="I15" s="31">
        <v>0.36</v>
      </c>
      <c r="J15" s="32">
        <v>5.2529182879377433E-2</v>
      </c>
      <c r="K15" s="32">
        <v>1</v>
      </c>
    </row>
    <row r="16" spans="1:11" x14ac:dyDescent="0.2">
      <c r="A16" s="2">
        <v>14</v>
      </c>
      <c r="B16" s="2">
        <f t="shared" ca="1" si="0"/>
        <v>0.64194694619503578</v>
      </c>
      <c r="C16" s="2" t="s">
        <v>227</v>
      </c>
      <c r="I16" s="31">
        <v>0.39</v>
      </c>
      <c r="J16" s="32">
        <v>0.10526315789473684</v>
      </c>
      <c r="K16" s="32">
        <v>0.99794661190965095</v>
      </c>
    </row>
    <row r="17" spans="1:11" x14ac:dyDescent="0.2">
      <c r="A17" s="2">
        <v>15</v>
      </c>
      <c r="B17" s="2">
        <f t="shared" ca="1" si="0"/>
        <v>0.700711220746708</v>
      </c>
      <c r="C17" s="2" t="s">
        <v>227</v>
      </c>
      <c r="I17" s="31">
        <v>0.42</v>
      </c>
      <c r="J17" s="32">
        <v>0.14202334630350194</v>
      </c>
      <c r="K17" s="32">
        <v>0.99588477366255146</v>
      </c>
    </row>
    <row r="18" spans="1:11" x14ac:dyDescent="0.2">
      <c r="A18" s="2">
        <v>16</v>
      </c>
      <c r="B18" s="2">
        <f t="shared" ca="1" si="0"/>
        <v>0.54207311177630413</v>
      </c>
      <c r="C18" s="2" t="s">
        <v>226</v>
      </c>
      <c r="I18" s="31">
        <v>0.45</v>
      </c>
      <c r="J18" s="32">
        <v>0.14814814814814814</v>
      </c>
      <c r="K18" s="32">
        <v>0.99794661190965095</v>
      </c>
    </row>
    <row r="19" spans="1:11" x14ac:dyDescent="0.2">
      <c r="A19" s="2">
        <v>17</v>
      </c>
      <c r="B19" s="2">
        <f t="shared" ca="1" si="0"/>
        <v>0.68186782417740888</v>
      </c>
      <c r="C19" s="2" t="s">
        <v>227</v>
      </c>
      <c r="I19" s="31">
        <v>0.48</v>
      </c>
      <c r="J19" s="32">
        <v>0.19883040935672514</v>
      </c>
      <c r="K19" s="32">
        <v>0.98151950718685832</v>
      </c>
    </row>
    <row r="20" spans="1:11" x14ac:dyDescent="0.2">
      <c r="A20" s="2">
        <v>18</v>
      </c>
      <c r="B20" s="2">
        <f t="shared" ca="1" si="0"/>
        <v>0.58211065635113945</v>
      </c>
      <c r="C20" s="2" t="s">
        <v>226</v>
      </c>
      <c r="I20" s="31">
        <v>0.51</v>
      </c>
      <c r="J20" s="32">
        <v>0.2723735408560311</v>
      </c>
      <c r="K20" s="32">
        <v>0.97325102880658432</v>
      </c>
    </row>
    <row r="21" spans="1:11" x14ac:dyDescent="0.2">
      <c r="A21" s="2">
        <v>19</v>
      </c>
      <c r="B21" s="2">
        <f t="shared" ca="1" si="0"/>
        <v>0.71950380608853082</v>
      </c>
      <c r="C21" s="2" t="s">
        <v>227</v>
      </c>
      <c r="I21" s="31">
        <v>0.54</v>
      </c>
      <c r="J21" s="32">
        <v>0.34113060428849901</v>
      </c>
      <c r="K21" s="32">
        <v>0.95687885010266938</v>
      </c>
    </row>
    <row r="22" spans="1:11" x14ac:dyDescent="0.2">
      <c r="A22" s="2">
        <v>20</v>
      </c>
      <c r="B22" s="2">
        <f t="shared" ca="1" si="0"/>
        <v>0.67137754801881011</v>
      </c>
      <c r="C22" s="2" t="s">
        <v>227</v>
      </c>
      <c r="I22" s="31">
        <v>0.56999999999999995</v>
      </c>
      <c r="J22" s="32">
        <v>0.43274853801169588</v>
      </c>
      <c r="K22" s="32">
        <v>0.90349075975359339</v>
      </c>
    </row>
    <row r="23" spans="1:11" x14ac:dyDescent="0.2">
      <c r="A23" s="2">
        <v>21</v>
      </c>
      <c r="B23" s="2">
        <f t="shared" ca="1" si="0"/>
        <v>0.87941683707893981</v>
      </c>
      <c r="C23" s="2" t="s">
        <v>227</v>
      </c>
      <c r="I23" s="31">
        <v>0.6</v>
      </c>
      <c r="J23" s="32">
        <v>0.51656920077972712</v>
      </c>
      <c r="K23" s="32">
        <v>0.84804928131416835</v>
      </c>
    </row>
    <row r="24" spans="1:11" x14ac:dyDescent="0.2">
      <c r="A24" s="2">
        <v>22</v>
      </c>
      <c r="B24" s="2">
        <f t="shared" ca="1" si="0"/>
        <v>0.42673883174353006</v>
      </c>
      <c r="C24" s="2" t="s">
        <v>226</v>
      </c>
      <c r="I24" s="31">
        <v>0.63</v>
      </c>
      <c r="J24" s="32">
        <v>0.54385964912280704</v>
      </c>
      <c r="K24" s="32">
        <v>0.76180698151950721</v>
      </c>
    </row>
    <row r="25" spans="1:11" x14ac:dyDescent="0.2">
      <c r="A25" s="2">
        <v>23</v>
      </c>
      <c r="B25" s="2">
        <f t="shared" ca="1" si="0"/>
        <v>0.81966358598114542</v>
      </c>
      <c r="C25" s="2" t="s">
        <v>227</v>
      </c>
      <c r="I25" s="31">
        <v>0.66</v>
      </c>
      <c r="J25" s="32">
        <v>0.65175097276264593</v>
      </c>
      <c r="K25" s="32">
        <v>0.6831275720164609</v>
      </c>
    </row>
    <row r="26" spans="1:11" x14ac:dyDescent="0.2">
      <c r="A26" s="2">
        <v>24</v>
      </c>
      <c r="B26" s="2">
        <f t="shared" ca="1" si="0"/>
        <v>0.70796834181769586</v>
      </c>
      <c r="C26" s="2" t="s">
        <v>227</v>
      </c>
      <c r="I26" s="31">
        <v>0.69</v>
      </c>
      <c r="J26" s="32">
        <v>0.71150097465886941</v>
      </c>
      <c r="K26" s="32">
        <v>0.56262833675564683</v>
      </c>
    </row>
    <row r="27" spans="1:11" x14ac:dyDescent="0.2">
      <c r="A27" s="2">
        <v>25</v>
      </c>
      <c r="B27" s="2">
        <f t="shared" ca="1" si="0"/>
        <v>0.70915023056205218</v>
      </c>
      <c r="C27" s="2" t="s">
        <v>227</v>
      </c>
      <c r="I27" s="31">
        <v>0.72</v>
      </c>
      <c r="J27" s="32">
        <v>0.74463937621832355</v>
      </c>
      <c r="K27" s="32">
        <v>0.40451745379876797</v>
      </c>
    </row>
    <row r="28" spans="1:11" x14ac:dyDescent="0.2">
      <c r="A28" s="2">
        <v>26</v>
      </c>
      <c r="B28" s="2">
        <f t="shared" ca="1" si="0"/>
        <v>0.60079011434741325</v>
      </c>
      <c r="C28" s="2" t="s">
        <v>227</v>
      </c>
      <c r="I28" s="31">
        <v>0.75</v>
      </c>
      <c r="J28" s="32">
        <v>0.81871345029239762</v>
      </c>
      <c r="K28" s="32">
        <v>0.27515400410677621</v>
      </c>
    </row>
    <row r="29" spans="1:11" x14ac:dyDescent="0.2">
      <c r="A29" s="2">
        <v>27</v>
      </c>
      <c r="B29" s="2">
        <f t="shared" ca="1" si="0"/>
        <v>0.29900598395584604</v>
      </c>
      <c r="C29" s="2" t="s">
        <v>226</v>
      </c>
      <c r="I29" s="31">
        <v>0.78</v>
      </c>
      <c r="J29" s="32">
        <v>0.91634241245136183</v>
      </c>
      <c r="K29" s="32">
        <v>0.20987654320987653</v>
      </c>
    </row>
    <row r="30" spans="1:11" x14ac:dyDescent="0.2">
      <c r="A30" s="2">
        <v>28</v>
      </c>
      <c r="B30" s="2">
        <f t="shared" ca="1" si="0"/>
        <v>0.75931338749480737</v>
      </c>
      <c r="C30" s="2" t="s">
        <v>227</v>
      </c>
      <c r="I30" s="31">
        <v>0.81</v>
      </c>
      <c r="J30" s="32">
        <v>0.91634241245136183</v>
      </c>
      <c r="K30" s="32">
        <v>0.1419753086419753</v>
      </c>
    </row>
    <row r="31" spans="1:11" x14ac:dyDescent="0.2">
      <c r="A31" s="2">
        <v>29</v>
      </c>
      <c r="B31" s="2">
        <f t="shared" ca="1" si="0"/>
        <v>0.71189087443782362</v>
      </c>
      <c r="C31" s="2" t="s">
        <v>226</v>
      </c>
      <c r="I31" s="31">
        <v>0.84</v>
      </c>
      <c r="J31" s="32">
        <v>0.95719844357976658</v>
      </c>
      <c r="K31" s="32">
        <v>9.8765432098765427E-2</v>
      </c>
    </row>
    <row r="32" spans="1:11" x14ac:dyDescent="0.2">
      <c r="A32" s="2">
        <v>30</v>
      </c>
      <c r="B32" s="2">
        <f t="shared" ca="1" si="0"/>
        <v>0.73198289667673055</v>
      </c>
      <c r="C32" s="2" t="s">
        <v>227</v>
      </c>
      <c r="I32" s="31">
        <v>0.87</v>
      </c>
      <c r="J32" s="32">
        <v>0.96498054474708173</v>
      </c>
      <c r="K32" s="32">
        <v>5.1440329218106998E-2</v>
      </c>
    </row>
    <row r="33" spans="1:11" x14ac:dyDescent="0.2">
      <c r="A33" s="2">
        <v>31</v>
      </c>
      <c r="B33" s="2">
        <f t="shared" ca="1" si="0"/>
        <v>0.56494054838760577</v>
      </c>
      <c r="C33" s="2" t="s">
        <v>227</v>
      </c>
      <c r="I33" s="31">
        <v>0.9</v>
      </c>
      <c r="J33" s="32">
        <v>0.98638132295719849</v>
      </c>
      <c r="K33" s="32">
        <v>2.8806584362139918E-2</v>
      </c>
    </row>
    <row r="34" spans="1:11" x14ac:dyDescent="0.2">
      <c r="A34" s="2">
        <v>32</v>
      </c>
      <c r="B34" s="2">
        <f t="shared" ca="1" si="0"/>
        <v>0.82165678130832254</v>
      </c>
      <c r="C34" s="2" t="s">
        <v>226</v>
      </c>
      <c r="I34" s="31">
        <v>0.93</v>
      </c>
      <c r="J34" s="32">
        <v>0.98832684824902728</v>
      </c>
      <c r="K34" s="32">
        <v>1.2345679012345678E-2</v>
      </c>
    </row>
    <row r="35" spans="1:11" x14ac:dyDescent="0.2">
      <c r="A35" s="2">
        <v>33</v>
      </c>
      <c r="B35" s="2">
        <f t="shared" ca="1" si="0"/>
        <v>0.77072958085937837</v>
      </c>
      <c r="C35" s="2" t="s">
        <v>226</v>
      </c>
      <c r="I35" s="31">
        <v>0.96</v>
      </c>
      <c r="J35" s="32">
        <v>0.99027237354085607</v>
      </c>
      <c r="K35" s="32">
        <v>2.05761316872428E-3</v>
      </c>
    </row>
    <row r="36" spans="1:11" x14ac:dyDescent="0.2">
      <c r="A36" s="2">
        <v>34</v>
      </c>
      <c r="B36" s="2">
        <f t="shared" ca="1" si="0"/>
        <v>0.73047621054611245</v>
      </c>
      <c r="C36" s="2" t="s">
        <v>226</v>
      </c>
      <c r="I36" s="31">
        <v>0.99</v>
      </c>
      <c r="J36" s="32">
        <v>0.98440545808966862</v>
      </c>
      <c r="K36" s="32">
        <v>4.1067761806981521E-3</v>
      </c>
    </row>
    <row r="37" spans="1:11" x14ac:dyDescent="0.2">
      <c r="A37" s="2">
        <v>35</v>
      </c>
      <c r="B37" s="2">
        <f t="shared" ca="1" si="0"/>
        <v>0.6217155445768292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0.66688230709624008</v>
      </c>
      <c r="C38" s="2" t="s">
        <v>226</v>
      </c>
    </row>
    <row r="39" spans="1:11" x14ac:dyDescent="0.2">
      <c r="A39" s="2">
        <v>37</v>
      </c>
      <c r="B39" s="2">
        <f t="shared" ca="1" si="0"/>
        <v>0.64496618571087139</v>
      </c>
      <c r="C39" s="2" t="s">
        <v>226</v>
      </c>
    </row>
    <row r="40" spans="1:11" x14ac:dyDescent="0.2">
      <c r="A40" s="2">
        <v>38</v>
      </c>
      <c r="B40" s="2">
        <f t="shared" ca="1" si="0"/>
        <v>0.65167370980357064</v>
      </c>
      <c r="C40" s="2" t="s">
        <v>227</v>
      </c>
    </row>
    <row r="41" spans="1:11" x14ac:dyDescent="0.2">
      <c r="A41" s="2">
        <v>39</v>
      </c>
      <c r="B41" s="2">
        <f t="shared" ca="1" si="0"/>
        <v>0.53625047407681969</v>
      </c>
      <c r="C41" s="2" t="s">
        <v>226</v>
      </c>
    </row>
    <row r="42" spans="1:11" x14ac:dyDescent="0.2">
      <c r="A42" s="2">
        <v>40</v>
      </c>
      <c r="B42" s="2">
        <f t="shared" ca="1" si="0"/>
        <v>0.59019582069903986</v>
      </c>
      <c r="C42" s="2" t="s">
        <v>227</v>
      </c>
    </row>
    <row r="43" spans="1:11" x14ac:dyDescent="0.2">
      <c r="A43" s="2">
        <v>41</v>
      </c>
      <c r="B43" s="2">
        <f t="shared" ca="1" si="0"/>
        <v>0.85275387578497175</v>
      </c>
      <c r="C43" s="2" t="s">
        <v>226</v>
      </c>
    </row>
    <row r="44" spans="1:11" x14ac:dyDescent="0.2">
      <c r="A44" s="2">
        <v>42</v>
      </c>
      <c r="B44" s="2">
        <f t="shared" ca="1" si="0"/>
        <v>0.70039973031127056</v>
      </c>
      <c r="C44" s="2" t="s">
        <v>226</v>
      </c>
    </row>
    <row r="45" spans="1:11" x14ac:dyDescent="0.2">
      <c r="A45" s="2">
        <v>43</v>
      </c>
      <c r="B45" s="2">
        <f t="shared" ca="1" si="0"/>
        <v>0.62724071758314315</v>
      </c>
      <c r="C45" s="2" t="s">
        <v>226</v>
      </c>
    </row>
    <row r="46" spans="1:11" x14ac:dyDescent="0.2">
      <c r="A46" s="2">
        <v>44</v>
      </c>
      <c r="B46" s="2">
        <f t="shared" ca="1" si="0"/>
        <v>0.78024148199835874</v>
      </c>
      <c r="C46" s="2" t="s">
        <v>226</v>
      </c>
    </row>
    <row r="47" spans="1:11" x14ac:dyDescent="0.2">
      <c r="A47" s="2">
        <v>45</v>
      </c>
      <c r="B47" s="2">
        <f t="shared" ca="1" si="0"/>
        <v>0.5536599679053561</v>
      </c>
      <c r="C47" s="2" t="s">
        <v>226</v>
      </c>
    </row>
    <row r="48" spans="1:11" x14ac:dyDescent="0.2">
      <c r="A48" s="2">
        <v>46</v>
      </c>
      <c r="B48" s="2">
        <f t="shared" ca="1" si="0"/>
        <v>0.8063306066842606</v>
      </c>
      <c r="C48" s="2" t="s">
        <v>227</v>
      </c>
    </row>
    <row r="49" spans="1:3" x14ac:dyDescent="0.2">
      <c r="A49" s="2">
        <v>47</v>
      </c>
      <c r="B49" s="2">
        <f t="shared" ca="1" si="0"/>
        <v>0.58867284590922753</v>
      </c>
      <c r="C49" s="2" t="s">
        <v>227</v>
      </c>
    </row>
    <row r="50" spans="1:3" x14ac:dyDescent="0.2">
      <c r="A50" s="2">
        <v>48</v>
      </c>
      <c r="B50" s="2">
        <f t="shared" ca="1" si="0"/>
        <v>0.49523037766875611</v>
      </c>
      <c r="C50" s="2" t="s">
        <v>226</v>
      </c>
    </row>
    <row r="51" spans="1:3" x14ac:dyDescent="0.2">
      <c r="A51" s="2">
        <v>49</v>
      </c>
      <c r="B51" s="2">
        <f t="shared" ca="1" si="0"/>
        <v>0.83147969966367141</v>
      </c>
      <c r="C51" s="2" t="s">
        <v>227</v>
      </c>
    </row>
    <row r="52" spans="1:3" x14ac:dyDescent="0.2">
      <c r="A52" s="2">
        <v>50</v>
      </c>
      <c r="B52" s="2">
        <f t="shared" ca="1" si="0"/>
        <v>0.74419705426864891</v>
      </c>
      <c r="C52" s="2" t="s">
        <v>227</v>
      </c>
    </row>
    <row r="53" spans="1:3" x14ac:dyDescent="0.2">
      <c r="A53" s="2">
        <v>51</v>
      </c>
      <c r="B53" s="2">
        <f t="shared" ca="1" si="0"/>
        <v>0.57612568319988311</v>
      </c>
      <c r="C53" s="2" t="s">
        <v>227</v>
      </c>
    </row>
    <row r="54" spans="1:3" x14ac:dyDescent="0.2">
      <c r="A54" s="2">
        <v>52</v>
      </c>
      <c r="B54" s="2">
        <f t="shared" ca="1" si="0"/>
        <v>0.47403091520159446</v>
      </c>
      <c r="C54" s="2" t="s">
        <v>226</v>
      </c>
    </row>
    <row r="55" spans="1:3" x14ac:dyDescent="0.2">
      <c r="A55" s="2">
        <v>53</v>
      </c>
      <c r="B55" s="2">
        <f t="shared" ca="1" si="0"/>
        <v>0.75444425278784344</v>
      </c>
      <c r="C55" s="2" t="s">
        <v>226</v>
      </c>
    </row>
    <row r="56" spans="1:3" x14ac:dyDescent="0.2">
      <c r="A56" s="2">
        <v>54</v>
      </c>
      <c r="B56" s="2">
        <f t="shared" ca="1" si="0"/>
        <v>0.72205354300174573</v>
      </c>
      <c r="C56" s="2" t="s">
        <v>227</v>
      </c>
    </row>
    <row r="57" spans="1:3" x14ac:dyDescent="0.2">
      <c r="A57" s="2">
        <v>55</v>
      </c>
      <c r="B57" s="2">
        <f t="shared" ca="1" si="0"/>
        <v>0.61730766734689824</v>
      </c>
      <c r="C57" s="2" t="s">
        <v>227</v>
      </c>
    </row>
    <row r="58" spans="1:3" x14ac:dyDescent="0.2">
      <c r="A58" s="2">
        <v>56</v>
      </c>
      <c r="B58" s="2">
        <f t="shared" ca="1" si="0"/>
        <v>0.63872909267608136</v>
      </c>
      <c r="C58" s="2" t="s">
        <v>227</v>
      </c>
    </row>
    <row r="59" spans="1:3" x14ac:dyDescent="0.2">
      <c r="A59" s="2">
        <v>57</v>
      </c>
      <c r="B59" s="2">
        <f t="shared" ca="1" si="0"/>
        <v>0.66160581656079998</v>
      </c>
      <c r="C59" s="2" t="s">
        <v>226</v>
      </c>
    </row>
    <row r="60" spans="1:3" x14ac:dyDescent="0.2">
      <c r="A60" s="2">
        <v>58</v>
      </c>
      <c r="B60" s="2">
        <f t="shared" ca="1" si="0"/>
        <v>0.72006562942827668</v>
      </c>
      <c r="C60" s="2" t="s">
        <v>227</v>
      </c>
    </row>
    <row r="61" spans="1:3" x14ac:dyDescent="0.2">
      <c r="A61" s="2">
        <v>59</v>
      </c>
      <c r="B61" s="2">
        <f t="shared" ca="1" si="0"/>
        <v>0.76091383022396852</v>
      </c>
      <c r="C61" s="2" t="s">
        <v>227</v>
      </c>
    </row>
    <row r="62" spans="1:3" x14ac:dyDescent="0.2">
      <c r="A62" s="2">
        <v>60</v>
      </c>
      <c r="B62" s="2">
        <f t="shared" ca="1" si="0"/>
        <v>0.55106089123392321</v>
      </c>
      <c r="C62" s="2" t="s">
        <v>226</v>
      </c>
    </row>
    <row r="63" spans="1:3" x14ac:dyDescent="0.2">
      <c r="A63" s="2">
        <v>61</v>
      </c>
      <c r="B63" s="2">
        <f t="shared" ca="1" si="0"/>
        <v>0.65341662092314778</v>
      </c>
      <c r="C63" s="2" t="s">
        <v>226</v>
      </c>
    </row>
    <row r="64" spans="1:3" x14ac:dyDescent="0.2">
      <c r="A64" s="2">
        <v>62</v>
      </c>
      <c r="B64" s="2">
        <f t="shared" ca="1" si="0"/>
        <v>0.5472617825033409</v>
      </c>
      <c r="C64" s="2" t="s">
        <v>226</v>
      </c>
    </row>
    <row r="65" spans="1:3" x14ac:dyDescent="0.2">
      <c r="A65" s="2">
        <v>63</v>
      </c>
      <c r="B65" s="2">
        <f t="shared" ca="1" si="0"/>
        <v>0.7554018060044726</v>
      </c>
      <c r="C65" s="2" t="s">
        <v>227</v>
      </c>
    </row>
    <row r="66" spans="1:3" x14ac:dyDescent="0.2">
      <c r="A66" s="2">
        <v>64</v>
      </c>
      <c r="B66" s="2">
        <f t="shared" ca="1" si="0"/>
        <v>0.76901616953344343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0.75194547847906423</v>
      </c>
      <c r="C67" s="2" t="s">
        <v>227</v>
      </c>
    </row>
    <row r="68" spans="1:3" x14ac:dyDescent="0.2">
      <c r="A68" s="2">
        <v>66</v>
      </c>
      <c r="B68" s="2">
        <f t="shared" ca="1" si="1"/>
        <v>0.62097201368026766</v>
      </c>
      <c r="C68" s="2" t="s">
        <v>227</v>
      </c>
    </row>
    <row r="69" spans="1:3" x14ac:dyDescent="0.2">
      <c r="A69" s="2">
        <v>67</v>
      </c>
      <c r="B69" s="2">
        <f t="shared" ca="1" si="1"/>
        <v>0.86957209299534033</v>
      </c>
      <c r="C69" s="2" t="s">
        <v>227</v>
      </c>
    </row>
    <row r="70" spans="1:3" x14ac:dyDescent="0.2">
      <c r="A70" s="2">
        <v>68</v>
      </c>
      <c r="B70" s="2">
        <f t="shared" ca="1" si="1"/>
        <v>0.75416922907665884</v>
      </c>
      <c r="C70" s="2" t="s">
        <v>226</v>
      </c>
    </row>
    <row r="71" spans="1:3" x14ac:dyDescent="0.2">
      <c r="A71" s="2">
        <v>69</v>
      </c>
      <c r="B71" s="2">
        <f t="shared" ca="1" si="1"/>
        <v>0.4207476050409521</v>
      </c>
      <c r="C71" s="2" t="s">
        <v>226</v>
      </c>
    </row>
    <row r="72" spans="1:3" x14ac:dyDescent="0.2">
      <c r="A72" s="2">
        <v>70</v>
      </c>
      <c r="B72" s="2">
        <f t="shared" ca="1" si="1"/>
        <v>0.50430029169105384</v>
      </c>
      <c r="C72" s="2" t="s">
        <v>226</v>
      </c>
    </row>
    <row r="73" spans="1:3" x14ac:dyDescent="0.2">
      <c r="A73" s="2">
        <v>71</v>
      </c>
      <c r="B73" s="2">
        <f t="shared" ca="1" si="1"/>
        <v>0.67396788004127728</v>
      </c>
      <c r="C73" s="2" t="s">
        <v>226</v>
      </c>
    </row>
    <row r="74" spans="1:3" x14ac:dyDescent="0.2">
      <c r="A74" s="2">
        <v>72</v>
      </c>
      <c r="B74" s="2">
        <f t="shared" ca="1" si="1"/>
        <v>0.6106314973124034</v>
      </c>
      <c r="C74" s="2" t="s">
        <v>226</v>
      </c>
    </row>
    <row r="75" spans="1:3" x14ac:dyDescent="0.2">
      <c r="A75" s="2">
        <v>73</v>
      </c>
      <c r="B75" s="2">
        <f t="shared" ca="1" si="1"/>
        <v>0.47706381976562467</v>
      </c>
      <c r="C75" s="2" t="s">
        <v>227</v>
      </c>
    </row>
    <row r="76" spans="1:3" x14ac:dyDescent="0.2">
      <c r="A76" s="2">
        <v>74</v>
      </c>
      <c r="B76" s="2">
        <f t="shared" ca="1" si="1"/>
        <v>0.60985321580742258</v>
      </c>
      <c r="C76" s="2" t="s">
        <v>227</v>
      </c>
    </row>
    <row r="77" spans="1:3" x14ac:dyDescent="0.2">
      <c r="A77" s="2">
        <v>75</v>
      </c>
      <c r="B77" s="2">
        <f t="shared" ca="1" si="1"/>
        <v>0.62206415877042776</v>
      </c>
      <c r="C77" s="2" t="s">
        <v>227</v>
      </c>
    </row>
    <row r="78" spans="1:3" x14ac:dyDescent="0.2">
      <c r="A78" s="2">
        <v>76</v>
      </c>
      <c r="B78" s="2">
        <f t="shared" ca="1" si="1"/>
        <v>0.71577191404195861</v>
      </c>
      <c r="C78" s="2" t="s">
        <v>227</v>
      </c>
    </row>
    <row r="79" spans="1:3" x14ac:dyDescent="0.2">
      <c r="A79" s="2">
        <v>77</v>
      </c>
      <c r="B79" s="2">
        <f t="shared" ca="1" si="1"/>
        <v>0.39118845342917485</v>
      </c>
      <c r="C79" s="2" t="s">
        <v>226</v>
      </c>
    </row>
    <row r="80" spans="1:3" x14ac:dyDescent="0.2">
      <c r="A80" s="2">
        <v>78</v>
      </c>
      <c r="B80" s="2">
        <f t="shared" ca="1" si="1"/>
        <v>0.78340356226929242</v>
      </c>
      <c r="C80" s="2" t="s">
        <v>227</v>
      </c>
    </row>
    <row r="81" spans="1:3" x14ac:dyDescent="0.2">
      <c r="A81" s="2">
        <v>79</v>
      </c>
      <c r="B81" s="2">
        <f t="shared" ca="1" si="1"/>
        <v>0.56011267507600926</v>
      </c>
      <c r="C81" s="2" t="s">
        <v>226</v>
      </c>
    </row>
    <row r="82" spans="1:3" x14ac:dyDescent="0.2">
      <c r="A82" s="2">
        <v>80</v>
      </c>
      <c r="B82" s="2">
        <f t="shared" ca="1" si="1"/>
        <v>0.60427405012467783</v>
      </c>
      <c r="C82" s="2" t="s">
        <v>227</v>
      </c>
    </row>
    <row r="83" spans="1:3" x14ac:dyDescent="0.2">
      <c r="A83" s="2">
        <v>81</v>
      </c>
      <c r="B83" s="2">
        <f t="shared" ca="1" si="1"/>
        <v>0.74143983146382608</v>
      </c>
      <c r="C83" s="2" t="s">
        <v>227</v>
      </c>
    </row>
    <row r="84" spans="1:3" x14ac:dyDescent="0.2">
      <c r="A84" s="2">
        <v>82</v>
      </c>
      <c r="B84" s="2">
        <f t="shared" ca="1" si="1"/>
        <v>0.75824039020692435</v>
      </c>
      <c r="C84" s="2" t="s">
        <v>226</v>
      </c>
    </row>
    <row r="85" spans="1:3" x14ac:dyDescent="0.2">
      <c r="A85" s="2">
        <v>83</v>
      </c>
      <c r="B85" s="2">
        <f t="shared" ca="1" si="1"/>
        <v>0.76803361179174667</v>
      </c>
      <c r="C85" s="2" t="s">
        <v>227</v>
      </c>
    </row>
    <row r="86" spans="1:3" x14ac:dyDescent="0.2">
      <c r="A86" s="2">
        <v>84</v>
      </c>
      <c r="B86" s="2">
        <f t="shared" ca="1" si="1"/>
        <v>0.66206306441333562</v>
      </c>
      <c r="C86" s="2" t="s">
        <v>227</v>
      </c>
    </row>
    <row r="87" spans="1:3" x14ac:dyDescent="0.2">
      <c r="A87" s="2">
        <v>85</v>
      </c>
      <c r="B87" s="2">
        <f t="shared" ca="1" si="1"/>
        <v>0.5615191238461259</v>
      </c>
      <c r="C87" s="2" t="s">
        <v>226</v>
      </c>
    </row>
    <row r="88" spans="1:3" x14ac:dyDescent="0.2">
      <c r="A88" s="2">
        <v>86</v>
      </c>
      <c r="B88" s="2">
        <f t="shared" ca="1" si="1"/>
        <v>0.69865484651810839</v>
      </c>
      <c r="C88" s="2" t="s">
        <v>226</v>
      </c>
    </row>
    <row r="89" spans="1:3" x14ac:dyDescent="0.2">
      <c r="A89" s="2">
        <v>87</v>
      </c>
      <c r="B89" s="2">
        <f t="shared" ca="1" si="1"/>
        <v>0.58205894921077206</v>
      </c>
      <c r="C89" s="2" t="s">
        <v>226</v>
      </c>
    </row>
    <row r="90" spans="1:3" x14ac:dyDescent="0.2">
      <c r="A90" s="2">
        <v>88</v>
      </c>
      <c r="B90" s="2">
        <f t="shared" ca="1" si="1"/>
        <v>0.48601416842889711</v>
      </c>
      <c r="C90" s="2" t="s">
        <v>226</v>
      </c>
    </row>
    <row r="91" spans="1:3" x14ac:dyDescent="0.2">
      <c r="A91" s="2">
        <v>89</v>
      </c>
      <c r="B91" s="2">
        <f t="shared" ca="1" si="1"/>
        <v>0.70306768436860745</v>
      </c>
      <c r="C91" s="2" t="s">
        <v>226</v>
      </c>
    </row>
    <row r="92" spans="1:3" x14ac:dyDescent="0.2">
      <c r="A92" s="2">
        <v>90</v>
      </c>
      <c r="B92" s="2">
        <f t="shared" ca="1" si="1"/>
        <v>0.74211369874363109</v>
      </c>
      <c r="C92" s="2" t="s">
        <v>227</v>
      </c>
    </row>
    <row r="93" spans="1:3" x14ac:dyDescent="0.2">
      <c r="A93" s="2">
        <v>91</v>
      </c>
      <c r="B93" s="2">
        <f t="shared" ca="1" si="1"/>
        <v>0.71098928311201148</v>
      </c>
      <c r="C93" s="2" t="s">
        <v>227</v>
      </c>
    </row>
    <row r="94" spans="1:3" x14ac:dyDescent="0.2">
      <c r="A94" s="2">
        <v>92</v>
      </c>
      <c r="B94" s="2">
        <f t="shared" ca="1" si="1"/>
        <v>0.96599084900764942</v>
      </c>
      <c r="C94" s="2" t="s">
        <v>226</v>
      </c>
    </row>
    <row r="95" spans="1:3" x14ac:dyDescent="0.2">
      <c r="A95" s="2">
        <v>93</v>
      </c>
      <c r="B95" s="2">
        <f t="shared" ca="1" si="1"/>
        <v>0.60935948415696595</v>
      </c>
      <c r="C95" s="2" t="s">
        <v>227</v>
      </c>
    </row>
    <row r="96" spans="1:3" x14ac:dyDescent="0.2">
      <c r="A96" s="2">
        <v>94</v>
      </c>
      <c r="B96" s="2">
        <f t="shared" ca="1" si="1"/>
        <v>0.53401295239659308</v>
      </c>
      <c r="C96" s="2" t="s">
        <v>227</v>
      </c>
    </row>
    <row r="97" spans="1:3" x14ac:dyDescent="0.2">
      <c r="A97" s="2">
        <v>95</v>
      </c>
      <c r="B97" s="2">
        <f t="shared" ca="1" si="1"/>
        <v>0.71390903852807031</v>
      </c>
      <c r="C97" s="2" t="s">
        <v>226</v>
      </c>
    </row>
    <row r="98" spans="1:3" x14ac:dyDescent="0.2">
      <c r="A98" s="2">
        <v>96</v>
      </c>
      <c r="B98" s="2">
        <f t="shared" ca="1" si="1"/>
        <v>0.62739695725094846</v>
      </c>
      <c r="C98" s="2" t="s">
        <v>226</v>
      </c>
    </row>
    <row r="99" spans="1:3" x14ac:dyDescent="0.2">
      <c r="A99" s="2">
        <v>97</v>
      </c>
      <c r="B99" s="2">
        <f t="shared" ca="1" si="1"/>
        <v>0.69036670117639987</v>
      </c>
      <c r="C99" s="2" t="s">
        <v>227</v>
      </c>
    </row>
    <row r="100" spans="1:3" x14ac:dyDescent="0.2">
      <c r="A100" s="2">
        <v>98</v>
      </c>
      <c r="B100" s="2">
        <f t="shared" ca="1" si="1"/>
        <v>0.70883603212794066</v>
      </c>
      <c r="C100" s="2" t="s">
        <v>227</v>
      </c>
    </row>
    <row r="101" spans="1:3" x14ac:dyDescent="0.2">
      <c r="A101" s="2">
        <v>99</v>
      </c>
      <c r="B101" s="2">
        <f t="shared" ca="1" si="1"/>
        <v>0.74308036296308433</v>
      </c>
      <c r="C101" s="2" t="s">
        <v>227</v>
      </c>
    </row>
    <row r="102" spans="1:3" x14ac:dyDescent="0.2">
      <c r="A102" s="2">
        <v>100</v>
      </c>
      <c r="B102" s="2">
        <f t="shared" ca="1" si="1"/>
        <v>0.57602892170326059</v>
      </c>
      <c r="C102" s="2" t="s">
        <v>226</v>
      </c>
    </row>
    <row r="103" spans="1:3" x14ac:dyDescent="0.2">
      <c r="A103" s="2">
        <v>101</v>
      </c>
      <c r="B103" s="2">
        <f t="shared" ca="1" si="1"/>
        <v>0.76461924094404021</v>
      </c>
      <c r="C103" s="2" t="s">
        <v>227</v>
      </c>
    </row>
    <row r="104" spans="1:3" x14ac:dyDescent="0.2">
      <c r="A104" s="2">
        <v>102</v>
      </c>
      <c r="B104" s="2">
        <f t="shared" ca="1" si="1"/>
        <v>0.62853171041393163</v>
      </c>
      <c r="C104" s="2" t="s">
        <v>226</v>
      </c>
    </row>
    <row r="105" spans="1:3" x14ac:dyDescent="0.2">
      <c r="A105" s="2">
        <v>103</v>
      </c>
      <c r="B105" s="2">
        <f t="shared" ca="1" si="1"/>
        <v>0.6946143871552537</v>
      </c>
      <c r="C105" s="2" t="s">
        <v>226</v>
      </c>
    </row>
    <row r="106" spans="1:3" x14ac:dyDescent="0.2">
      <c r="A106" s="2">
        <v>104</v>
      </c>
      <c r="B106" s="2">
        <f t="shared" ca="1" si="1"/>
        <v>0.77936309814975668</v>
      </c>
      <c r="C106" s="2" t="s">
        <v>226</v>
      </c>
    </row>
    <row r="107" spans="1:3" x14ac:dyDescent="0.2">
      <c r="A107" s="2">
        <v>105</v>
      </c>
      <c r="B107" s="2">
        <f t="shared" ca="1" si="1"/>
        <v>0.62608123541922378</v>
      </c>
      <c r="C107" s="2" t="s">
        <v>227</v>
      </c>
    </row>
    <row r="108" spans="1:3" x14ac:dyDescent="0.2">
      <c r="A108" s="2">
        <v>106</v>
      </c>
      <c r="B108" s="2">
        <f t="shared" ca="1" si="1"/>
        <v>0.37191273017265386</v>
      </c>
      <c r="C108" s="2" t="s">
        <v>226</v>
      </c>
    </row>
    <row r="109" spans="1:3" x14ac:dyDescent="0.2">
      <c r="A109" s="2">
        <v>107</v>
      </c>
      <c r="B109" s="2">
        <f t="shared" ca="1" si="1"/>
        <v>0.49903626741197815</v>
      </c>
      <c r="C109" s="2" t="s">
        <v>226</v>
      </c>
    </row>
    <row r="110" spans="1:3" x14ac:dyDescent="0.2">
      <c r="A110" s="2">
        <v>108</v>
      </c>
      <c r="B110" s="2">
        <f t="shared" ca="1" si="1"/>
        <v>0.48961668180681939</v>
      </c>
      <c r="C110" s="2" t="s">
        <v>226</v>
      </c>
    </row>
    <row r="111" spans="1:3" x14ac:dyDescent="0.2">
      <c r="A111" s="2">
        <v>109</v>
      </c>
      <c r="B111" s="2">
        <f t="shared" ca="1" si="1"/>
        <v>0.66794237147086188</v>
      </c>
      <c r="C111" s="2" t="s">
        <v>226</v>
      </c>
    </row>
    <row r="112" spans="1:3" x14ac:dyDescent="0.2">
      <c r="A112" s="2">
        <v>110</v>
      </c>
      <c r="B112" s="2">
        <f t="shared" ca="1" si="1"/>
        <v>0.63125125705152829</v>
      </c>
      <c r="C112" s="2" t="s">
        <v>226</v>
      </c>
    </row>
    <row r="113" spans="1:3" x14ac:dyDescent="0.2">
      <c r="A113" s="2">
        <v>111</v>
      </c>
      <c r="B113" s="2">
        <f t="shared" ca="1" si="1"/>
        <v>0.85763147822863739</v>
      </c>
      <c r="C113" s="2" t="s">
        <v>227</v>
      </c>
    </row>
    <row r="114" spans="1:3" x14ac:dyDescent="0.2">
      <c r="A114" s="2">
        <v>112</v>
      </c>
      <c r="B114" s="2">
        <f t="shared" ca="1" si="1"/>
        <v>0.7087318879577964</v>
      </c>
      <c r="C114" s="2" t="s">
        <v>226</v>
      </c>
    </row>
    <row r="115" spans="1:3" x14ac:dyDescent="0.2">
      <c r="A115" s="2">
        <v>113</v>
      </c>
      <c r="B115" s="2">
        <f t="shared" ca="1" si="1"/>
        <v>0.58908776907690474</v>
      </c>
      <c r="C115" s="2" t="s">
        <v>226</v>
      </c>
    </row>
    <row r="116" spans="1:3" x14ac:dyDescent="0.2">
      <c r="A116" s="2">
        <v>114</v>
      </c>
      <c r="B116" s="2">
        <f t="shared" ca="1" si="1"/>
        <v>0.63077240013505254</v>
      </c>
      <c r="C116" s="2" t="s">
        <v>226</v>
      </c>
    </row>
    <row r="117" spans="1:3" x14ac:dyDescent="0.2">
      <c r="A117" s="2">
        <v>115</v>
      </c>
      <c r="B117" s="2">
        <f t="shared" ca="1" si="1"/>
        <v>0.55869062295454308</v>
      </c>
      <c r="C117" s="2" t="s">
        <v>226</v>
      </c>
    </row>
    <row r="118" spans="1:3" x14ac:dyDescent="0.2">
      <c r="A118" s="2">
        <v>116</v>
      </c>
      <c r="B118" s="2">
        <f t="shared" ca="1" si="1"/>
        <v>0.65057673746179223</v>
      </c>
      <c r="C118" s="2" t="s">
        <v>226</v>
      </c>
    </row>
    <row r="119" spans="1:3" x14ac:dyDescent="0.2">
      <c r="A119" s="2">
        <v>117</v>
      </c>
      <c r="B119" s="2">
        <f t="shared" ca="1" si="1"/>
        <v>0.57209484315042314</v>
      </c>
      <c r="C119" s="2" t="s">
        <v>226</v>
      </c>
    </row>
    <row r="120" spans="1:3" x14ac:dyDescent="0.2">
      <c r="A120" s="2">
        <v>118</v>
      </c>
      <c r="B120" s="2">
        <f t="shared" ca="1" si="1"/>
        <v>0.64699295565764758</v>
      </c>
      <c r="C120" s="2" t="s">
        <v>226</v>
      </c>
    </row>
    <row r="121" spans="1:3" x14ac:dyDescent="0.2">
      <c r="A121" s="2">
        <v>119</v>
      </c>
      <c r="B121" s="2">
        <f t="shared" ca="1" si="1"/>
        <v>0.98702810584865108</v>
      </c>
      <c r="C121" s="2" t="s">
        <v>226</v>
      </c>
    </row>
    <row r="122" spans="1:3" x14ac:dyDescent="0.2">
      <c r="A122" s="2">
        <v>120</v>
      </c>
      <c r="B122" s="2">
        <f t="shared" ca="1" si="1"/>
        <v>0.70214245117999208</v>
      </c>
      <c r="C122" s="2" t="s">
        <v>227</v>
      </c>
    </row>
    <row r="123" spans="1:3" x14ac:dyDescent="0.2">
      <c r="A123" s="2">
        <v>121</v>
      </c>
      <c r="B123" s="2">
        <f t="shared" ca="1" si="1"/>
        <v>0.95109871462012086</v>
      </c>
      <c r="C123" s="2" t="s">
        <v>227</v>
      </c>
    </row>
    <row r="124" spans="1:3" x14ac:dyDescent="0.2">
      <c r="A124" s="2">
        <v>122</v>
      </c>
      <c r="B124" s="2">
        <f t="shared" ca="1" si="1"/>
        <v>0.50487710265896313</v>
      </c>
      <c r="C124" s="2" t="s">
        <v>226</v>
      </c>
    </row>
    <row r="125" spans="1:3" x14ac:dyDescent="0.2">
      <c r="A125" s="2">
        <v>123</v>
      </c>
      <c r="B125" s="2">
        <f t="shared" ca="1" si="1"/>
        <v>0.8196241807746617</v>
      </c>
      <c r="C125" s="2" t="s">
        <v>227</v>
      </c>
    </row>
    <row r="126" spans="1:3" x14ac:dyDescent="0.2">
      <c r="A126" s="2">
        <v>124</v>
      </c>
      <c r="B126" s="2">
        <f t="shared" ca="1" si="1"/>
        <v>0.54683012010772658</v>
      </c>
      <c r="C126" s="2" t="s">
        <v>227</v>
      </c>
    </row>
    <row r="127" spans="1:3" x14ac:dyDescent="0.2">
      <c r="A127" s="2">
        <v>125</v>
      </c>
      <c r="B127" s="2">
        <f t="shared" ca="1" si="1"/>
        <v>0.60658467245281888</v>
      </c>
      <c r="C127" s="2" t="s">
        <v>226</v>
      </c>
    </row>
    <row r="128" spans="1:3" x14ac:dyDescent="0.2">
      <c r="A128" s="2">
        <v>126</v>
      </c>
      <c r="B128" s="2">
        <f t="shared" ca="1" si="1"/>
        <v>0.60012173992732143</v>
      </c>
      <c r="C128" s="2" t="s">
        <v>226</v>
      </c>
    </row>
    <row r="129" spans="1:3" x14ac:dyDescent="0.2">
      <c r="A129" s="2">
        <v>127</v>
      </c>
      <c r="B129" s="2">
        <f t="shared" ca="1" si="1"/>
        <v>0.70938362986258929</v>
      </c>
      <c r="C129" s="2" t="s">
        <v>226</v>
      </c>
    </row>
    <row r="130" spans="1:3" x14ac:dyDescent="0.2">
      <c r="A130" s="2">
        <v>128</v>
      </c>
      <c r="B130" s="2">
        <f t="shared" ca="1" si="1"/>
        <v>0.60953270546610383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0.72421937964929339</v>
      </c>
      <c r="C131" s="2" t="s">
        <v>226</v>
      </c>
    </row>
    <row r="132" spans="1:3" x14ac:dyDescent="0.2">
      <c r="A132" s="2">
        <v>130</v>
      </c>
      <c r="B132" s="2">
        <f t="shared" ca="1" si="2"/>
        <v>0.692649011640454</v>
      </c>
      <c r="C132" s="2" t="s">
        <v>227</v>
      </c>
    </row>
    <row r="133" spans="1:3" x14ac:dyDescent="0.2">
      <c r="A133" s="2">
        <v>131</v>
      </c>
      <c r="B133" s="2">
        <f t="shared" ca="1" si="2"/>
        <v>0.89841107234499606</v>
      </c>
      <c r="C133" s="2" t="s">
        <v>227</v>
      </c>
    </row>
    <row r="134" spans="1:3" x14ac:dyDescent="0.2">
      <c r="A134" s="2">
        <v>132</v>
      </c>
      <c r="B134" s="2">
        <f t="shared" ca="1" si="2"/>
        <v>0.70403800587377474</v>
      </c>
      <c r="C134" s="2" t="s">
        <v>227</v>
      </c>
    </row>
    <row r="135" spans="1:3" x14ac:dyDescent="0.2">
      <c r="A135" s="2">
        <v>133</v>
      </c>
      <c r="B135" s="2">
        <f t="shared" ca="1" si="2"/>
        <v>0.82612525776455115</v>
      </c>
      <c r="C135" s="2" t="s">
        <v>227</v>
      </c>
    </row>
    <row r="136" spans="1:3" x14ac:dyDescent="0.2">
      <c r="A136" s="2">
        <v>134</v>
      </c>
      <c r="B136" s="2">
        <f t="shared" ca="1" si="2"/>
        <v>0.6165096149208581</v>
      </c>
      <c r="C136" s="2" t="s">
        <v>226</v>
      </c>
    </row>
    <row r="137" spans="1:3" x14ac:dyDescent="0.2">
      <c r="A137" s="2">
        <v>135</v>
      </c>
      <c r="B137" s="2">
        <f t="shared" ca="1" si="2"/>
        <v>0.65488386057020775</v>
      </c>
      <c r="C137" s="2" t="s">
        <v>227</v>
      </c>
    </row>
    <row r="138" spans="1:3" x14ac:dyDescent="0.2">
      <c r="A138" s="2">
        <v>136</v>
      </c>
      <c r="B138" s="2">
        <f t="shared" ca="1" si="2"/>
        <v>0.76853892965567749</v>
      </c>
      <c r="C138" s="2" t="s">
        <v>227</v>
      </c>
    </row>
    <row r="139" spans="1:3" x14ac:dyDescent="0.2">
      <c r="A139" s="2">
        <v>137</v>
      </c>
      <c r="B139" s="2">
        <f t="shared" ca="1" si="2"/>
        <v>0.64185166598396892</v>
      </c>
      <c r="C139" s="2" t="s">
        <v>226</v>
      </c>
    </row>
    <row r="140" spans="1:3" x14ac:dyDescent="0.2">
      <c r="A140" s="2">
        <v>138</v>
      </c>
      <c r="B140" s="2">
        <f t="shared" ca="1" si="2"/>
        <v>0.67829642438040882</v>
      </c>
      <c r="C140" s="2" t="s">
        <v>227</v>
      </c>
    </row>
    <row r="141" spans="1:3" x14ac:dyDescent="0.2">
      <c r="A141" s="2">
        <v>139</v>
      </c>
      <c r="B141" s="2">
        <f t="shared" ca="1" si="2"/>
        <v>0.35532694782794283</v>
      </c>
      <c r="C141" s="2" t="s">
        <v>226</v>
      </c>
    </row>
    <row r="142" spans="1:3" x14ac:dyDescent="0.2">
      <c r="A142" s="2">
        <v>140</v>
      </c>
      <c r="B142" s="2">
        <f t="shared" ca="1" si="2"/>
        <v>0.58756927886919164</v>
      </c>
      <c r="C142" s="2" t="s">
        <v>226</v>
      </c>
    </row>
    <row r="143" spans="1:3" x14ac:dyDescent="0.2">
      <c r="A143" s="2">
        <v>141</v>
      </c>
      <c r="B143" s="2">
        <f t="shared" ca="1" si="2"/>
        <v>0.36534682277254227</v>
      </c>
      <c r="C143" s="2" t="s">
        <v>226</v>
      </c>
    </row>
    <row r="144" spans="1:3" x14ac:dyDescent="0.2">
      <c r="A144" s="2">
        <v>142</v>
      </c>
      <c r="B144" s="2">
        <f t="shared" ca="1" si="2"/>
        <v>0.87322783034168872</v>
      </c>
      <c r="C144" s="2" t="s">
        <v>227</v>
      </c>
    </row>
    <row r="145" spans="1:3" x14ac:dyDescent="0.2">
      <c r="A145" s="2">
        <v>143</v>
      </c>
      <c r="B145" s="2">
        <f t="shared" ca="1" si="2"/>
        <v>0.46482063687947894</v>
      </c>
      <c r="C145" s="2" t="s">
        <v>226</v>
      </c>
    </row>
    <row r="146" spans="1:3" x14ac:dyDescent="0.2">
      <c r="A146" s="2">
        <v>144</v>
      </c>
      <c r="B146" s="2">
        <f t="shared" ca="1" si="2"/>
        <v>0.69664154924111388</v>
      </c>
      <c r="C146" s="2" t="s">
        <v>227</v>
      </c>
    </row>
    <row r="147" spans="1:3" x14ac:dyDescent="0.2">
      <c r="A147" s="2">
        <v>145</v>
      </c>
      <c r="B147" s="2">
        <f t="shared" ca="1" si="2"/>
        <v>0.42342188060904906</v>
      </c>
      <c r="C147" s="2" t="s">
        <v>226</v>
      </c>
    </row>
    <row r="148" spans="1:3" x14ac:dyDescent="0.2">
      <c r="A148" s="2">
        <v>146</v>
      </c>
      <c r="B148" s="2">
        <f t="shared" ca="1" si="2"/>
        <v>0.2870959380941317</v>
      </c>
      <c r="C148" s="2" t="s">
        <v>226</v>
      </c>
    </row>
    <row r="149" spans="1:3" x14ac:dyDescent="0.2">
      <c r="A149" s="2">
        <v>147</v>
      </c>
      <c r="B149" s="2">
        <f t="shared" ca="1" si="2"/>
        <v>0.69024554381320646</v>
      </c>
      <c r="C149" s="2" t="s">
        <v>227</v>
      </c>
    </row>
    <row r="150" spans="1:3" x14ac:dyDescent="0.2">
      <c r="A150" s="2">
        <v>148</v>
      </c>
      <c r="B150" s="2">
        <f t="shared" ca="1" si="2"/>
        <v>0.7180107581214874</v>
      </c>
      <c r="C150" s="2" t="s">
        <v>226</v>
      </c>
    </row>
    <row r="151" spans="1:3" x14ac:dyDescent="0.2">
      <c r="A151" s="2">
        <v>149</v>
      </c>
      <c r="B151" s="2">
        <f t="shared" ca="1" si="2"/>
        <v>0.5318463546689316</v>
      </c>
      <c r="C151" s="2" t="s">
        <v>226</v>
      </c>
    </row>
    <row r="152" spans="1:3" x14ac:dyDescent="0.2">
      <c r="A152" s="2">
        <v>150</v>
      </c>
      <c r="B152" s="2">
        <f t="shared" ca="1" si="2"/>
        <v>0.47755132980608184</v>
      </c>
      <c r="C152" s="2" t="s">
        <v>226</v>
      </c>
    </row>
    <row r="153" spans="1:3" x14ac:dyDescent="0.2">
      <c r="A153" s="2">
        <v>151</v>
      </c>
      <c r="B153" s="2">
        <f t="shared" ca="1" si="2"/>
        <v>0.52948790310148064</v>
      </c>
      <c r="C153" s="2" t="s">
        <v>227</v>
      </c>
    </row>
    <row r="154" spans="1:3" x14ac:dyDescent="0.2">
      <c r="A154" s="2">
        <v>152</v>
      </c>
      <c r="B154" s="2">
        <f t="shared" ca="1" si="2"/>
        <v>0.72018009174043207</v>
      </c>
      <c r="C154" s="2" t="s">
        <v>227</v>
      </c>
    </row>
    <row r="155" spans="1:3" x14ac:dyDescent="0.2">
      <c r="A155" s="2">
        <v>153</v>
      </c>
      <c r="B155" s="2">
        <f t="shared" ca="1" si="2"/>
        <v>0.59203032196211169</v>
      </c>
      <c r="C155" s="2" t="s">
        <v>227</v>
      </c>
    </row>
    <row r="156" spans="1:3" x14ac:dyDescent="0.2">
      <c r="A156" s="2">
        <v>154</v>
      </c>
      <c r="B156" s="2">
        <f t="shared" ca="1" si="2"/>
        <v>0.58243784207181404</v>
      </c>
      <c r="C156" s="2" t="s">
        <v>226</v>
      </c>
    </row>
    <row r="157" spans="1:3" x14ac:dyDescent="0.2">
      <c r="A157" s="2">
        <v>155</v>
      </c>
      <c r="B157" s="2">
        <f t="shared" ca="1" si="2"/>
        <v>0.71404591207611745</v>
      </c>
      <c r="C157" s="2" t="s">
        <v>227</v>
      </c>
    </row>
    <row r="158" spans="1:3" x14ac:dyDescent="0.2">
      <c r="A158" s="2">
        <v>156</v>
      </c>
      <c r="B158" s="2">
        <f t="shared" ca="1" si="2"/>
        <v>0.70341167886695244</v>
      </c>
      <c r="C158" s="2" t="s">
        <v>227</v>
      </c>
    </row>
    <row r="159" spans="1:3" x14ac:dyDescent="0.2">
      <c r="A159" s="2">
        <v>157</v>
      </c>
      <c r="B159" s="2">
        <f t="shared" ca="1" si="2"/>
        <v>0.57642996817216274</v>
      </c>
      <c r="C159" s="2" t="s">
        <v>226</v>
      </c>
    </row>
    <row r="160" spans="1:3" x14ac:dyDescent="0.2">
      <c r="A160" s="2">
        <v>158</v>
      </c>
      <c r="B160" s="2">
        <f t="shared" ca="1" si="2"/>
        <v>0.81026421221142642</v>
      </c>
      <c r="C160" s="2" t="s">
        <v>226</v>
      </c>
    </row>
    <row r="161" spans="1:3" x14ac:dyDescent="0.2">
      <c r="A161" s="2">
        <v>159</v>
      </c>
      <c r="B161" s="2">
        <f t="shared" ca="1" si="2"/>
        <v>0.60438436635266535</v>
      </c>
      <c r="C161" s="2" t="s">
        <v>227</v>
      </c>
    </row>
    <row r="162" spans="1:3" x14ac:dyDescent="0.2">
      <c r="A162" s="2">
        <v>160</v>
      </c>
      <c r="B162" s="2">
        <f t="shared" ca="1" si="2"/>
        <v>0.81554169643199115</v>
      </c>
      <c r="C162" s="2" t="s">
        <v>227</v>
      </c>
    </row>
    <row r="163" spans="1:3" x14ac:dyDescent="0.2">
      <c r="A163" s="2">
        <v>161</v>
      </c>
      <c r="B163" s="2">
        <f t="shared" ca="1" si="2"/>
        <v>0.68249383470288905</v>
      </c>
      <c r="C163" s="2" t="s">
        <v>227</v>
      </c>
    </row>
    <row r="164" spans="1:3" x14ac:dyDescent="0.2">
      <c r="A164" s="2">
        <v>162</v>
      </c>
      <c r="B164" s="2">
        <f t="shared" ca="1" si="2"/>
        <v>0.62197130678105161</v>
      </c>
      <c r="C164" s="2" t="s">
        <v>226</v>
      </c>
    </row>
    <row r="165" spans="1:3" x14ac:dyDescent="0.2">
      <c r="A165" s="2">
        <v>163</v>
      </c>
      <c r="B165" s="2">
        <f t="shared" ca="1" si="2"/>
        <v>0.69959910869948805</v>
      </c>
      <c r="C165" s="2" t="s">
        <v>226</v>
      </c>
    </row>
    <row r="166" spans="1:3" x14ac:dyDescent="0.2">
      <c r="A166" s="2">
        <v>164</v>
      </c>
      <c r="B166" s="2">
        <f t="shared" ca="1" si="2"/>
        <v>0.31091855187019674</v>
      </c>
      <c r="C166" s="2" t="s">
        <v>226</v>
      </c>
    </row>
    <row r="167" spans="1:3" x14ac:dyDescent="0.2">
      <c r="A167" s="2">
        <v>165</v>
      </c>
      <c r="B167" s="2">
        <f t="shared" ca="1" si="2"/>
        <v>0.76296414375885746</v>
      </c>
      <c r="C167" s="2" t="s">
        <v>226</v>
      </c>
    </row>
    <row r="168" spans="1:3" x14ac:dyDescent="0.2">
      <c r="A168" s="2">
        <v>166</v>
      </c>
      <c r="B168" s="2">
        <f t="shared" ca="1" si="2"/>
        <v>0.87373470015170185</v>
      </c>
      <c r="C168" s="2" t="s">
        <v>227</v>
      </c>
    </row>
    <row r="169" spans="1:3" x14ac:dyDescent="0.2">
      <c r="A169" s="2">
        <v>167</v>
      </c>
      <c r="B169" s="2">
        <f t="shared" ca="1" si="2"/>
        <v>0.58785671013966956</v>
      </c>
      <c r="C169" s="2" t="s">
        <v>227</v>
      </c>
    </row>
    <row r="170" spans="1:3" x14ac:dyDescent="0.2">
      <c r="A170" s="2">
        <v>168</v>
      </c>
      <c r="B170" s="2">
        <f t="shared" ca="1" si="2"/>
        <v>0.66574123080751657</v>
      </c>
      <c r="C170" s="2" t="s">
        <v>227</v>
      </c>
    </row>
    <row r="171" spans="1:3" x14ac:dyDescent="0.2">
      <c r="A171" s="2">
        <v>169</v>
      </c>
      <c r="B171" s="2">
        <f t="shared" ca="1" si="2"/>
        <v>0.75065195901646187</v>
      </c>
      <c r="C171" s="2" t="s">
        <v>226</v>
      </c>
    </row>
    <row r="172" spans="1:3" x14ac:dyDescent="0.2">
      <c r="A172" s="2">
        <v>170</v>
      </c>
      <c r="B172" s="2">
        <f t="shared" ca="1" si="2"/>
        <v>0.46621289564680357</v>
      </c>
      <c r="C172" s="2" t="s">
        <v>226</v>
      </c>
    </row>
    <row r="173" spans="1:3" x14ac:dyDescent="0.2">
      <c r="A173" s="2">
        <v>171</v>
      </c>
      <c r="B173" s="2">
        <f t="shared" ca="1" si="2"/>
        <v>0.72696627107428691</v>
      </c>
      <c r="C173" s="2" t="s">
        <v>227</v>
      </c>
    </row>
    <row r="174" spans="1:3" x14ac:dyDescent="0.2">
      <c r="A174" s="2">
        <v>172</v>
      </c>
      <c r="B174" s="2">
        <f t="shared" ca="1" si="2"/>
        <v>0.79540692079213726</v>
      </c>
      <c r="C174" s="2" t="s">
        <v>227</v>
      </c>
    </row>
    <row r="175" spans="1:3" x14ac:dyDescent="0.2">
      <c r="A175" s="2">
        <v>173</v>
      </c>
      <c r="B175" s="2">
        <f t="shared" ca="1" si="2"/>
        <v>0.63525484224489603</v>
      </c>
      <c r="C175" s="2" t="s">
        <v>227</v>
      </c>
    </row>
    <row r="176" spans="1:3" x14ac:dyDescent="0.2">
      <c r="A176" s="2">
        <v>174</v>
      </c>
      <c r="B176" s="2">
        <f t="shared" ca="1" si="2"/>
        <v>0.74651700845279878</v>
      </c>
      <c r="C176" s="2" t="s">
        <v>226</v>
      </c>
    </row>
    <row r="177" spans="1:3" x14ac:dyDescent="0.2">
      <c r="A177" s="2">
        <v>175</v>
      </c>
      <c r="B177" s="2">
        <f t="shared" ca="1" si="2"/>
        <v>0.81905076269855415</v>
      </c>
      <c r="C177" s="2" t="s">
        <v>227</v>
      </c>
    </row>
    <row r="178" spans="1:3" x14ac:dyDescent="0.2">
      <c r="A178" s="2">
        <v>176</v>
      </c>
      <c r="B178" s="2">
        <f t="shared" ca="1" si="2"/>
        <v>0.76149084754828755</v>
      </c>
      <c r="C178" s="2" t="s">
        <v>227</v>
      </c>
    </row>
    <row r="179" spans="1:3" x14ac:dyDescent="0.2">
      <c r="A179" s="2">
        <v>177</v>
      </c>
      <c r="B179" s="2">
        <f t="shared" ca="1" si="2"/>
        <v>0.57383753399409765</v>
      </c>
      <c r="C179" s="2" t="s">
        <v>226</v>
      </c>
    </row>
    <row r="180" spans="1:3" x14ac:dyDescent="0.2">
      <c r="A180" s="2">
        <v>178</v>
      </c>
      <c r="B180" s="2">
        <f t="shared" ca="1" si="2"/>
        <v>0.71239173273851475</v>
      </c>
      <c r="C180" s="2" t="s">
        <v>226</v>
      </c>
    </row>
    <row r="181" spans="1:3" x14ac:dyDescent="0.2">
      <c r="A181" s="2">
        <v>179</v>
      </c>
      <c r="B181" s="2">
        <f t="shared" ca="1" si="2"/>
        <v>0.69100004098814372</v>
      </c>
      <c r="C181" s="2" t="s">
        <v>227</v>
      </c>
    </row>
    <row r="182" spans="1:3" x14ac:dyDescent="0.2">
      <c r="A182" s="2">
        <v>180</v>
      </c>
      <c r="B182" s="2">
        <f t="shared" ca="1" si="2"/>
        <v>0.68442750062952606</v>
      </c>
      <c r="C182" s="2" t="s">
        <v>227</v>
      </c>
    </row>
    <row r="183" spans="1:3" x14ac:dyDescent="0.2">
      <c r="A183" s="2">
        <v>181</v>
      </c>
      <c r="B183" s="2">
        <f t="shared" ca="1" si="2"/>
        <v>0.76685842306356033</v>
      </c>
      <c r="C183" s="2" t="s">
        <v>227</v>
      </c>
    </row>
    <row r="184" spans="1:3" x14ac:dyDescent="0.2">
      <c r="A184" s="2">
        <v>182</v>
      </c>
      <c r="B184" s="2">
        <f t="shared" ca="1" si="2"/>
        <v>0.81571696459105569</v>
      </c>
      <c r="C184" s="2" t="s">
        <v>227</v>
      </c>
    </row>
    <row r="185" spans="1:3" x14ac:dyDescent="0.2">
      <c r="A185" s="2">
        <v>183</v>
      </c>
      <c r="B185" s="2">
        <f t="shared" ca="1" si="2"/>
        <v>0.6112628175035707</v>
      </c>
      <c r="C185" s="2" t="s">
        <v>226</v>
      </c>
    </row>
    <row r="186" spans="1:3" x14ac:dyDescent="0.2">
      <c r="A186" s="2">
        <v>184</v>
      </c>
      <c r="B186" s="2">
        <f t="shared" ca="1" si="2"/>
        <v>0.66891717219013824</v>
      </c>
      <c r="C186" s="2" t="s">
        <v>227</v>
      </c>
    </row>
    <row r="187" spans="1:3" x14ac:dyDescent="0.2">
      <c r="A187" s="2">
        <v>185</v>
      </c>
      <c r="B187" s="2">
        <f t="shared" ca="1" si="2"/>
        <v>0.77318923786265481</v>
      </c>
      <c r="C187" s="2" t="s">
        <v>226</v>
      </c>
    </row>
    <row r="188" spans="1:3" x14ac:dyDescent="0.2">
      <c r="A188" s="2">
        <v>186</v>
      </c>
      <c r="B188" s="2">
        <f t="shared" ca="1" si="2"/>
        <v>0.72492763418785666</v>
      </c>
      <c r="C188" s="2" t="s">
        <v>227</v>
      </c>
    </row>
    <row r="189" spans="1:3" x14ac:dyDescent="0.2">
      <c r="A189" s="2">
        <v>187</v>
      </c>
      <c r="B189" s="2">
        <f t="shared" ca="1" si="2"/>
        <v>0.48612704989242028</v>
      </c>
      <c r="C189" s="2" t="s">
        <v>226</v>
      </c>
    </row>
    <row r="190" spans="1:3" x14ac:dyDescent="0.2">
      <c r="A190" s="2">
        <v>188</v>
      </c>
      <c r="B190" s="2">
        <f t="shared" ca="1" si="2"/>
        <v>0.55495011202190581</v>
      </c>
      <c r="C190" s="2" t="s">
        <v>227</v>
      </c>
    </row>
    <row r="191" spans="1:3" x14ac:dyDescent="0.2">
      <c r="A191" s="2">
        <v>189</v>
      </c>
      <c r="B191" s="2">
        <f t="shared" ca="1" si="2"/>
        <v>0.67070584058864036</v>
      </c>
      <c r="C191" s="2" t="s">
        <v>227</v>
      </c>
    </row>
    <row r="192" spans="1:3" x14ac:dyDescent="0.2">
      <c r="A192" s="2">
        <v>190</v>
      </c>
      <c r="B192" s="2">
        <f t="shared" ca="1" si="2"/>
        <v>0.9098871303019046</v>
      </c>
      <c r="C192" s="2" t="s">
        <v>226</v>
      </c>
    </row>
    <row r="193" spans="1:3" x14ac:dyDescent="0.2">
      <c r="A193" s="2">
        <v>191</v>
      </c>
      <c r="B193" s="2">
        <f t="shared" ca="1" si="2"/>
        <v>0.64100882221934274</v>
      </c>
      <c r="C193" s="2" t="s">
        <v>227</v>
      </c>
    </row>
    <row r="194" spans="1:3" x14ac:dyDescent="0.2">
      <c r="A194" s="2">
        <v>192</v>
      </c>
      <c r="B194" s="2">
        <f t="shared" ca="1" si="2"/>
        <v>0.70136063082083666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0.74917946414915049</v>
      </c>
      <c r="C195" s="2" t="s">
        <v>227</v>
      </c>
    </row>
    <row r="196" spans="1:3" x14ac:dyDescent="0.2">
      <c r="A196" s="2">
        <v>194</v>
      </c>
      <c r="B196" s="2">
        <f t="shared" ca="1" si="3"/>
        <v>0.89299593298644198</v>
      </c>
      <c r="C196" s="2" t="s">
        <v>226</v>
      </c>
    </row>
    <row r="197" spans="1:3" x14ac:dyDescent="0.2">
      <c r="A197" s="2">
        <v>195</v>
      </c>
      <c r="B197" s="2">
        <f t="shared" ca="1" si="3"/>
        <v>0.70523587878441396</v>
      </c>
      <c r="C197" s="2" t="s">
        <v>226</v>
      </c>
    </row>
    <row r="198" spans="1:3" x14ac:dyDescent="0.2">
      <c r="A198" s="2">
        <v>196</v>
      </c>
      <c r="B198" s="2">
        <f t="shared" ca="1" si="3"/>
        <v>0.63825610085672779</v>
      </c>
      <c r="C198" s="2" t="s">
        <v>227</v>
      </c>
    </row>
    <row r="199" spans="1:3" x14ac:dyDescent="0.2">
      <c r="A199" s="2">
        <v>197</v>
      </c>
      <c r="B199" s="2">
        <f t="shared" ca="1" si="3"/>
        <v>0.51290445296013121</v>
      </c>
      <c r="C199" s="2" t="s">
        <v>226</v>
      </c>
    </row>
    <row r="200" spans="1:3" x14ac:dyDescent="0.2">
      <c r="A200" s="2">
        <v>198</v>
      </c>
      <c r="B200" s="2">
        <f t="shared" ca="1" si="3"/>
        <v>0.77920365846888096</v>
      </c>
      <c r="C200" s="2" t="s">
        <v>227</v>
      </c>
    </row>
    <row r="201" spans="1:3" x14ac:dyDescent="0.2">
      <c r="A201" s="2">
        <v>199</v>
      </c>
      <c r="B201" s="2">
        <f t="shared" ca="1" si="3"/>
        <v>0.5864072752377204</v>
      </c>
      <c r="C201" s="2" t="s">
        <v>226</v>
      </c>
    </row>
    <row r="202" spans="1:3" x14ac:dyDescent="0.2">
      <c r="A202" s="2">
        <v>200</v>
      </c>
      <c r="B202" s="2">
        <f t="shared" ca="1" si="3"/>
        <v>0.54861920394452113</v>
      </c>
      <c r="C202" s="2" t="s">
        <v>227</v>
      </c>
    </row>
    <row r="203" spans="1:3" x14ac:dyDescent="0.2">
      <c r="A203" s="2">
        <v>201</v>
      </c>
      <c r="B203" s="2">
        <f t="shared" ca="1" si="3"/>
        <v>0.65942894110393468</v>
      </c>
      <c r="C203" s="2" t="s">
        <v>226</v>
      </c>
    </row>
    <row r="204" spans="1:3" x14ac:dyDescent="0.2">
      <c r="A204" s="2">
        <v>202</v>
      </c>
      <c r="B204" s="2">
        <f t="shared" ca="1" si="3"/>
        <v>0.68685029983193147</v>
      </c>
      <c r="C204" s="2" t="s">
        <v>227</v>
      </c>
    </row>
    <row r="205" spans="1:3" x14ac:dyDescent="0.2">
      <c r="A205" s="2">
        <v>203</v>
      </c>
      <c r="B205" s="2">
        <f t="shared" ca="1" si="3"/>
        <v>0.58131276123326703</v>
      </c>
      <c r="C205" s="2" t="s">
        <v>226</v>
      </c>
    </row>
    <row r="206" spans="1:3" x14ac:dyDescent="0.2">
      <c r="A206" s="2">
        <v>204</v>
      </c>
      <c r="B206" s="2">
        <f t="shared" ca="1" si="3"/>
        <v>0.56606596859070346</v>
      </c>
      <c r="C206" s="2" t="s">
        <v>226</v>
      </c>
    </row>
    <row r="207" spans="1:3" x14ac:dyDescent="0.2">
      <c r="A207" s="2">
        <v>205</v>
      </c>
      <c r="B207" s="2">
        <f t="shared" ca="1" si="3"/>
        <v>0.60482183525348399</v>
      </c>
      <c r="C207" s="2" t="s">
        <v>226</v>
      </c>
    </row>
    <row r="208" spans="1:3" x14ac:dyDescent="0.2">
      <c r="A208" s="2">
        <v>206</v>
      </c>
      <c r="B208" s="2">
        <f t="shared" ca="1" si="3"/>
        <v>0.65495046202947094</v>
      </c>
      <c r="C208" s="2" t="s">
        <v>227</v>
      </c>
    </row>
    <row r="209" spans="1:3" x14ac:dyDescent="0.2">
      <c r="A209" s="2">
        <v>207</v>
      </c>
      <c r="B209" s="2">
        <f t="shared" ca="1" si="3"/>
        <v>0.52676984042004804</v>
      </c>
      <c r="C209" s="2" t="s">
        <v>227</v>
      </c>
    </row>
    <row r="210" spans="1:3" x14ac:dyDescent="0.2">
      <c r="A210" s="2">
        <v>208</v>
      </c>
      <c r="B210" s="2">
        <f t="shared" ca="1" si="3"/>
        <v>0.64798446788158859</v>
      </c>
      <c r="C210" s="2" t="s">
        <v>227</v>
      </c>
    </row>
    <row r="211" spans="1:3" x14ac:dyDescent="0.2">
      <c r="A211" s="2">
        <v>209</v>
      </c>
      <c r="B211" s="2">
        <f t="shared" ca="1" si="3"/>
        <v>0.78203360174596515</v>
      </c>
      <c r="C211" s="2" t="s">
        <v>226</v>
      </c>
    </row>
    <row r="212" spans="1:3" x14ac:dyDescent="0.2">
      <c r="A212" s="2">
        <v>210</v>
      </c>
      <c r="B212" s="2">
        <f t="shared" ca="1" si="3"/>
        <v>0.6793016169789361</v>
      </c>
      <c r="C212" s="2" t="s">
        <v>226</v>
      </c>
    </row>
    <row r="213" spans="1:3" x14ac:dyDescent="0.2">
      <c r="A213" s="2">
        <v>211</v>
      </c>
      <c r="B213" s="2">
        <f t="shared" ca="1" si="3"/>
        <v>0.64295692263487614</v>
      </c>
      <c r="C213" s="2" t="s">
        <v>226</v>
      </c>
    </row>
    <row r="214" spans="1:3" x14ac:dyDescent="0.2">
      <c r="A214" s="2">
        <v>212</v>
      </c>
      <c r="B214" s="2">
        <f t="shared" ca="1" si="3"/>
        <v>0.82888071503641947</v>
      </c>
      <c r="C214" s="2" t="s">
        <v>226</v>
      </c>
    </row>
    <row r="215" spans="1:3" x14ac:dyDescent="0.2">
      <c r="A215" s="2">
        <v>213</v>
      </c>
      <c r="B215" s="2">
        <f t="shared" ca="1" si="3"/>
        <v>0.60606980039840841</v>
      </c>
      <c r="C215" s="2" t="s">
        <v>226</v>
      </c>
    </row>
    <row r="216" spans="1:3" x14ac:dyDescent="0.2">
      <c r="A216" s="2">
        <v>214</v>
      </c>
      <c r="B216" s="2">
        <f t="shared" ca="1" si="3"/>
        <v>0.70394409131954483</v>
      </c>
      <c r="C216" s="2" t="s">
        <v>226</v>
      </c>
    </row>
    <row r="217" spans="1:3" x14ac:dyDescent="0.2">
      <c r="A217" s="2">
        <v>215</v>
      </c>
      <c r="B217" s="2">
        <f t="shared" ca="1" si="3"/>
        <v>0.87018346969188687</v>
      </c>
      <c r="C217" s="2" t="s">
        <v>227</v>
      </c>
    </row>
    <row r="218" spans="1:3" x14ac:dyDescent="0.2">
      <c r="A218" s="2">
        <v>216</v>
      </c>
      <c r="B218" s="2">
        <f t="shared" ca="1" si="3"/>
        <v>0.70721413843419578</v>
      </c>
      <c r="C218" s="2" t="s">
        <v>227</v>
      </c>
    </row>
    <row r="219" spans="1:3" x14ac:dyDescent="0.2">
      <c r="A219" s="2">
        <v>217</v>
      </c>
      <c r="B219" s="2">
        <f t="shared" ca="1" si="3"/>
        <v>0.65757225378063455</v>
      </c>
      <c r="C219" s="2" t="s">
        <v>227</v>
      </c>
    </row>
    <row r="220" spans="1:3" x14ac:dyDescent="0.2">
      <c r="A220" s="2">
        <v>218</v>
      </c>
      <c r="B220" s="2">
        <f t="shared" ca="1" si="3"/>
        <v>0.41082200177287853</v>
      </c>
      <c r="C220" s="2" t="s">
        <v>226</v>
      </c>
    </row>
    <row r="221" spans="1:3" x14ac:dyDescent="0.2">
      <c r="A221" s="2">
        <v>219</v>
      </c>
      <c r="B221" s="2">
        <f t="shared" ca="1" si="3"/>
        <v>0.85673275681724381</v>
      </c>
      <c r="C221" s="2" t="s">
        <v>227</v>
      </c>
    </row>
    <row r="222" spans="1:3" x14ac:dyDescent="0.2">
      <c r="A222" s="2">
        <v>220</v>
      </c>
      <c r="B222" s="2">
        <f t="shared" ca="1" si="3"/>
        <v>0.43621117694590683</v>
      </c>
      <c r="C222" s="2" t="s">
        <v>226</v>
      </c>
    </row>
    <row r="223" spans="1:3" x14ac:dyDescent="0.2">
      <c r="A223" s="2">
        <v>221</v>
      </c>
      <c r="B223" s="2">
        <f t="shared" ca="1" si="3"/>
        <v>0.85322528439717593</v>
      </c>
      <c r="C223" s="2" t="s">
        <v>227</v>
      </c>
    </row>
    <row r="224" spans="1:3" x14ac:dyDescent="0.2">
      <c r="A224" s="2">
        <v>222</v>
      </c>
      <c r="B224" s="2">
        <f t="shared" ca="1" si="3"/>
        <v>0.61876592365351823</v>
      </c>
      <c r="C224" s="2" t="s">
        <v>227</v>
      </c>
    </row>
    <row r="225" spans="1:3" x14ac:dyDescent="0.2">
      <c r="A225" s="2">
        <v>223</v>
      </c>
      <c r="B225" s="2">
        <f t="shared" ca="1" si="3"/>
        <v>0.69908562143174502</v>
      </c>
      <c r="C225" s="2" t="s">
        <v>226</v>
      </c>
    </row>
    <row r="226" spans="1:3" x14ac:dyDescent="0.2">
      <c r="A226" s="2">
        <v>224</v>
      </c>
      <c r="B226" s="2">
        <f t="shared" ca="1" si="3"/>
        <v>0.88696015915408077</v>
      </c>
      <c r="C226" s="2" t="s">
        <v>226</v>
      </c>
    </row>
    <row r="227" spans="1:3" x14ac:dyDescent="0.2">
      <c r="A227" s="2">
        <v>225</v>
      </c>
      <c r="B227" s="2">
        <f t="shared" ca="1" si="3"/>
        <v>0.72795036618136433</v>
      </c>
      <c r="C227" s="2" t="s">
        <v>227</v>
      </c>
    </row>
    <row r="228" spans="1:3" x14ac:dyDescent="0.2">
      <c r="A228" s="2">
        <v>226</v>
      </c>
      <c r="B228" s="2">
        <f t="shared" ca="1" si="3"/>
        <v>0.47086581587288273</v>
      </c>
      <c r="C228" s="2" t="s">
        <v>226</v>
      </c>
    </row>
    <row r="229" spans="1:3" x14ac:dyDescent="0.2">
      <c r="A229" s="2">
        <v>227</v>
      </c>
      <c r="B229" s="2">
        <f t="shared" ca="1" si="3"/>
        <v>0.78257201200444249</v>
      </c>
      <c r="C229" s="2" t="s">
        <v>226</v>
      </c>
    </row>
    <row r="230" spans="1:3" x14ac:dyDescent="0.2">
      <c r="A230" s="2">
        <v>228</v>
      </c>
      <c r="B230" s="2">
        <f t="shared" ca="1" si="3"/>
        <v>0.60297098066341026</v>
      </c>
      <c r="C230" s="2" t="s">
        <v>226</v>
      </c>
    </row>
    <row r="231" spans="1:3" x14ac:dyDescent="0.2">
      <c r="A231" s="2">
        <v>229</v>
      </c>
      <c r="B231" s="2">
        <f t="shared" ca="1" si="3"/>
        <v>0.61426719403669716</v>
      </c>
      <c r="C231" s="2" t="s">
        <v>226</v>
      </c>
    </row>
    <row r="232" spans="1:3" x14ac:dyDescent="0.2">
      <c r="A232" s="2">
        <v>230</v>
      </c>
      <c r="B232" s="2">
        <f t="shared" ca="1" si="3"/>
        <v>0.68966828842806338</v>
      </c>
      <c r="C232" s="2" t="s">
        <v>227</v>
      </c>
    </row>
    <row r="233" spans="1:3" x14ac:dyDescent="0.2">
      <c r="A233" s="2">
        <v>231</v>
      </c>
      <c r="B233" s="2">
        <f t="shared" ca="1" si="3"/>
        <v>0.58288767814385367</v>
      </c>
      <c r="C233" s="2" t="s">
        <v>227</v>
      </c>
    </row>
    <row r="234" spans="1:3" x14ac:dyDescent="0.2">
      <c r="A234" s="2">
        <v>232</v>
      </c>
      <c r="B234" s="2">
        <f t="shared" ca="1" si="3"/>
        <v>0.788396815397441</v>
      </c>
      <c r="C234" s="2" t="s">
        <v>226</v>
      </c>
    </row>
    <row r="235" spans="1:3" x14ac:dyDescent="0.2">
      <c r="A235" s="2">
        <v>233</v>
      </c>
      <c r="B235" s="2">
        <f t="shared" ca="1" si="3"/>
        <v>0.79358216258692893</v>
      </c>
      <c r="C235" s="2" t="s">
        <v>226</v>
      </c>
    </row>
    <row r="236" spans="1:3" x14ac:dyDescent="0.2">
      <c r="A236" s="2">
        <v>234</v>
      </c>
      <c r="B236" s="2">
        <f t="shared" ca="1" si="3"/>
        <v>0.72007291167382181</v>
      </c>
      <c r="C236" s="2" t="s">
        <v>227</v>
      </c>
    </row>
    <row r="237" spans="1:3" x14ac:dyDescent="0.2">
      <c r="A237" s="2">
        <v>235</v>
      </c>
      <c r="B237" s="2">
        <f t="shared" ca="1" si="3"/>
        <v>0.64573746928769837</v>
      </c>
      <c r="C237" s="2" t="s">
        <v>226</v>
      </c>
    </row>
    <row r="238" spans="1:3" x14ac:dyDescent="0.2">
      <c r="A238" s="2">
        <v>236</v>
      </c>
      <c r="B238" s="2">
        <f t="shared" ca="1" si="3"/>
        <v>0.53129310033971544</v>
      </c>
      <c r="C238" s="2" t="s">
        <v>227</v>
      </c>
    </row>
    <row r="239" spans="1:3" x14ac:dyDescent="0.2">
      <c r="A239" s="2">
        <v>237</v>
      </c>
      <c r="B239" s="2">
        <f t="shared" ca="1" si="3"/>
        <v>0.51454416789327939</v>
      </c>
      <c r="C239" s="2" t="s">
        <v>226</v>
      </c>
    </row>
    <row r="240" spans="1:3" x14ac:dyDescent="0.2">
      <c r="A240" s="2">
        <v>238</v>
      </c>
      <c r="B240" s="2">
        <f t="shared" ca="1" si="3"/>
        <v>0.67368460766535476</v>
      </c>
      <c r="C240" s="2" t="s">
        <v>227</v>
      </c>
    </row>
    <row r="241" spans="1:3" x14ac:dyDescent="0.2">
      <c r="A241" s="2">
        <v>239</v>
      </c>
      <c r="B241" s="2">
        <f t="shared" ca="1" si="3"/>
        <v>0.4965065096603663</v>
      </c>
      <c r="C241" s="2" t="s">
        <v>226</v>
      </c>
    </row>
    <row r="242" spans="1:3" x14ac:dyDescent="0.2">
      <c r="A242" s="2">
        <v>240</v>
      </c>
      <c r="B242" s="2">
        <f t="shared" ca="1" si="3"/>
        <v>0.67107550273217997</v>
      </c>
      <c r="C242" s="2" t="s">
        <v>226</v>
      </c>
    </row>
    <row r="243" spans="1:3" x14ac:dyDescent="0.2">
      <c r="A243" s="2">
        <v>241</v>
      </c>
      <c r="B243" s="2">
        <f t="shared" ca="1" si="3"/>
        <v>0.86146173160926554</v>
      </c>
      <c r="C243" s="2" t="s">
        <v>227</v>
      </c>
    </row>
    <row r="244" spans="1:3" x14ac:dyDescent="0.2">
      <c r="A244" s="2">
        <v>242</v>
      </c>
      <c r="B244" s="2">
        <f t="shared" ca="1" si="3"/>
        <v>0.67975661744307747</v>
      </c>
      <c r="C244" s="2" t="s">
        <v>227</v>
      </c>
    </row>
    <row r="245" spans="1:3" x14ac:dyDescent="0.2">
      <c r="A245" s="2">
        <v>243</v>
      </c>
      <c r="B245" s="2">
        <f t="shared" ca="1" si="3"/>
        <v>0.7422381063053799</v>
      </c>
      <c r="C245" s="2" t="s">
        <v>227</v>
      </c>
    </row>
    <row r="246" spans="1:3" x14ac:dyDescent="0.2">
      <c r="A246" s="2">
        <v>244</v>
      </c>
      <c r="B246" s="2">
        <f t="shared" ca="1" si="3"/>
        <v>0.59411282910922536</v>
      </c>
      <c r="C246" s="2" t="s">
        <v>226</v>
      </c>
    </row>
    <row r="247" spans="1:3" x14ac:dyDescent="0.2">
      <c r="A247" s="2">
        <v>245</v>
      </c>
      <c r="B247" s="2">
        <f t="shared" ca="1" si="3"/>
        <v>0.7400815290665923</v>
      </c>
      <c r="C247" s="2" t="s">
        <v>227</v>
      </c>
    </row>
    <row r="248" spans="1:3" x14ac:dyDescent="0.2">
      <c r="A248" s="2">
        <v>246</v>
      </c>
      <c r="B248" s="2">
        <f t="shared" ca="1" si="3"/>
        <v>0.76291047143801616</v>
      </c>
      <c r="C248" s="2" t="s">
        <v>227</v>
      </c>
    </row>
    <row r="249" spans="1:3" x14ac:dyDescent="0.2">
      <c r="A249" s="2">
        <v>247</v>
      </c>
      <c r="B249" s="2">
        <f t="shared" ca="1" si="3"/>
        <v>0.63355821785085609</v>
      </c>
      <c r="C249" s="2" t="s">
        <v>226</v>
      </c>
    </row>
    <row r="250" spans="1:3" x14ac:dyDescent="0.2">
      <c r="A250" s="2">
        <v>248</v>
      </c>
      <c r="B250" s="2">
        <f t="shared" ca="1" si="3"/>
        <v>0.5623598681073908</v>
      </c>
      <c r="C250" s="2" t="s">
        <v>227</v>
      </c>
    </row>
    <row r="251" spans="1:3" x14ac:dyDescent="0.2">
      <c r="A251" s="2">
        <v>249</v>
      </c>
      <c r="B251" s="2">
        <f t="shared" ca="1" si="3"/>
        <v>0.57433358915052224</v>
      </c>
      <c r="C251" s="2" t="s">
        <v>226</v>
      </c>
    </row>
    <row r="252" spans="1:3" x14ac:dyDescent="0.2">
      <c r="A252" s="2">
        <v>250</v>
      </c>
      <c r="B252" s="2">
        <f t="shared" ca="1" si="3"/>
        <v>0.58103997497942139</v>
      </c>
      <c r="C252" s="2" t="s">
        <v>227</v>
      </c>
    </row>
    <row r="253" spans="1:3" x14ac:dyDescent="0.2">
      <c r="A253" s="2">
        <v>251</v>
      </c>
      <c r="B253" s="2">
        <f t="shared" ca="1" si="3"/>
        <v>0.42869173471856969</v>
      </c>
      <c r="C253" s="2" t="s">
        <v>226</v>
      </c>
    </row>
    <row r="254" spans="1:3" x14ac:dyDescent="0.2">
      <c r="A254" s="2">
        <v>252</v>
      </c>
      <c r="B254" s="2">
        <f t="shared" ca="1" si="3"/>
        <v>0.80947060381023106</v>
      </c>
      <c r="C254" s="2" t="s">
        <v>227</v>
      </c>
    </row>
    <row r="255" spans="1:3" x14ac:dyDescent="0.2">
      <c r="A255" s="2">
        <v>253</v>
      </c>
      <c r="B255" s="2">
        <f t="shared" ca="1" si="3"/>
        <v>0.75086652944535182</v>
      </c>
      <c r="C255" s="2" t="s">
        <v>227</v>
      </c>
    </row>
    <row r="256" spans="1:3" x14ac:dyDescent="0.2">
      <c r="A256" s="2">
        <v>254</v>
      </c>
      <c r="B256" s="2">
        <f t="shared" ca="1" si="3"/>
        <v>0.74088153124511524</v>
      </c>
      <c r="C256" s="2" t="s">
        <v>227</v>
      </c>
    </row>
    <row r="257" spans="1:3" x14ac:dyDescent="0.2">
      <c r="A257" s="2">
        <v>255</v>
      </c>
      <c r="B257" s="2">
        <f t="shared" ca="1" si="3"/>
        <v>0.42937982102576044</v>
      </c>
      <c r="C257" s="2" t="s">
        <v>226</v>
      </c>
    </row>
    <row r="258" spans="1:3" x14ac:dyDescent="0.2">
      <c r="A258" s="2">
        <v>256</v>
      </c>
      <c r="B258" s="2">
        <f t="shared" ca="1" si="3"/>
        <v>0.57855287478968542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0.56409791099529971</v>
      </c>
      <c r="C259" s="2" t="s">
        <v>226</v>
      </c>
    </row>
    <row r="260" spans="1:3" x14ac:dyDescent="0.2">
      <c r="A260" s="2">
        <v>258</v>
      </c>
      <c r="B260" s="2">
        <f t="shared" ca="1" si="4"/>
        <v>0.86265644318665058</v>
      </c>
      <c r="C260" s="2" t="s">
        <v>226</v>
      </c>
    </row>
    <row r="261" spans="1:3" x14ac:dyDescent="0.2">
      <c r="A261" s="2">
        <v>259</v>
      </c>
      <c r="B261" s="2">
        <f t="shared" ca="1" si="4"/>
        <v>0.66715599432499628</v>
      </c>
      <c r="C261" s="2" t="s">
        <v>226</v>
      </c>
    </row>
    <row r="262" spans="1:3" x14ac:dyDescent="0.2">
      <c r="A262" s="2">
        <v>260</v>
      </c>
      <c r="B262" s="2">
        <f t="shared" ca="1" si="4"/>
        <v>0.62453988090640944</v>
      </c>
      <c r="C262" s="2" t="s">
        <v>227</v>
      </c>
    </row>
    <row r="263" spans="1:3" x14ac:dyDescent="0.2">
      <c r="A263" s="2">
        <v>261</v>
      </c>
      <c r="B263" s="2">
        <f t="shared" ca="1" si="4"/>
        <v>0.73326496155150811</v>
      </c>
      <c r="C263" s="2" t="s">
        <v>227</v>
      </c>
    </row>
    <row r="264" spans="1:3" x14ac:dyDescent="0.2">
      <c r="A264" s="2">
        <v>262</v>
      </c>
      <c r="B264" s="2">
        <f t="shared" ca="1" si="4"/>
        <v>0.57495842121685292</v>
      </c>
      <c r="C264" s="2" t="s">
        <v>227</v>
      </c>
    </row>
    <row r="265" spans="1:3" x14ac:dyDescent="0.2">
      <c r="A265" s="2">
        <v>263</v>
      </c>
      <c r="B265" s="2">
        <f t="shared" ca="1" si="4"/>
        <v>0.70500026646968372</v>
      </c>
      <c r="C265" s="2" t="s">
        <v>227</v>
      </c>
    </row>
    <row r="266" spans="1:3" x14ac:dyDescent="0.2">
      <c r="A266" s="2">
        <v>264</v>
      </c>
      <c r="B266" s="2">
        <f t="shared" ca="1" si="4"/>
        <v>0.51126793408260029</v>
      </c>
      <c r="C266" s="2" t="s">
        <v>226</v>
      </c>
    </row>
    <row r="267" spans="1:3" x14ac:dyDescent="0.2">
      <c r="A267" s="2">
        <v>265</v>
      </c>
      <c r="B267" s="2">
        <f t="shared" ca="1" si="4"/>
        <v>0.76309953861302948</v>
      </c>
      <c r="C267" s="2" t="s">
        <v>227</v>
      </c>
    </row>
    <row r="268" spans="1:3" x14ac:dyDescent="0.2">
      <c r="A268" s="2">
        <v>266</v>
      </c>
      <c r="B268" s="2">
        <f t="shared" ca="1" si="4"/>
        <v>0.64925741256222314</v>
      </c>
      <c r="C268" s="2" t="s">
        <v>227</v>
      </c>
    </row>
    <row r="269" spans="1:3" x14ac:dyDescent="0.2">
      <c r="A269" s="2">
        <v>267</v>
      </c>
      <c r="B269" s="2">
        <f t="shared" ca="1" si="4"/>
        <v>0.52731683804963903</v>
      </c>
      <c r="C269" s="2" t="s">
        <v>226</v>
      </c>
    </row>
    <row r="270" spans="1:3" x14ac:dyDescent="0.2">
      <c r="A270" s="2">
        <v>268</v>
      </c>
      <c r="B270" s="2">
        <f t="shared" ca="1" si="4"/>
        <v>0.63471364495272686</v>
      </c>
      <c r="C270" s="2" t="s">
        <v>226</v>
      </c>
    </row>
    <row r="271" spans="1:3" x14ac:dyDescent="0.2">
      <c r="A271" s="2">
        <v>269</v>
      </c>
      <c r="B271" s="2">
        <f t="shared" ca="1" si="4"/>
        <v>0.91077430568714646</v>
      </c>
      <c r="C271" s="2" t="s">
        <v>227</v>
      </c>
    </row>
    <row r="272" spans="1:3" x14ac:dyDescent="0.2">
      <c r="A272" s="2">
        <v>270</v>
      </c>
      <c r="B272" s="2">
        <f t="shared" ca="1" si="4"/>
        <v>0.71914639947989878</v>
      </c>
      <c r="C272" s="2" t="s">
        <v>227</v>
      </c>
    </row>
    <row r="273" spans="1:3" x14ac:dyDescent="0.2">
      <c r="A273" s="2">
        <v>271</v>
      </c>
      <c r="B273" s="2">
        <f t="shared" ca="1" si="4"/>
        <v>0.45614838633280275</v>
      </c>
      <c r="C273" s="2" t="s">
        <v>226</v>
      </c>
    </row>
    <row r="274" spans="1:3" x14ac:dyDescent="0.2">
      <c r="A274" s="2">
        <v>272</v>
      </c>
      <c r="B274" s="2">
        <f t="shared" ca="1" si="4"/>
        <v>0.66133150116194983</v>
      </c>
      <c r="C274" s="2" t="s">
        <v>226</v>
      </c>
    </row>
    <row r="275" spans="1:3" x14ac:dyDescent="0.2">
      <c r="A275" s="2">
        <v>273</v>
      </c>
      <c r="B275" s="2">
        <f t="shared" ca="1" si="4"/>
        <v>0.73953020325351426</v>
      </c>
      <c r="C275" s="2" t="s">
        <v>227</v>
      </c>
    </row>
    <row r="276" spans="1:3" x14ac:dyDescent="0.2">
      <c r="A276" s="2">
        <v>274</v>
      </c>
      <c r="B276" s="2">
        <f t="shared" ca="1" si="4"/>
        <v>0.73178115933089549</v>
      </c>
      <c r="C276" s="2" t="s">
        <v>226</v>
      </c>
    </row>
    <row r="277" spans="1:3" x14ac:dyDescent="0.2">
      <c r="A277" s="2">
        <v>275</v>
      </c>
      <c r="B277" s="2">
        <f t="shared" ca="1" si="4"/>
        <v>0.56498971657676034</v>
      </c>
      <c r="C277" s="2" t="s">
        <v>226</v>
      </c>
    </row>
    <row r="278" spans="1:3" x14ac:dyDescent="0.2">
      <c r="A278" s="2">
        <v>276</v>
      </c>
      <c r="B278" s="2">
        <f t="shared" ca="1" si="4"/>
        <v>0.69799294845943116</v>
      </c>
      <c r="C278" s="2" t="s">
        <v>227</v>
      </c>
    </row>
    <row r="279" spans="1:3" x14ac:dyDescent="0.2">
      <c r="A279" s="2">
        <v>277</v>
      </c>
      <c r="B279" s="2">
        <f t="shared" ca="1" si="4"/>
        <v>0.73123270585504629</v>
      </c>
      <c r="C279" s="2" t="s">
        <v>227</v>
      </c>
    </row>
    <row r="280" spans="1:3" x14ac:dyDescent="0.2">
      <c r="A280" s="2">
        <v>278</v>
      </c>
      <c r="B280" s="2">
        <f t="shared" ca="1" si="4"/>
        <v>0.51376148955255896</v>
      </c>
      <c r="C280" s="2" t="s">
        <v>226</v>
      </c>
    </row>
    <row r="281" spans="1:3" x14ac:dyDescent="0.2">
      <c r="A281" s="2">
        <v>279</v>
      </c>
      <c r="B281" s="2">
        <f t="shared" ca="1" si="4"/>
        <v>0.3046738554701488</v>
      </c>
      <c r="C281" s="2" t="s">
        <v>226</v>
      </c>
    </row>
    <row r="282" spans="1:3" x14ac:dyDescent="0.2">
      <c r="A282" s="2">
        <v>280</v>
      </c>
      <c r="B282" s="2">
        <f t="shared" ca="1" si="4"/>
        <v>0.63633476122775101</v>
      </c>
      <c r="C282" s="2" t="s">
        <v>226</v>
      </c>
    </row>
    <row r="283" spans="1:3" x14ac:dyDescent="0.2">
      <c r="A283" s="2">
        <v>281</v>
      </c>
      <c r="B283" s="2">
        <f t="shared" ca="1" si="4"/>
        <v>0.43271305532316778</v>
      </c>
      <c r="C283" s="2" t="s">
        <v>226</v>
      </c>
    </row>
    <row r="284" spans="1:3" x14ac:dyDescent="0.2">
      <c r="A284" s="2">
        <v>282</v>
      </c>
      <c r="B284" s="2">
        <f t="shared" ca="1" si="4"/>
        <v>0.73632596763123603</v>
      </c>
      <c r="C284" s="2" t="s">
        <v>227</v>
      </c>
    </row>
    <row r="285" spans="1:3" x14ac:dyDescent="0.2">
      <c r="A285" s="2">
        <v>283</v>
      </c>
      <c r="B285" s="2">
        <f t="shared" ca="1" si="4"/>
        <v>0.7211070334650288</v>
      </c>
      <c r="C285" s="2" t="s">
        <v>227</v>
      </c>
    </row>
    <row r="286" spans="1:3" x14ac:dyDescent="0.2">
      <c r="A286" s="2">
        <v>284</v>
      </c>
      <c r="B286" s="2">
        <f t="shared" ca="1" si="4"/>
        <v>0.68231550085769743</v>
      </c>
      <c r="C286" s="2" t="s">
        <v>227</v>
      </c>
    </row>
    <row r="287" spans="1:3" x14ac:dyDescent="0.2">
      <c r="A287" s="2">
        <v>285</v>
      </c>
      <c r="B287" s="2">
        <f t="shared" ca="1" si="4"/>
        <v>0.37205904019715258</v>
      </c>
      <c r="C287" s="2" t="s">
        <v>226</v>
      </c>
    </row>
    <row r="288" spans="1:3" x14ac:dyDescent="0.2">
      <c r="A288" s="2">
        <v>286</v>
      </c>
      <c r="B288" s="2">
        <f t="shared" ca="1" si="4"/>
        <v>0.69144026057058738</v>
      </c>
      <c r="C288" s="2" t="s">
        <v>227</v>
      </c>
    </row>
    <row r="289" spans="1:3" x14ac:dyDescent="0.2">
      <c r="A289" s="2">
        <v>287</v>
      </c>
      <c r="B289" s="2">
        <f t="shared" ca="1" si="4"/>
        <v>0.65491975855216278</v>
      </c>
      <c r="C289" s="2" t="s">
        <v>227</v>
      </c>
    </row>
    <row r="290" spans="1:3" x14ac:dyDescent="0.2">
      <c r="A290" s="2">
        <v>288</v>
      </c>
      <c r="B290" s="2">
        <f t="shared" ca="1" si="4"/>
        <v>0.7444936115089662</v>
      </c>
      <c r="C290" s="2" t="s">
        <v>227</v>
      </c>
    </row>
    <row r="291" spans="1:3" x14ac:dyDescent="0.2">
      <c r="A291" s="2">
        <v>289</v>
      </c>
      <c r="B291" s="2">
        <f t="shared" ca="1" si="4"/>
        <v>0.78615479224317508</v>
      </c>
      <c r="C291" s="2" t="s">
        <v>227</v>
      </c>
    </row>
    <row r="292" spans="1:3" x14ac:dyDescent="0.2">
      <c r="A292" s="2">
        <v>290</v>
      </c>
      <c r="B292" s="2">
        <f t="shared" ca="1" si="4"/>
        <v>0.67052577815074244</v>
      </c>
      <c r="C292" s="2" t="s">
        <v>226</v>
      </c>
    </row>
    <row r="293" spans="1:3" x14ac:dyDescent="0.2">
      <c r="A293" s="2">
        <v>291</v>
      </c>
      <c r="B293" s="2">
        <f t="shared" ca="1" si="4"/>
        <v>0.89451245871068974</v>
      </c>
      <c r="C293" s="2" t="s">
        <v>227</v>
      </c>
    </row>
    <row r="294" spans="1:3" x14ac:dyDescent="0.2">
      <c r="A294" s="2">
        <v>292</v>
      </c>
      <c r="B294" s="2">
        <f t="shared" ca="1" si="4"/>
        <v>0.53801843339362498</v>
      </c>
      <c r="C294" s="2" t="s">
        <v>226</v>
      </c>
    </row>
    <row r="295" spans="1:3" x14ac:dyDescent="0.2">
      <c r="A295" s="2">
        <v>293</v>
      </c>
      <c r="B295" s="2">
        <f t="shared" ca="1" si="4"/>
        <v>0.73320069667195453</v>
      </c>
      <c r="C295" s="2" t="s">
        <v>227</v>
      </c>
    </row>
    <row r="296" spans="1:3" x14ac:dyDescent="0.2">
      <c r="A296" s="2">
        <v>294</v>
      </c>
      <c r="B296" s="2">
        <f t="shared" ca="1" si="4"/>
        <v>0.6038880574542419</v>
      </c>
      <c r="C296" s="2" t="s">
        <v>226</v>
      </c>
    </row>
    <row r="297" spans="1:3" x14ac:dyDescent="0.2">
      <c r="A297" s="2">
        <v>295</v>
      </c>
      <c r="B297" s="2">
        <f t="shared" ca="1" si="4"/>
        <v>0.63642577615666363</v>
      </c>
      <c r="C297" s="2" t="s">
        <v>226</v>
      </c>
    </row>
    <row r="298" spans="1:3" x14ac:dyDescent="0.2">
      <c r="A298" s="2">
        <v>296</v>
      </c>
      <c r="B298" s="2">
        <f t="shared" ca="1" si="4"/>
        <v>0.95039371486330548</v>
      </c>
      <c r="C298" s="2" t="s">
        <v>227</v>
      </c>
    </row>
    <row r="299" spans="1:3" x14ac:dyDescent="0.2">
      <c r="A299" s="2">
        <v>297</v>
      </c>
      <c r="B299" s="2">
        <f t="shared" ca="1" si="4"/>
        <v>0.78125845847785358</v>
      </c>
      <c r="C299" s="2" t="s">
        <v>227</v>
      </c>
    </row>
    <row r="300" spans="1:3" x14ac:dyDescent="0.2">
      <c r="A300" s="2">
        <v>298</v>
      </c>
      <c r="B300" s="2">
        <f t="shared" ca="1" si="4"/>
        <v>0.4694004863002792</v>
      </c>
      <c r="C300" s="2" t="s">
        <v>226</v>
      </c>
    </row>
    <row r="301" spans="1:3" x14ac:dyDescent="0.2">
      <c r="A301" s="2">
        <v>299</v>
      </c>
      <c r="B301" s="2">
        <f t="shared" ca="1" si="4"/>
        <v>0.74169889319707871</v>
      </c>
      <c r="C301" s="2" t="s">
        <v>227</v>
      </c>
    </row>
    <row r="302" spans="1:3" x14ac:dyDescent="0.2">
      <c r="A302" s="2">
        <v>300</v>
      </c>
      <c r="B302" s="2">
        <f t="shared" ca="1" si="4"/>
        <v>0.71565207090277538</v>
      </c>
      <c r="C302" s="2" t="s">
        <v>227</v>
      </c>
    </row>
    <row r="303" spans="1:3" x14ac:dyDescent="0.2">
      <c r="A303" s="2">
        <v>301</v>
      </c>
      <c r="B303" s="2">
        <f t="shared" ca="1" si="4"/>
        <v>0.69233275128245564</v>
      </c>
      <c r="C303" s="2" t="s">
        <v>227</v>
      </c>
    </row>
    <row r="304" spans="1:3" x14ac:dyDescent="0.2">
      <c r="A304" s="2">
        <v>302</v>
      </c>
      <c r="B304" s="2">
        <f t="shared" ca="1" si="4"/>
        <v>0.67667310283541249</v>
      </c>
      <c r="C304" s="2" t="s">
        <v>227</v>
      </c>
    </row>
    <row r="305" spans="1:3" x14ac:dyDescent="0.2">
      <c r="A305" s="2">
        <v>303</v>
      </c>
      <c r="B305" s="2">
        <f t="shared" ca="1" si="4"/>
        <v>0.65959868528535126</v>
      </c>
      <c r="C305" s="2" t="s">
        <v>227</v>
      </c>
    </row>
    <row r="306" spans="1:3" x14ac:dyDescent="0.2">
      <c r="A306" s="2">
        <v>304</v>
      </c>
      <c r="B306" s="2">
        <f t="shared" ca="1" si="4"/>
        <v>0.6094344176188039</v>
      </c>
      <c r="C306" s="2" t="s">
        <v>227</v>
      </c>
    </row>
    <row r="307" spans="1:3" x14ac:dyDescent="0.2">
      <c r="A307" s="2">
        <v>305</v>
      </c>
      <c r="B307" s="2">
        <f t="shared" ca="1" si="4"/>
        <v>0.54358400267399487</v>
      </c>
      <c r="C307" s="2" t="s">
        <v>226</v>
      </c>
    </row>
    <row r="308" spans="1:3" x14ac:dyDescent="0.2">
      <c r="A308" s="2">
        <v>306</v>
      </c>
      <c r="B308" s="2">
        <f t="shared" ca="1" si="4"/>
        <v>0.73807552280374311</v>
      </c>
      <c r="C308" s="2" t="s">
        <v>227</v>
      </c>
    </row>
    <row r="309" spans="1:3" x14ac:dyDescent="0.2">
      <c r="A309" s="2">
        <v>307</v>
      </c>
      <c r="B309" s="2">
        <f t="shared" ca="1" si="4"/>
        <v>0.74742177500789442</v>
      </c>
      <c r="C309" s="2" t="s">
        <v>226</v>
      </c>
    </row>
    <row r="310" spans="1:3" x14ac:dyDescent="0.2">
      <c r="A310" s="2">
        <v>308</v>
      </c>
      <c r="B310" s="2">
        <f t="shared" ca="1" si="4"/>
        <v>0.64626038107722172</v>
      </c>
      <c r="C310" s="2" t="s">
        <v>227</v>
      </c>
    </row>
    <row r="311" spans="1:3" x14ac:dyDescent="0.2">
      <c r="A311" s="2">
        <v>309</v>
      </c>
      <c r="B311" s="2">
        <f t="shared" ca="1" si="4"/>
        <v>0.80790680059583164</v>
      </c>
      <c r="C311" s="2" t="s">
        <v>227</v>
      </c>
    </row>
    <row r="312" spans="1:3" x14ac:dyDescent="0.2">
      <c r="A312" s="2">
        <v>310</v>
      </c>
      <c r="B312" s="2">
        <f t="shared" ca="1" si="4"/>
        <v>0.65370849875342651</v>
      </c>
      <c r="C312" s="2" t="s">
        <v>226</v>
      </c>
    </row>
    <row r="313" spans="1:3" x14ac:dyDescent="0.2">
      <c r="A313" s="2">
        <v>311</v>
      </c>
      <c r="B313" s="2">
        <f t="shared" ca="1" si="4"/>
        <v>0.62833254827790652</v>
      </c>
      <c r="C313" s="2" t="s">
        <v>227</v>
      </c>
    </row>
    <row r="314" spans="1:3" x14ac:dyDescent="0.2">
      <c r="A314" s="2">
        <v>312</v>
      </c>
      <c r="B314" s="2">
        <f t="shared" ca="1" si="4"/>
        <v>0.62376642830801443</v>
      </c>
      <c r="C314" s="2" t="s">
        <v>227</v>
      </c>
    </row>
    <row r="315" spans="1:3" x14ac:dyDescent="0.2">
      <c r="A315" s="2">
        <v>313</v>
      </c>
      <c r="B315" s="2">
        <f t="shared" ca="1" si="4"/>
        <v>0.67186958331269597</v>
      </c>
      <c r="C315" s="2" t="s">
        <v>226</v>
      </c>
    </row>
    <row r="316" spans="1:3" x14ac:dyDescent="0.2">
      <c r="A316" s="2">
        <v>314</v>
      </c>
      <c r="B316" s="2">
        <f t="shared" ca="1" si="4"/>
        <v>0.69982062974020265</v>
      </c>
      <c r="C316" s="2" t="s">
        <v>226</v>
      </c>
    </row>
    <row r="317" spans="1:3" x14ac:dyDescent="0.2">
      <c r="A317" s="2">
        <v>315</v>
      </c>
      <c r="B317" s="2">
        <f t="shared" ca="1" si="4"/>
        <v>0.74274075957637631</v>
      </c>
      <c r="C317" s="2" t="s">
        <v>227</v>
      </c>
    </row>
    <row r="318" spans="1:3" x14ac:dyDescent="0.2">
      <c r="A318" s="2">
        <v>316</v>
      </c>
      <c r="B318" s="2">
        <f t="shared" ca="1" si="4"/>
        <v>0.73314841947599274</v>
      </c>
      <c r="C318" s="2" t="s">
        <v>227</v>
      </c>
    </row>
    <row r="319" spans="1:3" x14ac:dyDescent="0.2">
      <c r="A319" s="2">
        <v>317</v>
      </c>
      <c r="B319" s="2">
        <f t="shared" ca="1" si="4"/>
        <v>0.71825017820579384</v>
      </c>
      <c r="C319" s="2" t="s">
        <v>226</v>
      </c>
    </row>
    <row r="320" spans="1:3" x14ac:dyDescent="0.2">
      <c r="A320" s="2">
        <v>318</v>
      </c>
      <c r="B320" s="2">
        <f t="shared" ca="1" si="4"/>
        <v>0.53890765996947732</v>
      </c>
      <c r="C320" s="2" t="s">
        <v>227</v>
      </c>
    </row>
    <row r="321" spans="1:3" x14ac:dyDescent="0.2">
      <c r="A321" s="2">
        <v>319</v>
      </c>
      <c r="B321" s="2">
        <f t="shared" ca="1" si="4"/>
        <v>0.39145368223842714</v>
      </c>
      <c r="C321" s="2" t="s">
        <v>226</v>
      </c>
    </row>
    <row r="322" spans="1:3" x14ac:dyDescent="0.2">
      <c r="A322" s="2">
        <v>320</v>
      </c>
      <c r="B322" s="2">
        <f t="shared" ca="1" si="4"/>
        <v>0.85910105426017913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0.84725678681108951</v>
      </c>
      <c r="C323" s="2" t="s">
        <v>227</v>
      </c>
    </row>
    <row r="324" spans="1:3" x14ac:dyDescent="0.2">
      <c r="A324" s="2">
        <v>322</v>
      </c>
      <c r="B324" s="2">
        <f t="shared" ca="1" si="5"/>
        <v>0.68758471274996358</v>
      </c>
      <c r="C324" s="2" t="s">
        <v>227</v>
      </c>
    </row>
    <row r="325" spans="1:3" x14ac:dyDescent="0.2">
      <c r="A325" s="2">
        <v>323</v>
      </c>
      <c r="B325" s="2">
        <f t="shared" ca="1" si="5"/>
        <v>0.63142245174856571</v>
      </c>
      <c r="C325" s="2" t="s">
        <v>227</v>
      </c>
    </row>
    <row r="326" spans="1:3" x14ac:dyDescent="0.2">
      <c r="A326" s="2">
        <v>324</v>
      </c>
      <c r="B326" s="2">
        <f t="shared" ca="1" si="5"/>
        <v>0.61060822179959984</v>
      </c>
      <c r="C326" s="2" t="s">
        <v>226</v>
      </c>
    </row>
    <row r="327" spans="1:3" x14ac:dyDescent="0.2">
      <c r="A327" s="2">
        <v>325</v>
      </c>
      <c r="B327" s="2">
        <f t="shared" ca="1" si="5"/>
        <v>0.83460883809634145</v>
      </c>
      <c r="C327" s="2" t="s">
        <v>226</v>
      </c>
    </row>
    <row r="328" spans="1:3" x14ac:dyDescent="0.2">
      <c r="A328" s="2">
        <v>326</v>
      </c>
      <c r="B328" s="2">
        <f t="shared" ca="1" si="5"/>
        <v>0.56705883629851839</v>
      </c>
      <c r="C328" s="2" t="s">
        <v>227</v>
      </c>
    </row>
    <row r="329" spans="1:3" x14ac:dyDescent="0.2">
      <c r="A329" s="2">
        <v>327</v>
      </c>
      <c r="B329" s="2">
        <f t="shared" ca="1" si="5"/>
        <v>0.75297011552637072</v>
      </c>
      <c r="C329" s="2" t="s">
        <v>226</v>
      </c>
    </row>
    <row r="330" spans="1:3" x14ac:dyDescent="0.2">
      <c r="A330" s="2">
        <v>328</v>
      </c>
      <c r="B330" s="2">
        <f t="shared" ca="1" si="5"/>
        <v>0.46688208068585962</v>
      </c>
      <c r="C330" s="2" t="s">
        <v>226</v>
      </c>
    </row>
    <row r="331" spans="1:3" x14ac:dyDescent="0.2">
      <c r="A331" s="2">
        <v>329</v>
      </c>
      <c r="B331" s="2">
        <f t="shared" ca="1" si="5"/>
        <v>0.64937557097804843</v>
      </c>
      <c r="C331" s="2" t="s">
        <v>227</v>
      </c>
    </row>
    <row r="332" spans="1:3" x14ac:dyDescent="0.2">
      <c r="A332" s="2">
        <v>330</v>
      </c>
      <c r="B332" s="2">
        <f t="shared" ca="1" si="5"/>
        <v>0.37224106806186119</v>
      </c>
      <c r="C332" s="2" t="s">
        <v>226</v>
      </c>
    </row>
    <row r="333" spans="1:3" x14ac:dyDescent="0.2">
      <c r="A333" s="2">
        <v>331</v>
      </c>
      <c r="B333" s="2">
        <f t="shared" ca="1" si="5"/>
        <v>0.60572832136276433</v>
      </c>
      <c r="C333" s="2" t="s">
        <v>226</v>
      </c>
    </row>
    <row r="334" spans="1:3" x14ac:dyDescent="0.2">
      <c r="A334" s="2">
        <v>332</v>
      </c>
      <c r="B334" s="2">
        <f t="shared" ca="1" si="5"/>
        <v>0.78723506770964291</v>
      </c>
      <c r="C334" s="2" t="s">
        <v>227</v>
      </c>
    </row>
    <row r="335" spans="1:3" x14ac:dyDescent="0.2">
      <c r="A335" s="2">
        <v>333</v>
      </c>
      <c r="B335" s="2">
        <f t="shared" ca="1" si="5"/>
        <v>0.69106457356598983</v>
      </c>
      <c r="C335" s="2" t="s">
        <v>226</v>
      </c>
    </row>
    <row r="336" spans="1:3" x14ac:dyDescent="0.2">
      <c r="A336" s="2">
        <v>334</v>
      </c>
      <c r="B336" s="2">
        <f t="shared" ca="1" si="5"/>
        <v>0.74657226676168353</v>
      </c>
      <c r="C336" s="2" t="s">
        <v>226</v>
      </c>
    </row>
    <row r="337" spans="1:3" x14ac:dyDescent="0.2">
      <c r="A337" s="2">
        <v>335</v>
      </c>
      <c r="B337" s="2">
        <f t="shared" ca="1" si="5"/>
        <v>0.3865908778946896</v>
      </c>
      <c r="C337" s="2" t="s">
        <v>226</v>
      </c>
    </row>
    <row r="338" spans="1:3" x14ac:dyDescent="0.2">
      <c r="A338" s="2">
        <v>336</v>
      </c>
      <c r="B338" s="2">
        <f t="shared" ca="1" si="5"/>
        <v>0.74291016604707472</v>
      </c>
      <c r="C338" s="2" t="s">
        <v>227</v>
      </c>
    </row>
    <row r="339" spans="1:3" x14ac:dyDescent="0.2">
      <c r="A339" s="2">
        <v>337</v>
      </c>
      <c r="B339" s="2">
        <f t="shared" ca="1" si="5"/>
        <v>0.80414620498601452</v>
      </c>
      <c r="C339" s="2" t="s">
        <v>227</v>
      </c>
    </row>
    <row r="340" spans="1:3" x14ac:dyDescent="0.2">
      <c r="A340" s="2">
        <v>338</v>
      </c>
      <c r="B340" s="2">
        <f t="shared" ca="1" si="5"/>
        <v>0.79223472410410412</v>
      </c>
      <c r="C340" s="2" t="s">
        <v>227</v>
      </c>
    </row>
    <row r="341" spans="1:3" x14ac:dyDescent="0.2">
      <c r="A341" s="2">
        <v>339</v>
      </c>
      <c r="B341" s="2">
        <f t="shared" ca="1" si="5"/>
        <v>0.30840683461550178</v>
      </c>
      <c r="C341" s="2" t="s">
        <v>226</v>
      </c>
    </row>
    <row r="342" spans="1:3" x14ac:dyDescent="0.2">
      <c r="A342" s="2">
        <v>340</v>
      </c>
      <c r="B342" s="2">
        <f t="shared" ca="1" si="5"/>
        <v>0.41780024143034555</v>
      </c>
      <c r="C342" s="2" t="s">
        <v>226</v>
      </c>
    </row>
    <row r="343" spans="1:3" x14ac:dyDescent="0.2">
      <c r="A343" s="2">
        <v>341</v>
      </c>
      <c r="B343" s="2">
        <f t="shared" ca="1" si="5"/>
        <v>0.66895326241016273</v>
      </c>
      <c r="C343" s="2" t="s">
        <v>226</v>
      </c>
    </row>
    <row r="344" spans="1:3" x14ac:dyDescent="0.2">
      <c r="A344" s="2">
        <v>342</v>
      </c>
      <c r="B344" s="2">
        <f t="shared" ca="1" si="5"/>
        <v>0.62576297317925189</v>
      </c>
      <c r="C344" s="2" t="s">
        <v>226</v>
      </c>
    </row>
    <row r="345" spans="1:3" x14ac:dyDescent="0.2">
      <c r="A345" s="2">
        <v>343</v>
      </c>
      <c r="B345" s="2">
        <f t="shared" ca="1" si="5"/>
        <v>0.47247686035472625</v>
      </c>
      <c r="C345" s="2" t="s">
        <v>227</v>
      </c>
    </row>
    <row r="346" spans="1:3" x14ac:dyDescent="0.2">
      <c r="A346" s="2">
        <v>344</v>
      </c>
      <c r="B346" s="2">
        <f t="shared" ca="1" si="5"/>
        <v>0.6212582772950439</v>
      </c>
      <c r="C346" s="2" t="s">
        <v>227</v>
      </c>
    </row>
    <row r="347" spans="1:3" x14ac:dyDescent="0.2">
      <c r="A347" s="2">
        <v>345</v>
      </c>
      <c r="B347" s="2">
        <f t="shared" ca="1" si="5"/>
        <v>0.50423686667704615</v>
      </c>
      <c r="C347" s="2" t="s">
        <v>226</v>
      </c>
    </row>
    <row r="348" spans="1:3" x14ac:dyDescent="0.2">
      <c r="A348" s="2">
        <v>346</v>
      </c>
      <c r="B348" s="2">
        <f t="shared" ca="1" si="5"/>
        <v>0.63370299462011515</v>
      </c>
      <c r="C348" s="2" t="s">
        <v>227</v>
      </c>
    </row>
    <row r="349" spans="1:3" x14ac:dyDescent="0.2">
      <c r="A349" s="2">
        <v>347</v>
      </c>
      <c r="B349" s="2">
        <f t="shared" ca="1" si="5"/>
        <v>0.56469363987591115</v>
      </c>
      <c r="C349" s="2" t="s">
        <v>226</v>
      </c>
    </row>
    <row r="350" spans="1:3" x14ac:dyDescent="0.2">
      <c r="A350" s="2">
        <v>348</v>
      </c>
      <c r="B350" s="2">
        <f t="shared" ca="1" si="5"/>
        <v>0.76361349573882153</v>
      </c>
      <c r="C350" s="2" t="s">
        <v>227</v>
      </c>
    </row>
    <row r="351" spans="1:3" x14ac:dyDescent="0.2">
      <c r="A351" s="2">
        <v>349</v>
      </c>
      <c r="B351" s="2">
        <f t="shared" ca="1" si="5"/>
        <v>1.0122932947898227</v>
      </c>
      <c r="C351" s="2" t="s">
        <v>227</v>
      </c>
    </row>
    <row r="352" spans="1:3" x14ac:dyDescent="0.2">
      <c r="A352" s="2">
        <v>350</v>
      </c>
      <c r="B352" s="2">
        <f t="shared" ca="1" si="5"/>
        <v>0.83542303616819447</v>
      </c>
      <c r="C352" s="2" t="s">
        <v>226</v>
      </c>
    </row>
    <row r="353" spans="1:3" x14ac:dyDescent="0.2">
      <c r="A353" s="2">
        <v>351</v>
      </c>
      <c r="B353" s="2">
        <f t="shared" ca="1" si="5"/>
        <v>0.84463898514455238</v>
      </c>
      <c r="C353" s="2" t="s">
        <v>226</v>
      </c>
    </row>
    <row r="354" spans="1:3" x14ac:dyDescent="0.2">
      <c r="A354" s="2">
        <v>352</v>
      </c>
      <c r="B354" s="2">
        <f t="shared" ca="1" si="5"/>
        <v>0.6298098025679697</v>
      </c>
      <c r="C354" s="2" t="s">
        <v>226</v>
      </c>
    </row>
    <row r="355" spans="1:3" x14ac:dyDescent="0.2">
      <c r="A355" s="2">
        <v>353</v>
      </c>
      <c r="B355" s="2">
        <f t="shared" ca="1" si="5"/>
        <v>0.66579732430307415</v>
      </c>
      <c r="C355" s="2" t="s">
        <v>227</v>
      </c>
    </row>
    <row r="356" spans="1:3" x14ac:dyDescent="0.2">
      <c r="A356" s="2">
        <v>354</v>
      </c>
      <c r="B356" s="2">
        <f t="shared" ca="1" si="5"/>
        <v>0.86073938097360359</v>
      </c>
      <c r="C356" s="2" t="s">
        <v>227</v>
      </c>
    </row>
    <row r="357" spans="1:3" x14ac:dyDescent="0.2">
      <c r="A357" s="2">
        <v>355</v>
      </c>
      <c r="B357" s="2">
        <f t="shared" ca="1" si="5"/>
        <v>0.63885842977368257</v>
      </c>
      <c r="C357" s="2" t="s">
        <v>227</v>
      </c>
    </row>
    <row r="358" spans="1:3" x14ac:dyDescent="0.2">
      <c r="A358" s="2">
        <v>356</v>
      </c>
      <c r="B358" s="2">
        <f t="shared" ca="1" si="5"/>
        <v>0.66937145936979991</v>
      </c>
      <c r="C358" s="2" t="s">
        <v>227</v>
      </c>
    </row>
    <row r="359" spans="1:3" x14ac:dyDescent="0.2">
      <c r="A359" s="2">
        <v>357</v>
      </c>
      <c r="B359" s="2">
        <f t="shared" ca="1" si="5"/>
        <v>0.370524592133953</v>
      </c>
      <c r="C359" s="2" t="s">
        <v>226</v>
      </c>
    </row>
    <row r="360" spans="1:3" x14ac:dyDescent="0.2">
      <c r="A360" s="2">
        <v>358</v>
      </c>
      <c r="B360" s="2">
        <f t="shared" ca="1" si="5"/>
        <v>0.83514224056648323</v>
      </c>
      <c r="C360" s="2" t="s">
        <v>227</v>
      </c>
    </row>
    <row r="361" spans="1:3" x14ac:dyDescent="0.2">
      <c r="A361" s="2">
        <v>359</v>
      </c>
      <c r="B361" s="2">
        <f t="shared" ca="1" si="5"/>
        <v>0.72096226645553829</v>
      </c>
      <c r="C361" s="2" t="s">
        <v>226</v>
      </c>
    </row>
    <row r="362" spans="1:3" x14ac:dyDescent="0.2">
      <c r="A362" s="2">
        <v>360</v>
      </c>
      <c r="B362" s="2">
        <f t="shared" ca="1" si="5"/>
        <v>0.61120106014259712</v>
      </c>
      <c r="C362" s="2" t="s">
        <v>226</v>
      </c>
    </row>
    <row r="363" spans="1:3" x14ac:dyDescent="0.2">
      <c r="A363" s="2">
        <v>361</v>
      </c>
      <c r="B363" s="2">
        <f t="shared" ca="1" si="5"/>
        <v>0.58111835697733516</v>
      </c>
      <c r="C363" s="2" t="s">
        <v>227</v>
      </c>
    </row>
    <row r="364" spans="1:3" x14ac:dyDescent="0.2">
      <c r="A364" s="2">
        <v>362</v>
      </c>
      <c r="B364" s="2">
        <f t="shared" ca="1" si="5"/>
        <v>0.69818977408386129</v>
      </c>
      <c r="C364" s="2" t="s">
        <v>227</v>
      </c>
    </row>
    <row r="365" spans="1:3" x14ac:dyDescent="0.2">
      <c r="A365" s="2">
        <v>363</v>
      </c>
      <c r="B365" s="2">
        <f t="shared" ca="1" si="5"/>
        <v>0.5838019762943617</v>
      </c>
      <c r="C365" s="2" t="s">
        <v>226</v>
      </c>
    </row>
    <row r="366" spans="1:3" x14ac:dyDescent="0.2">
      <c r="A366" s="2">
        <v>364</v>
      </c>
      <c r="B366" s="2">
        <f t="shared" ca="1" si="5"/>
        <v>0.48973390555727425</v>
      </c>
      <c r="C366" s="2" t="s">
        <v>227</v>
      </c>
    </row>
    <row r="367" spans="1:3" x14ac:dyDescent="0.2">
      <c r="A367" s="2">
        <v>365</v>
      </c>
      <c r="B367" s="2">
        <f t="shared" ca="1" si="5"/>
        <v>0.63038208965219644</v>
      </c>
      <c r="C367" s="2" t="s">
        <v>226</v>
      </c>
    </row>
    <row r="368" spans="1:3" x14ac:dyDescent="0.2">
      <c r="A368" s="2">
        <v>366</v>
      </c>
      <c r="B368" s="2">
        <f t="shared" ca="1" si="5"/>
        <v>0.43620623210607706</v>
      </c>
      <c r="C368" s="2" t="s">
        <v>226</v>
      </c>
    </row>
    <row r="369" spans="1:3" x14ac:dyDescent="0.2">
      <c r="A369" s="2">
        <v>367</v>
      </c>
      <c r="B369" s="2">
        <f t="shared" ca="1" si="5"/>
        <v>0.79782119961857412</v>
      </c>
      <c r="C369" s="2" t="s">
        <v>227</v>
      </c>
    </row>
    <row r="370" spans="1:3" x14ac:dyDescent="0.2">
      <c r="A370" s="2">
        <v>368</v>
      </c>
      <c r="B370" s="2">
        <f t="shared" ca="1" si="5"/>
        <v>0.71913784077949006</v>
      </c>
      <c r="C370" s="2" t="s">
        <v>227</v>
      </c>
    </row>
    <row r="371" spans="1:3" x14ac:dyDescent="0.2">
      <c r="A371" s="2">
        <v>369</v>
      </c>
      <c r="B371" s="2">
        <f t="shared" ca="1" si="5"/>
        <v>0.65305159217537856</v>
      </c>
      <c r="C371" s="2" t="s">
        <v>226</v>
      </c>
    </row>
    <row r="372" spans="1:3" x14ac:dyDescent="0.2">
      <c r="A372" s="2">
        <v>370</v>
      </c>
      <c r="B372" s="2">
        <f t="shared" ca="1" si="5"/>
        <v>0.7581959934198117</v>
      </c>
      <c r="C372" s="2" t="s">
        <v>227</v>
      </c>
    </row>
    <row r="373" spans="1:3" x14ac:dyDescent="0.2">
      <c r="A373" s="2">
        <v>371</v>
      </c>
      <c r="B373" s="2">
        <f t="shared" ca="1" si="5"/>
        <v>0.72574485352550488</v>
      </c>
      <c r="C373" s="2" t="s">
        <v>227</v>
      </c>
    </row>
    <row r="374" spans="1:3" x14ac:dyDescent="0.2">
      <c r="A374" s="2">
        <v>372</v>
      </c>
      <c r="B374" s="2">
        <f t="shared" ca="1" si="5"/>
        <v>0.62236454098381777</v>
      </c>
      <c r="C374" s="2" t="s">
        <v>226</v>
      </c>
    </row>
    <row r="375" spans="1:3" x14ac:dyDescent="0.2">
      <c r="A375" s="2">
        <v>373</v>
      </c>
      <c r="B375" s="2">
        <f t="shared" ca="1" si="5"/>
        <v>0.89297616930327084</v>
      </c>
      <c r="C375" s="2" t="s">
        <v>227</v>
      </c>
    </row>
    <row r="376" spans="1:3" x14ac:dyDescent="0.2">
      <c r="A376" s="2">
        <v>374</v>
      </c>
      <c r="B376" s="2">
        <f t="shared" ca="1" si="5"/>
        <v>0.79829675703930614</v>
      </c>
      <c r="C376" s="2" t="s">
        <v>227</v>
      </c>
    </row>
    <row r="377" spans="1:3" x14ac:dyDescent="0.2">
      <c r="A377" s="2">
        <v>375</v>
      </c>
      <c r="B377" s="2">
        <f t="shared" ca="1" si="5"/>
        <v>0.58215919419012796</v>
      </c>
      <c r="C377" s="2" t="s">
        <v>226</v>
      </c>
    </row>
    <row r="378" spans="1:3" x14ac:dyDescent="0.2">
      <c r="A378" s="2">
        <v>376</v>
      </c>
      <c r="B378" s="2">
        <f t="shared" ca="1" si="5"/>
        <v>0.67688793256691748</v>
      </c>
      <c r="C378" s="2" t="s">
        <v>227</v>
      </c>
    </row>
    <row r="379" spans="1:3" x14ac:dyDescent="0.2">
      <c r="A379" s="2">
        <v>377</v>
      </c>
      <c r="B379" s="2">
        <f t="shared" ca="1" si="5"/>
        <v>0.67522299432676536</v>
      </c>
      <c r="C379" s="2" t="s">
        <v>227</v>
      </c>
    </row>
    <row r="380" spans="1:3" x14ac:dyDescent="0.2">
      <c r="A380" s="2">
        <v>378</v>
      </c>
      <c r="B380" s="2">
        <f t="shared" ca="1" si="5"/>
        <v>0.64473603865033036</v>
      </c>
      <c r="C380" s="2" t="s">
        <v>227</v>
      </c>
    </row>
    <row r="381" spans="1:3" x14ac:dyDescent="0.2">
      <c r="A381" s="2">
        <v>379</v>
      </c>
      <c r="B381" s="2">
        <f t="shared" ca="1" si="5"/>
        <v>0.82182115135541001</v>
      </c>
      <c r="C381" s="2" t="s">
        <v>227</v>
      </c>
    </row>
    <row r="382" spans="1:3" x14ac:dyDescent="0.2">
      <c r="A382" s="2">
        <v>380</v>
      </c>
      <c r="B382" s="2">
        <f t="shared" ca="1" si="5"/>
        <v>0.78909196373530077</v>
      </c>
      <c r="C382" s="2" t="s">
        <v>227</v>
      </c>
    </row>
    <row r="383" spans="1:3" x14ac:dyDescent="0.2">
      <c r="A383" s="2">
        <v>381</v>
      </c>
      <c r="B383" s="2">
        <f t="shared" ca="1" si="5"/>
        <v>0.71978770466877617</v>
      </c>
      <c r="C383" s="2" t="s">
        <v>227</v>
      </c>
    </row>
    <row r="384" spans="1:3" x14ac:dyDescent="0.2">
      <c r="A384" s="2">
        <v>382</v>
      </c>
      <c r="B384" s="2">
        <f t="shared" ca="1" si="5"/>
        <v>0.59046378313718151</v>
      </c>
      <c r="C384" s="2" t="s">
        <v>227</v>
      </c>
    </row>
    <row r="385" spans="1:3" x14ac:dyDescent="0.2">
      <c r="A385" s="2">
        <v>383</v>
      </c>
      <c r="B385" s="2">
        <f t="shared" ca="1" si="5"/>
        <v>0.1236368142818931</v>
      </c>
      <c r="C385" s="2" t="s">
        <v>226</v>
      </c>
    </row>
    <row r="386" spans="1:3" x14ac:dyDescent="0.2">
      <c r="A386" s="2">
        <v>384</v>
      </c>
      <c r="B386" s="2">
        <f t="shared" ca="1" si="5"/>
        <v>0.64433332532552512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0.5174058957403691</v>
      </c>
      <c r="C387" s="2" t="s">
        <v>226</v>
      </c>
    </row>
    <row r="388" spans="1:3" x14ac:dyDescent="0.2">
      <c r="A388" s="2">
        <v>386</v>
      </c>
      <c r="B388" s="2">
        <f t="shared" ca="1" si="6"/>
        <v>0.64357990760890116</v>
      </c>
      <c r="C388" s="2" t="s">
        <v>226</v>
      </c>
    </row>
    <row r="389" spans="1:3" x14ac:dyDescent="0.2">
      <c r="A389" s="2">
        <v>387</v>
      </c>
      <c r="B389" s="2">
        <f t="shared" ca="1" si="6"/>
        <v>0.66825619596282959</v>
      </c>
      <c r="C389" s="2" t="s">
        <v>226</v>
      </c>
    </row>
    <row r="390" spans="1:3" x14ac:dyDescent="0.2">
      <c r="A390" s="2">
        <v>388</v>
      </c>
      <c r="B390" s="2">
        <f t="shared" ca="1" si="6"/>
        <v>0.53942374471352139</v>
      </c>
      <c r="C390" s="2" t="s">
        <v>226</v>
      </c>
    </row>
    <row r="391" spans="1:3" x14ac:dyDescent="0.2">
      <c r="A391" s="2">
        <v>389</v>
      </c>
      <c r="B391" s="2">
        <f t="shared" ca="1" si="6"/>
        <v>0.72426225361244312</v>
      </c>
      <c r="C391" s="2" t="s">
        <v>226</v>
      </c>
    </row>
    <row r="392" spans="1:3" x14ac:dyDescent="0.2">
      <c r="A392" s="2">
        <v>390</v>
      </c>
      <c r="B392" s="2">
        <f t="shared" ca="1" si="6"/>
        <v>0.94635917462538943</v>
      </c>
      <c r="C392" s="2" t="s">
        <v>227</v>
      </c>
    </row>
    <row r="393" spans="1:3" x14ac:dyDescent="0.2">
      <c r="A393" s="2">
        <v>391</v>
      </c>
      <c r="B393" s="2">
        <f t="shared" ca="1" si="6"/>
        <v>0.80932336910053726</v>
      </c>
      <c r="C393" s="2" t="s">
        <v>227</v>
      </c>
    </row>
    <row r="394" spans="1:3" x14ac:dyDescent="0.2">
      <c r="A394" s="2">
        <v>392</v>
      </c>
      <c r="B394" s="2">
        <f t="shared" ca="1" si="6"/>
        <v>0.81139107192079163</v>
      </c>
      <c r="C394" s="2" t="s">
        <v>226</v>
      </c>
    </row>
    <row r="395" spans="1:3" x14ac:dyDescent="0.2">
      <c r="A395" s="2">
        <v>393</v>
      </c>
      <c r="B395" s="2">
        <f t="shared" ca="1" si="6"/>
        <v>0.5909714666145266</v>
      </c>
      <c r="C395" s="2" t="s">
        <v>226</v>
      </c>
    </row>
    <row r="396" spans="1:3" x14ac:dyDescent="0.2">
      <c r="A396" s="2">
        <v>394</v>
      </c>
      <c r="B396" s="2">
        <f t="shared" ca="1" si="6"/>
        <v>0.61183755088448788</v>
      </c>
      <c r="C396" s="2" t="s">
        <v>226</v>
      </c>
    </row>
    <row r="397" spans="1:3" x14ac:dyDescent="0.2">
      <c r="A397" s="2">
        <v>395</v>
      </c>
      <c r="B397" s="2">
        <f t="shared" ca="1" si="6"/>
        <v>0.72998460498208029</v>
      </c>
      <c r="C397" s="2" t="s">
        <v>227</v>
      </c>
    </row>
    <row r="398" spans="1:3" x14ac:dyDescent="0.2">
      <c r="A398" s="2">
        <v>396</v>
      </c>
      <c r="B398" s="2">
        <f t="shared" ca="1" si="6"/>
        <v>0.5960028223181042</v>
      </c>
      <c r="C398" s="2" t="s">
        <v>227</v>
      </c>
    </row>
    <row r="399" spans="1:3" x14ac:dyDescent="0.2">
      <c r="A399" s="2">
        <v>397</v>
      </c>
      <c r="B399" s="2">
        <f t="shared" ca="1" si="6"/>
        <v>0.23090509993919289</v>
      </c>
      <c r="C399" s="2" t="s">
        <v>226</v>
      </c>
    </row>
    <row r="400" spans="1:3" x14ac:dyDescent="0.2">
      <c r="A400" s="2">
        <v>398</v>
      </c>
      <c r="B400" s="2">
        <f t="shared" ca="1" si="6"/>
        <v>0.74840648171352264</v>
      </c>
      <c r="C400" s="2" t="s">
        <v>227</v>
      </c>
    </row>
    <row r="401" spans="1:3" x14ac:dyDescent="0.2">
      <c r="A401" s="2">
        <v>399</v>
      </c>
      <c r="B401" s="2">
        <f t="shared" ca="1" si="6"/>
        <v>0.68821538057997977</v>
      </c>
      <c r="C401" s="2" t="s">
        <v>226</v>
      </c>
    </row>
    <row r="402" spans="1:3" x14ac:dyDescent="0.2">
      <c r="A402" s="2">
        <v>400</v>
      </c>
      <c r="B402" s="2">
        <f t="shared" ca="1" si="6"/>
        <v>0.6657967421280595</v>
      </c>
      <c r="C402" s="2" t="s">
        <v>227</v>
      </c>
    </row>
    <row r="403" spans="1:3" x14ac:dyDescent="0.2">
      <c r="A403" s="2">
        <v>401</v>
      </c>
      <c r="B403" s="2">
        <f t="shared" ca="1" si="6"/>
        <v>0.50675229123665511</v>
      </c>
      <c r="C403" s="2" t="s">
        <v>226</v>
      </c>
    </row>
    <row r="404" spans="1:3" x14ac:dyDescent="0.2">
      <c r="A404" s="2">
        <v>402</v>
      </c>
      <c r="B404" s="2">
        <f t="shared" ca="1" si="6"/>
        <v>0.71420105971956283</v>
      </c>
      <c r="C404" s="2" t="s">
        <v>226</v>
      </c>
    </row>
    <row r="405" spans="1:3" x14ac:dyDescent="0.2">
      <c r="A405" s="2">
        <v>403</v>
      </c>
      <c r="B405" s="2">
        <f t="shared" ca="1" si="6"/>
        <v>0.55907065928390931</v>
      </c>
      <c r="C405" s="2" t="s">
        <v>226</v>
      </c>
    </row>
    <row r="406" spans="1:3" x14ac:dyDescent="0.2">
      <c r="A406" s="2">
        <v>404</v>
      </c>
      <c r="B406" s="2">
        <f t="shared" ca="1" si="6"/>
        <v>0.63802632228124878</v>
      </c>
      <c r="C406" s="2" t="s">
        <v>227</v>
      </c>
    </row>
    <row r="407" spans="1:3" x14ac:dyDescent="0.2">
      <c r="A407" s="2">
        <v>405</v>
      </c>
      <c r="B407" s="2">
        <f t="shared" ca="1" si="6"/>
        <v>0.76950737391218171</v>
      </c>
      <c r="C407" s="2" t="s">
        <v>227</v>
      </c>
    </row>
    <row r="408" spans="1:3" x14ac:dyDescent="0.2">
      <c r="A408" s="2">
        <v>406</v>
      </c>
      <c r="B408" s="2">
        <f t="shared" ca="1" si="6"/>
        <v>0.4586518017597101</v>
      </c>
      <c r="C408" s="2" t="s">
        <v>226</v>
      </c>
    </row>
    <row r="409" spans="1:3" x14ac:dyDescent="0.2">
      <c r="A409" s="2">
        <v>407</v>
      </c>
      <c r="B409" s="2">
        <f t="shared" ca="1" si="6"/>
        <v>0.57431085082144273</v>
      </c>
      <c r="C409" s="2" t="s">
        <v>226</v>
      </c>
    </row>
    <row r="410" spans="1:3" x14ac:dyDescent="0.2">
      <c r="A410" s="2">
        <v>408</v>
      </c>
      <c r="B410" s="2">
        <f t="shared" ca="1" si="6"/>
        <v>0.73297738161938875</v>
      </c>
      <c r="C410" s="2" t="s">
        <v>227</v>
      </c>
    </row>
    <row r="411" spans="1:3" x14ac:dyDescent="0.2">
      <c r="A411" s="2">
        <v>409</v>
      </c>
      <c r="B411" s="2">
        <f t="shared" ca="1" si="6"/>
        <v>0.86884634351985679</v>
      </c>
      <c r="C411" s="2" t="s">
        <v>227</v>
      </c>
    </row>
    <row r="412" spans="1:3" x14ac:dyDescent="0.2">
      <c r="A412" s="2">
        <v>410</v>
      </c>
      <c r="B412" s="2">
        <f t="shared" ca="1" si="6"/>
        <v>0.65667395255993022</v>
      </c>
      <c r="C412" s="2" t="s">
        <v>227</v>
      </c>
    </row>
    <row r="413" spans="1:3" x14ac:dyDescent="0.2">
      <c r="A413" s="2">
        <v>411</v>
      </c>
      <c r="B413" s="2">
        <f t="shared" ca="1" si="6"/>
        <v>0.48209908539423174</v>
      </c>
      <c r="C413" s="2" t="s">
        <v>226</v>
      </c>
    </row>
    <row r="414" spans="1:3" x14ac:dyDescent="0.2">
      <c r="A414" s="2">
        <v>412</v>
      </c>
      <c r="B414" s="2">
        <f t="shared" ca="1" si="6"/>
        <v>0.55535657428361007</v>
      </c>
      <c r="C414" s="2" t="s">
        <v>226</v>
      </c>
    </row>
    <row r="415" spans="1:3" x14ac:dyDescent="0.2">
      <c r="A415" s="2">
        <v>413</v>
      </c>
      <c r="B415" s="2">
        <f t="shared" ca="1" si="6"/>
        <v>0.78836206321863211</v>
      </c>
      <c r="C415" s="2" t="s">
        <v>227</v>
      </c>
    </row>
    <row r="416" spans="1:3" x14ac:dyDescent="0.2">
      <c r="A416" s="2">
        <v>414</v>
      </c>
      <c r="B416" s="2">
        <f t="shared" ca="1" si="6"/>
        <v>0.88308891673078582</v>
      </c>
      <c r="C416" s="2" t="s">
        <v>227</v>
      </c>
    </row>
    <row r="417" spans="1:3" x14ac:dyDescent="0.2">
      <c r="A417" s="2">
        <v>415</v>
      </c>
      <c r="B417" s="2">
        <f t="shared" ca="1" si="6"/>
        <v>0.55935411602172147</v>
      </c>
      <c r="C417" s="2" t="s">
        <v>226</v>
      </c>
    </row>
    <row r="418" spans="1:3" x14ac:dyDescent="0.2">
      <c r="A418" s="2">
        <v>416</v>
      </c>
      <c r="B418" s="2">
        <f t="shared" ca="1" si="6"/>
        <v>0.77069697733977316</v>
      </c>
      <c r="C418" s="2" t="s">
        <v>227</v>
      </c>
    </row>
    <row r="419" spans="1:3" x14ac:dyDescent="0.2">
      <c r="A419" s="2">
        <v>417</v>
      </c>
      <c r="B419" s="2">
        <f t="shared" ca="1" si="6"/>
        <v>0.63987299045555113</v>
      </c>
      <c r="C419" s="2" t="s">
        <v>227</v>
      </c>
    </row>
    <row r="420" spans="1:3" x14ac:dyDescent="0.2">
      <c r="A420" s="2">
        <v>418</v>
      </c>
      <c r="B420" s="2">
        <f t="shared" ca="1" si="6"/>
        <v>0.73291289061385778</v>
      </c>
      <c r="C420" s="2" t="s">
        <v>226</v>
      </c>
    </row>
    <row r="421" spans="1:3" x14ac:dyDescent="0.2">
      <c r="A421" s="2">
        <v>419</v>
      </c>
      <c r="B421" s="2">
        <f t="shared" ca="1" si="6"/>
        <v>0.7170003459919817</v>
      </c>
      <c r="C421" s="2" t="s">
        <v>226</v>
      </c>
    </row>
    <row r="422" spans="1:3" x14ac:dyDescent="0.2">
      <c r="A422" s="2">
        <v>420</v>
      </c>
      <c r="B422" s="2">
        <f t="shared" ca="1" si="6"/>
        <v>0.79439396710853927</v>
      </c>
      <c r="C422" s="2" t="s">
        <v>227</v>
      </c>
    </row>
    <row r="423" spans="1:3" x14ac:dyDescent="0.2">
      <c r="A423" s="2">
        <v>421</v>
      </c>
      <c r="B423" s="2">
        <f t="shared" ca="1" si="6"/>
        <v>0.78441839493291943</v>
      </c>
      <c r="C423" s="2" t="s">
        <v>227</v>
      </c>
    </row>
    <row r="424" spans="1:3" x14ac:dyDescent="0.2">
      <c r="A424" s="2">
        <v>422</v>
      </c>
      <c r="B424" s="2">
        <f t="shared" ca="1" si="6"/>
        <v>0.41329371381856295</v>
      </c>
      <c r="C424" s="2" t="s">
        <v>226</v>
      </c>
    </row>
    <row r="425" spans="1:3" x14ac:dyDescent="0.2">
      <c r="A425" s="2">
        <v>423</v>
      </c>
      <c r="B425" s="2">
        <f t="shared" ca="1" si="6"/>
        <v>0.41612289289354909</v>
      </c>
      <c r="C425" s="2" t="s">
        <v>226</v>
      </c>
    </row>
    <row r="426" spans="1:3" x14ac:dyDescent="0.2">
      <c r="A426" s="2">
        <v>424</v>
      </c>
      <c r="B426" s="2">
        <f t="shared" ca="1" si="6"/>
        <v>0.58738730245744186</v>
      </c>
      <c r="C426" s="2" t="s">
        <v>226</v>
      </c>
    </row>
    <row r="427" spans="1:3" x14ac:dyDescent="0.2">
      <c r="A427" s="2">
        <v>425</v>
      </c>
      <c r="B427" s="2">
        <f t="shared" ca="1" si="6"/>
        <v>0.65001942554652425</v>
      </c>
      <c r="C427" s="2" t="s">
        <v>227</v>
      </c>
    </row>
    <row r="428" spans="1:3" x14ac:dyDescent="0.2">
      <c r="A428" s="2">
        <v>426</v>
      </c>
      <c r="B428" s="2">
        <f t="shared" ca="1" si="6"/>
        <v>0.59176665982464882</v>
      </c>
      <c r="C428" s="2" t="s">
        <v>226</v>
      </c>
    </row>
    <row r="429" spans="1:3" x14ac:dyDescent="0.2">
      <c r="A429" s="2">
        <v>427</v>
      </c>
      <c r="B429" s="2">
        <f t="shared" ca="1" si="6"/>
        <v>0.64434253272847086</v>
      </c>
      <c r="C429" s="2" t="s">
        <v>227</v>
      </c>
    </row>
    <row r="430" spans="1:3" x14ac:dyDescent="0.2">
      <c r="A430" s="2">
        <v>428</v>
      </c>
      <c r="B430" s="2">
        <f t="shared" ca="1" si="6"/>
        <v>0.7658487092343973</v>
      </c>
      <c r="C430" s="2" t="s">
        <v>226</v>
      </c>
    </row>
    <row r="431" spans="1:3" x14ac:dyDescent="0.2">
      <c r="A431" s="2">
        <v>429</v>
      </c>
      <c r="B431" s="2">
        <f t="shared" ca="1" si="6"/>
        <v>0.56515641573432096</v>
      </c>
      <c r="C431" s="2" t="s">
        <v>226</v>
      </c>
    </row>
    <row r="432" spans="1:3" x14ac:dyDescent="0.2">
      <c r="A432" s="2">
        <v>430</v>
      </c>
      <c r="B432" s="2">
        <f t="shared" ca="1" si="6"/>
        <v>0.83475853296613345</v>
      </c>
      <c r="C432" s="2" t="s">
        <v>227</v>
      </c>
    </row>
    <row r="433" spans="1:3" x14ac:dyDescent="0.2">
      <c r="A433" s="2">
        <v>431</v>
      </c>
      <c r="B433" s="2">
        <f t="shared" ca="1" si="6"/>
        <v>0.69401659556968887</v>
      </c>
      <c r="C433" s="2" t="s">
        <v>227</v>
      </c>
    </row>
    <row r="434" spans="1:3" x14ac:dyDescent="0.2">
      <c r="A434" s="2">
        <v>432</v>
      </c>
      <c r="B434" s="2">
        <f t="shared" ca="1" si="6"/>
        <v>0.33275108848786067</v>
      </c>
      <c r="C434" s="2" t="s">
        <v>226</v>
      </c>
    </row>
    <row r="435" spans="1:3" x14ac:dyDescent="0.2">
      <c r="A435" s="2">
        <v>433</v>
      </c>
      <c r="B435" s="2">
        <f t="shared" ca="1" si="6"/>
        <v>0.65964626827315176</v>
      </c>
      <c r="C435" s="2" t="s">
        <v>227</v>
      </c>
    </row>
    <row r="436" spans="1:3" x14ac:dyDescent="0.2">
      <c r="A436" s="2">
        <v>434</v>
      </c>
      <c r="B436" s="2">
        <f t="shared" ca="1" si="6"/>
        <v>0.85566274163590994</v>
      </c>
      <c r="C436" s="2" t="s">
        <v>226</v>
      </c>
    </row>
    <row r="437" spans="1:3" x14ac:dyDescent="0.2">
      <c r="A437" s="2">
        <v>435</v>
      </c>
      <c r="B437" s="2">
        <f t="shared" ca="1" si="6"/>
        <v>0.60588659599829775</v>
      </c>
      <c r="C437" s="2" t="s">
        <v>227</v>
      </c>
    </row>
    <row r="438" spans="1:3" x14ac:dyDescent="0.2">
      <c r="A438" s="2">
        <v>436</v>
      </c>
      <c r="B438" s="2">
        <f t="shared" ca="1" si="6"/>
        <v>0.648177042278969</v>
      </c>
      <c r="C438" s="2" t="s">
        <v>227</v>
      </c>
    </row>
    <row r="439" spans="1:3" x14ac:dyDescent="0.2">
      <c r="A439" s="2">
        <v>437</v>
      </c>
      <c r="B439" s="2">
        <f t="shared" ca="1" si="6"/>
        <v>0.53070073650516503</v>
      </c>
      <c r="C439" s="2" t="s">
        <v>226</v>
      </c>
    </row>
    <row r="440" spans="1:3" x14ac:dyDescent="0.2">
      <c r="A440" s="2">
        <v>438</v>
      </c>
      <c r="B440" s="2">
        <f t="shared" ca="1" si="6"/>
        <v>0.70580368459587017</v>
      </c>
      <c r="C440" s="2" t="s">
        <v>227</v>
      </c>
    </row>
    <row r="441" spans="1:3" x14ac:dyDescent="0.2">
      <c r="A441" s="2">
        <v>439</v>
      </c>
      <c r="B441" s="2">
        <f t="shared" ca="1" si="6"/>
        <v>0.70814111247672695</v>
      </c>
      <c r="C441" s="2" t="s">
        <v>227</v>
      </c>
    </row>
    <row r="442" spans="1:3" x14ac:dyDescent="0.2">
      <c r="A442" s="2">
        <v>440</v>
      </c>
      <c r="B442" s="2">
        <f t="shared" ca="1" si="6"/>
        <v>0.57474393730860562</v>
      </c>
      <c r="C442" s="2" t="s">
        <v>227</v>
      </c>
    </row>
    <row r="443" spans="1:3" x14ac:dyDescent="0.2">
      <c r="A443" s="2">
        <v>441</v>
      </c>
      <c r="B443" s="2">
        <f t="shared" ca="1" si="6"/>
        <v>0.62712979470717101</v>
      </c>
      <c r="C443" s="2" t="s">
        <v>227</v>
      </c>
    </row>
    <row r="444" spans="1:3" x14ac:dyDescent="0.2">
      <c r="A444" s="2">
        <v>442</v>
      </c>
      <c r="B444" s="2">
        <f t="shared" ca="1" si="6"/>
        <v>0.49485218127511899</v>
      </c>
      <c r="C444" s="2" t="s">
        <v>227</v>
      </c>
    </row>
    <row r="445" spans="1:3" x14ac:dyDescent="0.2">
      <c r="A445" s="2">
        <v>443</v>
      </c>
      <c r="B445" s="2">
        <f t="shared" ca="1" si="6"/>
        <v>0.6715543891386252</v>
      </c>
      <c r="C445" s="2" t="s">
        <v>227</v>
      </c>
    </row>
    <row r="446" spans="1:3" x14ac:dyDescent="0.2">
      <c r="A446" s="2">
        <v>444</v>
      </c>
      <c r="B446" s="2">
        <f t="shared" ca="1" si="6"/>
        <v>0.6146158680212116</v>
      </c>
      <c r="C446" s="2" t="s">
        <v>226</v>
      </c>
    </row>
    <row r="447" spans="1:3" x14ac:dyDescent="0.2">
      <c r="A447" s="2">
        <v>445</v>
      </c>
      <c r="B447" s="2">
        <f t="shared" ca="1" si="6"/>
        <v>0.63157610084615645</v>
      </c>
      <c r="C447" s="2" t="s">
        <v>226</v>
      </c>
    </row>
    <row r="448" spans="1:3" x14ac:dyDescent="0.2">
      <c r="A448" s="2">
        <v>446</v>
      </c>
      <c r="B448" s="2">
        <f t="shared" ca="1" si="6"/>
        <v>0.81755640522316542</v>
      </c>
      <c r="C448" s="2" t="s">
        <v>227</v>
      </c>
    </row>
    <row r="449" spans="1:3" x14ac:dyDescent="0.2">
      <c r="A449" s="2">
        <v>447</v>
      </c>
      <c r="B449" s="2">
        <f t="shared" ca="1" si="6"/>
        <v>0.65316207426685324</v>
      </c>
      <c r="C449" s="2" t="s">
        <v>226</v>
      </c>
    </row>
    <row r="450" spans="1:3" x14ac:dyDescent="0.2">
      <c r="A450" s="2">
        <v>448</v>
      </c>
      <c r="B450" s="2">
        <f t="shared" ca="1" si="6"/>
        <v>0.64338983471070499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0.71251387481635342</v>
      </c>
      <c r="C451" s="2" t="s">
        <v>227</v>
      </c>
    </row>
    <row r="452" spans="1:3" x14ac:dyDescent="0.2">
      <c r="A452" s="2">
        <v>450</v>
      </c>
      <c r="B452" s="2">
        <f t="shared" ca="1" si="7"/>
        <v>0.42103235008263462</v>
      </c>
      <c r="C452" s="2" t="s">
        <v>226</v>
      </c>
    </row>
    <row r="453" spans="1:3" x14ac:dyDescent="0.2">
      <c r="A453" s="2">
        <v>451</v>
      </c>
      <c r="B453" s="2">
        <f t="shared" ca="1" si="7"/>
        <v>0.52036486851232477</v>
      </c>
      <c r="C453" s="2" t="s">
        <v>227</v>
      </c>
    </row>
    <row r="454" spans="1:3" x14ac:dyDescent="0.2">
      <c r="A454" s="2">
        <v>452</v>
      </c>
      <c r="B454" s="2">
        <f t="shared" ca="1" si="7"/>
        <v>0.80445188670806478</v>
      </c>
      <c r="C454" s="2" t="s">
        <v>227</v>
      </c>
    </row>
    <row r="455" spans="1:3" x14ac:dyDescent="0.2">
      <c r="A455" s="2">
        <v>453</v>
      </c>
      <c r="B455" s="2">
        <f t="shared" ca="1" si="7"/>
        <v>0.50703134203560707</v>
      </c>
      <c r="C455" s="2" t="s">
        <v>226</v>
      </c>
    </row>
    <row r="456" spans="1:3" x14ac:dyDescent="0.2">
      <c r="A456" s="2">
        <v>454</v>
      </c>
      <c r="B456" s="2">
        <f t="shared" ca="1" si="7"/>
        <v>0.65069142835551574</v>
      </c>
      <c r="C456" s="2" t="s">
        <v>227</v>
      </c>
    </row>
    <row r="457" spans="1:3" x14ac:dyDescent="0.2">
      <c r="A457" s="2">
        <v>455</v>
      </c>
      <c r="B457" s="2">
        <f t="shared" ca="1" si="7"/>
        <v>0.77181662787955041</v>
      </c>
      <c r="C457" s="2" t="s">
        <v>226</v>
      </c>
    </row>
    <row r="458" spans="1:3" x14ac:dyDescent="0.2">
      <c r="A458" s="2">
        <v>456</v>
      </c>
      <c r="B458" s="2">
        <f t="shared" ca="1" si="7"/>
        <v>0.63156736253124346</v>
      </c>
      <c r="C458" s="2" t="s">
        <v>226</v>
      </c>
    </row>
    <row r="459" spans="1:3" x14ac:dyDescent="0.2">
      <c r="A459" s="2">
        <v>457</v>
      </c>
      <c r="B459" s="2">
        <f t="shared" ca="1" si="7"/>
        <v>0.74381581086168858</v>
      </c>
      <c r="C459" s="2" t="s">
        <v>226</v>
      </c>
    </row>
    <row r="460" spans="1:3" x14ac:dyDescent="0.2">
      <c r="A460" s="2">
        <v>458</v>
      </c>
      <c r="B460" s="2">
        <f t="shared" ca="1" si="7"/>
        <v>0.67822042966601881</v>
      </c>
      <c r="C460" s="2" t="s">
        <v>226</v>
      </c>
    </row>
    <row r="461" spans="1:3" x14ac:dyDescent="0.2">
      <c r="A461" s="2">
        <v>459</v>
      </c>
      <c r="B461" s="2">
        <f t="shared" ca="1" si="7"/>
        <v>0.729205019939975</v>
      </c>
      <c r="C461" s="2" t="s">
        <v>227</v>
      </c>
    </row>
    <row r="462" spans="1:3" x14ac:dyDescent="0.2">
      <c r="A462" s="2">
        <v>460</v>
      </c>
      <c r="B462" s="2">
        <f t="shared" ca="1" si="7"/>
        <v>0.64980972729188025</v>
      </c>
      <c r="C462" s="2" t="s">
        <v>227</v>
      </c>
    </row>
    <row r="463" spans="1:3" x14ac:dyDescent="0.2">
      <c r="A463" s="2">
        <v>461</v>
      </c>
      <c r="B463" s="2">
        <f t="shared" ca="1" si="7"/>
        <v>0.78319781612308703</v>
      </c>
      <c r="C463" s="2" t="s">
        <v>226</v>
      </c>
    </row>
    <row r="464" spans="1:3" x14ac:dyDescent="0.2">
      <c r="A464" s="2">
        <v>462</v>
      </c>
      <c r="B464" s="2">
        <f t="shared" ca="1" si="7"/>
        <v>0.69737962971741774</v>
      </c>
      <c r="C464" s="2" t="s">
        <v>227</v>
      </c>
    </row>
    <row r="465" spans="1:3" x14ac:dyDescent="0.2">
      <c r="A465" s="2">
        <v>463</v>
      </c>
      <c r="B465" s="2">
        <f t="shared" ca="1" si="7"/>
        <v>0.81489811659605327</v>
      </c>
      <c r="C465" s="2" t="s">
        <v>227</v>
      </c>
    </row>
    <row r="466" spans="1:3" x14ac:dyDescent="0.2">
      <c r="A466" s="2">
        <v>464</v>
      </c>
      <c r="B466" s="2">
        <f t="shared" ca="1" si="7"/>
        <v>0.81549616961773774</v>
      </c>
      <c r="C466" s="2" t="s">
        <v>227</v>
      </c>
    </row>
    <row r="467" spans="1:3" x14ac:dyDescent="0.2">
      <c r="A467" s="2">
        <v>465</v>
      </c>
      <c r="B467" s="2">
        <f t="shared" ca="1" si="7"/>
        <v>0.63826192257705494</v>
      </c>
      <c r="C467" s="2" t="s">
        <v>227</v>
      </c>
    </row>
    <row r="468" spans="1:3" x14ac:dyDescent="0.2">
      <c r="A468" s="2">
        <v>466</v>
      </c>
      <c r="B468" s="2">
        <f t="shared" ca="1" si="7"/>
        <v>0.71579938155159706</v>
      </c>
      <c r="C468" s="2" t="s">
        <v>226</v>
      </c>
    </row>
    <row r="469" spans="1:3" x14ac:dyDescent="0.2">
      <c r="A469" s="2">
        <v>467</v>
      </c>
      <c r="B469" s="2">
        <f t="shared" ca="1" si="7"/>
        <v>0.57976832663354116</v>
      </c>
      <c r="C469" s="2" t="s">
        <v>226</v>
      </c>
    </row>
    <row r="470" spans="1:3" x14ac:dyDescent="0.2">
      <c r="A470" s="2">
        <v>468</v>
      </c>
      <c r="B470" s="2">
        <f t="shared" ca="1" si="7"/>
        <v>0.30155744361505804</v>
      </c>
      <c r="C470" s="2" t="s">
        <v>226</v>
      </c>
    </row>
    <row r="471" spans="1:3" x14ac:dyDescent="0.2">
      <c r="A471" s="2">
        <v>469</v>
      </c>
      <c r="B471" s="2">
        <f t="shared" ca="1" si="7"/>
        <v>0.64704282694713455</v>
      </c>
      <c r="C471" s="2" t="s">
        <v>227</v>
      </c>
    </row>
    <row r="472" spans="1:3" x14ac:dyDescent="0.2">
      <c r="A472" s="2">
        <v>470</v>
      </c>
      <c r="B472" s="2">
        <f t="shared" ca="1" si="7"/>
        <v>0.33129181360198839</v>
      </c>
      <c r="C472" s="2" t="s">
        <v>226</v>
      </c>
    </row>
    <row r="473" spans="1:3" x14ac:dyDescent="0.2">
      <c r="A473" s="2">
        <v>471</v>
      </c>
      <c r="B473" s="2">
        <f t="shared" ca="1" si="7"/>
        <v>0.75931482669406702</v>
      </c>
      <c r="C473" s="2" t="s">
        <v>227</v>
      </c>
    </row>
    <row r="474" spans="1:3" x14ac:dyDescent="0.2">
      <c r="A474" s="2">
        <v>472</v>
      </c>
      <c r="B474" s="2">
        <f t="shared" ca="1" si="7"/>
        <v>0.86862658743072452</v>
      </c>
      <c r="C474" s="2" t="s">
        <v>227</v>
      </c>
    </row>
    <row r="475" spans="1:3" x14ac:dyDescent="0.2">
      <c r="A475" s="2">
        <v>473</v>
      </c>
      <c r="B475" s="2">
        <f t="shared" ca="1" si="7"/>
        <v>0.51046385757080481</v>
      </c>
      <c r="C475" s="2" t="s">
        <v>227</v>
      </c>
    </row>
    <row r="476" spans="1:3" x14ac:dyDescent="0.2">
      <c r="A476" s="2">
        <v>474</v>
      </c>
      <c r="B476" s="2">
        <f t="shared" ca="1" si="7"/>
        <v>0.55456119269931947</v>
      </c>
      <c r="C476" s="2" t="s">
        <v>226</v>
      </c>
    </row>
    <row r="477" spans="1:3" x14ac:dyDescent="0.2">
      <c r="A477" s="2">
        <v>475</v>
      </c>
      <c r="B477" s="2">
        <f t="shared" ca="1" si="7"/>
        <v>0.61689387913532223</v>
      </c>
      <c r="C477" s="2" t="s">
        <v>227</v>
      </c>
    </row>
    <row r="478" spans="1:3" x14ac:dyDescent="0.2">
      <c r="A478" s="2">
        <v>476</v>
      </c>
      <c r="B478" s="2">
        <f t="shared" ca="1" si="7"/>
        <v>0.66596970449944681</v>
      </c>
      <c r="C478" s="2" t="s">
        <v>227</v>
      </c>
    </row>
    <row r="479" spans="1:3" x14ac:dyDescent="0.2">
      <c r="A479" s="2">
        <v>477</v>
      </c>
      <c r="B479" s="2">
        <f t="shared" ca="1" si="7"/>
        <v>0.5706936955951627</v>
      </c>
      <c r="C479" s="2" t="s">
        <v>226</v>
      </c>
    </row>
    <row r="480" spans="1:3" x14ac:dyDescent="0.2">
      <c r="A480" s="2">
        <v>478</v>
      </c>
      <c r="B480" s="2">
        <f t="shared" ca="1" si="7"/>
        <v>0.61369066950017137</v>
      </c>
      <c r="C480" s="2" t="s">
        <v>226</v>
      </c>
    </row>
    <row r="481" spans="1:3" x14ac:dyDescent="0.2">
      <c r="A481" s="2">
        <v>479</v>
      </c>
      <c r="B481" s="2">
        <f t="shared" ca="1" si="7"/>
        <v>0.6550244056310125</v>
      </c>
      <c r="C481" s="2" t="s">
        <v>227</v>
      </c>
    </row>
    <row r="482" spans="1:3" x14ac:dyDescent="0.2">
      <c r="A482" s="2">
        <v>480</v>
      </c>
      <c r="B482" s="2">
        <f t="shared" ca="1" si="7"/>
        <v>0.72338422598300667</v>
      </c>
      <c r="C482" s="2" t="s">
        <v>227</v>
      </c>
    </row>
    <row r="483" spans="1:3" x14ac:dyDescent="0.2">
      <c r="A483" s="2">
        <v>481</v>
      </c>
      <c r="B483" s="2">
        <f t="shared" ca="1" si="7"/>
        <v>0.62373880694120187</v>
      </c>
      <c r="C483" s="2" t="s">
        <v>226</v>
      </c>
    </row>
    <row r="484" spans="1:3" x14ac:dyDescent="0.2">
      <c r="A484" s="2">
        <v>482</v>
      </c>
      <c r="B484" s="2">
        <f t="shared" ca="1" si="7"/>
        <v>0.55454980044068314</v>
      </c>
      <c r="C484" s="2" t="s">
        <v>226</v>
      </c>
    </row>
    <row r="485" spans="1:3" x14ac:dyDescent="0.2">
      <c r="A485" s="2">
        <v>483</v>
      </c>
      <c r="B485" s="2">
        <f t="shared" ca="1" si="7"/>
        <v>0.94336917660086095</v>
      </c>
      <c r="C485" s="2" t="s">
        <v>227</v>
      </c>
    </row>
    <row r="486" spans="1:3" x14ac:dyDescent="0.2">
      <c r="A486" s="2">
        <v>484</v>
      </c>
      <c r="B486" s="2">
        <f t="shared" ca="1" si="7"/>
        <v>0.69952121091802388</v>
      </c>
      <c r="C486" s="2" t="s">
        <v>227</v>
      </c>
    </row>
    <row r="487" spans="1:3" x14ac:dyDescent="0.2">
      <c r="A487" s="2">
        <v>485</v>
      </c>
      <c r="B487" s="2">
        <f t="shared" ca="1" si="7"/>
        <v>0.64987759730919903</v>
      </c>
      <c r="C487" s="2" t="s">
        <v>227</v>
      </c>
    </row>
    <row r="488" spans="1:3" x14ac:dyDescent="0.2">
      <c r="A488" s="2">
        <v>486</v>
      </c>
      <c r="B488" s="2">
        <f t="shared" ca="1" si="7"/>
        <v>0.4079666128311884</v>
      </c>
      <c r="C488" s="2" t="s">
        <v>226</v>
      </c>
    </row>
    <row r="489" spans="1:3" x14ac:dyDescent="0.2">
      <c r="A489" s="2">
        <v>487</v>
      </c>
      <c r="B489" s="2">
        <f t="shared" ca="1" si="7"/>
        <v>0.79054291209617966</v>
      </c>
      <c r="C489" s="2" t="s">
        <v>227</v>
      </c>
    </row>
    <row r="490" spans="1:3" x14ac:dyDescent="0.2">
      <c r="A490" s="2">
        <v>488</v>
      </c>
      <c r="B490" s="2">
        <f t="shared" ca="1" si="7"/>
        <v>0.51753282945770895</v>
      </c>
      <c r="C490" s="2" t="s">
        <v>226</v>
      </c>
    </row>
    <row r="491" spans="1:3" x14ac:dyDescent="0.2">
      <c r="A491" s="2">
        <v>489</v>
      </c>
      <c r="B491" s="2">
        <f t="shared" ca="1" si="7"/>
        <v>0.60562665871403543</v>
      </c>
      <c r="C491" s="2" t="s">
        <v>226</v>
      </c>
    </row>
    <row r="492" spans="1:3" x14ac:dyDescent="0.2">
      <c r="A492" s="2">
        <v>490</v>
      </c>
      <c r="B492" s="2">
        <f t="shared" ca="1" si="7"/>
        <v>0.78118161595481916</v>
      </c>
      <c r="C492" s="2" t="s">
        <v>227</v>
      </c>
    </row>
    <row r="493" spans="1:3" x14ac:dyDescent="0.2">
      <c r="A493" s="2">
        <v>491</v>
      </c>
      <c r="B493" s="2">
        <f t="shared" ca="1" si="7"/>
        <v>0.67899669454904577</v>
      </c>
      <c r="C493" s="2" t="s">
        <v>226</v>
      </c>
    </row>
    <row r="494" spans="1:3" x14ac:dyDescent="0.2">
      <c r="A494" s="2">
        <v>492</v>
      </c>
      <c r="B494" s="2">
        <f t="shared" ca="1" si="7"/>
        <v>0.78230508379495867</v>
      </c>
      <c r="C494" s="2" t="s">
        <v>227</v>
      </c>
    </row>
    <row r="495" spans="1:3" x14ac:dyDescent="0.2">
      <c r="A495" s="2">
        <v>493</v>
      </c>
      <c r="B495" s="2">
        <f t="shared" ca="1" si="7"/>
        <v>0.42498049361005652</v>
      </c>
      <c r="C495" s="2" t="s">
        <v>226</v>
      </c>
    </row>
    <row r="496" spans="1:3" x14ac:dyDescent="0.2">
      <c r="A496" s="2">
        <v>494</v>
      </c>
      <c r="B496" s="2">
        <f t="shared" ca="1" si="7"/>
        <v>0.57332531820604704</v>
      </c>
      <c r="C496" s="2" t="s">
        <v>226</v>
      </c>
    </row>
    <row r="497" spans="1:3" x14ac:dyDescent="0.2">
      <c r="A497" s="2">
        <v>495</v>
      </c>
      <c r="B497" s="2">
        <f t="shared" ca="1" si="7"/>
        <v>0.6542443271002184</v>
      </c>
      <c r="C497" s="2" t="s">
        <v>227</v>
      </c>
    </row>
    <row r="498" spans="1:3" x14ac:dyDescent="0.2">
      <c r="A498" s="2">
        <v>496</v>
      </c>
      <c r="B498" s="2">
        <f t="shared" ca="1" si="7"/>
        <v>0.79092067251187659</v>
      </c>
      <c r="C498" s="2" t="s">
        <v>227</v>
      </c>
    </row>
    <row r="499" spans="1:3" x14ac:dyDescent="0.2">
      <c r="A499" s="2">
        <v>497</v>
      </c>
      <c r="B499" s="2">
        <f t="shared" ca="1" si="7"/>
        <v>0.56474463816214004</v>
      </c>
      <c r="C499" s="2" t="s">
        <v>227</v>
      </c>
    </row>
    <row r="500" spans="1:3" x14ac:dyDescent="0.2">
      <c r="A500" s="2">
        <v>498</v>
      </c>
      <c r="B500" s="2">
        <f t="shared" ca="1" si="7"/>
        <v>0.7150174096977252</v>
      </c>
      <c r="C500" s="2" t="s">
        <v>226</v>
      </c>
    </row>
    <row r="501" spans="1:3" x14ac:dyDescent="0.2">
      <c r="A501" s="2">
        <v>499</v>
      </c>
      <c r="B501" s="2">
        <f t="shared" ca="1" si="7"/>
        <v>0.64050098741668982</v>
      </c>
      <c r="C501" s="2" t="s">
        <v>227</v>
      </c>
    </row>
    <row r="502" spans="1:3" x14ac:dyDescent="0.2">
      <c r="A502" s="2">
        <v>500</v>
      </c>
      <c r="B502" s="2">
        <f t="shared" ca="1" si="7"/>
        <v>0.75207027230590595</v>
      </c>
      <c r="C502" s="2" t="s">
        <v>227</v>
      </c>
    </row>
    <row r="503" spans="1:3" x14ac:dyDescent="0.2">
      <c r="A503" s="2">
        <v>501</v>
      </c>
      <c r="B503" s="2">
        <f t="shared" ca="1" si="7"/>
        <v>0.53512290316699818</v>
      </c>
      <c r="C503" s="2" t="s">
        <v>226</v>
      </c>
    </row>
    <row r="504" spans="1:3" x14ac:dyDescent="0.2">
      <c r="A504" s="2">
        <v>502</v>
      </c>
      <c r="B504" s="2">
        <f t="shared" ca="1" si="7"/>
        <v>0.80725939877080566</v>
      </c>
      <c r="C504" s="2" t="s">
        <v>226</v>
      </c>
    </row>
    <row r="505" spans="1:3" x14ac:dyDescent="0.2">
      <c r="A505" s="2">
        <v>503</v>
      </c>
      <c r="B505" s="2">
        <f t="shared" ca="1" si="7"/>
        <v>0.59845519720295004</v>
      </c>
      <c r="C505" s="2" t="s">
        <v>226</v>
      </c>
    </row>
    <row r="506" spans="1:3" x14ac:dyDescent="0.2">
      <c r="A506" s="2">
        <v>504</v>
      </c>
      <c r="B506" s="2">
        <f t="shared" ca="1" si="7"/>
        <v>0.80565484500607898</v>
      </c>
      <c r="C506" s="2" t="s">
        <v>226</v>
      </c>
    </row>
    <row r="507" spans="1:3" x14ac:dyDescent="0.2">
      <c r="A507" s="2">
        <v>505</v>
      </c>
      <c r="B507" s="2">
        <f t="shared" ca="1" si="7"/>
        <v>0.72666571457557283</v>
      </c>
      <c r="C507" s="2" t="s">
        <v>227</v>
      </c>
    </row>
    <row r="508" spans="1:3" x14ac:dyDescent="0.2">
      <c r="A508" s="2">
        <v>506</v>
      </c>
      <c r="B508" s="2">
        <f t="shared" ca="1" si="7"/>
        <v>0.70031437826944998</v>
      </c>
      <c r="C508" s="2" t="s">
        <v>227</v>
      </c>
    </row>
    <row r="509" spans="1:3" x14ac:dyDescent="0.2">
      <c r="A509" s="2">
        <v>507</v>
      </c>
      <c r="B509" s="2">
        <f t="shared" ca="1" si="7"/>
        <v>0.69127500536720421</v>
      </c>
      <c r="C509" s="2" t="s">
        <v>227</v>
      </c>
    </row>
    <row r="510" spans="1:3" x14ac:dyDescent="0.2">
      <c r="A510" s="2">
        <v>508</v>
      </c>
      <c r="B510" s="2">
        <f t="shared" ca="1" si="7"/>
        <v>0.45388667503419799</v>
      </c>
      <c r="C510" s="2" t="s">
        <v>226</v>
      </c>
    </row>
    <row r="511" spans="1:3" x14ac:dyDescent="0.2">
      <c r="A511" s="2">
        <v>509</v>
      </c>
      <c r="B511" s="2">
        <f t="shared" ca="1" si="7"/>
        <v>0.57373279514947295</v>
      </c>
      <c r="C511" s="2" t="s">
        <v>227</v>
      </c>
    </row>
    <row r="512" spans="1:3" x14ac:dyDescent="0.2">
      <c r="A512" s="2">
        <v>510</v>
      </c>
      <c r="B512" s="2">
        <f t="shared" ca="1" si="7"/>
        <v>0.78997878160930224</v>
      </c>
      <c r="C512" s="2" t="s">
        <v>227</v>
      </c>
    </row>
    <row r="513" spans="1:3" x14ac:dyDescent="0.2">
      <c r="A513" s="2">
        <v>511</v>
      </c>
      <c r="B513" s="2">
        <f t="shared" ca="1" si="7"/>
        <v>0.62040013263639382</v>
      </c>
      <c r="C513" s="2" t="s">
        <v>227</v>
      </c>
    </row>
    <row r="514" spans="1:3" x14ac:dyDescent="0.2">
      <c r="A514" s="2">
        <v>512</v>
      </c>
      <c r="B514" s="2">
        <f t="shared" ca="1" si="7"/>
        <v>0.83255242608378222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0.80813412053075584</v>
      </c>
      <c r="C515" s="2" t="s">
        <v>227</v>
      </c>
    </row>
    <row r="516" spans="1:3" x14ac:dyDescent="0.2">
      <c r="A516" s="2">
        <v>514</v>
      </c>
      <c r="B516" s="2">
        <f t="shared" ca="1" si="8"/>
        <v>0.61658178956996912</v>
      </c>
      <c r="C516" s="2" t="s">
        <v>226</v>
      </c>
    </row>
    <row r="517" spans="1:3" x14ac:dyDescent="0.2">
      <c r="A517" s="2">
        <v>515</v>
      </c>
      <c r="B517" s="2">
        <f t="shared" ca="1" si="8"/>
        <v>0.58435496584644042</v>
      </c>
      <c r="C517" s="2" t="s">
        <v>227</v>
      </c>
    </row>
    <row r="518" spans="1:3" x14ac:dyDescent="0.2">
      <c r="A518" s="2">
        <v>516</v>
      </c>
      <c r="B518" s="2">
        <f t="shared" ca="1" si="8"/>
        <v>0.68217798819410358</v>
      </c>
      <c r="C518" s="2" t="s">
        <v>227</v>
      </c>
    </row>
    <row r="519" spans="1:3" x14ac:dyDescent="0.2">
      <c r="A519" s="2">
        <v>517</v>
      </c>
      <c r="B519" s="2">
        <f t="shared" ca="1" si="8"/>
        <v>0.81682834500106893</v>
      </c>
      <c r="C519" s="2" t="s">
        <v>227</v>
      </c>
    </row>
    <row r="520" spans="1:3" x14ac:dyDescent="0.2">
      <c r="A520" s="2">
        <v>518</v>
      </c>
      <c r="B520" s="2">
        <f t="shared" ca="1" si="8"/>
        <v>0.44510007757040604</v>
      </c>
      <c r="C520" s="2" t="s">
        <v>226</v>
      </c>
    </row>
    <row r="521" spans="1:3" x14ac:dyDescent="0.2">
      <c r="A521" s="2">
        <v>519</v>
      </c>
      <c r="B521" s="2">
        <f t="shared" ca="1" si="8"/>
        <v>0.74614455322481443</v>
      </c>
      <c r="C521" s="2" t="s">
        <v>227</v>
      </c>
    </row>
    <row r="522" spans="1:3" x14ac:dyDescent="0.2">
      <c r="A522" s="2">
        <v>520</v>
      </c>
      <c r="B522" s="2">
        <f t="shared" ca="1" si="8"/>
        <v>0.25086588498057039</v>
      </c>
      <c r="C522" s="2" t="s">
        <v>226</v>
      </c>
    </row>
    <row r="523" spans="1:3" x14ac:dyDescent="0.2">
      <c r="A523" s="2">
        <v>521</v>
      </c>
      <c r="B523" s="2">
        <f t="shared" ca="1" si="8"/>
        <v>0.74206275561894153</v>
      </c>
      <c r="C523" s="2" t="s">
        <v>226</v>
      </c>
    </row>
    <row r="524" spans="1:3" x14ac:dyDescent="0.2">
      <c r="A524" s="2">
        <v>522</v>
      </c>
      <c r="B524" s="2">
        <f t="shared" ca="1" si="8"/>
        <v>0.64513110214285441</v>
      </c>
      <c r="C524" s="2" t="s">
        <v>227</v>
      </c>
    </row>
    <row r="525" spans="1:3" x14ac:dyDescent="0.2">
      <c r="A525" s="2">
        <v>523</v>
      </c>
      <c r="B525" s="2">
        <f t="shared" ca="1" si="8"/>
        <v>0.88898050852349109</v>
      </c>
      <c r="C525" s="2" t="s">
        <v>227</v>
      </c>
    </row>
    <row r="526" spans="1:3" x14ac:dyDescent="0.2">
      <c r="A526" s="2">
        <v>524</v>
      </c>
      <c r="B526" s="2">
        <f t="shared" ca="1" si="8"/>
        <v>0.40684389014913369</v>
      </c>
      <c r="C526" s="2" t="s">
        <v>226</v>
      </c>
    </row>
    <row r="527" spans="1:3" x14ac:dyDescent="0.2">
      <c r="A527" s="2">
        <v>525</v>
      </c>
      <c r="B527" s="2">
        <f t="shared" ca="1" si="8"/>
        <v>0.7036087217253808</v>
      </c>
      <c r="C527" s="2" t="s">
        <v>227</v>
      </c>
    </row>
    <row r="528" spans="1:3" x14ac:dyDescent="0.2">
      <c r="A528" s="2">
        <v>526</v>
      </c>
      <c r="B528" s="2">
        <f t="shared" ca="1" si="8"/>
        <v>0.56698016945311225</v>
      </c>
      <c r="C528" s="2" t="s">
        <v>226</v>
      </c>
    </row>
    <row r="529" spans="1:3" x14ac:dyDescent="0.2">
      <c r="A529" s="2">
        <v>527</v>
      </c>
      <c r="B529" s="2">
        <f t="shared" ca="1" si="8"/>
        <v>0.73195769463835936</v>
      </c>
      <c r="C529" s="2" t="s">
        <v>226</v>
      </c>
    </row>
    <row r="530" spans="1:3" x14ac:dyDescent="0.2">
      <c r="A530" s="2">
        <v>528</v>
      </c>
      <c r="B530" s="2">
        <f t="shared" ca="1" si="8"/>
        <v>0.61398967694388917</v>
      </c>
      <c r="C530" s="2" t="s">
        <v>227</v>
      </c>
    </row>
    <row r="531" spans="1:3" x14ac:dyDescent="0.2">
      <c r="A531" s="2">
        <v>529</v>
      </c>
      <c r="B531" s="2">
        <f t="shared" ca="1" si="8"/>
        <v>0.67273301331889057</v>
      </c>
      <c r="C531" s="2" t="s">
        <v>227</v>
      </c>
    </row>
    <row r="532" spans="1:3" x14ac:dyDescent="0.2">
      <c r="A532" s="2">
        <v>530</v>
      </c>
      <c r="B532" s="2">
        <f t="shared" ca="1" si="8"/>
        <v>0.65969869543147985</v>
      </c>
      <c r="C532" s="2" t="s">
        <v>226</v>
      </c>
    </row>
    <row r="533" spans="1:3" x14ac:dyDescent="0.2">
      <c r="A533" s="2">
        <v>531</v>
      </c>
      <c r="B533" s="2">
        <f t="shared" ca="1" si="8"/>
        <v>0.716334568497765</v>
      </c>
      <c r="C533" s="2" t="s">
        <v>227</v>
      </c>
    </row>
    <row r="534" spans="1:3" x14ac:dyDescent="0.2">
      <c r="A534" s="2">
        <v>532</v>
      </c>
      <c r="B534" s="2">
        <f t="shared" ca="1" si="8"/>
        <v>0.1702083958282426</v>
      </c>
      <c r="C534" s="2" t="s">
        <v>226</v>
      </c>
    </row>
    <row r="535" spans="1:3" x14ac:dyDescent="0.2">
      <c r="A535" s="2">
        <v>533</v>
      </c>
      <c r="B535" s="2">
        <f t="shared" ca="1" si="8"/>
        <v>0.8075724596354974</v>
      </c>
      <c r="C535" s="2" t="s">
        <v>226</v>
      </c>
    </row>
    <row r="536" spans="1:3" x14ac:dyDescent="0.2">
      <c r="A536" s="2">
        <v>534</v>
      </c>
      <c r="B536" s="2">
        <f t="shared" ca="1" si="8"/>
        <v>0.61054593118540013</v>
      </c>
      <c r="C536" s="2" t="s">
        <v>227</v>
      </c>
    </row>
    <row r="537" spans="1:3" x14ac:dyDescent="0.2">
      <c r="A537" s="2">
        <v>535</v>
      </c>
      <c r="B537" s="2">
        <f t="shared" ca="1" si="8"/>
        <v>0.58522455214126801</v>
      </c>
      <c r="C537" s="2" t="s">
        <v>226</v>
      </c>
    </row>
    <row r="538" spans="1:3" x14ac:dyDescent="0.2">
      <c r="A538" s="2">
        <v>536</v>
      </c>
      <c r="B538" s="2">
        <f t="shared" ca="1" si="8"/>
        <v>0.50719299710036014</v>
      </c>
      <c r="C538" s="2" t="s">
        <v>226</v>
      </c>
    </row>
    <row r="539" spans="1:3" x14ac:dyDescent="0.2">
      <c r="A539" s="2">
        <v>537</v>
      </c>
      <c r="B539" s="2">
        <f t="shared" ca="1" si="8"/>
        <v>0.47998112175565738</v>
      </c>
      <c r="C539" s="2" t="s">
        <v>226</v>
      </c>
    </row>
    <row r="540" spans="1:3" x14ac:dyDescent="0.2">
      <c r="A540" s="2">
        <v>538</v>
      </c>
      <c r="B540" s="2">
        <f t="shared" ca="1" si="8"/>
        <v>0.81418233419246511</v>
      </c>
      <c r="C540" s="2" t="s">
        <v>227</v>
      </c>
    </row>
    <row r="541" spans="1:3" x14ac:dyDescent="0.2">
      <c r="A541" s="2">
        <v>539</v>
      </c>
      <c r="B541" s="2">
        <f t="shared" ca="1" si="8"/>
        <v>0.71657314172665798</v>
      </c>
      <c r="C541" s="2" t="s">
        <v>226</v>
      </c>
    </row>
    <row r="542" spans="1:3" x14ac:dyDescent="0.2">
      <c r="A542" s="2">
        <v>540</v>
      </c>
      <c r="B542" s="2">
        <f t="shared" ca="1" si="8"/>
        <v>0.71233675258376417</v>
      </c>
      <c r="C542" s="2" t="s">
        <v>226</v>
      </c>
    </row>
    <row r="543" spans="1:3" x14ac:dyDescent="0.2">
      <c r="A543" s="2">
        <v>541</v>
      </c>
      <c r="B543" s="2">
        <f t="shared" ca="1" si="8"/>
        <v>0.51970734105435823</v>
      </c>
      <c r="C543" s="2" t="s">
        <v>226</v>
      </c>
    </row>
    <row r="544" spans="1:3" x14ac:dyDescent="0.2">
      <c r="A544" s="2">
        <v>542</v>
      </c>
      <c r="B544" s="2">
        <f t="shared" ca="1" si="8"/>
        <v>0.69884070209909099</v>
      </c>
      <c r="C544" s="2" t="s">
        <v>227</v>
      </c>
    </row>
    <row r="545" spans="1:3" x14ac:dyDescent="0.2">
      <c r="A545" s="2">
        <v>543</v>
      </c>
      <c r="B545" s="2">
        <f t="shared" ca="1" si="8"/>
        <v>0.54282889773710941</v>
      </c>
      <c r="C545" s="2" t="s">
        <v>227</v>
      </c>
    </row>
    <row r="546" spans="1:3" x14ac:dyDescent="0.2">
      <c r="A546" s="2">
        <v>544</v>
      </c>
      <c r="B546" s="2">
        <f t="shared" ca="1" si="8"/>
        <v>0.67001234419141253</v>
      </c>
      <c r="C546" s="2" t="s">
        <v>227</v>
      </c>
    </row>
    <row r="547" spans="1:3" x14ac:dyDescent="0.2">
      <c r="A547" s="2">
        <v>545</v>
      </c>
      <c r="B547" s="2">
        <f t="shared" ca="1" si="8"/>
        <v>0.66253058214655924</v>
      </c>
      <c r="C547" s="2" t="s">
        <v>226</v>
      </c>
    </row>
    <row r="548" spans="1:3" x14ac:dyDescent="0.2">
      <c r="A548" s="2">
        <v>546</v>
      </c>
      <c r="B548" s="2">
        <f t="shared" ca="1" si="8"/>
        <v>0.53065923074815902</v>
      </c>
      <c r="C548" s="2" t="s">
        <v>226</v>
      </c>
    </row>
    <row r="549" spans="1:3" x14ac:dyDescent="0.2">
      <c r="A549" s="2">
        <v>547</v>
      </c>
      <c r="B549" s="2">
        <f t="shared" ca="1" si="8"/>
        <v>0.49495871438096894</v>
      </c>
      <c r="C549" s="2" t="s">
        <v>227</v>
      </c>
    </row>
    <row r="550" spans="1:3" x14ac:dyDescent="0.2">
      <c r="A550" s="2">
        <v>548</v>
      </c>
      <c r="B550" s="2">
        <f t="shared" ca="1" si="8"/>
        <v>0.76967831704075784</v>
      </c>
      <c r="C550" s="2" t="s">
        <v>227</v>
      </c>
    </row>
    <row r="551" spans="1:3" x14ac:dyDescent="0.2">
      <c r="A551" s="2">
        <v>549</v>
      </c>
      <c r="B551" s="2">
        <f t="shared" ca="1" si="8"/>
        <v>0.65035444219140837</v>
      </c>
      <c r="C551" s="2" t="s">
        <v>226</v>
      </c>
    </row>
    <row r="552" spans="1:3" x14ac:dyDescent="0.2">
      <c r="A552" s="2">
        <v>550</v>
      </c>
      <c r="B552" s="2">
        <f t="shared" ca="1" si="8"/>
        <v>0.75988718725180615</v>
      </c>
      <c r="C552" s="2" t="s">
        <v>227</v>
      </c>
    </row>
    <row r="553" spans="1:3" x14ac:dyDescent="0.2">
      <c r="A553" s="2">
        <v>551</v>
      </c>
      <c r="B553" s="2">
        <f t="shared" ca="1" si="8"/>
        <v>0.75730728479534459</v>
      </c>
      <c r="C553" s="2" t="s">
        <v>226</v>
      </c>
    </row>
    <row r="554" spans="1:3" x14ac:dyDescent="0.2">
      <c r="A554" s="2">
        <v>552</v>
      </c>
      <c r="B554" s="2">
        <f t="shared" ca="1" si="8"/>
        <v>0.55018491623235621</v>
      </c>
      <c r="C554" s="2" t="s">
        <v>226</v>
      </c>
    </row>
    <row r="555" spans="1:3" x14ac:dyDescent="0.2">
      <c r="A555" s="2">
        <v>553</v>
      </c>
      <c r="B555" s="2">
        <f t="shared" ca="1" si="8"/>
        <v>0.7561401074046491</v>
      </c>
      <c r="C555" s="2" t="s">
        <v>226</v>
      </c>
    </row>
    <row r="556" spans="1:3" x14ac:dyDescent="0.2">
      <c r="A556" s="2">
        <v>554</v>
      </c>
      <c r="B556" s="2">
        <f t="shared" ca="1" si="8"/>
        <v>0.93442177925927639</v>
      </c>
      <c r="C556" s="2" t="s">
        <v>227</v>
      </c>
    </row>
    <row r="557" spans="1:3" x14ac:dyDescent="0.2">
      <c r="A557" s="2">
        <v>555</v>
      </c>
      <c r="B557" s="2">
        <f t="shared" ca="1" si="8"/>
        <v>0.50080474933234043</v>
      </c>
      <c r="C557" s="2" t="s">
        <v>226</v>
      </c>
    </row>
    <row r="558" spans="1:3" x14ac:dyDescent="0.2">
      <c r="A558" s="2">
        <v>556</v>
      </c>
      <c r="B558" s="2">
        <f t="shared" ca="1" si="8"/>
        <v>0.67499714957069767</v>
      </c>
      <c r="C558" s="2" t="s">
        <v>227</v>
      </c>
    </row>
    <row r="559" spans="1:3" x14ac:dyDescent="0.2">
      <c r="A559" s="2">
        <v>557</v>
      </c>
      <c r="B559" s="2">
        <f t="shared" ca="1" si="8"/>
        <v>0.69627992253370063</v>
      </c>
      <c r="C559" s="2" t="s">
        <v>227</v>
      </c>
    </row>
    <row r="560" spans="1:3" x14ac:dyDescent="0.2">
      <c r="A560" s="2">
        <v>558</v>
      </c>
      <c r="B560" s="2">
        <f t="shared" ca="1" si="8"/>
        <v>0.32344325799242468</v>
      </c>
      <c r="C560" s="2" t="s">
        <v>226</v>
      </c>
    </row>
    <row r="561" spans="1:3" x14ac:dyDescent="0.2">
      <c r="A561" s="2">
        <v>559</v>
      </c>
      <c r="B561" s="2">
        <f t="shared" ca="1" si="8"/>
        <v>0.70212303174287427</v>
      </c>
      <c r="C561" s="2" t="s">
        <v>227</v>
      </c>
    </row>
    <row r="562" spans="1:3" x14ac:dyDescent="0.2">
      <c r="A562" s="2">
        <v>560</v>
      </c>
      <c r="B562" s="2">
        <f t="shared" ca="1" si="8"/>
        <v>0.72580316477401641</v>
      </c>
      <c r="C562" s="2" t="s">
        <v>226</v>
      </c>
    </row>
    <row r="563" spans="1:3" x14ac:dyDescent="0.2">
      <c r="A563" s="2">
        <v>561</v>
      </c>
      <c r="B563" s="2">
        <f t="shared" ca="1" si="8"/>
        <v>0.76658070189452054</v>
      </c>
      <c r="C563" s="2" t="s">
        <v>226</v>
      </c>
    </row>
    <row r="564" spans="1:3" x14ac:dyDescent="0.2">
      <c r="A564" s="2">
        <v>562</v>
      </c>
      <c r="B564" s="2">
        <f t="shared" ca="1" si="8"/>
        <v>0.3834462132548272</v>
      </c>
      <c r="C564" s="2" t="s">
        <v>226</v>
      </c>
    </row>
    <row r="565" spans="1:3" x14ac:dyDescent="0.2">
      <c r="A565" s="2">
        <v>563</v>
      </c>
      <c r="B565" s="2">
        <f t="shared" ca="1" si="8"/>
        <v>0.76033637655814712</v>
      </c>
      <c r="C565" s="2" t="s">
        <v>226</v>
      </c>
    </row>
    <row r="566" spans="1:3" x14ac:dyDescent="0.2">
      <c r="A566" s="2">
        <v>564</v>
      </c>
      <c r="B566" s="2">
        <f t="shared" ca="1" si="8"/>
        <v>0.68602974001988581</v>
      </c>
      <c r="C566" s="2" t="s">
        <v>226</v>
      </c>
    </row>
    <row r="567" spans="1:3" x14ac:dyDescent="0.2">
      <c r="A567" s="2">
        <v>565</v>
      </c>
      <c r="B567" s="2">
        <f t="shared" ca="1" si="8"/>
        <v>0.72054166209440162</v>
      </c>
      <c r="C567" s="2" t="s">
        <v>226</v>
      </c>
    </row>
    <row r="568" spans="1:3" x14ac:dyDescent="0.2">
      <c r="A568" s="2">
        <v>566</v>
      </c>
      <c r="B568" s="2">
        <f t="shared" ca="1" si="8"/>
        <v>0.81938995409425142</v>
      </c>
      <c r="C568" s="2" t="s">
        <v>227</v>
      </c>
    </row>
    <row r="569" spans="1:3" x14ac:dyDescent="0.2">
      <c r="A569" s="2">
        <v>567</v>
      </c>
      <c r="B569" s="2">
        <f t="shared" ca="1" si="8"/>
        <v>0.79823109774783485</v>
      </c>
      <c r="C569" s="2" t="s">
        <v>227</v>
      </c>
    </row>
    <row r="570" spans="1:3" x14ac:dyDescent="0.2">
      <c r="A570" s="2">
        <v>568</v>
      </c>
      <c r="B570" s="2">
        <f t="shared" ca="1" si="8"/>
        <v>0.53255711701958264</v>
      </c>
      <c r="C570" s="2" t="s">
        <v>227</v>
      </c>
    </row>
    <row r="571" spans="1:3" x14ac:dyDescent="0.2">
      <c r="A571" s="2">
        <v>569</v>
      </c>
      <c r="B571" s="2">
        <f t="shared" ca="1" si="8"/>
        <v>0.54407753857976415</v>
      </c>
      <c r="C571" s="2" t="s">
        <v>226</v>
      </c>
    </row>
    <row r="572" spans="1:3" x14ac:dyDescent="0.2">
      <c r="A572" s="2">
        <v>570</v>
      </c>
      <c r="B572" s="2">
        <f t="shared" ca="1" si="8"/>
        <v>0.589165987290863</v>
      </c>
      <c r="C572" s="2" t="s">
        <v>227</v>
      </c>
    </row>
    <row r="573" spans="1:3" x14ac:dyDescent="0.2">
      <c r="A573" s="2">
        <v>571</v>
      </c>
      <c r="B573" s="2">
        <f t="shared" ca="1" si="8"/>
        <v>0.45864871193866152</v>
      </c>
      <c r="C573" s="2" t="s">
        <v>226</v>
      </c>
    </row>
    <row r="574" spans="1:3" x14ac:dyDescent="0.2">
      <c r="A574" s="2">
        <v>572</v>
      </c>
      <c r="B574" s="2">
        <f t="shared" ca="1" si="8"/>
        <v>0.53363106421288964</v>
      </c>
      <c r="C574" s="2" t="s">
        <v>227</v>
      </c>
    </row>
    <row r="575" spans="1:3" x14ac:dyDescent="0.2">
      <c r="A575" s="2">
        <v>573</v>
      </c>
      <c r="B575" s="2">
        <f t="shared" ca="1" si="8"/>
        <v>0.63171143383015904</v>
      </c>
      <c r="C575" s="2" t="s">
        <v>227</v>
      </c>
    </row>
    <row r="576" spans="1:3" x14ac:dyDescent="0.2">
      <c r="A576" s="2">
        <v>574</v>
      </c>
      <c r="B576" s="2">
        <f t="shared" ca="1" si="8"/>
        <v>0.74991119283151186</v>
      </c>
      <c r="C576" s="2" t="s">
        <v>227</v>
      </c>
    </row>
    <row r="577" spans="1:3" x14ac:dyDescent="0.2">
      <c r="A577" s="2">
        <v>575</v>
      </c>
      <c r="B577" s="2">
        <f t="shared" ca="1" si="8"/>
        <v>0.74934818455287466</v>
      </c>
      <c r="C577" s="2" t="s">
        <v>226</v>
      </c>
    </row>
    <row r="578" spans="1:3" x14ac:dyDescent="0.2">
      <c r="A578" s="2">
        <v>576</v>
      </c>
      <c r="B578" s="2">
        <f t="shared" ca="1" si="8"/>
        <v>0.74146718584196447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0.47798396754821226</v>
      </c>
      <c r="C579" s="2" t="s">
        <v>226</v>
      </c>
    </row>
    <row r="580" spans="1:3" x14ac:dyDescent="0.2">
      <c r="A580" s="2">
        <v>578</v>
      </c>
      <c r="B580" s="2">
        <f t="shared" ca="1" si="9"/>
        <v>0.78238906313795109</v>
      </c>
      <c r="C580" s="2" t="s">
        <v>227</v>
      </c>
    </row>
    <row r="581" spans="1:3" x14ac:dyDescent="0.2">
      <c r="A581" s="2">
        <v>579</v>
      </c>
      <c r="B581" s="2">
        <f t="shared" ca="1" si="9"/>
        <v>0.58155774196424503</v>
      </c>
      <c r="C581" s="2" t="s">
        <v>227</v>
      </c>
    </row>
    <row r="582" spans="1:3" x14ac:dyDescent="0.2">
      <c r="A582" s="2">
        <v>580</v>
      </c>
      <c r="B582" s="2">
        <f t="shared" ca="1" si="9"/>
        <v>0.56232524829211639</v>
      </c>
      <c r="C582" s="2" t="s">
        <v>227</v>
      </c>
    </row>
    <row r="583" spans="1:3" x14ac:dyDescent="0.2">
      <c r="A583" s="2">
        <v>581</v>
      </c>
      <c r="B583" s="2">
        <f t="shared" ca="1" si="9"/>
        <v>0.43494812350861017</v>
      </c>
      <c r="C583" s="2" t="s">
        <v>226</v>
      </c>
    </row>
    <row r="584" spans="1:3" x14ac:dyDescent="0.2">
      <c r="A584" s="2">
        <v>582</v>
      </c>
      <c r="B584" s="2">
        <f t="shared" ca="1" si="9"/>
        <v>0.77956849098019088</v>
      </c>
      <c r="C584" s="2" t="s">
        <v>227</v>
      </c>
    </row>
    <row r="585" spans="1:3" x14ac:dyDescent="0.2">
      <c r="A585" s="2">
        <v>583</v>
      </c>
      <c r="B585" s="2">
        <f t="shared" ca="1" si="9"/>
        <v>0.62344354934075819</v>
      </c>
      <c r="C585" s="2" t="s">
        <v>226</v>
      </c>
    </row>
    <row r="586" spans="1:3" x14ac:dyDescent="0.2">
      <c r="A586" s="2">
        <v>584</v>
      </c>
      <c r="B586" s="2">
        <f t="shared" ca="1" si="9"/>
        <v>0.75315454829266815</v>
      </c>
      <c r="C586" s="2" t="s">
        <v>227</v>
      </c>
    </row>
    <row r="587" spans="1:3" x14ac:dyDescent="0.2">
      <c r="A587" s="2">
        <v>585</v>
      </c>
      <c r="B587" s="2">
        <f t="shared" ca="1" si="9"/>
        <v>0.47676838164431296</v>
      </c>
      <c r="C587" s="2" t="s">
        <v>226</v>
      </c>
    </row>
    <row r="588" spans="1:3" x14ac:dyDescent="0.2">
      <c r="A588" s="2">
        <v>586</v>
      </c>
      <c r="B588" s="2">
        <f t="shared" ca="1" si="9"/>
        <v>0.72245668940409313</v>
      </c>
      <c r="C588" s="2" t="s">
        <v>226</v>
      </c>
    </row>
    <row r="589" spans="1:3" x14ac:dyDescent="0.2">
      <c r="A589" s="2">
        <v>587</v>
      </c>
      <c r="B589" s="2">
        <f t="shared" ca="1" si="9"/>
        <v>0.59580372179836072</v>
      </c>
      <c r="C589" s="2" t="s">
        <v>227</v>
      </c>
    </row>
    <row r="590" spans="1:3" x14ac:dyDescent="0.2">
      <c r="A590" s="2">
        <v>588</v>
      </c>
      <c r="B590" s="2">
        <f t="shared" ca="1" si="9"/>
        <v>0.19459409544757839</v>
      </c>
      <c r="C590" s="2" t="s">
        <v>226</v>
      </c>
    </row>
    <row r="591" spans="1:3" x14ac:dyDescent="0.2">
      <c r="A591" s="2">
        <v>589</v>
      </c>
      <c r="B591" s="2">
        <f t="shared" ca="1" si="9"/>
        <v>0.33647176468861623</v>
      </c>
      <c r="C591" s="2" t="s">
        <v>226</v>
      </c>
    </row>
    <row r="592" spans="1:3" x14ac:dyDescent="0.2">
      <c r="A592" s="2">
        <v>590</v>
      </c>
      <c r="B592" s="2">
        <f t="shared" ca="1" si="9"/>
        <v>0.79559698272421997</v>
      </c>
      <c r="C592" s="2" t="s">
        <v>227</v>
      </c>
    </row>
    <row r="593" spans="1:3" x14ac:dyDescent="0.2">
      <c r="A593" s="2">
        <v>591</v>
      </c>
      <c r="B593" s="2">
        <f t="shared" ca="1" si="9"/>
        <v>0.51517905045169998</v>
      </c>
      <c r="C593" s="2" t="s">
        <v>226</v>
      </c>
    </row>
    <row r="594" spans="1:3" x14ac:dyDescent="0.2">
      <c r="A594" s="2">
        <v>592</v>
      </c>
      <c r="B594" s="2">
        <f t="shared" ca="1" si="9"/>
        <v>0.52687896695211789</v>
      </c>
      <c r="C594" s="2" t="s">
        <v>227</v>
      </c>
    </row>
    <row r="595" spans="1:3" x14ac:dyDescent="0.2">
      <c r="A595" s="2">
        <v>593</v>
      </c>
      <c r="B595" s="2">
        <f t="shared" ca="1" si="9"/>
        <v>0.60197740951074807</v>
      </c>
      <c r="C595" s="2" t="s">
        <v>226</v>
      </c>
    </row>
    <row r="596" spans="1:3" x14ac:dyDescent="0.2">
      <c r="A596" s="2">
        <v>594</v>
      </c>
      <c r="B596" s="2">
        <f t="shared" ca="1" si="9"/>
        <v>0.67922139174579754</v>
      </c>
      <c r="C596" s="2" t="s">
        <v>227</v>
      </c>
    </row>
    <row r="597" spans="1:3" x14ac:dyDescent="0.2">
      <c r="A597" s="2">
        <v>595</v>
      </c>
      <c r="B597" s="2">
        <f t="shared" ca="1" si="9"/>
        <v>0.71118193448212708</v>
      </c>
      <c r="C597" s="2" t="s">
        <v>227</v>
      </c>
    </row>
    <row r="598" spans="1:3" x14ac:dyDescent="0.2">
      <c r="A598" s="2">
        <v>596</v>
      </c>
      <c r="B598" s="2">
        <f t="shared" ca="1" si="9"/>
        <v>0.79370374193430782</v>
      </c>
      <c r="C598" s="2" t="s">
        <v>227</v>
      </c>
    </row>
    <row r="599" spans="1:3" x14ac:dyDescent="0.2">
      <c r="A599" s="2">
        <v>597</v>
      </c>
      <c r="B599" s="2">
        <f t="shared" ca="1" si="9"/>
        <v>0.58641191031771722</v>
      </c>
      <c r="C599" s="2" t="s">
        <v>227</v>
      </c>
    </row>
    <row r="600" spans="1:3" x14ac:dyDescent="0.2">
      <c r="A600" s="2">
        <v>598</v>
      </c>
      <c r="B600" s="2">
        <f t="shared" ca="1" si="9"/>
        <v>0.57785511834651448</v>
      </c>
      <c r="C600" s="2" t="s">
        <v>226</v>
      </c>
    </row>
    <row r="601" spans="1:3" x14ac:dyDescent="0.2">
      <c r="A601" s="2">
        <v>599</v>
      </c>
      <c r="B601" s="2">
        <f t="shared" ca="1" si="9"/>
        <v>0.66241006223958099</v>
      </c>
      <c r="C601" s="2" t="s">
        <v>227</v>
      </c>
    </row>
    <row r="602" spans="1:3" x14ac:dyDescent="0.2">
      <c r="A602" s="2">
        <v>600</v>
      </c>
      <c r="B602" s="2">
        <f t="shared" ca="1" si="9"/>
        <v>0.6606479835323551</v>
      </c>
      <c r="C602" s="2" t="s">
        <v>227</v>
      </c>
    </row>
    <row r="603" spans="1:3" x14ac:dyDescent="0.2">
      <c r="A603" s="2">
        <v>601</v>
      </c>
      <c r="B603" s="2">
        <f t="shared" ca="1" si="9"/>
        <v>0.62233329292771933</v>
      </c>
      <c r="C603" s="2" t="s">
        <v>226</v>
      </c>
    </row>
    <row r="604" spans="1:3" x14ac:dyDescent="0.2">
      <c r="A604" s="2">
        <v>602</v>
      </c>
      <c r="B604" s="2">
        <f t="shared" ca="1" si="9"/>
        <v>0.68707487543053936</v>
      </c>
      <c r="C604" s="2" t="s">
        <v>226</v>
      </c>
    </row>
    <row r="605" spans="1:3" x14ac:dyDescent="0.2">
      <c r="A605" s="2">
        <v>603</v>
      </c>
      <c r="B605" s="2">
        <f t="shared" ca="1" si="9"/>
        <v>0.44652108073192798</v>
      </c>
      <c r="C605" s="2" t="s">
        <v>226</v>
      </c>
    </row>
    <row r="606" spans="1:3" x14ac:dyDescent="0.2">
      <c r="A606" s="2">
        <v>604</v>
      </c>
      <c r="B606" s="2">
        <f t="shared" ca="1" si="9"/>
        <v>0.71412664311163365</v>
      </c>
      <c r="C606" s="2" t="s">
        <v>227</v>
      </c>
    </row>
    <row r="607" spans="1:3" x14ac:dyDescent="0.2">
      <c r="A607" s="2">
        <v>605</v>
      </c>
      <c r="B607" s="2">
        <f t="shared" ca="1" si="9"/>
        <v>0.71860759209545799</v>
      </c>
      <c r="C607" s="2" t="s">
        <v>226</v>
      </c>
    </row>
    <row r="608" spans="1:3" x14ac:dyDescent="0.2">
      <c r="A608" s="2">
        <v>606</v>
      </c>
      <c r="B608" s="2">
        <f t="shared" ca="1" si="9"/>
        <v>0.64813571447356677</v>
      </c>
      <c r="C608" s="2" t="s">
        <v>227</v>
      </c>
    </row>
    <row r="609" spans="1:3" x14ac:dyDescent="0.2">
      <c r="A609" s="2">
        <v>607</v>
      </c>
      <c r="B609" s="2">
        <f t="shared" ca="1" si="9"/>
        <v>0.7562146314133632</v>
      </c>
      <c r="C609" s="2" t="s">
        <v>226</v>
      </c>
    </row>
    <row r="610" spans="1:3" x14ac:dyDescent="0.2">
      <c r="A610" s="2">
        <v>608</v>
      </c>
      <c r="B610" s="2">
        <f t="shared" ca="1" si="9"/>
        <v>0.71143873970855764</v>
      </c>
      <c r="C610" s="2" t="s">
        <v>227</v>
      </c>
    </row>
    <row r="611" spans="1:3" x14ac:dyDescent="0.2">
      <c r="A611" s="2">
        <v>609</v>
      </c>
      <c r="B611" s="2">
        <f t="shared" ca="1" si="9"/>
        <v>0.63473576785388397</v>
      </c>
      <c r="C611" s="2" t="s">
        <v>226</v>
      </c>
    </row>
    <row r="612" spans="1:3" x14ac:dyDescent="0.2">
      <c r="A612" s="2">
        <v>610</v>
      </c>
      <c r="B612" s="2">
        <f t="shared" ca="1" si="9"/>
        <v>0.53786728931771111</v>
      </c>
      <c r="C612" s="2" t="s">
        <v>226</v>
      </c>
    </row>
    <row r="613" spans="1:3" x14ac:dyDescent="0.2">
      <c r="A613" s="2">
        <v>611</v>
      </c>
      <c r="B613" s="2">
        <f t="shared" ca="1" si="9"/>
        <v>0.68233547889090673</v>
      </c>
      <c r="C613" s="2" t="s">
        <v>227</v>
      </c>
    </row>
    <row r="614" spans="1:3" x14ac:dyDescent="0.2">
      <c r="A614" s="2">
        <v>612</v>
      </c>
      <c r="B614" s="2">
        <f t="shared" ca="1" si="9"/>
        <v>0.65347837332098935</v>
      </c>
      <c r="C614" s="2" t="s">
        <v>227</v>
      </c>
    </row>
    <row r="615" spans="1:3" x14ac:dyDescent="0.2">
      <c r="A615" s="2">
        <v>613</v>
      </c>
      <c r="B615" s="2">
        <f t="shared" ca="1" si="9"/>
        <v>0.55088045243743966</v>
      </c>
      <c r="C615" s="2" t="s">
        <v>226</v>
      </c>
    </row>
    <row r="616" spans="1:3" x14ac:dyDescent="0.2">
      <c r="A616" s="2">
        <v>614</v>
      </c>
      <c r="B616" s="2">
        <f t="shared" ca="1" si="9"/>
        <v>0.31516756438213817</v>
      </c>
      <c r="C616" s="2" t="s">
        <v>226</v>
      </c>
    </row>
    <row r="617" spans="1:3" x14ac:dyDescent="0.2">
      <c r="A617" s="2">
        <v>615</v>
      </c>
      <c r="B617" s="2">
        <f t="shared" ca="1" si="9"/>
        <v>0.72141145852697786</v>
      </c>
      <c r="C617" s="2" t="s">
        <v>226</v>
      </c>
    </row>
    <row r="618" spans="1:3" x14ac:dyDescent="0.2">
      <c r="A618" s="2">
        <v>616</v>
      </c>
      <c r="B618" s="2">
        <f t="shared" ca="1" si="9"/>
        <v>0.79847438678470195</v>
      </c>
      <c r="C618" s="2" t="s">
        <v>227</v>
      </c>
    </row>
    <row r="619" spans="1:3" x14ac:dyDescent="0.2">
      <c r="A619" s="2">
        <v>617</v>
      </c>
      <c r="B619" s="2">
        <f t="shared" ca="1" si="9"/>
        <v>0.67752898837339548</v>
      </c>
      <c r="C619" s="2" t="s">
        <v>227</v>
      </c>
    </row>
    <row r="620" spans="1:3" x14ac:dyDescent="0.2">
      <c r="A620" s="2">
        <v>618</v>
      </c>
      <c r="B620" s="2">
        <f t="shared" ca="1" si="9"/>
        <v>0.66418204992571805</v>
      </c>
      <c r="C620" s="2" t="s">
        <v>227</v>
      </c>
    </row>
    <row r="621" spans="1:3" x14ac:dyDescent="0.2">
      <c r="A621" s="2">
        <v>619</v>
      </c>
      <c r="B621" s="2">
        <f t="shared" ca="1" si="9"/>
        <v>0.55621046233872851</v>
      </c>
      <c r="C621" s="2" t="s">
        <v>226</v>
      </c>
    </row>
    <row r="622" spans="1:3" x14ac:dyDescent="0.2">
      <c r="A622" s="2">
        <v>620</v>
      </c>
      <c r="B622" s="2">
        <f t="shared" ca="1" si="9"/>
        <v>0.68196287227164376</v>
      </c>
      <c r="C622" s="2" t="s">
        <v>226</v>
      </c>
    </row>
    <row r="623" spans="1:3" x14ac:dyDescent="0.2">
      <c r="A623" s="2">
        <v>621</v>
      </c>
      <c r="B623" s="2">
        <f t="shared" ca="1" si="9"/>
        <v>0.62388263188134241</v>
      </c>
      <c r="C623" s="2" t="s">
        <v>227</v>
      </c>
    </row>
    <row r="624" spans="1:3" x14ac:dyDescent="0.2">
      <c r="A624" s="2">
        <v>622</v>
      </c>
      <c r="B624" s="2">
        <f t="shared" ca="1" si="9"/>
        <v>0.74139848541213016</v>
      </c>
      <c r="C624" s="2" t="s">
        <v>227</v>
      </c>
    </row>
    <row r="625" spans="1:3" x14ac:dyDescent="0.2">
      <c r="A625" s="2">
        <v>623</v>
      </c>
      <c r="B625" s="2">
        <f t="shared" ca="1" si="9"/>
        <v>0.64250783329299466</v>
      </c>
      <c r="C625" s="2" t="s">
        <v>227</v>
      </c>
    </row>
    <row r="626" spans="1:3" x14ac:dyDescent="0.2">
      <c r="A626" s="2">
        <v>624</v>
      </c>
      <c r="B626" s="2">
        <f t="shared" ca="1" si="9"/>
        <v>0.67333404366421312</v>
      </c>
      <c r="C626" s="2" t="s">
        <v>226</v>
      </c>
    </row>
    <row r="627" spans="1:3" x14ac:dyDescent="0.2">
      <c r="A627" s="2">
        <v>625</v>
      </c>
      <c r="B627" s="2">
        <f t="shared" ca="1" si="9"/>
        <v>0.80860781510262392</v>
      </c>
      <c r="C627" s="2" t="s">
        <v>227</v>
      </c>
    </row>
    <row r="628" spans="1:3" x14ac:dyDescent="0.2">
      <c r="A628" s="2">
        <v>626</v>
      </c>
      <c r="B628" s="2">
        <f t="shared" ca="1" si="9"/>
        <v>0.4392095751030175</v>
      </c>
      <c r="C628" s="2" t="s">
        <v>226</v>
      </c>
    </row>
    <row r="629" spans="1:3" x14ac:dyDescent="0.2">
      <c r="A629" s="2">
        <v>627</v>
      </c>
      <c r="B629" s="2">
        <f t="shared" ca="1" si="9"/>
        <v>0.43725958799155312</v>
      </c>
      <c r="C629" s="2" t="s">
        <v>226</v>
      </c>
    </row>
    <row r="630" spans="1:3" x14ac:dyDescent="0.2">
      <c r="A630" s="2">
        <v>628</v>
      </c>
      <c r="B630" s="2">
        <f t="shared" ca="1" si="9"/>
        <v>0.72481587908154721</v>
      </c>
      <c r="C630" s="2" t="s">
        <v>226</v>
      </c>
    </row>
    <row r="631" spans="1:3" x14ac:dyDescent="0.2">
      <c r="A631" s="2">
        <v>629</v>
      </c>
      <c r="B631" s="2">
        <f t="shared" ca="1" si="9"/>
        <v>0.76611146783757311</v>
      </c>
      <c r="C631" s="2" t="s">
        <v>226</v>
      </c>
    </row>
    <row r="632" spans="1:3" x14ac:dyDescent="0.2">
      <c r="A632" s="2">
        <v>630</v>
      </c>
      <c r="B632" s="2">
        <f t="shared" ca="1" si="9"/>
        <v>0.82680398884337991</v>
      </c>
      <c r="C632" s="2" t="s">
        <v>227</v>
      </c>
    </row>
    <row r="633" spans="1:3" x14ac:dyDescent="0.2">
      <c r="A633" s="2">
        <v>631</v>
      </c>
      <c r="B633" s="2">
        <f t="shared" ca="1" si="9"/>
        <v>0.79104915199394665</v>
      </c>
      <c r="C633" s="2" t="s">
        <v>227</v>
      </c>
    </row>
    <row r="634" spans="1:3" x14ac:dyDescent="0.2">
      <c r="A634" s="2">
        <v>632</v>
      </c>
      <c r="B634" s="2">
        <f t="shared" ca="1" si="9"/>
        <v>0.74991660393148873</v>
      </c>
      <c r="C634" s="2" t="s">
        <v>226</v>
      </c>
    </row>
    <row r="635" spans="1:3" x14ac:dyDescent="0.2">
      <c r="A635" s="2">
        <v>633</v>
      </c>
      <c r="B635" s="2">
        <f t="shared" ca="1" si="9"/>
        <v>0.5743624913466574</v>
      </c>
      <c r="C635" s="2" t="s">
        <v>227</v>
      </c>
    </row>
    <row r="636" spans="1:3" x14ac:dyDescent="0.2">
      <c r="A636" s="2">
        <v>634</v>
      </c>
      <c r="B636" s="2">
        <f t="shared" ca="1" si="9"/>
        <v>0.75213271514428381</v>
      </c>
      <c r="C636" s="2" t="s">
        <v>227</v>
      </c>
    </row>
    <row r="637" spans="1:3" x14ac:dyDescent="0.2">
      <c r="A637" s="2">
        <v>635</v>
      </c>
      <c r="B637" s="2">
        <f t="shared" ca="1" si="9"/>
        <v>0.8537901540808055</v>
      </c>
      <c r="C637" s="2" t="s">
        <v>227</v>
      </c>
    </row>
    <row r="638" spans="1:3" x14ac:dyDescent="0.2">
      <c r="A638" s="2">
        <v>636</v>
      </c>
      <c r="B638" s="2">
        <f t="shared" ca="1" si="9"/>
        <v>0.74171814785977963</v>
      </c>
      <c r="C638" s="2" t="s">
        <v>226</v>
      </c>
    </row>
    <row r="639" spans="1:3" x14ac:dyDescent="0.2">
      <c r="A639" s="2">
        <v>637</v>
      </c>
      <c r="B639" s="2">
        <f t="shared" ca="1" si="9"/>
        <v>0.46459943592474118</v>
      </c>
      <c r="C639" s="2" t="s">
        <v>226</v>
      </c>
    </row>
    <row r="640" spans="1:3" x14ac:dyDescent="0.2">
      <c r="A640" s="2">
        <v>638</v>
      </c>
      <c r="B640" s="2">
        <f t="shared" ca="1" si="9"/>
        <v>0.82408213871239222</v>
      </c>
      <c r="C640" s="2" t="s">
        <v>227</v>
      </c>
    </row>
    <row r="641" spans="1:3" x14ac:dyDescent="0.2">
      <c r="A641" s="2">
        <v>639</v>
      </c>
      <c r="B641" s="2">
        <f t="shared" ca="1" si="9"/>
        <v>0.50206223945908857</v>
      </c>
      <c r="C641" s="2" t="s">
        <v>226</v>
      </c>
    </row>
    <row r="642" spans="1:3" x14ac:dyDescent="0.2">
      <c r="A642" s="2">
        <v>640</v>
      </c>
      <c r="B642" s="2">
        <f t="shared" ca="1" si="9"/>
        <v>0.76933875562254828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0.5543937437908687</v>
      </c>
      <c r="C643" s="2" t="s">
        <v>227</v>
      </c>
    </row>
    <row r="644" spans="1:3" x14ac:dyDescent="0.2">
      <c r="A644" s="2">
        <v>642</v>
      </c>
      <c r="B644" s="2">
        <f t="shared" ca="1" si="10"/>
        <v>0.69332227637409249</v>
      </c>
      <c r="C644" s="2" t="s">
        <v>226</v>
      </c>
    </row>
    <row r="645" spans="1:3" x14ac:dyDescent="0.2">
      <c r="A645" s="2">
        <v>643</v>
      </c>
      <c r="B645" s="2">
        <f t="shared" ca="1" si="10"/>
        <v>0.7687940776737382</v>
      </c>
      <c r="C645" s="2" t="s">
        <v>227</v>
      </c>
    </row>
    <row r="646" spans="1:3" x14ac:dyDescent="0.2">
      <c r="A646" s="2">
        <v>644</v>
      </c>
      <c r="B646" s="2">
        <f t="shared" ca="1" si="10"/>
        <v>0.69376983947429804</v>
      </c>
      <c r="C646" s="2" t="s">
        <v>226</v>
      </c>
    </row>
    <row r="647" spans="1:3" x14ac:dyDescent="0.2">
      <c r="A647" s="2">
        <v>645</v>
      </c>
      <c r="B647" s="2">
        <f t="shared" ca="1" si="10"/>
        <v>0.62489541493092216</v>
      </c>
      <c r="C647" s="2" t="s">
        <v>226</v>
      </c>
    </row>
    <row r="648" spans="1:3" x14ac:dyDescent="0.2">
      <c r="A648" s="2">
        <v>646</v>
      </c>
      <c r="B648" s="2">
        <f t="shared" ca="1" si="10"/>
        <v>0.6950532508387024</v>
      </c>
      <c r="C648" s="2" t="s">
        <v>226</v>
      </c>
    </row>
    <row r="649" spans="1:3" x14ac:dyDescent="0.2">
      <c r="A649" s="2">
        <v>647</v>
      </c>
      <c r="B649" s="2">
        <f t="shared" ca="1" si="10"/>
        <v>0.78746464248250148</v>
      </c>
      <c r="C649" s="2" t="s">
        <v>227</v>
      </c>
    </row>
    <row r="650" spans="1:3" x14ac:dyDescent="0.2">
      <c r="A650" s="2">
        <v>648</v>
      </c>
      <c r="B650" s="2">
        <f t="shared" ca="1" si="10"/>
        <v>0.49497010667801056</v>
      </c>
      <c r="C650" s="2" t="s">
        <v>227</v>
      </c>
    </row>
    <row r="651" spans="1:3" x14ac:dyDescent="0.2">
      <c r="A651" s="2">
        <v>649</v>
      </c>
      <c r="B651" s="2">
        <f t="shared" ca="1" si="10"/>
        <v>0.57919243792958275</v>
      </c>
      <c r="C651" s="2" t="s">
        <v>227</v>
      </c>
    </row>
    <row r="652" spans="1:3" x14ac:dyDescent="0.2">
      <c r="A652" s="2">
        <v>650</v>
      </c>
      <c r="B652" s="2">
        <f t="shared" ca="1" si="10"/>
        <v>0.67971860490234171</v>
      </c>
      <c r="C652" s="2" t="s">
        <v>227</v>
      </c>
    </row>
    <row r="653" spans="1:3" x14ac:dyDescent="0.2">
      <c r="A653" s="2">
        <v>651</v>
      </c>
      <c r="B653" s="2">
        <f t="shared" ca="1" si="10"/>
        <v>0.56191103462805614</v>
      </c>
      <c r="C653" s="2" t="s">
        <v>226</v>
      </c>
    </row>
    <row r="654" spans="1:3" x14ac:dyDescent="0.2">
      <c r="A654" s="2">
        <v>652</v>
      </c>
      <c r="B654" s="2">
        <f t="shared" ca="1" si="10"/>
        <v>0.45901329484932285</v>
      </c>
      <c r="C654" s="2" t="s">
        <v>226</v>
      </c>
    </row>
    <row r="655" spans="1:3" x14ac:dyDescent="0.2">
      <c r="A655" s="2">
        <v>653</v>
      </c>
      <c r="B655" s="2">
        <f t="shared" ca="1" si="10"/>
        <v>0.66582394911946019</v>
      </c>
      <c r="C655" s="2" t="s">
        <v>226</v>
      </c>
    </row>
    <row r="656" spans="1:3" x14ac:dyDescent="0.2">
      <c r="A656" s="2">
        <v>654</v>
      </c>
      <c r="B656" s="2">
        <f t="shared" ca="1" si="10"/>
        <v>0.82005527802198441</v>
      </c>
      <c r="C656" s="2" t="s">
        <v>226</v>
      </c>
    </row>
    <row r="657" spans="1:3" x14ac:dyDescent="0.2">
      <c r="A657" s="2">
        <v>655</v>
      </c>
      <c r="B657" s="2">
        <f t="shared" ca="1" si="10"/>
        <v>0.55437930417382553</v>
      </c>
      <c r="C657" s="2" t="s">
        <v>226</v>
      </c>
    </row>
    <row r="658" spans="1:3" x14ac:dyDescent="0.2">
      <c r="A658" s="2">
        <v>656</v>
      </c>
      <c r="B658" s="2">
        <f t="shared" ca="1" si="10"/>
        <v>0.67760808681559415</v>
      </c>
      <c r="C658" s="2" t="s">
        <v>226</v>
      </c>
    </row>
    <row r="659" spans="1:3" x14ac:dyDescent="0.2">
      <c r="A659" s="2">
        <v>657</v>
      </c>
      <c r="B659" s="2">
        <f t="shared" ca="1" si="10"/>
        <v>0.68180978001743497</v>
      </c>
      <c r="C659" s="2" t="s">
        <v>227</v>
      </c>
    </row>
    <row r="660" spans="1:3" x14ac:dyDescent="0.2">
      <c r="A660" s="2">
        <v>658</v>
      </c>
      <c r="B660" s="2">
        <f t="shared" ca="1" si="10"/>
        <v>0.50521134180798921</v>
      </c>
      <c r="C660" s="2" t="s">
        <v>226</v>
      </c>
    </row>
    <row r="661" spans="1:3" x14ac:dyDescent="0.2">
      <c r="A661" s="2">
        <v>659</v>
      </c>
      <c r="B661" s="2">
        <f t="shared" ca="1" si="10"/>
        <v>0.61684012678352973</v>
      </c>
      <c r="C661" s="2" t="s">
        <v>227</v>
      </c>
    </row>
    <row r="662" spans="1:3" x14ac:dyDescent="0.2">
      <c r="A662" s="2">
        <v>660</v>
      </c>
      <c r="B662" s="2">
        <f t="shared" ca="1" si="10"/>
        <v>0.55815593146671216</v>
      </c>
      <c r="C662" s="2" t="s">
        <v>226</v>
      </c>
    </row>
    <row r="663" spans="1:3" x14ac:dyDescent="0.2">
      <c r="A663" s="2">
        <v>661</v>
      </c>
      <c r="B663" s="2">
        <f t="shared" ca="1" si="10"/>
        <v>0.73973650268429259</v>
      </c>
      <c r="C663" s="2" t="s">
        <v>227</v>
      </c>
    </row>
    <row r="664" spans="1:3" x14ac:dyDescent="0.2">
      <c r="A664" s="2">
        <v>662</v>
      </c>
      <c r="B664" s="2">
        <f t="shared" ca="1" si="10"/>
        <v>0.70714139951109689</v>
      </c>
      <c r="C664" s="2" t="s">
        <v>226</v>
      </c>
    </row>
    <row r="665" spans="1:3" x14ac:dyDescent="0.2">
      <c r="A665" s="2">
        <v>663</v>
      </c>
      <c r="B665" s="2">
        <f t="shared" ca="1" si="10"/>
        <v>0.67769427007728966</v>
      </c>
      <c r="C665" s="2" t="s">
        <v>226</v>
      </c>
    </row>
    <row r="666" spans="1:3" x14ac:dyDescent="0.2">
      <c r="A666" s="2">
        <v>664</v>
      </c>
      <c r="B666" s="2">
        <f t="shared" ca="1" si="10"/>
        <v>0.73971711466339285</v>
      </c>
      <c r="C666" s="2" t="s">
        <v>227</v>
      </c>
    </row>
    <row r="667" spans="1:3" x14ac:dyDescent="0.2">
      <c r="A667" s="2">
        <v>665</v>
      </c>
      <c r="B667" s="2">
        <f t="shared" ca="1" si="10"/>
        <v>0.51870112467790508</v>
      </c>
      <c r="C667" s="2" t="s">
        <v>226</v>
      </c>
    </row>
    <row r="668" spans="1:3" x14ac:dyDescent="0.2">
      <c r="A668" s="2">
        <v>666</v>
      </c>
      <c r="B668" s="2">
        <f t="shared" ca="1" si="10"/>
        <v>0.42244407925065885</v>
      </c>
      <c r="C668" s="2" t="s">
        <v>226</v>
      </c>
    </row>
    <row r="669" spans="1:3" x14ac:dyDescent="0.2">
      <c r="A669" s="2">
        <v>667</v>
      </c>
      <c r="B669" s="2">
        <f t="shared" ca="1" si="10"/>
        <v>0.63753561876509446</v>
      </c>
      <c r="C669" s="2" t="s">
        <v>227</v>
      </c>
    </row>
    <row r="670" spans="1:3" x14ac:dyDescent="0.2">
      <c r="A670" s="2">
        <v>668</v>
      </c>
      <c r="B670" s="2">
        <f t="shared" ca="1" si="10"/>
        <v>0.79095043174315338</v>
      </c>
      <c r="C670" s="2" t="s">
        <v>226</v>
      </c>
    </row>
    <row r="671" spans="1:3" x14ac:dyDescent="0.2">
      <c r="A671" s="2">
        <v>669</v>
      </c>
      <c r="B671" s="2">
        <f t="shared" ca="1" si="10"/>
        <v>0.72611139237260447</v>
      </c>
      <c r="C671" s="2" t="s">
        <v>226</v>
      </c>
    </row>
    <row r="672" spans="1:3" x14ac:dyDescent="0.2">
      <c r="A672" s="2">
        <v>670</v>
      </c>
      <c r="B672" s="2">
        <f t="shared" ca="1" si="10"/>
        <v>0.43741798380145502</v>
      </c>
      <c r="C672" s="2" t="s">
        <v>226</v>
      </c>
    </row>
    <row r="673" spans="1:3" x14ac:dyDescent="0.2">
      <c r="A673" s="2">
        <v>671</v>
      </c>
      <c r="B673" s="2">
        <f t="shared" ca="1" si="10"/>
        <v>0.8286225265192273</v>
      </c>
      <c r="C673" s="2" t="s">
        <v>226</v>
      </c>
    </row>
    <row r="674" spans="1:3" x14ac:dyDescent="0.2">
      <c r="A674" s="2">
        <v>672</v>
      </c>
      <c r="B674" s="2">
        <f t="shared" ca="1" si="10"/>
        <v>0.44149537842651798</v>
      </c>
      <c r="C674" s="2" t="s">
        <v>226</v>
      </c>
    </row>
    <row r="675" spans="1:3" x14ac:dyDescent="0.2">
      <c r="A675" s="2">
        <v>673</v>
      </c>
      <c r="B675" s="2">
        <f t="shared" ca="1" si="10"/>
        <v>0.55948819810220174</v>
      </c>
      <c r="C675" s="2" t="s">
        <v>226</v>
      </c>
    </row>
    <row r="676" spans="1:3" x14ac:dyDescent="0.2">
      <c r="A676" s="2">
        <v>674</v>
      </c>
      <c r="B676" s="2">
        <f t="shared" ca="1" si="10"/>
        <v>0.56547924932210347</v>
      </c>
      <c r="C676" s="2" t="s">
        <v>227</v>
      </c>
    </row>
    <row r="677" spans="1:3" x14ac:dyDescent="0.2">
      <c r="A677" s="2">
        <v>675</v>
      </c>
      <c r="B677" s="2">
        <f t="shared" ca="1" si="10"/>
        <v>0.69973639389659326</v>
      </c>
      <c r="C677" s="2" t="s">
        <v>226</v>
      </c>
    </row>
    <row r="678" spans="1:3" x14ac:dyDescent="0.2">
      <c r="A678" s="2">
        <v>676</v>
      </c>
      <c r="B678" s="2">
        <f t="shared" ca="1" si="10"/>
        <v>0.73486490255302661</v>
      </c>
      <c r="C678" s="2" t="s">
        <v>227</v>
      </c>
    </row>
    <row r="679" spans="1:3" x14ac:dyDescent="0.2">
      <c r="A679" s="2">
        <v>677</v>
      </c>
      <c r="B679" s="2">
        <f t="shared" ca="1" si="10"/>
        <v>0.62885995678093165</v>
      </c>
      <c r="C679" s="2" t="s">
        <v>226</v>
      </c>
    </row>
    <row r="680" spans="1:3" x14ac:dyDescent="0.2">
      <c r="A680" s="2">
        <v>678</v>
      </c>
      <c r="B680" s="2">
        <f t="shared" ca="1" si="10"/>
        <v>0.793311856499339</v>
      </c>
      <c r="C680" s="2" t="s">
        <v>227</v>
      </c>
    </row>
    <row r="681" spans="1:3" x14ac:dyDescent="0.2">
      <c r="A681" s="2">
        <v>679</v>
      </c>
      <c r="B681" s="2">
        <f t="shared" ca="1" si="10"/>
        <v>0.75506767925240259</v>
      </c>
      <c r="C681" s="2" t="s">
        <v>226</v>
      </c>
    </row>
    <row r="682" spans="1:3" x14ac:dyDescent="0.2">
      <c r="A682" s="2">
        <v>680</v>
      </c>
      <c r="B682" s="2">
        <f t="shared" ca="1" si="10"/>
        <v>0.86277411901380707</v>
      </c>
      <c r="C682" s="2" t="s">
        <v>226</v>
      </c>
    </row>
    <row r="683" spans="1:3" x14ac:dyDescent="0.2">
      <c r="A683" s="2">
        <v>681</v>
      </c>
      <c r="B683" s="2">
        <f t="shared" ca="1" si="10"/>
        <v>0.43432792547991794</v>
      </c>
      <c r="C683" s="2" t="s">
        <v>226</v>
      </c>
    </row>
    <row r="684" spans="1:3" x14ac:dyDescent="0.2">
      <c r="A684" s="2">
        <v>682</v>
      </c>
      <c r="B684" s="2">
        <f t="shared" ca="1" si="10"/>
        <v>0.50239349394357158</v>
      </c>
      <c r="C684" s="2" t="s">
        <v>226</v>
      </c>
    </row>
    <row r="685" spans="1:3" x14ac:dyDescent="0.2">
      <c r="A685" s="2">
        <v>683</v>
      </c>
      <c r="B685" s="2">
        <f t="shared" ca="1" si="10"/>
        <v>0.54362987463234325</v>
      </c>
      <c r="C685" s="2" t="s">
        <v>226</v>
      </c>
    </row>
    <row r="686" spans="1:3" x14ac:dyDescent="0.2">
      <c r="A686" s="2">
        <v>684</v>
      </c>
      <c r="B686" s="2">
        <f t="shared" ca="1" si="10"/>
        <v>0.65386984306938478</v>
      </c>
      <c r="C686" s="2" t="s">
        <v>226</v>
      </c>
    </row>
    <row r="687" spans="1:3" x14ac:dyDescent="0.2">
      <c r="A687" s="2">
        <v>685</v>
      </c>
      <c r="B687" s="2">
        <f t="shared" ca="1" si="10"/>
        <v>0.75141519664748935</v>
      </c>
      <c r="C687" s="2" t="s">
        <v>227</v>
      </c>
    </row>
    <row r="688" spans="1:3" x14ac:dyDescent="0.2">
      <c r="A688" s="2">
        <v>686</v>
      </c>
      <c r="B688" s="2">
        <f t="shared" ca="1" si="10"/>
        <v>0.71548663330909079</v>
      </c>
      <c r="C688" s="2" t="s">
        <v>226</v>
      </c>
    </row>
    <row r="689" spans="1:3" x14ac:dyDescent="0.2">
      <c r="A689" s="2">
        <v>687</v>
      </c>
      <c r="B689" s="2">
        <f t="shared" ca="1" si="10"/>
        <v>0.5607919371152601</v>
      </c>
      <c r="C689" s="2" t="s">
        <v>226</v>
      </c>
    </row>
    <row r="690" spans="1:3" x14ac:dyDescent="0.2">
      <c r="A690" s="2">
        <v>688</v>
      </c>
      <c r="B690" s="2">
        <f t="shared" ca="1" si="10"/>
        <v>0.74050429479331525</v>
      </c>
      <c r="C690" s="2" t="s">
        <v>226</v>
      </c>
    </row>
    <row r="691" spans="1:3" x14ac:dyDescent="0.2">
      <c r="A691" s="2">
        <v>689</v>
      </c>
      <c r="B691" s="2">
        <f t="shared" ca="1" si="10"/>
        <v>0.5044329140496181</v>
      </c>
      <c r="C691" s="2" t="s">
        <v>226</v>
      </c>
    </row>
    <row r="692" spans="1:3" x14ac:dyDescent="0.2">
      <c r="A692" s="2">
        <v>690</v>
      </c>
      <c r="B692" s="2">
        <f t="shared" ca="1" si="10"/>
        <v>0.80126760112963125</v>
      </c>
      <c r="C692" s="2" t="s">
        <v>227</v>
      </c>
    </row>
    <row r="693" spans="1:3" x14ac:dyDescent="0.2">
      <c r="A693" s="2">
        <v>691</v>
      </c>
      <c r="B693" s="2">
        <f t="shared" ca="1" si="10"/>
        <v>0.75700445397978933</v>
      </c>
      <c r="C693" s="2" t="s">
        <v>227</v>
      </c>
    </row>
    <row r="694" spans="1:3" x14ac:dyDescent="0.2">
      <c r="A694" s="2">
        <v>692</v>
      </c>
      <c r="B694" s="2">
        <f t="shared" ca="1" si="10"/>
        <v>0.61161075268355458</v>
      </c>
      <c r="C694" s="2" t="s">
        <v>227</v>
      </c>
    </row>
    <row r="695" spans="1:3" x14ac:dyDescent="0.2">
      <c r="A695" s="2">
        <v>693</v>
      </c>
      <c r="B695" s="2">
        <f t="shared" ca="1" si="10"/>
        <v>0.79002982766323215</v>
      </c>
      <c r="C695" s="2" t="s">
        <v>227</v>
      </c>
    </row>
    <row r="696" spans="1:3" x14ac:dyDescent="0.2">
      <c r="A696" s="2">
        <v>694</v>
      </c>
      <c r="B696" s="2">
        <f t="shared" ca="1" si="10"/>
        <v>0.49021525751626521</v>
      </c>
      <c r="C696" s="2" t="s">
        <v>226</v>
      </c>
    </row>
    <row r="697" spans="1:3" x14ac:dyDescent="0.2">
      <c r="A697" s="2">
        <v>695</v>
      </c>
      <c r="B697" s="2">
        <f t="shared" ca="1" si="10"/>
        <v>0.57267869896882073</v>
      </c>
      <c r="C697" s="2" t="s">
        <v>226</v>
      </c>
    </row>
    <row r="698" spans="1:3" x14ac:dyDescent="0.2">
      <c r="A698" s="2">
        <v>696</v>
      </c>
      <c r="B698" s="2">
        <f t="shared" ca="1" si="10"/>
        <v>0.78622769597231379</v>
      </c>
      <c r="C698" s="2" t="s">
        <v>226</v>
      </c>
    </row>
    <row r="699" spans="1:3" x14ac:dyDescent="0.2">
      <c r="A699" s="2">
        <v>697</v>
      </c>
      <c r="B699" s="2">
        <f t="shared" ca="1" si="10"/>
        <v>0.56757699763834313</v>
      </c>
      <c r="C699" s="2" t="s">
        <v>226</v>
      </c>
    </row>
    <row r="700" spans="1:3" x14ac:dyDescent="0.2">
      <c r="A700" s="2">
        <v>698</v>
      </c>
      <c r="B700" s="2">
        <f t="shared" ca="1" si="10"/>
        <v>0.78709590221859771</v>
      </c>
      <c r="C700" s="2" t="s">
        <v>227</v>
      </c>
    </row>
    <row r="701" spans="1:3" x14ac:dyDescent="0.2">
      <c r="A701" s="2">
        <v>699</v>
      </c>
      <c r="B701" s="2">
        <f t="shared" ca="1" si="10"/>
        <v>0.71774697862807568</v>
      </c>
      <c r="C701" s="2" t="s">
        <v>226</v>
      </c>
    </row>
    <row r="702" spans="1:3" x14ac:dyDescent="0.2">
      <c r="A702" s="2">
        <v>700</v>
      </c>
      <c r="B702" s="2">
        <f t="shared" ca="1" si="10"/>
        <v>0.44243250465793049</v>
      </c>
      <c r="C702" s="2" t="s">
        <v>226</v>
      </c>
    </row>
    <row r="703" spans="1:3" x14ac:dyDescent="0.2">
      <c r="A703" s="2">
        <v>701</v>
      </c>
      <c r="B703" s="2">
        <f t="shared" ca="1" si="10"/>
        <v>0.67141534720239626</v>
      </c>
      <c r="C703" s="2" t="s">
        <v>226</v>
      </c>
    </row>
    <row r="704" spans="1:3" x14ac:dyDescent="0.2">
      <c r="A704" s="2">
        <v>702</v>
      </c>
      <c r="B704" s="2">
        <f t="shared" ca="1" si="10"/>
        <v>0.53599135489866012</v>
      </c>
      <c r="C704" s="2" t="s">
        <v>226</v>
      </c>
    </row>
    <row r="705" spans="1:3" x14ac:dyDescent="0.2">
      <c r="A705" s="2">
        <v>703</v>
      </c>
      <c r="B705" s="2">
        <f t="shared" ca="1" si="10"/>
        <v>0.71602945698577902</v>
      </c>
      <c r="C705" s="2" t="s">
        <v>227</v>
      </c>
    </row>
    <row r="706" spans="1:3" x14ac:dyDescent="0.2">
      <c r="A706" s="2">
        <v>704</v>
      </c>
      <c r="B706" s="2">
        <f t="shared" ca="1" si="10"/>
        <v>0.68346752182683412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0.78146937440038988</v>
      </c>
      <c r="C707" s="2" t="s">
        <v>226</v>
      </c>
    </row>
    <row r="708" spans="1:3" x14ac:dyDescent="0.2">
      <c r="A708" s="2">
        <v>706</v>
      </c>
      <c r="B708" s="2">
        <f t="shared" ca="1" si="11"/>
        <v>0.43652097062579998</v>
      </c>
      <c r="C708" s="2" t="s">
        <v>226</v>
      </c>
    </row>
    <row r="709" spans="1:3" x14ac:dyDescent="0.2">
      <c r="A709" s="2">
        <v>707</v>
      </c>
      <c r="B709" s="2">
        <f t="shared" ca="1" si="11"/>
        <v>0.89165035245820834</v>
      </c>
      <c r="C709" s="2" t="s">
        <v>226</v>
      </c>
    </row>
    <row r="710" spans="1:3" x14ac:dyDescent="0.2">
      <c r="A710" s="2">
        <v>708</v>
      </c>
      <c r="B710" s="2">
        <f t="shared" ca="1" si="11"/>
        <v>0.63823582397956513</v>
      </c>
      <c r="C710" s="2" t="s">
        <v>227</v>
      </c>
    </row>
    <row r="711" spans="1:3" x14ac:dyDescent="0.2">
      <c r="A711" s="2">
        <v>709</v>
      </c>
      <c r="B711" s="2">
        <f t="shared" ca="1" si="11"/>
        <v>0.78811285418306054</v>
      </c>
      <c r="C711" s="2" t="s">
        <v>227</v>
      </c>
    </row>
    <row r="712" spans="1:3" x14ac:dyDescent="0.2">
      <c r="A712" s="2">
        <v>710</v>
      </c>
      <c r="B712" s="2">
        <f t="shared" ca="1" si="11"/>
        <v>0.76420392395177517</v>
      </c>
      <c r="C712" s="2" t="s">
        <v>227</v>
      </c>
    </row>
    <row r="713" spans="1:3" x14ac:dyDescent="0.2">
      <c r="A713" s="2">
        <v>711</v>
      </c>
      <c r="B713" s="2">
        <f t="shared" ca="1" si="11"/>
        <v>0.55373438937952224</v>
      </c>
      <c r="C713" s="2" t="s">
        <v>226</v>
      </c>
    </row>
    <row r="714" spans="1:3" x14ac:dyDescent="0.2">
      <c r="A714" s="2">
        <v>712</v>
      </c>
      <c r="B714" s="2">
        <f t="shared" ca="1" si="11"/>
        <v>0.86288886910005469</v>
      </c>
      <c r="C714" s="2" t="s">
        <v>227</v>
      </c>
    </row>
    <row r="715" spans="1:3" x14ac:dyDescent="0.2">
      <c r="A715" s="2">
        <v>713</v>
      </c>
      <c r="B715" s="2">
        <f t="shared" ca="1" si="11"/>
        <v>0.39087796489528459</v>
      </c>
      <c r="C715" s="2" t="s">
        <v>226</v>
      </c>
    </row>
    <row r="716" spans="1:3" x14ac:dyDescent="0.2">
      <c r="A716" s="2">
        <v>714</v>
      </c>
      <c r="B716" s="2">
        <f t="shared" ca="1" si="11"/>
        <v>0.75513228524971077</v>
      </c>
      <c r="C716" s="2" t="s">
        <v>226</v>
      </c>
    </row>
    <row r="717" spans="1:3" x14ac:dyDescent="0.2">
      <c r="A717" s="2">
        <v>715</v>
      </c>
      <c r="B717" s="2">
        <f t="shared" ca="1" si="11"/>
        <v>0.57755031557737135</v>
      </c>
      <c r="C717" s="2" t="s">
        <v>226</v>
      </c>
    </row>
    <row r="718" spans="1:3" x14ac:dyDescent="0.2">
      <c r="A718" s="2">
        <v>716</v>
      </c>
      <c r="B718" s="2">
        <f t="shared" ca="1" si="11"/>
        <v>0.73963869961095241</v>
      </c>
      <c r="C718" s="2" t="s">
        <v>227</v>
      </c>
    </row>
    <row r="719" spans="1:3" x14ac:dyDescent="0.2">
      <c r="A719" s="2">
        <v>717</v>
      </c>
      <c r="B719" s="2">
        <f t="shared" ca="1" si="11"/>
        <v>0.58088178987499395</v>
      </c>
      <c r="C719" s="2" t="s">
        <v>226</v>
      </c>
    </row>
    <row r="720" spans="1:3" x14ac:dyDescent="0.2">
      <c r="A720" s="2">
        <v>718</v>
      </c>
      <c r="B720" s="2">
        <f t="shared" ca="1" si="11"/>
        <v>0.78872680558911146</v>
      </c>
      <c r="C720" s="2" t="s">
        <v>226</v>
      </c>
    </row>
    <row r="721" spans="1:3" x14ac:dyDescent="0.2">
      <c r="A721" s="2">
        <v>719</v>
      </c>
      <c r="B721" s="2">
        <f t="shared" ca="1" si="11"/>
        <v>0.72817867336930076</v>
      </c>
      <c r="C721" s="2" t="s">
        <v>226</v>
      </c>
    </row>
    <row r="722" spans="1:3" x14ac:dyDescent="0.2">
      <c r="A722" s="2">
        <v>720</v>
      </c>
      <c r="B722" s="2">
        <f t="shared" ca="1" si="11"/>
        <v>0.68773382704570452</v>
      </c>
      <c r="C722" s="2" t="s">
        <v>226</v>
      </c>
    </row>
    <row r="723" spans="1:3" x14ac:dyDescent="0.2">
      <c r="A723" s="2">
        <v>721</v>
      </c>
      <c r="B723" s="2">
        <f t="shared" ca="1" si="11"/>
        <v>0.77709638728725405</v>
      </c>
      <c r="C723" s="2" t="s">
        <v>227</v>
      </c>
    </row>
    <row r="724" spans="1:3" x14ac:dyDescent="0.2">
      <c r="A724" s="2">
        <v>722</v>
      </c>
      <c r="B724" s="2">
        <f t="shared" ca="1" si="11"/>
        <v>0.9241314666270799</v>
      </c>
      <c r="C724" s="2" t="s">
        <v>226</v>
      </c>
    </row>
    <row r="725" spans="1:3" x14ac:dyDescent="0.2">
      <c r="A725" s="2">
        <v>723</v>
      </c>
      <c r="B725" s="2">
        <f t="shared" ca="1" si="11"/>
        <v>0.74653793726145212</v>
      </c>
      <c r="C725" s="2" t="s">
        <v>227</v>
      </c>
    </row>
    <row r="726" spans="1:3" x14ac:dyDescent="0.2">
      <c r="A726" s="2">
        <v>724</v>
      </c>
      <c r="B726" s="2">
        <f t="shared" ca="1" si="11"/>
        <v>0.82979220306454171</v>
      </c>
      <c r="C726" s="2" t="s">
        <v>227</v>
      </c>
    </row>
    <row r="727" spans="1:3" x14ac:dyDescent="0.2">
      <c r="A727" s="2">
        <v>725</v>
      </c>
      <c r="B727" s="2">
        <f t="shared" ca="1" si="11"/>
        <v>0.72590027272833157</v>
      </c>
      <c r="C727" s="2" t="s">
        <v>226</v>
      </c>
    </row>
    <row r="728" spans="1:3" x14ac:dyDescent="0.2">
      <c r="A728" s="2">
        <v>726</v>
      </c>
      <c r="B728" s="2">
        <f t="shared" ca="1" si="11"/>
        <v>0.64460218493285104</v>
      </c>
      <c r="C728" s="2" t="s">
        <v>226</v>
      </c>
    </row>
    <row r="729" spans="1:3" x14ac:dyDescent="0.2">
      <c r="A729" s="2">
        <v>727</v>
      </c>
      <c r="B729" s="2">
        <f t="shared" ca="1" si="11"/>
        <v>0.4984567910283324</v>
      </c>
      <c r="C729" s="2" t="s">
        <v>227</v>
      </c>
    </row>
    <row r="730" spans="1:3" x14ac:dyDescent="0.2">
      <c r="A730" s="2">
        <v>728</v>
      </c>
      <c r="B730" s="2">
        <f t="shared" ca="1" si="11"/>
        <v>0.56278884323276634</v>
      </c>
      <c r="C730" s="2" t="s">
        <v>226</v>
      </c>
    </row>
    <row r="731" spans="1:3" x14ac:dyDescent="0.2">
      <c r="A731" s="2">
        <v>729</v>
      </c>
      <c r="B731" s="2">
        <f t="shared" ca="1" si="11"/>
        <v>0.85771270851619319</v>
      </c>
      <c r="C731" s="2" t="s">
        <v>227</v>
      </c>
    </row>
    <row r="732" spans="1:3" x14ac:dyDescent="0.2">
      <c r="A732" s="2">
        <v>730</v>
      </c>
      <c r="B732" s="2">
        <f t="shared" ca="1" si="11"/>
        <v>0.73973338122572996</v>
      </c>
      <c r="C732" s="2" t="s">
        <v>227</v>
      </c>
    </row>
    <row r="733" spans="1:3" x14ac:dyDescent="0.2">
      <c r="A733" s="2">
        <v>731</v>
      </c>
      <c r="B733" s="2">
        <f t="shared" ca="1" si="11"/>
        <v>0.70700294041214262</v>
      </c>
      <c r="C733" s="2" t="s">
        <v>227</v>
      </c>
    </row>
    <row r="734" spans="1:3" x14ac:dyDescent="0.2">
      <c r="A734" s="2">
        <v>732</v>
      </c>
      <c r="B734" s="2">
        <f t="shared" ca="1" si="11"/>
        <v>0.59776133166667744</v>
      </c>
      <c r="C734" s="2" t="s">
        <v>226</v>
      </c>
    </row>
    <row r="735" spans="1:3" x14ac:dyDescent="0.2">
      <c r="A735" s="2">
        <v>733</v>
      </c>
      <c r="B735" s="2">
        <f t="shared" ca="1" si="11"/>
        <v>0.50687015949290315</v>
      </c>
      <c r="C735" s="2" t="s">
        <v>226</v>
      </c>
    </row>
    <row r="736" spans="1:3" x14ac:dyDescent="0.2">
      <c r="A736" s="2">
        <v>734</v>
      </c>
      <c r="B736" s="2">
        <f t="shared" ca="1" si="11"/>
        <v>0.53053868887904332</v>
      </c>
      <c r="C736" s="2" t="s">
        <v>226</v>
      </c>
    </row>
    <row r="737" spans="1:3" x14ac:dyDescent="0.2">
      <c r="A737" s="2">
        <v>735</v>
      </c>
      <c r="B737" s="2">
        <f t="shared" ca="1" si="11"/>
        <v>0.61549006042265275</v>
      </c>
      <c r="C737" s="2" t="s">
        <v>227</v>
      </c>
    </row>
    <row r="738" spans="1:3" x14ac:dyDescent="0.2">
      <c r="A738" s="2">
        <v>736</v>
      </c>
      <c r="B738" s="2">
        <f t="shared" ca="1" si="11"/>
        <v>0.86745325872032863</v>
      </c>
      <c r="C738" s="2" t="s">
        <v>227</v>
      </c>
    </row>
    <row r="739" spans="1:3" x14ac:dyDescent="0.2">
      <c r="A739" s="2">
        <v>737</v>
      </c>
      <c r="B739" s="2">
        <f t="shared" ca="1" si="11"/>
        <v>0.52085595847080401</v>
      </c>
      <c r="C739" s="2" t="s">
        <v>226</v>
      </c>
    </row>
    <row r="740" spans="1:3" x14ac:dyDescent="0.2">
      <c r="A740" s="2">
        <v>738</v>
      </c>
      <c r="B740" s="2">
        <f t="shared" ca="1" si="11"/>
        <v>0.74694497538950766</v>
      </c>
      <c r="C740" s="2" t="s">
        <v>226</v>
      </c>
    </row>
    <row r="741" spans="1:3" x14ac:dyDescent="0.2">
      <c r="A741" s="2">
        <v>739</v>
      </c>
      <c r="B741" s="2">
        <f t="shared" ca="1" si="11"/>
        <v>0.6249903159412673</v>
      </c>
      <c r="C741" s="2" t="s">
        <v>227</v>
      </c>
    </row>
    <row r="742" spans="1:3" x14ac:dyDescent="0.2">
      <c r="A742" s="2">
        <v>740</v>
      </c>
      <c r="B742" s="2">
        <f t="shared" ca="1" si="11"/>
        <v>0.71700515568943335</v>
      </c>
      <c r="C742" s="2" t="s">
        <v>226</v>
      </c>
    </row>
    <row r="743" spans="1:3" x14ac:dyDescent="0.2">
      <c r="A743" s="2">
        <v>741</v>
      </c>
      <c r="B743" s="2">
        <f t="shared" ca="1" si="11"/>
        <v>0.84210142692218815</v>
      </c>
      <c r="C743" s="2" t="s">
        <v>226</v>
      </c>
    </row>
    <row r="744" spans="1:3" x14ac:dyDescent="0.2">
      <c r="A744" s="2">
        <v>742</v>
      </c>
      <c r="B744" s="2">
        <f t="shared" ca="1" si="11"/>
        <v>0.65135955874354923</v>
      </c>
      <c r="C744" s="2" t="s">
        <v>226</v>
      </c>
    </row>
    <row r="745" spans="1:3" x14ac:dyDescent="0.2">
      <c r="A745" s="2">
        <v>743</v>
      </c>
      <c r="B745" s="2">
        <f t="shared" ca="1" si="11"/>
        <v>0.5800880453717403</v>
      </c>
      <c r="C745" s="2" t="s">
        <v>226</v>
      </c>
    </row>
    <row r="746" spans="1:3" x14ac:dyDescent="0.2">
      <c r="A746" s="2">
        <v>744</v>
      </c>
      <c r="B746" s="2">
        <f t="shared" ca="1" si="11"/>
        <v>0.63796260437575458</v>
      </c>
      <c r="C746" s="2" t="s">
        <v>226</v>
      </c>
    </row>
    <row r="747" spans="1:3" x14ac:dyDescent="0.2">
      <c r="A747" s="2">
        <v>745</v>
      </c>
      <c r="B747" s="2">
        <f t="shared" ca="1" si="11"/>
        <v>0.24862198243076239</v>
      </c>
      <c r="C747" s="2" t="s">
        <v>226</v>
      </c>
    </row>
    <row r="748" spans="1:3" x14ac:dyDescent="0.2">
      <c r="A748" s="2">
        <v>746</v>
      </c>
      <c r="B748" s="2">
        <f t="shared" ca="1" si="11"/>
        <v>0.73880233412717988</v>
      </c>
      <c r="C748" s="2" t="s">
        <v>227</v>
      </c>
    </row>
    <row r="749" spans="1:3" x14ac:dyDescent="0.2">
      <c r="A749" s="2">
        <v>747</v>
      </c>
      <c r="B749" s="2">
        <f t="shared" ca="1" si="11"/>
        <v>0.77168039904775065</v>
      </c>
      <c r="C749" s="2" t="s">
        <v>227</v>
      </c>
    </row>
    <row r="750" spans="1:3" x14ac:dyDescent="0.2">
      <c r="A750" s="2">
        <v>748</v>
      </c>
      <c r="B750" s="2">
        <f t="shared" ca="1" si="11"/>
        <v>0.43512366274730174</v>
      </c>
      <c r="C750" s="2" t="s">
        <v>226</v>
      </c>
    </row>
    <row r="751" spans="1:3" x14ac:dyDescent="0.2">
      <c r="A751" s="2">
        <v>749</v>
      </c>
      <c r="B751" s="2">
        <f t="shared" ca="1" si="11"/>
        <v>0.92284833605781258</v>
      </c>
      <c r="C751" s="2" t="s">
        <v>227</v>
      </c>
    </row>
    <row r="752" spans="1:3" x14ac:dyDescent="0.2">
      <c r="A752" s="2">
        <v>750</v>
      </c>
      <c r="B752" s="2">
        <f t="shared" ca="1" si="11"/>
        <v>0.74156801278735907</v>
      </c>
      <c r="C752" s="2" t="s">
        <v>226</v>
      </c>
    </row>
    <row r="753" spans="1:3" x14ac:dyDescent="0.2">
      <c r="A753" s="2">
        <v>751</v>
      </c>
      <c r="B753" s="2">
        <f t="shared" ca="1" si="11"/>
        <v>0.6319000389793008</v>
      </c>
      <c r="C753" s="2" t="s">
        <v>227</v>
      </c>
    </row>
    <row r="754" spans="1:3" x14ac:dyDescent="0.2">
      <c r="A754" s="2">
        <v>752</v>
      </c>
      <c r="B754" s="2">
        <f t="shared" ca="1" si="11"/>
        <v>0.92108793402931766</v>
      </c>
      <c r="C754" s="2" t="s">
        <v>227</v>
      </c>
    </row>
    <row r="755" spans="1:3" x14ac:dyDescent="0.2">
      <c r="A755" s="2">
        <v>753</v>
      </c>
      <c r="B755" s="2">
        <f t="shared" ca="1" si="11"/>
        <v>0.64948036071850335</v>
      </c>
      <c r="C755" s="2" t="s">
        <v>227</v>
      </c>
    </row>
    <row r="756" spans="1:3" x14ac:dyDescent="0.2">
      <c r="A756" s="2">
        <v>754</v>
      </c>
      <c r="B756" s="2">
        <f t="shared" ca="1" si="11"/>
        <v>0.71958580557628471</v>
      </c>
      <c r="C756" s="2" t="s">
        <v>227</v>
      </c>
    </row>
    <row r="757" spans="1:3" x14ac:dyDescent="0.2">
      <c r="A757" s="2">
        <v>755</v>
      </c>
      <c r="B757" s="2">
        <f t="shared" ca="1" si="11"/>
        <v>0.62956262307008126</v>
      </c>
      <c r="C757" s="2" t="s">
        <v>226</v>
      </c>
    </row>
    <row r="758" spans="1:3" x14ac:dyDescent="0.2">
      <c r="A758" s="2">
        <v>756</v>
      </c>
      <c r="B758" s="2">
        <f t="shared" ca="1" si="11"/>
        <v>0.78775266643402242</v>
      </c>
      <c r="C758" s="2" t="s">
        <v>227</v>
      </c>
    </row>
    <row r="759" spans="1:3" x14ac:dyDescent="0.2">
      <c r="A759" s="2">
        <v>757</v>
      </c>
      <c r="B759" s="2">
        <f t="shared" ca="1" si="11"/>
        <v>0.71518703839992248</v>
      </c>
      <c r="C759" s="2" t="s">
        <v>227</v>
      </c>
    </row>
    <row r="760" spans="1:3" x14ac:dyDescent="0.2">
      <c r="A760" s="2">
        <v>758</v>
      </c>
      <c r="B760" s="2">
        <f t="shared" ca="1" si="11"/>
        <v>0.62062344987512752</v>
      </c>
      <c r="C760" s="2" t="s">
        <v>227</v>
      </c>
    </row>
    <row r="761" spans="1:3" x14ac:dyDescent="0.2">
      <c r="A761" s="2">
        <v>759</v>
      </c>
      <c r="B761" s="2">
        <f t="shared" ca="1" si="11"/>
        <v>0.47131490911158175</v>
      </c>
      <c r="C761" s="2" t="s">
        <v>226</v>
      </c>
    </row>
    <row r="762" spans="1:3" x14ac:dyDescent="0.2">
      <c r="A762" s="2">
        <v>760</v>
      </c>
      <c r="B762" s="2">
        <f t="shared" ca="1" si="11"/>
        <v>0.82690771131130003</v>
      </c>
      <c r="C762" s="2" t="s">
        <v>227</v>
      </c>
    </row>
    <row r="763" spans="1:3" x14ac:dyDescent="0.2">
      <c r="A763" s="2">
        <v>761</v>
      </c>
      <c r="B763" s="2">
        <f t="shared" ca="1" si="11"/>
        <v>0.50686334931362531</v>
      </c>
      <c r="C763" s="2" t="s">
        <v>226</v>
      </c>
    </row>
    <row r="764" spans="1:3" x14ac:dyDescent="0.2">
      <c r="A764" s="2">
        <v>762</v>
      </c>
      <c r="B764" s="2">
        <f t="shared" ca="1" si="11"/>
        <v>0.67164064102451027</v>
      </c>
      <c r="C764" s="2" t="s">
        <v>226</v>
      </c>
    </row>
    <row r="765" spans="1:3" x14ac:dyDescent="0.2">
      <c r="A765" s="2">
        <v>763</v>
      </c>
      <c r="B765" s="2">
        <f t="shared" ca="1" si="11"/>
        <v>0.84638204483702761</v>
      </c>
      <c r="C765" s="2" t="s">
        <v>226</v>
      </c>
    </row>
    <row r="766" spans="1:3" x14ac:dyDescent="0.2">
      <c r="A766" s="2">
        <v>764</v>
      </c>
      <c r="B766" s="2">
        <f t="shared" ca="1" si="11"/>
        <v>0.74207866431061453</v>
      </c>
      <c r="C766" s="2" t="s">
        <v>226</v>
      </c>
    </row>
    <row r="767" spans="1:3" x14ac:dyDescent="0.2">
      <c r="A767" s="2">
        <v>765</v>
      </c>
      <c r="B767" s="2">
        <f t="shared" ca="1" si="11"/>
        <v>0.60821260090414098</v>
      </c>
      <c r="C767" s="2" t="s">
        <v>226</v>
      </c>
    </row>
    <row r="768" spans="1:3" x14ac:dyDescent="0.2">
      <c r="A768" s="2">
        <v>766</v>
      </c>
      <c r="B768" s="2">
        <f t="shared" ca="1" si="11"/>
        <v>0.84094404901272601</v>
      </c>
      <c r="C768" s="2" t="s">
        <v>226</v>
      </c>
    </row>
    <row r="769" spans="1:3" x14ac:dyDescent="0.2">
      <c r="A769" s="2">
        <v>767</v>
      </c>
      <c r="B769" s="2">
        <f t="shared" ca="1" si="11"/>
        <v>0.84941675475170098</v>
      </c>
      <c r="C769" s="2" t="s">
        <v>227</v>
      </c>
    </row>
    <row r="770" spans="1:3" x14ac:dyDescent="0.2">
      <c r="A770" s="2">
        <v>768</v>
      </c>
      <c r="B770" s="2">
        <f t="shared" ca="1" si="11"/>
        <v>0.70427933718905844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0.73692370095484061</v>
      </c>
      <c r="C771" s="2" t="s">
        <v>226</v>
      </c>
    </row>
    <row r="772" spans="1:3" x14ac:dyDescent="0.2">
      <c r="A772" s="2">
        <v>770</v>
      </c>
      <c r="B772" s="2">
        <f t="shared" ca="1" si="12"/>
        <v>0.79842647664116906</v>
      </c>
      <c r="C772" s="2" t="s">
        <v>227</v>
      </c>
    </row>
    <row r="773" spans="1:3" x14ac:dyDescent="0.2">
      <c r="A773" s="2">
        <v>771</v>
      </c>
      <c r="B773" s="2">
        <f t="shared" ca="1" si="12"/>
        <v>0.83864210022244889</v>
      </c>
      <c r="C773" s="2" t="s">
        <v>226</v>
      </c>
    </row>
    <row r="774" spans="1:3" x14ac:dyDescent="0.2">
      <c r="A774" s="2">
        <v>772</v>
      </c>
      <c r="B774" s="2">
        <f t="shared" ca="1" si="12"/>
        <v>0.72953250859975172</v>
      </c>
      <c r="C774" s="2" t="s">
        <v>226</v>
      </c>
    </row>
    <row r="775" spans="1:3" x14ac:dyDescent="0.2">
      <c r="A775" s="2">
        <v>773</v>
      </c>
      <c r="B775" s="2">
        <f t="shared" ca="1" si="12"/>
        <v>0.68408591751349124</v>
      </c>
      <c r="C775" s="2" t="s">
        <v>226</v>
      </c>
    </row>
    <row r="776" spans="1:3" x14ac:dyDescent="0.2">
      <c r="A776" s="2">
        <v>774</v>
      </c>
      <c r="B776" s="2">
        <f t="shared" ca="1" si="12"/>
        <v>0.56441165375878122</v>
      </c>
      <c r="C776" s="2" t="s">
        <v>226</v>
      </c>
    </row>
    <row r="777" spans="1:3" x14ac:dyDescent="0.2">
      <c r="A777" s="2">
        <v>775</v>
      </c>
      <c r="B777" s="2">
        <f t="shared" ca="1" si="12"/>
        <v>0.76837025286594751</v>
      </c>
      <c r="C777" s="2" t="s">
        <v>227</v>
      </c>
    </row>
    <row r="778" spans="1:3" x14ac:dyDescent="0.2">
      <c r="A778" s="2">
        <v>776</v>
      </c>
      <c r="B778" s="2">
        <f t="shared" ca="1" si="12"/>
        <v>0.46786419422068809</v>
      </c>
      <c r="C778" s="2" t="s">
        <v>226</v>
      </c>
    </row>
    <row r="779" spans="1:3" x14ac:dyDescent="0.2">
      <c r="A779" s="2">
        <v>777</v>
      </c>
      <c r="B779" s="2">
        <f t="shared" ca="1" si="12"/>
        <v>0.68539508333882471</v>
      </c>
      <c r="C779" s="2" t="s">
        <v>227</v>
      </c>
    </row>
    <row r="780" spans="1:3" x14ac:dyDescent="0.2">
      <c r="A780" s="2">
        <v>778</v>
      </c>
      <c r="B780" s="2">
        <f t="shared" ca="1" si="12"/>
        <v>0.74479963014700534</v>
      </c>
      <c r="C780" s="2" t="s">
        <v>227</v>
      </c>
    </row>
    <row r="781" spans="1:3" x14ac:dyDescent="0.2">
      <c r="A781" s="2">
        <v>779</v>
      </c>
      <c r="B781" s="2">
        <f t="shared" ca="1" si="12"/>
        <v>0.67070038093800888</v>
      </c>
      <c r="C781" s="2" t="s">
        <v>227</v>
      </c>
    </row>
    <row r="782" spans="1:3" x14ac:dyDescent="0.2">
      <c r="A782" s="2">
        <v>780</v>
      </c>
      <c r="B782" s="2">
        <f t="shared" ca="1" si="12"/>
        <v>0.75057797194124309</v>
      </c>
      <c r="C782" s="2" t="s">
        <v>227</v>
      </c>
    </row>
    <row r="783" spans="1:3" x14ac:dyDescent="0.2">
      <c r="A783" s="2">
        <v>781</v>
      </c>
      <c r="B783" s="2">
        <f t="shared" ca="1" si="12"/>
        <v>0.56571745502962378</v>
      </c>
      <c r="C783" s="2" t="s">
        <v>227</v>
      </c>
    </row>
    <row r="784" spans="1:3" x14ac:dyDescent="0.2">
      <c r="A784" s="2">
        <v>782</v>
      </c>
      <c r="B784" s="2">
        <f t="shared" ca="1" si="12"/>
        <v>0.73008278211795619</v>
      </c>
      <c r="C784" s="2" t="s">
        <v>227</v>
      </c>
    </row>
    <row r="785" spans="1:3" x14ac:dyDescent="0.2">
      <c r="A785" s="2">
        <v>783</v>
      </c>
      <c r="B785" s="2">
        <f t="shared" ca="1" si="12"/>
        <v>0.51828149512999566</v>
      </c>
      <c r="C785" s="2" t="s">
        <v>227</v>
      </c>
    </row>
    <row r="786" spans="1:3" x14ac:dyDescent="0.2">
      <c r="A786" s="2">
        <v>784</v>
      </c>
      <c r="B786" s="2">
        <f t="shared" ca="1" si="12"/>
        <v>0.58251136412652493</v>
      </c>
      <c r="C786" s="2" t="s">
        <v>226</v>
      </c>
    </row>
    <row r="787" spans="1:3" x14ac:dyDescent="0.2">
      <c r="A787" s="2">
        <v>785</v>
      </c>
      <c r="B787" s="2">
        <f t="shared" ca="1" si="12"/>
        <v>0.28709409233168209</v>
      </c>
      <c r="C787" s="2" t="s">
        <v>226</v>
      </c>
    </row>
    <row r="788" spans="1:3" x14ac:dyDescent="0.2">
      <c r="A788" s="2">
        <v>786</v>
      </c>
      <c r="B788" s="2">
        <f t="shared" ca="1" si="12"/>
        <v>0.49349633701563944</v>
      </c>
      <c r="C788" s="2" t="s">
        <v>226</v>
      </c>
    </row>
    <row r="789" spans="1:3" x14ac:dyDescent="0.2">
      <c r="A789" s="2">
        <v>787</v>
      </c>
      <c r="B789" s="2">
        <f t="shared" ca="1" si="12"/>
        <v>0.68755239408007252</v>
      </c>
      <c r="C789" s="2" t="s">
        <v>227</v>
      </c>
    </row>
    <row r="790" spans="1:3" x14ac:dyDescent="0.2">
      <c r="A790" s="2">
        <v>788</v>
      </c>
      <c r="B790" s="2">
        <f t="shared" ca="1" si="12"/>
        <v>0.83247117493992373</v>
      </c>
      <c r="C790" s="2" t="s">
        <v>226</v>
      </c>
    </row>
    <row r="791" spans="1:3" x14ac:dyDescent="0.2">
      <c r="A791" s="2">
        <v>789</v>
      </c>
      <c r="B791" s="2">
        <f t="shared" ca="1" si="12"/>
        <v>0.56520547599934368</v>
      </c>
      <c r="C791" s="2" t="s">
        <v>227</v>
      </c>
    </row>
    <row r="792" spans="1:3" x14ac:dyDescent="0.2">
      <c r="A792" s="2">
        <v>790</v>
      </c>
      <c r="B792" s="2">
        <f t="shared" ca="1" si="12"/>
        <v>0.52386510403602349</v>
      </c>
      <c r="C792" s="2" t="s">
        <v>227</v>
      </c>
    </row>
    <row r="793" spans="1:3" x14ac:dyDescent="0.2">
      <c r="A793" s="2">
        <v>791</v>
      </c>
      <c r="B793" s="2">
        <f t="shared" ca="1" si="12"/>
        <v>0.74235290475258386</v>
      </c>
      <c r="C793" s="2" t="s">
        <v>226</v>
      </c>
    </row>
    <row r="794" spans="1:3" x14ac:dyDescent="0.2">
      <c r="A794" s="2">
        <v>792</v>
      </c>
      <c r="B794" s="2">
        <f t="shared" ca="1" si="12"/>
        <v>0.49955368218468837</v>
      </c>
      <c r="C794" s="2" t="s">
        <v>226</v>
      </c>
    </row>
    <row r="795" spans="1:3" x14ac:dyDescent="0.2">
      <c r="A795" s="2">
        <v>793</v>
      </c>
      <c r="B795" s="2">
        <f t="shared" ca="1" si="12"/>
        <v>0.74038861436830627</v>
      </c>
      <c r="C795" s="2" t="s">
        <v>227</v>
      </c>
    </row>
    <row r="796" spans="1:3" x14ac:dyDescent="0.2">
      <c r="A796" s="2">
        <v>794</v>
      </c>
      <c r="B796" s="2">
        <f t="shared" ca="1" si="12"/>
        <v>0.55196336927965561</v>
      </c>
      <c r="C796" s="2" t="s">
        <v>226</v>
      </c>
    </row>
    <row r="797" spans="1:3" x14ac:dyDescent="0.2">
      <c r="A797" s="2">
        <v>795</v>
      </c>
      <c r="B797" s="2">
        <f t="shared" ca="1" si="12"/>
        <v>0.51980656378972001</v>
      </c>
      <c r="C797" s="2" t="s">
        <v>226</v>
      </c>
    </row>
    <row r="798" spans="1:3" x14ac:dyDescent="0.2">
      <c r="A798" s="2">
        <v>796</v>
      </c>
      <c r="B798" s="2">
        <f t="shared" ca="1" si="12"/>
        <v>0.52639757583338131</v>
      </c>
      <c r="C798" s="2" t="s">
        <v>226</v>
      </c>
    </row>
    <row r="799" spans="1:3" x14ac:dyDescent="0.2">
      <c r="A799" s="2">
        <v>797</v>
      </c>
      <c r="B799" s="2">
        <f t="shared" ca="1" si="12"/>
        <v>0.79127862706914931</v>
      </c>
      <c r="C799" s="2" t="s">
        <v>226</v>
      </c>
    </row>
    <row r="800" spans="1:3" x14ac:dyDescent="0.2">
      <c r="A800" s="2">
        <v>798</v>
      </c>
      <c r="B800" s="2">
        <f t="shared" ca="1" si="12"/>
        <v>0.55782978923202209</v>
      </c>
      <c r="C800" s="2" t="s">
        <v>227</v>
      </c>
    </row>
    <row r="801" spans="1:3" x14ac:dyDescent="0.2">
      <c r="A801" s="2">
        <v>799</v>
      </c>
      <c r="B801" s="2">
        <f t="shared" ca="1" si="12"/>
        <v>0.70692307740064708</v>
      </c>
      <c r="C801" s="2" t="s">
        <v>226</v>
      </c>
    </row>
    <row r="802" spans="1:3" x14ac:dyDescent="0.2">
      <c r="A802" s="2">
        <v>800</v>
      </c>
      <c r="B802" s="2">
        <f t="shared" ca="1" si="12"/>
        <v>0.46545970474767495</v>
      </c>
      <c r="C802" s="2" t="s">
        <v>226</v>
      </c>
    </row>
    <row r="803" spans="1:3" x14ac:dyDescent="0.2">
      <c r="A803" s="2">
        <v>801</v>
      </c>
      <c r="B803" s="2">
        <f t="shared" ca="1" si="12"/>
        <v>0.63737921334135805</v>
      </c>
      <c r="C803" s="2" t="s">
        <v>226</v>
      </c>
    </row>
    <row r="804" spans="1:3" x14ac:dyDescent="0.2">
      <c r="A804" s="2">
        <v>802</v>
      </c>
      <c r="B804" s="2">
        <f t="shared" ca="1" si="12"/>
        <v>0.56822889221809858</v>
      </c>
      <c r="C804" s="2" t="s">
        <v>226</v>
      </c>
    </row>
    <row r="805" spans="1:3" x14ac:dyDescent="0.2">
      <c r="A805" s="2">
        <v>803</v>
      </c>
      <c r="B805" s="2">
        <f t="shared" ca="1" si="12"/>
        <v>0.68224428308413398</v>
      </c>
      <c r="C805" s="2" t="s">
        <v>227</v>
      </c>
    </row>
    <row r="806" spans="1:3" x14ac:dyDescent="0.2">
      <c r="A806" s="2">
        <v>804</v>
      </c>
      <c r="B806" s="2">
        <f t="shared" ca="1" si="12"/>
        <v>0.36636961466089735</v>
      </c>
      <c r="C806" s="2" t="s">
        <v>226</v>
      </c>
    </row>
    <row r="807" spans="1:3" x14ac:dyDescent="0.2">
      <c r="A807" s="2">
        <v>805</v>
      </c>
      <c r="B807" s="2">
        <f t="shared" ca="1" si="12"/>
        <v>0.60846319679693406</v>
      </c>
      <c r="C807" s="2" t="s">
        <v>227</v>
      </c>
    </row>
    <row r="808" spans="1:3" x14ac:dyDescent="0.2">
      <c r="A808" s="2">
        <v>806</v>
      </c>
      <c r="B808" s="2">
        <f t="shared" ca="1" si="12"/>
        <v>0.62545176131284608</v>
      </c>
      <c r="C808" s="2" t="s">
        <v>226</v>
      </c>
    </row>
    <row r="809" spans="1:3" x14ac:dyDescent="0.2">
      <c r="A809" s="2">
        <v>807</v>
      </c>
      <c r="B809" s="2">
        <f t="shared" ca="1" si="12"/>
        <v>0.62827475592357107</v>
      </c>
      <c r="C809" s="2" t="s">
        <v>227</v>
      </c>
    </row>
    <row r="810" spans="1:3" x14ac:dyDescent="0.2">
      <c r="A810" s="2">
        <v>808</v>
      </c>
      <c r="B810" s="2">
        <f t="shared" ca="1" si="12"/>
        <v>0.63987136499135833</v>
      </c>
      <c r="C810" s="2" t="s">
        <v>227</v>
      </c>
    </row>
    <row r="811" spans="1:3" x14ac:dyDescent="0.2">
      <c r="A811" s="2">
        <v>809</v>
      </c>
      <c r="B811" s="2">
        <f t="shared" ca="1" si="12"/>
        <v>0.5689135443846487</v>
      </c>
      <c r="C811" s="2" t="s">
        <v>227</v>
      </c>
    </row>
    <row r="812" spans="1:3" x14ac:dyDescent="0.2">
      <c r="A812" s="2">
        <v>810</v>
      </c>
      <c r="B812" s="2">
        <f t="shared" ca="1" si="12"/>
        <v>0.63437522641945798</v>
      </c>
      <c r="C812" s="2" t="s">
        <v>227</v>
      </c>
    </row>
    <row r="813" spans="1:3" x14ac:dyDescent="0.2">
      <c r="A813" s="2">
        <v>811</v>
      </c>
      <c r="B813" s="2">
        <f t="shared" ca="1" si="12"/>
        <v>0.48510083822915867</v>
      </c>
      <c r="C813" s="2" t="s">
        <v>226</v>
      </c>
    </row>
    <row r="814" spans="1:3" x14ac:dyDescent="0.2">
      <c r="A814" s="2">
        <v>812</v>
      </c>
      <c r="B814" s="2">
        <f t="shared" ca="1" si="12"/>
        <v>0.64666079094567919</v>
      </c>
      <c r="C814" s="2" t="s">
        <v>227</v>
      </c>
    </row>
    <row r="815" spans="1:3" x14ac:dyDescent="0.2">
      <c r="A815" s="2">
        <v>813</v>
      </c>
      <c r="B815" s="2">
        <f t="shared" ca="1" si="12"/>
        <v>0.66206110683043917</v>
      </c>
      <c r="C815" s="2" t="s">
        <v>227</v>
      </c>
    </row>
    <row r="816" spans="1:3" x14ac:dyDescent="0.2">
      <c r="A816" s="2">
        <v>814</v>
      </c>
      <c r="B816" s="2">
        <f t="shared" ca="1" si="12"/>
        <v>0.56272642416787366</v>
      </c>
      <c r="C816" s="2" t="s">
        <v>226</v>
      </c>
    </row>
    <row r="817" spans="1:3" x14ac:dyDescent="0.2">
      <c r="A817" s="2">
        <v>815</v>
      </c>
      <c r="B817" s="2">
        <f t="shared" ca="1" si="12"/>
        <v>0.35385377865291806</v>
      </c>
      <c r="C817" s="2" t="s">
        <v>226</v>
      </c>
    </row>
    <row r="818" spans="1:3" x14ac:dyDescent="0.2">
      <c r="A818" s="2">
        <v>816</v>
      </c>
      <c r="B818" s="2">
        <f t="shared" ca="1" si="12"/>
        <v>0.52237258866310354</v>
      </c>
      <c r="C818" s="2" t="s">
        <v>226</v>
      </c>
    </row>
    <row r="819" spans="1:3" x14ac:dyDescent="0.2">
      <c r="A819" s="2">
        <v>817</v>
      </c>
      <c r="B819" s="2">
        <f t="shared" ca="1" si="12"/>
        <v>0.60330746090166876</v>
      </c>
      <c r="C819" s="2" t="s">
        <v>226</v>
      </c>
    </row>
    <row r="820" spans="1:3" x14ac:dyDescent="0.2">
      <c r="A820" s="2">
        <v>818</v>
      </c>
      <c r="B820" s="2">
        <f t="shared" ca="1" si="12"/>
        <v>0.65861972513791744</v>
      </c>
      <c r="C820" s="2" t="s">
        <v>226</v>
      </c>
    </row>
    <row r="821" spans="1:3" x14ac:dyDescent="0.2">
      <c r="A821" s="2">
        <v>819</v>
      </c>
      <c r="B821" s="2">
        <f t="shared" ca="1" si="12"/>
        <v>0.6449964588341639</v>
      </c>
      <c r="C821" s="2" t="s">
        <v>226</v>
      </c>
    </row>
    <row r="822" spans="1:3" x14ac:dyDescent="0.2">
      <c r="A822" s="2">
        <v>820</v>
      </c>
      <c r="B822" s="2">
        <f t="shared" ca="1" si="12"/>
        <v>0.63945470294110673</v>
      </c>
      <c r="C822" s="2" t="s">
        <v>226</v>
      </c>
    </row>
    <row r="823" spans="1:3" x14ac:dyDescent="0.2">
      <c r="A823" s="2">
        <v>821</v>
      </c>
      <c r="B823" s="2">
        <f t="shared" ca="1" si="12"/>
        <v>0.86288671987609655</v>
      </c>
      <c r="C823" s="2" t="s">
        <v>227</v>
      </c>
    </row>
    <row r="824" spans="1:3" x14ac:dyDescent="0.2">
      <c r="A824" s="2">
        <v>822</v>
      </c>
      <c r="B824" s="2">
        <f t="shared" ca="1" si="12"/>
        <v>0.54637098218250313</v>
      </c>
      <c r="C824" s="2" t="s">
        <v>226</v>
      </c>
    </row>
    <row r="825" spans="1:3" x14ac:dyDescent="0.2">
      <c r="A825" s="2">
        <v>823</v>
      </c>
      <c r="B825" s="2">
        <f t="shared" ca="1" si="12"/>
        <v>0.87495307649145959</v>
      </c>
      <c r="C825" s="2" t="s">
        <v>227</v>
      </c>
    </row>
    <row r="826" spans="1:3" x14ac:dyDescent="0.2">
      <c r="A826" s="2">
        <v>824</v>
      </c>
      <c r="B826" s="2">
        <f t="shared" ca="1" si="12"/>
        <v>0.58693746526284074</v>
      </c>
      <c r="C826" s="2" t="s">
        <v>227</v>
      </c>
    </row>
    <row r="827" spans="1:3" x14ac:dyDescent="0.2">
      <c r="A827" s="2">
        <v>825</v>
      </c>
      <c r="B827" s="2">
        <f t="shared" ca="1" si="12"/>
        <v>0.74245206946185105</v>
      </c>
      <c r="C827" s="2" t="s">
        <v>227</v>
      </c>
    </row>
    <row r="828" spans="1:3" x14ac:dyDescent="0.2">
      <c r="A828" s="2">
        <v>826</v>
      </c>
      <c r="B828" s="2">
        <f t="shared" ca="1" si="12"/>
        <v>0.95872764527772136</v>
      </c>
      <c r="C828" s="2" t="s">
        <v>226</v>
      </c>
    </row>
    <row r="829" spans="1:3" x14ac:dyDescent="0.2">
      <c r="A829" s="2">
        <v>827</v>
      </c>
      <c r="B829" s="2">
        <f t="shared" ca="1" si="12"/>
        <v>0.5527987087772851</v>
      </c>
      <c r="C829" s="2" t="s">
        <v>226</v>
      </c>
    </row>
    <row r="830" spans="1:3" x14ac:dyDescent="0.2">
      <c r="A830" s="2">
        <v>828</v>
      </c>
      <c r="B830" s="2">
        <f t="shared" ca="1" si="12"/>
        <v>0.7570428339908376</v>
      </c>
      <c r="C830" s="2" t="s">
        <v>226</v>
      </c>
    </row>
    <row r="831" spans="1:3" x14ac:dyDescent="0.2">
      <c r="A831" s="2">
        <v>829</v>
      </c>
      <c r="B831" s="2">
        <f t="shared" ca="1" si="12"/>
        <v>0.73359913527668463</v>
      </c>
      <c r="C831" s="2" t="s">
        <v>227</v>
      </c>
    </row>
    <row r="832" spans="1:3" x14ac:dyDescent="0.2">
      <c r="A832" s="2">
        <v>830</v>
      </c>
      <c r="B832" s="2">
        <f t="shared" ca="1" si="12"/>
        <v>0.4013259449081773</v>
      </c>
      <c r="C832" s="2" t="s">
        <v>226</v>
      </c>
    </row>
    <row r="833" spans="1:3" x14ac:dyDescent="0.2">
      <c r="A833" s="2">
        <v>831</v>
      </c>
      <c r="B833" s="2">
        <f t="shared" ca="1" si="12"/>
        <v>0.495021684189555</v>
      </c>
      <c r="C833" s="2" t="s">
        <v>226</v>
      </c>
    </row>
    <row r="834" spans="1:3" x14ac:dyDescent="0.2">
      <c r="A834" s="2">
        <v>832</v>
      </c>
      <c r="B834" s="2">
        <f t="shared" ca="1" si="12"/>
        <v>0.54930708476591406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0.89459510046645785</v>
      </c>
      <c r="C835" s="2" t="s">
        <v>227</v>
      </c>
    </row>
    <row r="836" spans="1:3" x14ac:dyDescent="0.2">
      <c r="A836" s="2">
        <v>834</v>
      </c>
      <c r="B836" s="2">
        <f t="shared" ca="1" si="13"/>
        <v>0.6857189453499265</v>
      </c>
      <c r="C836" s="2" t="s">
        <v>226</v>
      </c>
    </row>
    <row r="837" spans="1:3" x14ac:dyDescent="0.2">
      <c r="A837" s="2">
        <v>835</v>
      </c>
      <c r="B837" s="2">
        <f t="shared" ca="1" si="13"/>
        <v>0.57627023515190035</v>
      </c>
      <c r="C837" s="2" t="s">
        <v>227</v>
      </c>
    </row>
    <row r="838" spans="1:3" x14ac:dyDescent="0.2">
      <c r="A838" s="2">
        <v>836</v>
      </c>
      <c r="B838" s="2">
        <f t="shared" ca="1" si="13"/>
        <v>0.58246657563081439</v>
      </c>
      <c r="C838" s="2" t="s">
        <v>226</v>
      </c>
    </row>
    <row r="839" spans="1:3" x14ac:dyDescent="0.2">
      <c r="A839" s="2">
        <v>837</v>
      </c>
      <c r="B839" s="2">
        <f t="shared" ca="1" si="13"/>
        <v>0.84221289484591444</v>
      </c>
      <c r="C839" s="2" t="s">
        <v>227</v>
      </c>
    </row>
    <row r="840" spans="1:3" x14ac:dyDescent="0.2">
      <c r="A840" s="2">
        <v>838</v>
      </c>
      <c r="B840" s="2">
        <f t="shared" ca="1" si="13"/>
        <v>0.97902791881908979</v>
      </c>
      <c r="C840" s="2" t="s">
        <v>226</v>
      </c>
    </row>
    <row r="841" spans="1:3" x14ac:dyDescent="0.2">
      <c r="A841" s="2">
        <v>839</v>
      </c>
      <c r="B841" s="2">
        <f t="shared" ca="1" si="13"/>
        <v>0.73614055358642139</v>
      </c>
      <c r="C841" s="2" t="s">
        <v>227</v>
      </c>
    </row>
    <row r="842" spans="1:3" x14ac:dyDescent="0.2">
      <c r="A842" s="2">
        <v>840</v>
      </c>
      <c r="B842" s="2">
        <f t="shared" ca="1" si="13"/>
        <v>0.73385832337517298</v>
      </c>
      <c r="C842" s="2" t="s">
        <v>227</v>
      </c>
    </row>
    <row r="843" spans="1:3" x14ac:dyDescent="0.2">
      <c r="A843" s="2">
        <v>841</v>
      </c>
      <c r="B843" s="2">
        <f t="shared" ca="1" si="13"/>
        <v>0.67361276432856632</v>
      </c>
      <c r="C843" s="2" t="s">
        <v>227</v>
      </c>
    </row>
    <row r="844" spans="1:3" x14ac:dyDescent="0.2">
      <c r="A844" s="2">
        <v>842</v>
      </c>
      <c r="B844" s="2">
        <f t="shared" ca="1" si="13"/>
        <v>0.31588170865163206</v>
      </c>
      <c r="C844" s="2" t="s">
        <v>226</v>
      </c>
    </row>
    <row r="845" spans="1:3" x14ac:dyDescent="0.2">
      <c r="A845" s="2">
        <v>843</v>
      </c>
      <c r="B845" s="2">
        <f t="shared" ca="1" si="13"/>
        <v>0.79964952780555254</v>
      </c>
      <c r="C845" s="2" t="s">
        <v>226</v>
      </c>
    </row>
    <row r="846" spans="1:3" x14ac:dyDescent="0.2">
      <c r="A846" s="2">
        <v>844</v>
      </c>
      <c r="B846" s="2">
        <f t="shared" ca="1" si="13"/>
        <v>0.5504914670880644</v>
      </c>
      <c r="C846" s="2" t="s">
        <v>226</v>
      </c>
    </row>
    <row r="847" spans="1:3" x14ac:dyDescent="0.2">
      <c r="A847" s="2">
        <v>845</v>
      </c>
      <c r="B847" s="2">
        <f t="shared" ca="1" si="13"/>
        <v>0.52521586366210093</v>
      </c>
      <c r="C847" s="2" t="s">
        <v>226</v>
      </c>
    </row>
    <row r="848" spans="1:3" x14ac:dyDescent="0.2">
      <c r="A848" s="2">
        <v>846</v>
      </c>
      <c r="B848" s="2">
        <f t="shared" ca="1" si="13"/>
        <v>0.66864248852709574</v>
      </c>
      <c r="C848" s="2" t="s">
        <v>226</v>
      </c>
    </row>
    <row r="849" spans="1:3" x14ac:dyDescent="0.2">
      <c r="A849" s="2">
        <v>847</v>
      </c>
      <c r="B849" s="2">
        <f t="shared" ca="1" si="13"/>
        <v>0.80153764640843428</v>
      </c>
      <c r="C849" s="2" t="s">
        <v>227</v>
      </c>
    </row>
    <row r="850" spans="1:3" x14ac:dyDescent="0.2">
      <c r="A850" s="2">
        <v>848</v>
      </c>
      <c r="B850" s="2">
        <f t="shared" ca="1" si="13"/>
        <v>0.60795700649586037</v>
      </c>
      <c r="C850" s="2" t="s">
        <v>226</v>
      </c>
    </row>
    <row r="851" spans="1:3" x14ac:dyDescent="0.2">
      <c r="A851" s="2">
        <v>849</v>
      </c>
      <c r="B851" s="2">
        <f t="shared" ca="1" si="13"/>
        <v>0.88274015386350024</v>
      </c>
      <c r="C851" s="2" t="s">
        <v>227</v>
      </c>
    </row>
    <row r="852" spans="1:3" x14ac:dyDescent="0.2">
      <c r="A852" s="2">
        <v>850</v>
      </c>
      <c r="B852" s="2">
        <f t="shared" ca="1" si="13"/>
        <v>0.52536136751405216</v>
      </c>
      <c r="C852" s="2" t="s">
        <v>226</v>
      </c>
    </row>
    <row r="853" spans="1:3" x14ac:dyDescent="0.2">
      <c r="A853" s="2">
        <v>851</v>
      </c>
      <c r="B853" s="2">
        <f t="shared" ca="1" si="13"/>
        <v>0.39573948423291738</v>
      </c>
      <c r="C853" s="2" t="s">
        <v>226</v>
      </c>
    </row>
    <row r="854" spans="1:3" x14ac:dyDescent="0.2">
      <c r="A854" s="2">
        <v>852</v>
      </c>
      <c r="B854" s="2">
        <f t="shared" ca="1" si="13"/>
        <v>0.68275983805643836</v>
      </c>
      <c r="C854" s="2" t="s">
        <v>226</v>
      </c>
    </row>
    <row r="855" spans="1:3" x14ac:dyDescent="0.2">
      <c r="A855" s="2">
        <v>853</v>
      </c>
      <c r="B855" s="2">
        <f t="shared" ca="1" si="13"/>
        <v>1.0729858877414302</v>
      </c>
      <c r="C855" s="2" t="s">
        <v>226</v>
      </c>
    </row>
    <row r="856" spans="1:3" x14ac:dyDescent="0.2">
      <c r="A856" s="2">
        <v>854</v>
      </c>
      <c r="B856" s="2">
        <f t="shared" ca="1" si="13"/>
        <v>0.61330573195710847</v>
      </c>
      <c r="C856" s="2" t="s">
        <v>226</v>
      </c>
    </row>
    <row r="857" spans="1:3" x14ac:dyDescent="0.2">
      <c r="A857" s="2">
        <v>855</v>
      </c>
      <c r="B857" s="2">
        <f t="shared" ca="1" si="13"/>
        <v>0.70387630851885474</v>
      </c>
      <c r="C857" s="2" t="s">
        <v>227</v>
      </c>
    </row>
    <row r="858" spans="1:3" x14ac:dyDescent="0.2">
      <c r="A858" s="2">
        <v>856</v>
      </c>
      <c r="B858" s="2">
        <f t="shared" ca="1" si="13"/>
        <v>0.64803218488452496</v>
      </c>
      <c r="C858" s="2" t="s">
        <v>227</v>
      </c>
    </row>
    <row r="859" spans="1:3" x14ac:dyDescent="0.2">
      <c r="A859" s="2">
        <v>857</v>
      </c>
      <c r="B859" s="2">
        <f t="shared" ca="1" si="13"/>
        <v>0.81249466721613273</v>
      </c>
      <c r="C859" s="2" t="s">
        <v>226</v>
      </c>
    </row>
    <row r="860" spans="1:3" x14ac:dyDescent="0.2">
      <c r="A860" s="2">
        <v>858</v>
      </c>
      <c r="B860" s="2">
        <f t="shared" ca="1" si="13"/>
        <v>0.55831129730236706</v>
      </c>
      <c r="C860" s="2" t="s">
        <v>226</v>
      </c>
    </row>
    <row r="861" spans="1:3" x14ac:dyDescent="0.2">
      <c r="A861" s="2">
        <v>859</v>
      </c>
      <c r="B861" s="2">
        <f t="shared" ca="1" si="13"/>
        <v>0.76069220939550908</v>
      </c>
      <c r="C861" s="2" t="s">
        <v>226</v>
      </c>
    </row>
    <row r="862" spans="1:3" x14ac:dyDescent="0.2">
      <c r="A862" s="2">
        <v>860</v>
      </c>
      <c r="B862" s="2">
        <f t="shared" ca="1" si="13"/>
        <v>0.90087489405414656</v>
      </c>
      <c r="C862" s="2" t="s">
        <v>226</v>
      </c>
    </row>
    <row r="863" spans="1:3" x14ac:dyDescent="0.2">
      <c r="A863" s="2">
        <v>861</v>
      </c>
      <c r="B863" s="2">
        <f t="shared" ca="1" si="13"/>
        <v>0.6142614152601622</v>
      </c>
      <c r="C863" s="2" t="s">
        <v>227</v>
      </c>
    </row>
    <row r="864" spans="1:3" x14ac:dyDescent="0.2">
      <c r="A864" s="2">
        <v>862</v>
      </c>
      <c r="B864" s="2">
        <f t="shared" ca="1" si="13"/>
        <v>0.56548046934992191</v>
      </c>
      <c r="C864" s="2" t="s">
        <v>226</v>
      </c>
    </row>
    <row r="865" spans="1:3" x14ac:dyDescent="0.2">
      <c r="A865" s="2">
        <v>863</v>
      </c>
      <c r="B865" s="2">
        <f t="shared" ca="1" si="13"/>
        <v>0.30135224833128038</v>
      </c>
      <c r="C865" s="2" t="s">
        <v>226</v>
      </c>
    </row>
    <row r="866" spans="1:3" x14ac:dyDescent="0.2">
      <c r="A866" s="2">
        <v>864</v>
      </c>
      <c r="B866" s="2">
        <f t="shared" ca="1" si="13"/>
        <v>0.49927717899046503</v>
      </c>
      <c r="C866" s="2" t="s">
        <v>226</v>
      </c>
    </row>
    <row r="867" spans="1:3" x14ac:dyDescent="0.2">
      <c r="A867" s="2">
        <v>865</v>
      </c>
      <c r="B867" s="2">
        <f t="shared" ca="1" si="13"/>
        <v>0.55183457000809888</v>
      </c>
      <c r="C867" s="2" t="s">
        <v>226</v>
      </c>
    </row>
    <row r="868" spans="1:3" x14ac:dyDescent="0.2">
      <c r="A868" s="2">
        <v>866</v>
      </c>
      <c r="B868" s="2">
        <f t="shared" ca="1" si="13"/>
        <v>0.31630359991669088</v>
      </c>
      <c r="C868" s="2" t="s">
        <v>226</v>
      </c>
    </row>
    <row r="869" spans="1:3" x14ac:dyDescent="0.2">
      <c r="A869" s="2">
        <v>867</v>
      </c>
      <c r="B869" s="2">
        <f t="shared" ca="1" si="13"/>
        <v>0.43012525612277508</v>
      </c>
      <c r="C869" s="2" t="s">
        <v>226</v>
      </c>
    </row>
    <row r="870" spans="1:3" x14ac:dyDescent="0.2">
      <c r="A870" s="2">
        <v>868</v>
      </c>
      <c r="B870" s="2">
        <f t="shared" ca="1" si="13"/>
        <v>0.75064674289776545</v>
      </c>
      <c r="C870" s="2" t="s">
        <v>226</v>
      </c>
    </row>
    <row r="871" spans="1:3" x14ac:dyDescent="0.2">
      <c r="A871" s="2">
        <v>869</v>
      </c>
      <c r="B871" s="2">
        <f t="shared" ca="1" si="13"/>
        <v>0.66495121832669868</v>
      </c>
      <c r="C871" s="2" t="s">
        <v>226</v>
      </c>
    </row>
    <row r="872" spans="1:3" x14ac:dyDescent="0.2">
      <c r="A872" s="2">
        <v>870</v>
      </c>
      <c r="B872" s="2">
        <f t="shared" ca="1" si="13"/>
        <v>0.74999926489860902</v>
      </c>
      <c r="C872" s="2" t="s">
        <v>226</v>
      </c>
    </row>
    <row r="873" spans="1:3" x14ac:dyDescent="0.2">
      <c r="A873" s="2">
        <v>871</v>
      </c>
      <c r="B873" s="2">
        <f t="shared" ca="1" si="13"/>
        <v>0.89670505780404308</v>
      </c>
      <c r="C873" s="2" t="s">
        <v>227</v>
      </c>
    </row>
    <row r="874" spans="1:3" x14ac:dyDescent="0.2">
      <c r="A874" s="2">
        <v>872</v>
      </c>
      <c r="B874" s="2">
        <f t="shared" ca="1" si="13"/>
        <v>0.53734228365678738</v>
      </c>
      <c r="C874" s="2" t="s">
        <v>227</v>
      </c>
    </row>
    <row r="875" spans="1:3" x14ac:dyDescent="0.2">
      <c r="A875" s="2">
        <v>873</v>
      </c>
      <c r="B875" s="2">
        <f t="shared" ca="1" si="13"/>
        <v>0.60285366895268333</v>
      </c>
      <c r="C875" s="2" t="s">
        <v>227</v>
      </c>
    </row>
    <row r="876" spans="1:3" x14ac:dyDescent="0.2">
      <c r="A876" s="2">
        <v>874</v>
      </c>
      <c r="B876" s="2">
        <f t="shared" ca="1" si="13"/>
        <v>0.45324486865625435</v>
      </c>
      <c r="C876" s="2" t="s">
        <v>226</v>
      </c>
    </row>
    <row r="877" spans="1:3" x14ac:dyDescent="0.2">
      <c r="A877" s="2">
        <v>875</v>
      </c>
      <c r="B877" s="2">
        <f t="shared" ca="1" si="13"/>
        <v>0.45892290938704905</v>
      </c>
      <c r="C877" s="2" t="s">
        <v>226</v>
      </c>
    </row>
    <row r="878" spans="1:3" x14ac:dyDescent="0.2">
      <c r="A878" s="2">
        <v>876</v>
      </c>
      <c r="B878" s="2">
        <f t="shared" ca="1" si="13"/>
        <v>0.62381652378132701</v>
      </c>
      <c r="C878" s="2" t="s">
        <v>227</v>
      </c>
    </row>
    <row r="879" spans="1:3" x14ac:dyDescent="0.2">
      <c r="A879" s="2">
        <v>877</v>
      </c>
      <c r="B879" s="2">
        <f t="shared" ca="1" si="13"/>
        <v>0.73259523598082144</v>
      </c>
      <c r="C879" s="2" t="s">
        <v>226</v>
      </c>
    </row>
    <row r="880" spans="1:3" x14ac:dyDescent="0.2">
      <c r="A880" s="2">
        <v>878</v>
      </c>
      <c r="B880" s="2">
        <f t="shared" ca="1" si="13"/>
        <v>0.85025190808984652</v>
      </c>
      <c r="C880" s="2" t="s">
        <v>226</v>
      </c>
    </row>
    <row r="881" spans="1:3" x14ac:dyDescent="0.2">
      <c r="A881" s="2">
        <v>879</v>
      </c>
      <c r="B881" s="2">
        <f t="shared" ca="1" si="13"/>
        <v>0.73008156346462605</v>
      </c>
      <c r="C881" s="2" t="s">
        <v>227</v>
      </c>
    </row>
    <row r="882" spans="1:3" x14ac:dyDescent="0.2">
      <c r="A882" s="2">
        <v>880</v>
      </c>
      <c r="B882" s="2">
        <f t="shared" ca="1" si="13"/>
        <v>0.84972467086411241</v>
      </c>
      <c r="C882" s="2" t="s">
        <v>227</v>
      </c>
    </row>
    <row r="883" spans="1:3" x14ac:dyDescent="0.2">
      <c r="A883" s="2">
        <v>881</v>
      </c>
      <c r="B883" s="2">
        <f t="shared" ca="1" si="13"/>
        <v>0.62978029602903263</v>
      </c>
      <c r="C883" s="2" t="s">
        <v>227</v>
      </c>
    </row>
    <row r="884" spans="1:3" x14ac:dyDescent="0.2">
      <c r="A884" s="2">
        <v>882</v>
      </c>
      <c r="B884" s="2">
        <f t="shared" ca="1" si="13"/>
        <v>0.59303916112652044</v>
      </c>
      <c r="C884" s="2" t="s">
        <v>227</v>
      </c>
    </row>
    <row r="885" spans="1:3" x14ac:dyDescent="0.2">
      <c r="A885" s="2">
        <v>883</v>
      </c>
      <c r="B885" s="2">
        <f t="shared" ca="1" si="13"/>
        <v>0.64880183343573383</v>
      </c>
      <c r="C885" s="2" t="s">
        <v>226</v>
      </c>
    </row>
    <row r="886" spans="1:3" x14ac:dyDescent="0.2">
      <c r="A886" s="2">
        <v>884</v>
      </c>
      <c r="B886" s="2">
        <f t="shared" ca="1" si="13"/>
        <v>0.506321959381831</v>
      </c>
      <c r="C886" s="2" t="s">
        <v>226</v>
      </c>
    </row>
    <row r="887" spans="1:3" x14ac:dyDescent="0.2">
      <c r="A887" s="2">
        <v>885</v>
      </c>
      <c r="B887" s="2">
        <f t="shared" ca="1" si="13"/>
        <v>0.56340802854827421</v>
      </c>
      <c r="C887" s="2" t="s">
        <v>226</v>
      </c>
    </row>
    <row r="888" spans="1:3" x14ac:dyDescent="0.2">
      <c r="A888" s="2">
        <v>886</v>
      </c>
      <c r="B888" s="2">
        <f t="shared" ca="1" si="13"/>
        <v>0.82625591506884533</v>
      </c>
      <c r="C888" s="2" t="s">
        <v>227</v>
      </c>
    </row>
    <row r="889" spans="1:3" x14ac:dyDescent="0.2">
      <c r="A889" s="2">
        <v>887</v>
      </c>
      <c r="B889" s="2">
        <f t="shared" ca="1" si="13"/>
        <v>0.70984643575442796</v>
      </c>
      <c r="C889" s="2" t="s">
        <v>227</v>
      </c>
    </row>
    <row r="890" spans="1:3" x14ac:dyDescent="0.2">
      <c r="A890" s="2">
        <v>888</v>
      </c>
      <c r="B890" s="2">
        <f t="shared" ca="1" si="13"/>
        <v>0.63071243713410374</v>
      </c>
      <c r="C890" s="2" t="s">
        <v>227</v>
      </c>
    </row>
    <row r="891" spans="1:3" x14ac:dyDescent="0.2">
      <c r="A891" s="2">
        <v>889</v>
      </c>
      <c r="B891" s="2">
        <f t="shared" ca="1" si="13"/>
        <v>0.62069848000484473</v>
      </c>
      <c r="C891" s="2" t="s">
        <v>226</v>
      </c>
    </row>
    <row r="892" spans="1:3" x14ac:dyDescent="0.2">
      <c r="A892" s="2">
        <v>890</v>
      </c>
      <c r="B892" s="2">
        <f t="shared" ca="1" si="13"/>
        <v>0.46702195254359702</v>
      </c>
      <c r="C892" s="2" t="s">
        <v>226</v>
      </c>
    </row>
    <row r="893" spans="1:3" x14ac:dyDescent="0.2">
      <c r="A893" s="2">
        <v>891</v>
      </c>
      <c r="B893" s="2">
        <f t="shared" ca="1" si="13"/>
        <v>0.65412112766283081</v>
      </c>
      <c r="C893" s="2" t="s">
        <v>226</v>
      </c>
    </row>
    <row r="894" spans="1:3" x14ac:dyDescent="0.2">
      <c r="A894" s="2">
        <v>892</v>
      </c>
      <c r="B894" s="2">
        <f t="shared" ca="1" si="13"/>
        <v>0.67399606623500119</v>
      </c>
      <c r="C894" s="2" t="s">
        <v>227</v>
      </c>
    </row>
    <row r="895" spans="1:3" x14ac:dyDescent="0.2">
      <c r="A895" s="2">
        <v>893</v>
      </c>
      <c r="B895" s="2">
        <f t="shared" ca="1" si="13"/>
        <v>0.40686426090335104</v>
      </c>
      <c r="C895" s="2" t="s">
        <v>226</v>
      </c>
    </row>
    <row r="896" spans="1:3" x14ac:dyDescent="0.2">
      <c r="A896" s="2">
        <v>894</v>
      </c>
      <c r="B896" s="2">
        <f t="shared" ca="1" si="13"/>
        <v>0.80079628396136016</v>
      </c>
      <c r="C896" s="2" t="s">
        <v>227</v>
      </c>
    </row>
    <row r="897" spans="1:3" x14ac:dyDescent="0.2">
      <c r="A897" s="2">
        <v>895</v>
      </c>
      <c r="B897" s="2">
        <f t="shared" ca="1" si="13"/>
        <v>0.51914876974634394</v>
      </c>
      <c r="C897" s="2" t="s">
        <v>226</v>
      </c>
    </row>
    <row r="898" spans="1:3" x14ac:dyDescent="0.2">
      <c r="A898" s="2">
        <v>896</v>
      </c>
      <c r="B898" s="2">
        <f t="shared" ca="1" si="13"/>
        <v>0.63901674497620342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0.69264297937084318</v>
      </c>
      <c r="C899" s="2" t="s">
        <v>227</v>
      </c>
    </row>
    <row r="900" spans="1:3" x14ac:dyDescent="0.2">
      <c r="A900" s="2">
        <v>898</v>
      </c>
      <c r="B900" s="2">
        <f t="shared" ca="1" si="14"/>
        <v>0.72287710036747732</v>
      </c>
      <c r="C900" s="2" t="s">
        <v>227</v>
      </c>
    </row>
    <row r="901" spans="1:3" x14ac:dyDescent="0.2">
      <c r="A901" s="2">
        <v>899</v>
      </c>
      <c r="B901" s="2">
        <f t="shared" ca="1" si="14"/>
        <v>0.898820378413141</v>
      </c>
      <c r="C901" s="2" t="s">
        <v>226</v>
      </c>
    </row>
    <row r="902" spans="1:3" x14ac:dyDescent="0.2">
      <c r="A902" s="2">
        <v>900</v>
      </c>
      <c r="B902" s="2">
        <f t="shared" ca="1" si="14"/>
        <v>0.68373573029922996</v>
      </c>
      <c r="C902" s="2" t="s">
        <v>227</v>
      </c>
    </row>
    <row r="903" spans="1:3" x14ac:dyDescent="0.2">
      <c r="A903" s="2">
        <v>901</v>
      </c>
      <c r="B903" s="2">
        <f t="shared" ca="1" si="14"/>
        <v>0.78574586581918615</v>
      </c>
      <c r="C903" s="2" t="s">
        <v>227</v>
      </c>
    </row>
    <row r="904" spans="1:3" x14ac:dyDescent="0.2">
      <c r="A904" s="2">
        <v>902</v>
      </c>
      <c r="B904" s="2">
        <f t="shared" ca="1" si="14"/>
        <v>0.50629854596397383</v>
      </c>
      <c r="C904" s="2" t="s">
        <v>227</v>
      </c>
    </row>
    <row r="905" spans="1:3" x14ac:dyDescent="0.2">
      <c r="A905" s="2">
        <v>903</v>
      </c>
      <c r="B905" s="2">
        <f t="shared" ca="1" si="14"/>
        <v>0.67432381615869097</v>
      </c>
      <c r="C905" s="2" t="s">
        <v>227</v>
      </c>
    </row>
    <row r="906" spans="1:3" x14ac:dyDescent="0.2">
      <c r="A906" s="2">
        <v>904</v>
      </c>
      <c r="B906" s="2">
        <f t="shared" ca="1" si="14"/>
        <v>0.56844409262511575</v>
      </c>
      <c r="C906" s="2" t="s">
        <v>227</v>
      </c>
    </row>
    <row r="907" spans="1:3" x14ac:dyDescent="0.2">
      <c r="A907" s="2">
        <v>905</v>
      </c>
      <c r="B907" s="2">
        <f t="shared" ca="1" si="14"/>
        <v>0.74183592105031748</v>
      </c>
      <c r="C907" s="2" t="s">
        <v>226</v>
      </c>
    </row>
    <row r="908" spans="1:3" x14ac:dyDescent="0.2">
      <c r="A908" s="2">
        <v>906</v>
      </c>
      <c r="B908" s="2">
        <f t="shared" ca="1" si="14"/>
        <v>0.51157224320584183</v>
      </c>
      <c r="C908" s="2" t="s">
        <v>226</v>
      </c>
    </row>
    <row r="909" spans="1:3" x14ac:dyDescent="0.2">
      <c r="A909" s="2">
        <v>907</v>
      </c>
      <c r="B909" s="2">
        <f t="shared" ca="1" si="14"/>
        <v>0.56039143246263878</v>
      </c>
      <c r="C909" s="2" t="s">
        <v>226</v>
      </c>
    </row>
    <row r="910" spans="1:3" x14ac:dyDescent="0.2">
      <c r="A910" s="2">
        <v>908</v>
      </c>
      <c r="B910" s="2">
        <f t="shared" ca="1" si="14"/>
        <v>0.64524375066067896</v>
      </c>
      <c r="C910" s="2" t="s">
        <v>226</v>
      </c>
    </row>
    <row r="911" spans="1:3" x14ac:dyDescent="0.2">
      <c r="A911" s="2">
        <v>909</v>
      </c>
      <c r="B911" s="2">
        <f t="shared" ca="1" si="14"/>
        <v>0.51337305646976383</v>
      </c>
      <c r="C911" s="2" t="s">
        <v>226</v>
      </c>
    </row>
    <row r="912" spans="1:3" x14ac:dyDescent="0.2">
      <c r="A912" s="2">
        <v>910</v>
      </c>
      <c r="B912" s="2">
        <f t="shared" ca="1" si="14"/>
        <v>0.75966153782394663</v>
      </c>
      <c r="C912" s="2" t="s">
        <v>227</v>
      </c>
    </row>
    <row r="913" spans="1:3" x14ac:dyDescent="0.2">
      <c r="A913" s="2">
        <v>911</v>
      </c>
      <c r="B913" s="2">
        <f t="shared" ca="1" si="14"/>
        <v>0.62271651884216084</v>
      </c>
      <c r="C913" s="2" t="s">
        <v>226</v>
      </c>
    </row>
    <row r="914" spans="1:3" x14ac:dyDescent="0.2">
      <c r="A914" s="2">
        <v>912</v>
      </c>
      <c r="B914" s="2">
        <f t="shared" ca="1" si="14"/>
        <v>0.25617870904530121</v>
      </c>
      <c r="C914" s="2" t="s">
        <v>226</v>
      </c>
    </row>
    <row r="915" spans="1:3" x14ac:dyDescent="0.2">
      <c r="A915" s="2">
        <v>913</v>
      </c>
      <c r="B915" s="2">
        <f t="shared" ca="1" si="14"/>
        <v>0.92953182960707825</v>
      </c>
      <c r="C915" s="2" t="s">
        <v>226</v>
      </c>
    </row>
    <row r="916" spans="1:3" x14ac:dyDescent="0.2">
      <c r="A916" s="2">
        <v>914</v>
      </c>
      <c r="B916" s="2">
        <f t="shared" ca="1" si="14"/>
        <v>0.58228931994384314</v>
      </c>
      <c r="C916" s="2" t="s">
        <v>227</v>
      </c>
    </row>
    <row r="917" spans="1:3" x14ac:dyDescent="0.2">
      <c r="A917" s="2">
        <v>915</v>
      </c>
      <c r="B917" s="2">
        <f t="shared" ca="1" si="14"/>
        <v>0.72461428910130921</v>
      </c>
      <c r="C917" s="2" t="s">
        <v>226</v>
      </c>
    </row>
    <row r="918" spans="1:3" x14ac:dyDescent="0.2">
      <c r="A918" s="2">
        <v>916</v>
      </c>
      <c r="B918" s="2">
        <f t="shared" ca="1" si="14"/>
        <v>0.63267003112712894</v>
      </c>
      <c r="C918" s="2" t="s">
        <v>227</v>
      </c>
    </row>
    <row r="919" spans="1:3" x14ac:dyDescent="0.2">
      <c r="A919" s="2">
        <v>917</v>
      </c>
      <c r="B919" s="2">
        <f t="shared" ca="1" si="14"/>
        <v>0.50793527410108763</v>
      </c>
      <c r="C919" s="2" t="s">
        <v>226</v>
      </c>
    </row>
    <row r="920" spans="1:3" x14ac:dyDescent="0.2">
      <c r="A920" s="2">
        <v>918</v>
      </c>
      <c r="B920" s="2">
        <f t="shared" ca="1" si="14"/>
        <v>0.7632029913966123</v>
      </c>
      <c r="C920" s="2" t="s">
        <v>227</v>
      </c>
    </row>
    <row r="921" spans="1:3" x14ac:dyDescent="0.2">
      <c r="A921" s="2">
        <v>919</v>
      </c>
      <c r="B921" s="2">
        <f t="shared" ca="1" si="14"/>
        <v>0.56435821699034305</v>
      </c>
      <c r="C921" s="2" t="s">
        <v>226</v>
      </c>
    </row>
    <row r="922" spans="1:3" x14ac:dyDescent="0.2">
      <c r="A922" s="2">
        <v>920</v>
      </c>
      <c r="B922" s="2">
        <f t="shared" ca="1" si="14"/>
        <v>0.77520970613083406</v>
      </c>
      <c r="C922" s="2" t="s">
        <v>227</v>
      </c>
    </row>
    <row r="923" spans="1:3" x14ac:dyDescent="0.2">
      <c r="A923" s="2">
        <v>921</v>
      </c>
      <c r="B923" s="2">
        <f t="shared" ca="1" si="14"/>
        <v>0.47734694573012088</v>
      </c>
      <c r="C923" s="2" t="s">
        <v>227</v>
      </c>
    </row>
    <row r="924" spans="1:3" x14ac:dyDescent="0.2">
      <c r="A924" s="2">
        <v>922</v>
      </c>
      <c r="B924" s="2">
        <f t="shared" ca="1" si="14"/>
        <v>0.5533366061936883</v>
      </c>
      <c r="C924" s="2" t="s">
        <v>226</v>
      </c>
    </row>
    <row r="925" spans="1:3" x14ac:dyDescent="0.2">
      <c r="A925" s="2">
        <v>923</v>
      </c>
      <c r="B925" s="2">
        <f t="shared" ca="1" si="14"/>
        <v>0.78857505045380127</v>
      </c>
      <c r="C925" s="2" t="s">
        <v>226</v>
      </c>
    </row>
    <row r="926" spans="1:3" x14ac:dyDescent="0.2">
      <c r="A926" s="2">
        <v>924</v>
      </c>
      <c r="B926" s="2">
        <f t="shared" ca="1" si="14"/>
        <v>0.75192976660858601</v>
      </c>
      <c r="C926" s="2" t="s">
        <v>226</v>
      </c>
    </row>
    <row r="927" spans="1:3" x14ac:dyDescent="0.2">
      <c r="A927" s="2">
        <v>925</v>
      </c>
      <c r="B927" s="2">
        <f t="shared" ca="1" si="14"/>
        <v>0.86161322902284787</v>
      </c>
      <c r="C927" s="2" t="s">
        <v>227</v>
      </c>
    </row>
    <row r="928" spans="1:3" x14ac:dyDescent="0.2">
      <c r="A928" s="2">
        <v>926</v>
      </c>
      <c r="B928" s="2">
        <f t="shared" ca="1" si="14"/>
        <v>0.58847692883147684</v>
      </c>
      <c r="C928" s="2" t="s">
        <v>227</v>
      </c>
    </row>
    <row r="929" spans="1:3" x14ac:dyDescent="0.2">
      <c r="A929" s="2">
        <v>927</v>
      </c>
      <c r="B929" s="2">
        <f t="shared" ca="1" si="14"/>
        <v>0.63199274960424723</v>
      </c>
      <c r="C929" s="2" t="s">
        <v>227</v>
      </c>
    </row>
    <row r="930" spans="1:3" x14ac:dyDescent="0.2">
      <c r="A930" s="2">
        <v>928</v>
      </c>
      <c r="B930" s="2">
        <f t="shared" ca="1" si="14"/>
        <v>0.6579169597769936</v>
      </c>
      <c r="C930" s="2" t="s">
        <v>227</v>
      </c>
    </row>
    <row r="931" spans="1:3" x14ac:dyDescent="0.2">
      <c r="A931" s="2">
        <v>929</v>
      </c>
      <c r="B931" s="2">
        <f t="shared" ca="1" si="14"/>
        <v>0.45485202979964628</v>
      </c>
      <c r="C931" s="2" t="s">
        <v>227</v>
      </c>
    </row>
    <row r="932" spans="1:3" x14ac:dyDescent="0.2">
      <c r="A932" s="2">
        <v>930</v>
      </c>
      <c r="B932" s="2">
        <f t="shared" ca="1" si="14"/>
        <v>0.55283701249253403</v>
      </c>
      <c r="C932" s="2" t="s">
        <v>227</v>
      </c>
    </row>
    <row r="933" spans="1:3" x14ac:dyDescent="0.2">
      <c r="A933" s="2">
        <v>931</v>
      </c>
      <c r="B933" s="2">
        <f t="shared" ca="1" si="14"/>
        <v>0.65159384801572129</v>
      </c>
      <c r="C933" s="2" t="s">
        <v>226</v>
      </c>
    </row>
    <row r="934" spans="1:3" x14ac:dyDescent="0.2">
      <c r="A934" s="2">
        <v>932</v>
      </c>
      <c r="B934" s="2">
        <f t="shared" ca="1" si="14"/>
        <v>0.67901497769602437</v>
      </c>
      <c r="C934" s="2" t="s">
        <v>227</v>
      </c>
    </row>
    <row r="935" spans="1:3" x14ac:dyDescent="0.2">
      <c r="A935" s="2">
        <v>933</v>
      </c>
      <c r="B935" s="2">
        <f t="shared" ca="1" si="14"/>
        <v>0.57117857865648602</v>
      </c>
      <c r="C935" s="2" t="s">
        <v>226</v>
      </c>
    </row>
    <row r="936" spans="1:3" x14ac:dyDescent="0.2">
      <c r="A936" s="2">
        <v>934</v>
      </c>
      <c r="B936" s="2">
        <f t="shared" ca="1" si="14"/>
        <v>0.78280287466049103</v>
      </c>
      <c r="C936" s="2" t="s">
        <v>227</v>
      </c>
    </row>
    <row r="937" spans="1:3" x14ac:dyDescent="0.2">
      <c r="A937" s="2">
        <v>935</v>
      </c>
      <c r="B937" s="2">
        <f t="shared" ca="1" si="14"/>
        <v>0.71257860612330681</v>
      </c>
      <c r="C937" s="2" t="s">
        <v>227</v>
      </c>
    </row>
    <row r="938" spans="1:3" x14ac:dyDescent="0.2">
      <c r="A938" s="2">
        <v>936</v>
      </c>
      <c r="B938" s="2">
        <f t="shared" ca="1" si="14"/>
        <v>0.58767759623674687</v>
      </c>
      <c r="C938" s="2" t="s">
        <v>226</v>
      </c>
    </row>
    <row r="939" spans="1:3" x14ac:dyDescent="0.2">
      <c r="A939" s="2">
        <v>937</v>
      </c>
      <c r="B939" s="2">
        <f t="shared" ca="1" si="14"/>
        <v>0.5099978144167957</v>
      </c>
      <c r="C939" s="2" t="s">
        <v>226</v>
      </c>
    </row>
    <row r="940" spans="1:3" x14ac:dyDescent="0.2">
      <c r="A940" s="2">
        <v>938</v>
      </c>
      <c r="B940" s="2">
        <f t="shared" ca="1" si="14"/>
        <v>0.61757583231687296</v>
      </c>
      <c r="C940" s="2" t="s">
        <v>227</v>
      </c>
    </row>
    <row r="941" spans="1:3" x14ac:dyDescent="0.2">
      <c r="A941" s="2">
        <v>939</v>
      </c>
      <c r="B941" s="2">
        <f t="shared" ca="1" si="14"/>
        <v>0.73503666265072898</v>
      </c>
      <c r="C941" s="2" t="s">
        <v>227</v>
      </c>
    </row>
    <row r="942" spans="1:3" x14ac:dyDescent="0.2">
      <c r="A942" s="2">
        <v>940</v>
      </c>
      <c r="B942" s="2">
        <f t="shared" ca="1" si="14"/>
        <v>0.60473407757469277</v>
      </c>
      <c r="C942" s="2" t="s">
        <v>226</v>
      </c>
    </row>
    <row r="943" spans="1:3" x14ac:dyDescent="0.2">
      <c r="A943" s="2">
        <v>941</v>
      </c>
      <c r="B943" s="2">
        <f t="shared" ca="1" si="14"/>
        <v>0.58842039995286599</v>
      </c>
      <c r="C943" s="2" t="s">
        <v>226</v>
      </c>
    </row>
    <row r="944" spans="1:3" x14ac:dyDescent="0.2">
      <c r="A944" s="2">
        <v>942</v>
      </c>
      <c r="B944" s="2">
        <f t="shared" ca="1" si="14"/>
        <v>0.6635039430569809</v>
      </c>
      <c r="C944" s="2" t="s">
        <v>226</v>
      </c>
    </row>
    <row r="945" spans="1:3" x14ac:dyDescent="0.2">
      <c r="A945" s="2">
        <v>943</v>
      </c>
      <c r="B945" s="2">
        <f t="shared" ca="1" si="14"/>
        <v>0.81051995468229132</v>
      </c>
      <c r="C945" s="2" t="s">
        <v>226</v>
      </c>
    </row>
    <row r="946" spans="1:3" x14ac:dyDescent="0.2">
      <c r="A946" s="2">
        <v>944</v>
      </c>
      <c r="B946" s="2">
        <f t="shared" ca="1" si="14"/>
        <v>0.73010801868141673</v>
      </c>
      <c r="C946" s="2" t="s">
        <v>226</v>
      </c>
    </row>
    <row r="947" spans="1:3" x14ac:dyDescent="0.2">
      <c r="A947" s="2">
        <v>945</v>
      </c>
      <c r="B947" s="2">
        <f t="shared" ca="1" si="14"/>
        <v>0.75732636166389411</v>
      </c>
      <c r="C947" s="2" t="s">
        <v>227</v>
      </c>
    </row>
    <row r="948" spans="1:3" x14ac:dyDescent="0.2">
      <c r="A948" s="2">
        <v>946</v>
      </c>
      <c r="B948" s="2">
        <f t="shared" ca="1" si="14"/>
        <v>0.51433862436198763</v>
      </c>
      <c r="C948" s="2" t="s">
        <v>226</v>
      </c>
    </row>
    <row r="949" spans="1:3" x14ac:dyDescent="0.2">
      <c r="A949" s="2">
        <v>947</v>
      </c>
      <c r="B949" s="2">
        <f t="shared" ca="1" si="14"/>
        <v>0.78540170871978876</v>
      </c>
      <c r="C949" s="2" t="s">
        <v>227</v>
      </c>
    </row>
    <row r="950" spans="1:3" x14ac:dyDescent="0.2">
      <c r="A950" s="2">
        <v>948</v>
      </c>
      <c r="B950" s="2">
        <f t="shared" ca="1" si="14"/>
        <v>0.63168428175288149</v>
      </c>
      <c r="C950" s="2" t="s">
        <v>226</v>
      </c>
    </row>
    <row r="951" spans="1:3" x14ac:dyDescent="0.2">
      <c r="A951" s="2">
        <v>949</v>
      </c>
      <c r="B951" s="2">
        <f t="shared" ca="1" si="14"/>
        <v>0.73735400612997359</v>
      </c>
      <c r="C951" s="2" t="s">
        <v>227</v>
      </c>
    </row>
    <row r="952" spans="1:3" x14ac:dyDescent="0.2">
      <c r="A952" s="2">
        <v>950</v>
      </c>
      <c r="B952" s="2">
        <f t="shared" ca="1" si="14"/>
        <v>0.49292302092661794</v>
      </c>
      <c r="C952" s="2" t="s">
        <v>227</v>
      </c>
    </row>
    <row r="953" spans="1:3" x14ac:dyDescent="0.2">
      <c r="A953" s="2">
        <v>951</v>
      </c>
      <c r="B953" s="2">
        <f t="shared" ca="1" si="14"/>
        <v>0.75675792693392407</v>
      </c>
      <c r="C953" s="2" t="s">
        <v>226</v>
      </c>
    </row>
    <row r="954" spans="1:3" x14ac:dyDescent="0.2">
      <c r="A954" s="2">
        <v>952</v>
      </c>
      <c r="B954" s="2">
        <f t="shared" ca="1" si="14"/>
        <v>0.42489690385622675</v>
      </c>
      <c r="C954" s="2" t="s">
        <v>226</v>
      </c>
    </row>
    <row r="955" spans="1:3" x14ac:dyDescent="0.2">
      <c r="A955" s="2">
        <v>953</v>
      </c>
      <c r="B955" s="2">
        <f t="shared" ca="1" si="14"/>
        <v>0.70418429452537834</v>
      </c>
      <c r="C955" s="2" t="s">
        <v>227</v>
      </c>
    </row>
    <row r="956" spans="1:3" x14ac:dyDescent="0.2">
      <c r="A956" s="2">
        <v>954</v>
      </c>
      <c r="B956" s="2">
        <f t="shared" ca="1" si="14"/>
        <v>0.64818703289593249</v>
      </c>
      <c r="C956" s="2" t="s">
        <v>226</v>
      </c>
    </row>
    <row r="957" spans="1:3" x14ac:dyDescent="0.2">
      <c r="A957" s="2">
        <v>955</v>
      </c>
      <c r="B957" s="2">
        <f t="shared" ca="1" si="14"/>
        <v>0.6978250375353392</v>
      </c>
      <c r="C957" s="2" t="s">
        <v>227</v>
      </c>
    </row>
    <row r="958" spans="1:3" x14ac:dyDescent="0.2">
      <c r="A958" s="2">
        <v>956</v>
      </c>
      <c r="B958" s="2">
        <f t="shared" ca="1" si="14"/>
        <v>0.7247857039352017</v>
      </c>
      <c r="C958" s="2" t="s">
        <v>227</v>
      </c>
    </row>
    <row r="959" spans="1:3" x14ac:dyDescent="0.2">
      <c r="A959" s="2">
        <v>957</v>
      </c>
      <c r="B959" s="2">
        <f t="shared" ca="1" si="14"/>
        <v>0.8555064552704833</v>
      </c>
      <c r="C959" s="2" t="s">
        <v>226</v>
      </c>
    </row>
    <row r="960" spans="1:3" x14ac:dyDescent="0.2">
      <c r="A960" s="2">
        <v>958</v>
      </c>
      <c r="B960" s="2">
        <f t="shared" ca="1" si="14"/>
        <v>0.8209869737425578</v>
      </c>
      <c r="C960" s="2" t="s">
        <v>227</v>
      </c>
    </row>
    <row r="961" spans="1:3" x14ac:dyDescent="0.2">
      <c r="A961" s="2">
        <v>959</v>
      </c>
      <c r="B961" s="2">
        <f t="shared" ca="1" si="14"/>
        <v>1.063296158983968</v>
      </c>
      <c r="C961" s="2" t="s">
        <v>226</v>
      </c>
    </row>
    <row r="962" spans="1:3" x14ac:dyDescent="0.2">
      <c r="A962" s="2">
        <v>960</v>
      </c>
      <c r="B962" s="2">
        <f t="shared" ca="1" si="14"/>
        <v>0.80372151563689875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0.72657743430295352</v>
      </c>
      <c r="C963" s="2" t="s">
        <v>227</v>
      </c>
    </row>
    <row r="964" spans="1:3" x14ac:dyDescent="0.2">
      <c r="A964" s="2">
        <v>962</v>
      </c>
      <c r="B964" s="2">
        <f t="shared" ca="1" si="15"/>
        <v>0.74571776318907379</v>
      </c>
      <c r="C964" s="2" t="s">
        <v>227</v>
      </c>
    </row>
    <row r="965" spans="1:3" x14ac:dyDescent="0.2">
      <c r="A965" s="2">
        <v>963</v>
      </c>
      <c r="B965" s="2">
        <f t="shared" ca="1" si="15"/>
        <v>0.7645932285221978</v>
      </c>
      <c r="C965" s="2" t="s">
        <v>227</v>
      </c>
    </row>
    <row r="966" spans="1:3" x14ac:dyDescent="0.2">
      <c r="A966" s="2">
        <v>964</v>
      </c>
      <c r="B966" s="2">
        <f t="shared" ca="1" si="15"/>
        <v>0.68568997448473712</v>
      </c>
      <c r="C966" s="2" t="s">
        <v>227</v>
      </c>
    </row>
    <row r="967" spans="1:3" x14ac:dyDescent="0.2">
      <c r="A967" s="2">
        <v>965</v>
      </c>
      <c r="B967" s="2">
        <f t="shared" ca="1" si="15"/>
        <v>0.86112615015449201</v>
      </c>
      <c r="C967" s="2" t="s">
        <v>227</v>
      </c>
    </row>
    <row r="968" spans="1:3" x14ac:dyDescent="0.2">
      <c r="A968" s="2">
        <v>966</v>
      </c>
      <c r="B968" s="2">
        <f t="shared" ca="1" si="15"/>
        <v>0.78003345711551775</v>
      </c>
      <c r="C968" s="2" t="s">
        <v>227</v>
      </c>
    </row>
    <row r="969" spans="1:3" x14ac:dyDescent="0.2">
      <c r="A969" s="2">
        <v>967</v>
      </c>
      <c r="B969" s="2">
        <f t="shared" ca="1" si="15"/>
        <v>0.5869684836979947</v>
      </c>
      <c r="C969" s="2" t="s">
        <v>227</v>
      </c>
    </row>
    <row r="970" spans="1:3" x14ac:dyDescent="0.2">
      <c r="A970" s="2">
        <v>968</v>
      </c>
      <c r="B970" s="2">
        <f t="shared" ca="1" si="15"/>
        <v>0.82366466439552566</v>
      </c>
      <c r="C970" s="2" t="s">
        <v>227</v>
      </c>
    </row>
    <row r="971" spans="1:3" x14ac:dyDescent="0.2">
      <c r="A971" s="2">
        <v>969</v>
      </c>
      <c r="B971" s="2">
        <f t="shared" ca="1" si="15"/>
        <v>0.57388097958999895</v>
      </c>
      <c r="C971" s="2" t="s">
        <v>226</v>
      </c>
    </row>
    <row r="972" spans="1:3" x14ac:dyDescent="0.2">
      <c r="A972" s="2">
        <v>970</v>
      </c>
      <c r="B972" s="2">
        <f t="shared" ca="1" si="15"/>
        <v>0.70226277276356508</v>
      </c>
      <c r="C972" s="2" t="s">
        <v>226</v>
      </c>
    </row>
    <row r="973" spans="1:3" x14ac:dyDescent="0.2">
      <c r="A973" s="2">
        <v>971</v>
      </c>
      <c r="B973" s="2">
        <f t="shared" ca="1" si="15"/>
        <v>0.63929308417974706</v>
      </c>
      <c r="C973" s="2" t="s">
        <v>227</v>
      </c>
    </row>
    <row r="974" spans="1:3" x14ac:dyDescent="0.2">
      <c r="A974" s="2">
        <v>972</v>
      </c>
      <c r="B974" s="2">
        <f t="shared" ca="1" si="15"/>
        <v>0.31455807491707333</v>
      </c>
      <c r="C974" s="2" t="s">
        <v>226</v>
      </c>
    </row>
    <row r="975" spans="1:3" x14ac:dyDescent="0.2">
      <c r="A975" s="2">
        <v>973</v>
      </c>
      <c r="B975" s="2">
        <f t="shared" ca="1" si="15"/>
        <v>0.73448374200199285</v>
      </c>
      <c r="C975" s="2" t="s">
        <v>227</v>
      </c>
    </row>
    <row r="976" spans="1:3" x14ac:dyDescent="0.2">
      <c r="A976" s="2">
        <v>974</v>
      </c>
      <c r="B976" s="2">
        <f t="shared" ca="1" si="15"/>
        <v>0.81259218759695784</v>
      </c>
      <c r="C976" s="2" t="s">
        <v>227</v>
      </c>
    </row>
    <row r="977" spans="1:3" x14ac:dyDescent="0.2">
      <c r="A977" s="2">
        <v>975</v>
      </c>
      <c r="B977" s="2">
        <f t="shared" ca="1" si="15"/>
        <v>0.75529672384453383</v>
      </c>
      <c r="C977" s="2" t="s">
        <v>227</v>
      </c>
    </row>
    <row r="978" spans="1:3" x14ac:dyDescent="0.2">
      <c r="A978" s="2">
        <v>976</v>
      </c>
      <c r="B978" s="2">
        <f t="shared" ca="1" si="15"/>
        <v>0.6636634573542638</v>
      </c>
      <c r="C978" s="2" t="s">
        <v>227</v>
      </c>
    </row>
    <row r="979" spans="1:3" x14ac:dyDescent="0.2">
      <c r="A979" s="2">
        <v>977</v>
      </c>
      <c r="B979" s="2">
        <f t="shared" ca="1" si="15"/>
        <v>0.8691180980609492</v>
      </c>
      <c r="C979" s="2" t="s">
        <v>227</v>
      </c>
    </row>
    <row r="980" spans="1:3" x14ac:dyDescent="0.2">
      <c r="A980" s="2">
        <v>978</v>
      </c>
      <c r="B980" s="2">
        <f t="shared" ca="1" si="15"/>
        <v>0.72627395596319066</v>
      </c>
      <c r="C980" s="2" t="s">
        <v>227</v>
      </c>
    </row>
    <row r="981" spans="1:3" x14ac:dyDescent="0.2">
      <c r="A981" s="2">
        <v>979</v>
      </c>
      <c r="B981" s="2">
        <f t="shared" ca="1" si="15"/>
        <v>0.79422623535979542</v>
      </c>
      <c r="C981" s="2" t="s">
        <v>227</v>
      </c>
    </row>
    <row r="982" spans="1:3" x14ac:dyDescent="0.2">
      <c r="A982" s="2">
        <v>980</v>
      </c>
      <c r="B982" s="2">
        <f t="shared" ca="1" si="15"/>
        <v>0.50627363025875805</v>
      </c>
      <c r="C982" s="2" t="s">
        <v>226</v>
      </c>
    </row>
    <row r="983" spans="1:3" x14ac:dyDescent="0.2">
      <c r="A983" s="2">
        <v>981</v>
      </c>
      <c r="B983" s="2">
        <f t="shared" ca="1" si="15"/>
        <v>0.66926072614296428</v>
      </c>
      <c r="C983" s="2" t="s">
        <v>226</v>
      </c>
    </row>
    <row r="984" spans="1:3" x14ac:dyDescent="0.2">
      <c r="A984" s="2">
        <v>982</v>
      </c>
      <c r="B984" s="2">
        <f t="shared" ca="1" si="15"/>
        <v>0.9080381599446804</v>
      </c>
      <c r="C984" s="2" t="s">
        <v>227</v>
      </c>
    </row>
    <row r="985" spans="1:3" x14ac:dyDescent="0.2">
      <c r="A985" s="2">
        <v>983</v>
      </c>
      <c r="B985" s="2">
        <f t="shared" ca="1" si="15"/>
        <v>0.69723617335901888</v>
      </c>
      <c r="C985" s="2" t="s">
        <v>227</v>
      </c>
    </row>
    <row r="986" spans="1:3" x14ac:dyDescent="0.2">
      <c r="A986" s="2">
        <v>984</v>
      </c>
      <c r="B986" s="2">
        <f t="shared" ca="1" si="15"/>
        <v>0.79229070589279893</v>
      </c>
      <c r="C986" s="2" t="s">
        <v>226</v>
      </c>
    </row>
    <row r="987" spans="1:3" x14ac:dyDescent="0.2">
      <c r="A987" s="2">
        <v>985</v>
      </c>
      <c r="B987" s="2">
        <f t="shared" ca="1" si="15"/>
        <v>0.48436830312852225</v>
      </c>
      <c r="C987" s="2" t="s">
        <v>226</v>
      </c>
    </row>
    <row r="988" spans="1:3" x14ac:dyDescent="0.2">
      <c r="A988" s="2">
        <v>986</v>
      </c>
      <c r="B988" s="2">
        <f t="shared" ca="1" si="15"/>
        <v>0.73343911685516483</v>
      </c>
      <c r="C988" s="2" t="s">
        <v>227</v>
      </c>
    </row>
    <row r="989" spans="1:3" x14ac:dyDescent="0.2">
      <c r="A989" s="2">
        <v>987</v>
      </c>
      <c r="B989" s="2">
        <f t="shared" ca="1" si="15"/>
        <v>0.73146694149965574</v>
      </c>
      <c r="C989" s="2" t="s">
        <v>226</v>
      </c>
    </row>
    <row r="990" spans="1:3" x14ac:dyDescent="0.2">
      <c r="A990" s="2">
        <v>988</v>
      </c>
      <c r="B990" s="2">
        <f t="shared" ca="1" si="15"/>
        <v>0.55970826227477399</v>
      </c>
      <c r="C990" s="2" t="s">
        <v>226</v>
      </c>
    </row>
    <row r="991" spans="1:3" x14ac:dyDescent="0.2">
      <c r="A991" s="2">
        <v>989</v>
      </c>
      <c r="B991" s="2">
        <f t="shared" ca="1" si="15"/>
        <v>0.71172974565662017</v>
      </c>
      <c r="C991" s="2" t="s">
        <v>227</v>
      </c>
    </row>
    <row r="992" spans="1:3" x14ac:dyDescent="0.2">
      <c r="A992" s="2">
        <v>990</v>
      </c>
      <c r="B992" s="2">
        <f t="shared" ca="1" si="15"/>
        <v>0.50524728337812808</v>
      </c>
      <c r="C992" s="2" t="s">
        <v>226</v>
      </c>
    </row>
    <row r="993" spans="1:3" x14ac:dyDescent="0.2">
      <c r="A993" s="2">
        <v>991</v>
      </c>
      <c r="B993" s="2">
        <f t="shared" ca="1" si="15"/>
        <v>0.58045126837864536</v>
      </c>
      <c r="C993" s="2" t="s">
        <v>227</v>
      </c>
    </row>
    <row r="994" spans="1:3" x14ac:dyDescent="0.2">
      <c r="A994" s="2">
        <v>992</v>
      </c>
      <c r="B994" s="2">
        <f t="shared" ca="1" si="15"/>
        <v>0.56722800948577656</v>
      </c>
      <c r="C994" s="2" t="s">
        <v>226</v>
      </c>
    </row>
    <row r="995" spans="1:3" x14ac:dyDescent="0.2">
      <c r="A995" s="2">
        <v>993</v>
      </c>
      <c r="B995" s="2">
        <f t="shared" ca="1" si="15"/>
        <v>0.71046394718866612</v>
      </c>
      <c r="C995" s="2" t="s">
        <v>227</v>
      </c>
    </row>
    <row r="996" spans="1:3" x14ac:dyDescent="0.2">
      <c r="A996" s="2">
        <v>994</v>
      </c>
      <c r="B996" s="2">
        <f t="shared" ca="1" si="15"/>
        <v>0.75174599926006358</v>
      </c>
      <c r="C996" s="2" t="s">
        <v>227</v>
      </c>
    </row>
    <row r="997" spans="1:3" x14ac:dyDescent="0.2">
      <c r="A997" s="2">
        <v>995</v>
      </c>
      <c r="B997" s="2">
        <f t="shared" ca="1" si="15"/>
        <v>0.51487520679589083</v>
      </c>
      <c r="C997" s="2" t="s">
        <v>226</v>
      </c>
    </row>
    <row r="998" spans="1:3" x14ac:dyDescent="0.2">
      <c r="A998" s="2">
        <v>996</v>
      </c>
      <c r="B998" s="2">
        <f t="shared" ca="1" si="15"/>
        <v>0.72227101614439182</v>
      </c>
      <c r="C998" s="2" t="s">
        <v>227</v>
      </c>
    </row>
    <row r="999" spans="1:3" x14ac:dyDescent="0.2">
      <c r="A999" s="2">
        <v>997</v>
      </c>
      <c r="B999" s="2">
        <f t="shared" ca="1" si="15"/>
        <v>0.57350731340505334</v>
      </c>
      <c r="C999" s="2" t="s">
        <v>226</v>
      </c>
    </row>
    <row r="1000" spans="1:3" x14ac:dyDescent="0.2">
      <c r="A1000" s="2">
        <v>998</v>
      </c>
      <c r="B1000" s="2">
        <f t="shared" ca="1" si="15"/>
        <v>0.99936847872540713</v>
      </c>
      <c r="C1000" s="2" t="s">
        <v>226</v>
      </c>
    </row>
    <row r="1001" spans="1:3" x14ac:dyDescent="0.2">
      <c r="A1001" s="2">
        <v>999</v>
      </c>
      <c r="B1001" s="2">
        <f t="shared" ca="1" si="15"/>
        <v>0.60407854604118594</v>
      </c>
      <c r="C1001" s="2" t="s">
        <v>226</v>
      </c>
    </row>
    <row r="1002" spans="1:3" x14ac:dyDescent="0.2">
      <c r="A1002" s="2">
        <v>1000</v>
      </c>
      <c r="B1002" s="2">
        <f t="shared" ca="1" si="15"/>
        <v>0.53558656524873871</v>
      </c>
      <c r="C1002" s="2" t="s">
        <v>226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1ABE-7E98-B14E-A968-861A5973F123}">
  <sheetPr codeName="Sheet5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231</v>
      </c>
      <c r="C2" s="2" t="s">
        <v>10</v>
      </c>
      <c r="J2" s="4" t="s">
        <v>232</v>
      </c>
      <c r="K2" s="4" t="s">
        <v>229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0.57323095987769768</v>
      </c>
      <c r="C3" s="2" t="str">
        <f ca="1">IF(RAND()&lt;0.5,"Bomb","Bird")</f>
        <v>Bird</v>
      </c>
      <c r="E3" s="2" t="s">
        <v>230</v>
      </c>
      <c r="I3" s="3"/>
      <c r="J3" s="34">
        <f ca="1">F10</f>
        <v>0.99805447470817121</v>
      </c>
      <c r="K3" s="34">
        <f ca="1">E10</f>
        <v>1</v>
      </c>
    </row>
    <row r="4" spans="1:11" x14ac:dyDescent="0.2">
      <c r="A4" s="2">
        <v>2</v>
      </c>
      <c r="B4" s="2">
        <f t="shared" ca="1" si="0"/>
        <v>0.83591916195931137</v>
      </c>
      <c r="C4" s="2" t="s">
        <v>227</v>
      </c>
      <c r="E4" s="31">
        <v>0</v>
      </c>
      <c r="I4" s="34">
        <v>0.03</v>
      </c>
      <c r="J4" s="33">
        <f t="dataTable" ref="J4:K36" dt2D="0" dtr="0" r1="E4" ca="1"/>
        <v>1</v>
      </c>
      <c r="K4" s="33">
        <v>1</v>
      </c>
    </row>
    <row r="5" spans="1:11" x14ac:dyDescent="0.2">
      <c r="A5" s="2">
        <v>3</v>
      </c>
      <c r="B5" s="2">
        <f t="shared" ca="1" si="0"/>
        <v>0.29037997782343555</v>
      </c>
      <c r="C5" s="2" t="s">
        <v>226</v>
      </c>
      <c r="I5" s="34">
        <v>0.06</v>
      </c>
      <c r="J5" s="33">
        <v>1</v>
      </c>
      <c r="K5" s="33">
        <v>1</v>
      </c>
    </row>
    <row r="6" spans="1:11" x14ac:dyDescent="0.2">
      <c r="A6" s="2">
        <v>4</v>
      </c>
      <c r="B6" s="2">
        <f t="shared" ca="1" si="0"/>
        <v>0.51392098306417078</v>
      </c>
      <c r="C6" s="2" t="s">
        <v>227</v>
      </c>
      <c r="E6" s="4" t="s">
        <v>229</v>
      </c>
      <c r="F6" s="4" t="s">
        <v>228</v>
      </c>
      <c r="I6" s="34">
        <v>0.09</v>
      </c>
      <c r="J6" s="33">
        <v>1</v>
      </c>
      <c r="K6" s="33">
        <v>1</v>
      </c>
    </row>
    <row r="7" spans="1:11" x14ac:dyDescent="0.2">
      <c r="A7" s="2">
        <v>5</v>
      </c>
      <c r="B7" s="2">
        <f t="shared" ca="1" si="0"/>
        <v>0.64997634613718047</v>
      </c>
      <c r="C7" s="2" t="s">
        <v>227</v>
      </c>
      <c r="E7" s="32">
        <f ca="1">COUNTIFS(B:B,"&gt;" &amp;E4,C:C,"="&amp;"Bomb")/COUNTIFS(C:C,"="&amp;"Bomb")</f>
        <v>1</v>
      </c>
      <c r="F7" s="32">
        <f ca="1">COUNTIFS(B:B,"&lt;" &amp;E4,C:C,"="&amp;"Bird")/COUNTIFS(C:C,"="&amp;"Bird")</f>
        <v>1.9455252918287938E-3</v>
      </c>
      <c r="I7" s="34">
        <v>0.12</v>
      </c>
      <c r="J7" s="33">
        <v>0.99805068226120852</v>
      </c>
      <c r="K7" s="33">
        <v>1</v>
      </c>
    </row>
    <row r="8" spans="1:11" x14ac:dyDescent="0.2">
      <c r="A8" s="2">
        <v>6</v>
      </c>
      <c r="B8" s="2">
        <f t="shared" ca="1" si="0"/>
        <v>0.67162475222350071</v>
      </c>
      <c r="C8" s="2" t="s">
        <v>227</v>
      </c>
      <c r="I8" s="34">
        <v>0.15</v>
      </c>
      <c r="J8" s="33">
        <v>1</v>
      </c>
      <c r="K8" s="33">
        <v>1</v>
      </c>
    </row>
    <row r="9" spans="1:11" x14ac:dyDescent="0.2">
      <c r="A9" s="2">
        <v>7</v>
      </c>
      <c r="B9" s="2">
        <f t="shared" ca="1" si="0"/>
        <v>0.68730677104127558</v>
      </c>
      <c r="C9" s="2" t="s">
        <v>227</v>
      </c>
      <c r="E9" s="4" t="s">
        <v>229</v>
      </c>
      <c r="F9" s="4" t="s">
        <v>240</v>
      </c>
      <c r="I9" s="34">
        <v>0.18</v>
      </c>
      <c r="J9" s="33">
        <v>0.99610136452241715</v>
      </c>
      <c r="K9" s="33">
        <v>1</v>
      </c>
    </row>
    <row r="10" spans="1:11" x14ac:dyDescent="0.2">
      <c r="A10" s="2">
        <v>8</v>
      </c>
      <c r="B10" s="2">
        <f t="shared" ca="1" si="0"/>
        <v>0.27301904416929546</v>
      </c>
      <c r="C10" s="2" t="s">
        <v>226</v>
      </c>
      <c r="E10" s="31">
        <f ca="1">E7</f>
        <v>1</v>
      </c>
      <c r="F10" s="31">
        <f ca="1">1-F7</f>
        <v>0.99805447470817121</v>
      </c>
      <c r="I10" s="34">
        <v>0.21</v>
      </c>
      <c r="J10" s="33">
        <v>1</v>
      </c>
      <c r="K10" s="33">
        <v>1</v>
      </c>
    </row>
    <row r="11" spans="1:11" x14ac:dyDescent="0.2">
      <c r="A11" s="2">
        <v>9</v>
      </c>
      <c r="B11" s="2">
        <f t="shared" ca="1" si="0"/>
        <v>0.46859351855314479</v>
      </c>
      <c r="C11" s="2" t="s">
        <v>226</v>
      </c>
      <c r="I11" s="34">
        <v>0.24</v>
      </c>
      <c r="J11" s="33">
        <v>0.99416342412451364</v>
      </c>
      <c r="K11" s="33">
        <v>1</v>
      </c>
    </row>
    <row r="12" spans="1:11" x14ac:dyDescent="0.2">
      <c r="A12" s="2">
        <v>10</v>
      </c>
      <c r="B12" s="2">
        <f t="shared" ca="1" si="0"/>
        <v>0.65618134039035714</v>
      </c>
      <c r="C12" s="2" t="s">
        <v>226</v>
      </c>
      <c r="I12" s="34">
        <v>0.27</v>
      </c>
      <c r="J12" s="33">
        <v>0.98440545808966862</v>
      </c>
      <c r="K12" s="33">
        <v>1</v>
      </c>
    </row>
    <row r="13" spans="1:11" x14ac:dyDescent="0.2">
      <c r="A13" s="2">
        <v>11</v>
      </c>
      <c r="B13" s="2">
        <f t="shared" ca="1" si="0"/>
        <v>0.61854384936489903</v>
      </c>
      <c r="C13" s="2" t="s">
        <v>226</v>
      </c>
      <c r="I13" s="34">
        <v>0.3</v>
      </c>
      <c r="J13" s="33">
        <v>0.9688715953307393</v>
      </c>
      <c r="K13" s="33">
        <v>1</v>
      </c>
    </row>
    <row r="14" spans="1:11" x14ac:dyDescent="0.2">
      <c r="A14" s="2">
        <v>12</v>
      </c>
      <c r="B14" s="2">
        <f t="shared" ca="1" si="0"/>
        <v>0.67053174377659985</v>
      </c>
      <c r="C14" s="2" t="s">
        <v>226</v>
      </c>
      <c r="I14" s="34">
        <v>0.33</v>
      </c>
      <c r="J14" s="33">
        <v>0.98054474708171202</v>
      </c>
      <c r="K14" s="33">
        <v>1</v>
      </c>
    </row>
    <row r="15" spans="1:11" x14ac:dyDescent="0.2">
      <c r="A15" s="2">
        <v>13</v>
      </c>
      <c r="B15" s="2">
        <f t="shared" ca="1" si="0"/>
        <v>0.55582208271077893</v>
      </c>
      <c r="C15" s="2" t="s">
        <v>227</v>
      </c>
      <c r="I15" s="34">
        <v>0.36</v>
      </c>
      <c r="J15" s="33">
        <v>0.92397660818713456</v>
      </c>
      <c r="K15" s="33">
        <v>1</v>
      </c>
    </row>
    <row r="16" spans="1:11" x14ac:dyDescent="0.2">
      <c r="A16" s="2">
        <v>14</v>
      </c>
      <c r="B16" s="2">
        <f t="shared" ca="1" si="0"/>
        <v>0.63086481272860462</v>
      </c>
      <c r="C16" s="2" t="s">
        <v>227</v>
      </c>
      <c r="I16" s="34">
        <v>0.39</v>
      </c>
      <c r="J16" s="33">
        <v>0.91228070175438591</v>
      </c>
      <c r="K16" s="33">
        <v>1</v>
      </c>
    </row>
    <row r="17" spans="1:11" x14ac:dyDescent="0.2">
      <c r="A17" s="2">
        <v>15</v>
      </c>
      <c r="B17" s="2">
        <f t="shared" ca="1" si="0"/>
        <v>0.49490895864636997</v>
      </c>
      <c r="C17" s="2" t="s">
        <v>227</v>
      </c>
      <c r="I17" s="34">
        <v>0.42</v>
      </c>
      <c r="J17" s="33">
        <v>0.84824902723735407</v>
      </c>
      <c r="K17" s="33">
        <v>0.99588477366255146</v>
      </c>
    </row>
    <row r="18" spans="1:11" x14ac:dyDescent="0.2">
      <c r="A18" s="2">
        <v>16</v>
      </c>
      <c r="B18" s="2">
        <f t="shared" ca="1" si="0"/>
        <v>0.59077299213098333</v>
      </c>
      <c r="C18" s="2" t="s">
        <v>226</v>
      </c>
      <c r="I18" s="34">
        <v>0.45</v>
      </c>
      <c r="J18" s="33">
        <v>0.82490272373540852</v>
      </c>
      <c r="K18" s="33">
        <v>0.99588477366255146</v>
      </c>
    </row>
    <row r="19" spans="1:11" x14ac:dyDescent="0.2">
      <c r="A19" s="2">
        <v>17</v>
      </c>
      <c r="B19" s="2">
        <f t="shared" ca="1" si="0"/>
        <v>0.6391230288716192</v>
      </c>
      <c r="C19" s="2" t="s">
        <v>227</v>
      </c>
      <c r="I19" s="34">
        <v>0.48</v>
      </c>
      <c r="J19" s="33">
        <v>0.79727095516569202</v>
      </c>
      <c r="K19" s="33">
        <v>0.99178644763860369</v>
      </c>
    </row>
    <row r="20" spans="1:11" x14ac:dyDescent="0.2">
      <c r="A20" s="2">
        <v>18</v>
      </c>
      <c r="B20" s="2">
        <f t="shared" ca="1" si="0"/>
        <v>0.57680838592185446</v>
      </c>
      <c r="C20" s="2" t="s">
        <v>226</v>
      </c>
      <c r="I20" s="34">
        <v>0.51</v>
      </c>
      <c r="J20" s="33">
        <v>0.74658869395711502</v>
      </c>
      <c r="K20" s="33">
        <v>0.9691991786447639</v>
      </c>
    </row>
    <row r="21" spans="1:11" x14ac:dyDescent="0.2">
      <c r="A21" s="2">
        <v>19</v>
      </c>
      <c r="B21" s="2">
        <f t="shared" ca="1" si="0"/>
        <v>0.88825776247547061</v>
      </c>
      <c r="C21" s="2" t="s">
        <v>227</v>
      </c>
      <c r="I21" s="34">
        <v>0.54</v>
      </c>
      <c r="J21" s="33">
        <v>0.64912280701754388</v>
      </c>
      <c r="K21" s="33">
        <v>0.91581108829568791</v>
      </c>
    </row>
    <row r="22" spans="1:11" x14ac:dyDescent="0.2">
      <c r="A22" s="2">
        <v>20</v>
      </c>
      <c r="B22" s="2">
        <f t="shared" ca="1" si="0"/>
        <v>0.75579814010583046</v>
      </c>
      <c r="C22" s="2" t="s">
        <v>227</v>
      </c>
      <c r="I22" s="34">
        <v>0.56999999999999995</v>
      </c>
      <c r="J22" s="33">
        <v>0.58754863813229574</v>
      </c>
      <c r="K22" s="33">
        <v>0.90534979423868311</v>
      </c>
    </row>
    <row r="23" spans="1:11" x14ac:dyDescent="0.2">
      <c r="A23" s="2">
        <v>21</v>
      </c>
      <c r="B23" s="2">
        <f t="shared" ca="1" si="0"/>
        <v>0.6994232560357081</v>
      </c>
      <c r="C23" s="2" t="s">
        <v>227</v>
      </c>
      <c r="I23" s="34">
        <v>0.6</v>
      </c>
      <c r="J23" s="33">
        <v>0.51167315175097272</v>
      </c>
      <c r="K23" s="33">
        <v>0.83950617283950613</v>
      </c>
    </row>
    <row r="24" spans="1:11" x14ac:dyDescent="0.2">
      <c r="A24" s="2">
        <v>22</v>
      </c>
      <c r="B24" s="2">
        <f t="shared" ca="1" si="0"/>
        <v>0.59548380140393242</v>
      </c>
      <c r="C24" s="2" t="s">
        <v>226</v>
      </c>
      <c r="I24" s="34">
        <v>0.63</v>
      </c>
      <c r="J24" s="33">
        <v>0.42884990253411304</v>
      </c>
      <c r="K24" s="33">
        <v>0.74948665297741268</v>
      </c>
    </row>
    <row r="25" spans="1:11" x14ac:dyDescent="0.2">
      <c r="A25" s="2">
        <v>23</v>
      </c>
      <c r="B25" s="2">
        <f t="shared" ca="1" si="0"/>
        <v>0.72443102602207143</v>
      </c>
      <c r="C25" s="2" t="s">
        <v>227</v>
      </c>
      <c r="I25" s="34">
        <v>0.66</v>
      </c>
      <c r="J25" s="33">
        <v>0.32295719844357973</v>
      </c>
      <c r="K25" s="33">
        <v>0.66666666666666663</v>
      </c>
    </row>
    <row r="26" spans="1:11" x14ac:dyDescent="0.2">
      <c r="A26" s="2">
        <v>24</v>
      </c>
      <c r="B26" s="2">
        <f t="shared" ca="1" si="0"/>
        <v>0.88400376077380716</v>
      </c>
      <c r="C26" s="2" t="s">
        <v>227</v>
      </c>
      <c r="I26" s="34">
        <v>0.69</v>
      </c>
      <c r="J26" s="33">
        <v>0.29434697855750491</v>
      </c>
      <c r="K26" s="33">
        <v>0.5420944558521561</v>
      </c>
    </row>
    <row r="27" spans="1:11" x14ac:dyDescent="0.2">
      <c r="A27" s="2">
        <v>25</v>
      </c>
      <c r="B27" s="2">
        <f t="shared" ca="1" si="0"/>
        <v>0.67170459293452478</v>
      </c>
      <c r="C27" s="2" t="s">
        <v>227</v>
      </c>
      <c r="I27" s="34">
        <v>0.72</v>
      </c>
      <c r="J27" s="33">
        <v>0.2042801556420234</v>
      </c>
      <c r="K27" s="33">
        <v>0.3888888888888889</v>
      </c>
    </row>
    <row r="28" spans="1:11" x14ac:dyDescent="0.2">
      <c r="A28" s="2">
        <v>26</v>
      </c>
      <c r="B28" s="2">
        <f t="shared" ca="1" si="0"/>
        <v>0.75841267888478658</v>
      </c>
      <c r="C28" s="2" t="s">
        <v>227</v>
      </c>
      <c r="I28" s="34">
        <v>0.75</v>
      </c>
      <c r="J28" s="33">
        <v>0.1556420233463035</v>
      </c>
      <c r="K28" s="33">
        <v>0.31275720164609055</v>
      </c>
    </row>
    <row r="29" spans="1:11" x14ac:dyDescent="0.2">
      <c r="A29" s="2">
        <v>27</v>
      </c>
      <c r="B29" s="2">
        <f t="shared" ca="1" si="0"/>
        <v>0.30967260225479948</v>
      </c>
      <c r="C29" s="2" t="s">
        <v>226</v>
      </c>
      <c r="I29" s="34">
        <v>0.78</v>
      </c>
      <c r="J29" s="33">
        <v>0.1364522417153996</v>
      </c>
      <c r="K29" s="33">
        <v>0.23408624229979466</v>
      </c>
    </row>
    <row r="30" spans="1:11" x14ac:dyDescent="0.2">
      <c r="A30" s="2">
        <v>28</v>
      </c>
      <c r="B30" s="2">
        <f t="shared" ca="1" si="0"/>
        <v>0.76208871549090096</v>
      </c>
      <c r="C30" s="2" t="s">
        <v>227</v>
      </c>
      <c r="I30" s="34">
        <v>0.81</v>
      </c>
      <c r="J30" s="33">
        <v>7.9766536964980594E-2</v>
      </c>
      <c r="K30" s="33">
        <v>0.12551440329218108</v>
      </c>
    </row>
    <row r="31" spans="1:11" x14ac:dyDescent="0.2">
      <c r="A31" s="2">
        <v>29</v>
      </c>
      <c r="B31" s="2">
        <f t="shared" ca="1" si="0"/>
        <v>0.75943847335374093</v>
      </c>
      <c r="C31" s="2" t="s">
        <v>226</v>
      </c>
      <c r="I31" s="34">
        <v>0.84</v>
      </c>
      <c r="J31" s="33">
        <v>4.8638132295719894E-2</v>
      </c>
      <c r="K31" s="33">
        <v>8.4362139917695478E-2</v>
      </c>
    </row>
    <row r="32" spans="1:11" x14ac:dyDescent="0.2">
      <c r="A32" s="2">
        <v>30</v>
      </c>
      <c r="B32" s="2">
        <f t="shared" ca="1" si="0"/>
        <v>0.83284894417454525</v>
      </c>
      <c r="C32" s="2" t="s">
        <v>227</v>
      </c>
      <c r="I32" s="34">
        <v>0.87</v>
      </c>
      <c r="J32" s="33">
        <v>3.8910505836575848E-2</v>
      </c>
      <c r="K32" s="33">
        <v>3.292181069958848E-2</v>
      </c>
    </row>
    <row r="33" spans="1:11" x14ac:dyDescent="0.2">
      <c r="A33" s="2">
        <v>31</v>
      </c>
      <c r="B33" s="2">
        <f t="shared" ca="1" si="0"/>
        <v>0.62432335635961922</v>
      </c>
      <c r="C33" s="2" t="s">
        <v>227</v>
      </c>
      <c r="I33" s="34">
        <v>0.9</v>
      </c>
      <c r="J33" s="33">
        <v>1.5594541910331383E-2</v>
      </c>
      <c r="K33" s="33">
        <v>3.2854209445585217E-2</v>
      </c>
    </row>
    <row r="34" spans="1:11" x14ac:dyDescent="0.2">
      <c r="A34" s="2">
        <v>32</v>
      </c>
      <c r="B34" s="2">
        <f t="shared" ca="1" si="0"/>
        <v>0.536835156536832</v>
      </c>
      <c r="C34" s="2" t="s">
        <v>226</v>
      </c>
      <c r="I34" s="34">
        <v>0.93</v>
      </c>
      <c r="J34" s="33">
        <v>1.5564202334630295E-2</v>
      </c>
      <c r="K34" s="33">
        <v>8.23045267489712E-3</v>
      </c>
    </row>
    <row r="35" spans="1:11" x14ac:dyDescent="0.2">
      <c r="A35" s="2">
        <v>33</v>
      </c>
      <c r="B35" s="2">
        <f t="shared" ca="1" si="0"/>
        <v>0.62406176091699317</v>
      </c>
      <c r="C35" s="2" t="s">
        <v>226</v>
      </c>
      <c r="I35" s="34">
        <v>0.96</v>
      </c>
      <c r="J35" s="33">
        <v>7.7821011673151474E-3</v>
      </c>
      <c r="K35" s="33">
        <v>4.11522633744856E-3</v>
      </c>
    </row>
    <row r="36" spans="1:11" x14ac:dyDescent="0.2">
      <c r="A36" s="2">
        <v>34</v>
      </c>
      <c r="B36" s="2">
        <f t="shared" ca="1" si="0"/>
        <v>0.51504819565642346</v>
      </c>
      <c r="C36" s="2" t="s">
        <v>226</v>
      </c>
      <c r="I36" s="34">
        <v>0.99</v>
      </c>
      <c r="J36" s="33">
        <v>7.7972709551656916E-3</v>
      </c>
      <c r="K36" s="33">
        <v>0</v>
      </c>
    </row>
    <row r="37" spans="1:11" x14ac:dyDescent="0.2">
      <c r="A37" s="2">
        <v>35</v>
      </c>
      <c r="B37" s="2">
        <f t="shared" ca="1" si="0"/>
        <v>0.71559269860940578</v>
      </c>
      <c r="C37" s="2" t="s">
        <v>227</v>
      </c>
      <c r="I37" s="31"/>
    </row>
    <row r="38" spans="1:11" x14ac:dyDescent="0.2">
      <c r="A38" s="2">
        <v>36</v>
      </c>
      <c r="B38" s="2">
        <f t="shared" ca="1" si="0"/>
        <v>0.81080977870443272</v>
      </c>
      <c r="C38" s="2" t="s">
        <v>226</v>
      </c>
    </row>
    <row r="39" spans="1:11" x14ac:dyDescent="0.2">
      <c r="A39" s="2">
        <v>37</v>
      </c>
      <c r="B39" s="2">
        <f t="shared" ca="1" si="0"/>
        <v>0.74357199672110674</v>
      </c>
      <c r="C39" s="2" t="s">
        <v>226</v>
      </c>
    </row>
    <row r="40" spans="1:11" x14ac:dyDescent="0.2">
      <c r="A40" s="2">
        <v>38</v>
      </c>
      <c r="B40" s="2">
        <f t="shared" ca="1" si="0"/>
        <v>0.57139142730414805</v>
      </c>
      <c r="C40" s="2" t="s">
        <v>227</v>
      </c>
    </row>
    <row r="41" spans="1:11" x14ac:dyDescent="0.2">
      <c r="A41" s="2">
        <v>39</v>
      </c>
      <c r="B41" s="2">
        <f t="shared" ca="1" si="0"/>
        <v>0.8563759696003802</v>
      </c>
      <c r="C41" s="2" t="s">
        <v>226</v>
      </c>
    </row>
    <row r="42" spans="1:11" x14ac:dyDescent="0.2">
      <c r="A42" s="2">
        <v>40</v>
      </c>
      <c r="B42" s="2">
        <f t="shared" ca="1" si="0"/>
        <v>0.84675609806108021</v>
      </c>
      <c r="C42" s="2" t="s">
        <v>227</v>
      </c>
    </row>
    <row r="43" spans="1:11" x14ac:dyDescent="0.2">
      <c r="A43" s="2">
        <v>41</v>
      </c>
      <c r="B43" s="2">
        <f t="shared" ca="1" si="0"/>
        <v>0.62541860230491886</v>
      </c>
      <c r="C43" s="2" t="s">
        <v>226</v>
      </c>
    </row>
    <row r="44" spans="1:11" x14ac:dyDescent="0.2">
      <c r="A44" s="2">
        <v>42</v>
      </c>
      <c r="B44" s="2">
        <f t="shared" ca="1" si="0"/>
        <v>0.73583718851385471</v>
      </c>
      <c r="C44" s="2" t="s">
        <v>226</v>
      </c>
    </row>
    <row r="45" spans="1:11" x14ac:dyDescent="0.2">
      <c r="A45" s="2">
        <v>43</v>
      </c>
      <c r="B45" s="2">
        <f t="shared" ca="1" si="0"/>
        <v>0.90138217148474098</v>
      </c>
      <c r="C45" s="2" t="s">
        <v>226</v>
      </c>
    </row>
    <row r="46" spans="1:11" x14ac:dyDescent="0.2">
      <c r="A46" s="2">
        <v>44</v>
      </c>
      <c r="B46" s="2">
        <f t="shared" ca="1" si="0"/>
        <v>0.49255960589635134</v>
      </c>
      <c r="C46" s="2" t="s">
        <v>226</v>
      </c>
    </row>
    <row r="47" spans="1:11" x14ac:dyDescent="0.2">
      <c r="A47" s="2">
        <v>45</v>
      </c>
      <c r="B47" s="2">
        <f t="shared" ca="1" si="0"/>
        <v>0.58119944252631217</v>
      </c>
      <c r="C47" s="2" t="s">
        <v>226</v>
      </c>
    </row>
    <row r="48" spans="1:11" x14ac:dyDescent="0.2">
      <c r="A48" s="2">
        <v>46</v>
      </c>
      <c r="B48" s="2">
        <f t="shared" ca="1" si="0"/>
        <v>0.76557853706060564</v>
      </c>
      <c r="C48" s="2" t="s">
        <v>227</v>
      </c>
    </row>
    <row r="49" spans="1:3" x14ac:dyDescent="0.2">
      <c r="A49" s="2">
        <v>47</v>
      </c>
      <c r="B49" s="2">
        <f t="shared" ca="1" si="0"/>
        <v>0.69331654434985734</v>
      </c>
      <c r="C49" s="2" t="s">
        <v>227</v>
      </c>
    </row>
    <row r="50" spans="1:3" x14ac:dyDescent="0.2">
      <c r="A50" s="2">
        <v>48</v>
      </c>
      <c r="B50" s="2">
        <f t="shared" ca="1" si="0"/>
        <v>0.59537153024704437</v>
      </c>
      <c r="C50" s="2" t="s">
        <v>226</v>
      </c>
    </row>
    <row r="51" spans="1:3" x14ac:dyDescent="0.2">
      <c r="A51" s="2">
        <v>49</v>
      </c>
      <c r="B51" s="2">
        <f t="shared" ca="1" si="0"/>
        <v>0.65967532568701737</v>
      </c>
      <c r="C51" s="2" t="s">
        <v>227</v>
      </c>
    </row>
    <row r="52" spans="1:3" x14ac:dyDescent="0.2">
      <c r="A52" s="2">
        <v>50</v>
      </c>
      <c r="B52" s="2">
        <f t="shared" ca="1" si="0"/>
        <v>0.62519483095433792</v>
      </c>
      <c r="C52" s="2" t="s">
        <v>227</v>
      </c>
    </row>
    <row r="53" spans="1:3" x14ac:dyDescent="0.2">
      <c r="A53" s="2">
        <v>51</v>
      </c>
      <c r="B53" s="2">
        <f t="shared" ca="1" si="0"/>
        <v>0.82420893512764426</v>
      </c>
      <c r="C53" s="2" t="s">
        <v>227</v>
      </c>
    </row>
    <row r="54" spans="1:3" x14ac:dyDescent="0.2">
      <c r="A54" s="2">
        <v>52</v>
      </c>
      <c r="B54" s="2">
        <f t="shared" ca="1" si="0"/>
        <v>0.58384457749964835</v>
      </c>
      <c r="C54" s="2" t="s">
        <v>226</v>
      </c>
    </row>
    <row r="55" spans="1:3" x14ac:dyDescent="0.2">
      <c r="A55" s="2">
        <v>53</v>
      </c>
      <c r="B55" s="2">
        <f t="shared" ca="1" si="0"/>
        <v>0.68974929988986688</v>
      </c>
      <c r="C55" s="2" t="s">
        <v>226</v>
      </c>
    </row>
    <row r="56" spans="1:3" x14ac:dyDescent="0.2">
      <c r="A56" s="2">
        <v>54</v>
      </c>
      <c r="B56" s="2">
        <f t="shared" ca="1" si="0"/>
        <v>0.87110182683117598</v>
      </c>
      <c r="C56" s="2" t="s">
        <v>227</v>
      </c>
    </row>
    <row r="57" spans="1:3" x14ac:dyDescent="0.2">
      <c r="A57" s="2">
        <v>55</v>
      </c>
      <c r="B57" s="2">
        <f t="shared" ca="1" si="0"/>
        <v>0.6082126003028373</v>
      </c>
      <c r="C57" s="2" t="s">
        <v>227</v>
      </c>
    </row>
    <row r="58" spans="1:3" x14ac:dyDescent="0.2">
      <c r="A58" s="2">
        <v>56</v>
      </c>
      <c r="B58" s="2">
        <f t="shared" ca="1" si="0"/>
        <v>0.52869062801059585</v>
      </c>
      <c r="C58" s="2" t="s">
        <v>227</v>
      </c>
    </row>
    <row r="59" spans="1:3" x14ac:dyDescent="0.2">
      <c r="A59" s="2">
        <v>57</v>
      </c>
      <c r="B59" s="2">
        <f t="shared" ca="1" si="0"/>
        <v>0.79135088067773718</v>
      </c>
      <c r="C59" s="2" t="s">
        <v>226</v>
      </c>
    </row>
    <row r="60" spans="1:3" x14ac:dyDescent="0.2">
      <c r="A60" s="2">
        <v>58</v>
      </c>
      <c r="B60" s="2">
        <f t="shared" ca="1" si="0"/>
        <v>0.86414762686368518</v>
      </c>
      <c r="C60" s="2" t="s">
        <v>227</v>
      </c>
    </row>
    <row r="61" spans="1:3" x14ac:dyDescent="0.2">
      <c r="A61" s="2">
        <v>59</v>
      </c>
      <c r="B61" s="2">
        <f t="shared" ca="1" si="0"/>
        <v>0.71783168465379033</v>
      </c>
      <c r="C61" s="2" t="s">
        <v>227</v>
      </c>
    </row>
    <row r="62" spans="1:3" x14ac:dyDescent="0.2">
      <c r="A62" s="2">
        <v>60</v>
      </c>
      <c r="B62" s="2">
        <f t="shared" ca="1" si="0"/>
        <v>0.71731912693281252</v>
      </c>
      <c r="C62" s="2" t="s">
        <v>226</v>
      </c>
    </row>
    <row r="63" spans="1:3" x14ac:dyDescent="0.2">
      <c r="A63" s="2">
        <v>61</v>
      </c>
      <c r="B63" s="2">
        <f t="shared" ca="1" si="0"/>
        <v>0.75380906248376645</v>
      </c>
      <c r="C63" s="2" t="s">
        <v>226</v>
      </c>
    </row>
    <row r="64" spans="1:3" x14ac:dyDescent="0.2">
      <c r="A64" s="2">
        <v>62</v>
      </c>
      <c r="B64" s="2">
        <f t="shared" ca="1" si="0"/>
        <v>0.71139198270820936</v>
      </c>
      <c r="C64" s="2" t="s">
        <v>226</v>
      </c>
    </row>
    <row r="65" spans="1:3" x14ac:dyDescent="0.2">
      <c r="A65" s="2">
        <v>63</v>
      </c>
      <c r="B65" s="2">
        <f t="shared" ca="1" si="0"/>
        <v>0.48503362208307366</v>
      </c>
      <c r="C65" s="2" t="s">
        <v>227</v>
      </c>
    </row>
    <row r="66" spans="1:3" x14ac:dyDescent="0.2">
      <c r="A66" s="2">
        <v>64</v>
      </c>
      <c r="B66" s="2">
        <f t="shared" ca="1" si="0"/>
        <v>0.53963481239314692</v>
      </c>
      <c r="C66" s="2" t="s">
        <v>227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0.68638323869811668</v>
      </c>
      <c r="C67" s="2" t="s">
        <v>227</v>
      </c>
    </row>
    <row r="68" spans="1:3" x14ac:dyDescent="0.2">
      <c r="A68" s="2">
        <v>66</v>
      </c>
      <c r="B68" s="2">
        <f t="shared" ca="1" si="1"/>
        <v>0.89859757800539863</v>
      </c>
      <c r="C68" s="2" t="s">
        <v>227</v>
      </c>
    </row>
    <row r="69" spans="1:3" x14ac:dyDescent="0.2">
      <c r="A69" s="2">
        <v>67</v>
      </c>
      <c r="B69" s="2">
        <f t="shared" ca="1" si="1"/>
        <v>0.59569029057072176</v>
      </c>
      <c r="C69" s="2" t="s">
        <v>227</v>
      </c>
    </row>
    <row r="70" spans="1:3" x14ac:dyDescent="0.2">
      <c r="A70" s="2">
        <v>68</v>
      </c>
      <c r="B70" s="2">
        <f t="shared" ca="1" si="1"/>
        <v>0.40373338622510435</v>
      </c>
      <c r="C70" s="2" t="s">
        <v>226</v>
      </c>
    </row>
    <row r="71" spans="1:3" x14ac:dyDescent="0.2">
      <c r="A71" s="2">
        <v>69</v>
      </c>
      <c r="B71" s="2">
        <f t="shared" ca="1" si="1"/>
        <v>0.55493669049205141</v>
      </c>
      <c r="C71" s="2" t="s">
        <v>226</v>
      </c>
    </row>
    <row r="72" spans="1:3" x14ac:dyDescent="0.2">
      <c r="A72" s="2">
        <v>70</v>
      </c>
      <c r="B72" s="2">
        <f t="shared" ca="1" si="1"/>
        <v>0.41735271942597452</v>
      </c>
      <c r="C72" s="2" t="s">
        <v>226</v>
      </c>
    </row>
    <row r="73" spans="1:3" x14ac:dyDescent="0.2">
      <c r="A73" s="2">
        <v>71</v>
      </c>
      <c r="B73" s="2">
        <f t="shared" ca="1" si="1"/>
        <v>0.52523938260789516</v>
      </c>
      <c r="C73" s="2" t="s">
        <v>226</v>
      </c>
    </row>
    <row r="74" spans="1:3" x14ac:dyDescent="0.2">
      <c r="A74" s="2">
        <v>72</v>
      </c>
      <c r="B74" s="2">
        <f t="shared" ca="1" si="1"/>
        <v>0.79511361504269529</v>
      </c>
      <c r="C74" s="2" t="s">
        <v>226</v>
      </c>
    </row>
    <row r="75" spans="1:3" x14ac:dyDescent="0.2">
      <c r="A75" s="2">
        <v>73</v>
      </c>
      <c r="B75" s="2">
        <f t="shared" ca="1" si="1"/>
        <v>0.62289081012232628</v>
      </c>
      <c r="C75" s="2" t="s">
        <v>227</v>
      </c>
    </row>
    <row r="76" spans="1:3" x14ac:dyDescent="0.2">
      <c r="A76" s="2">
        <v>74</v>
      </c>
      <c r="B76" s="2">
        <f t="shared" ca="1" si="1"/>
        <v>0.71273425535744217</v>
      </c>
      <c r="C76" s="2" t="s">
        <v>227</v>
      </c>
    </row>
    <row r="77" spans="1:3" x14ac:dyDescent="0.2">
      <c r="A77" s="2">
        <v>75</v>
      </c>
      <c r="B77" s="2">
        <f t="shared" ca="1" si="1"/>
        <v>0.75841423390609797</v>
      </c>
      <c r="C77" s="2" t="s">
        <v>227</v>
      </c>
    </row>
    <row r="78" spans="1:3" x14ac:dyDescent="0.2">
      <c r="A78" s="2">
        <v>76</v>
      </c>
      <c r="B78" s="2">
        <f t="shared" ca="1" si="1"/>
        <v>0.7136728032023536</v>
      </c>
      <c r="C78" s="2" t="s">
        <v>227</v>
      </c>
    </row>
    <row r="79" spans="1:3" x14ac:dyDescent="0.2">
      <c r="A79" s="2">
        <v>77</v>
      </c>
      <c r="B79" s="2">
        <f t="shared" ca="1" si="1"/>
        <v>0.8963150667189389</v>
      </c>
      <c r="C79" s="2" t="s">
        <v>226</v>
      </c>
    </row>
    <row r="80" spans="1:3" x14ac:dyDescent="0.2">
      <c r="A80" s="2">
        <v>78</v>
      </c>
      <c r="B80" s="2">
        <f t="shared" ca="1" si="1"/>
        <v>0.74098802273978692</v>
      </c>
      <c r="C80" s="2" t="s">
        <v>227</v>
      </c>
    </row>
    <row r="81" spans="1:3" x14ac:dyDescent="0.2">
      <c r="A81" s="2">
        <v>79</v>
      </c>
      <c r="B81" s="2">
        <f t="shared" ca="1" si="1"/>
        <v>0.53933719271551017</v>
      </c>
      <c r="C81" s="2" t="s">
        <v>226</v>
      </c>
    </row>
    <row r="82" spans="1:3" x14ac:dyDescent="0.2">
      <c r="A82" s="2">
        <v>80</v>
      </c>
      <c r="B82" s="2">
        <f t="shared" ca="1" si="1"/>
        <v>0.73932930763035809</v>
      </c>
      <c r="C82" s="2" t="s">
        <v>227</v>
      </c>
    </row>
    <row r="83" spans="1:3" x14ac:dyDescent="0.2">
      <c r="A83" s="2">
        <v>81</v>
      </c>
      <c r="B83" s="2">
        <f t="shared" ca="1" si="1"/>
        <v>0.71050637502926361</v>
      </c>
      <c r="C83" s="2" t="s">
        <v>227</v>
      </c>
    </row>
    <row r="84" spans="1:3" x14ac:dyDescent="0.2">
      <c r="A84" s="2">
        <v>82</v>
      </c>
      <c r="B84" s="2">
        <f t="shared" ca="1" si="1"/>
        <v>0.63473233899085502</v>
      </c>
      <c r="C84" s="2" t="s">
        <v>226</v>
      </c>
    </row>
    <row r="85" spans="1:3" x14ac:dyDescent="0.2">
      <c r="A85" s="2">
        <v>83</v>
      </c>
      <c r="B85" s="2">
        <f t="shared" ca="1" si="1"/>
        <v>0.65179734420695157</v>
      </c>
      <c r="C85" s="2" t="s">
        <v>227</v>
      </c>
    </row>
    <row r="86" spans="1:3" x14ac:dyDescent="0.2">
      <c r="A86" s="2">
        <v>84</v>
      </c>
      <c r="B86" s="2">
        <f t="shared" ca="1" si="1"/>
        <v>0.55660576778865567</v>
      </c>
      <c r="C86" s="2" t="s">
        <v>227</v>
      </c>
    </row>
    <row r="87" spans="1:3" x14ac:dyDescent="0.2">
      <c r="A87" s="2">
        <v>85</v>
      </c>
      <c r="B87" s="2">
        <f t="shared" ca="1" si="1"/>
        <v>0.64767909739876317</v>
      </c>
      <c r="C87" s="2" t="s">
        <v>226</v>
      </c>
    </row>
    <row r="88" spans="1:3" x14ac:dyDescent="0.2">
      <c r="A88" s="2">
        <v>86</v>
      </c>
      <c r="B88" s="2">
        <f t="shared" ca="1" si="1"/>
        <v>0.59605729516339101</v>
      </c>
      <c r="C88" s="2" t="s">
        <v>226</v>
      </c>
    </row>
    <row r="89" spans="1:3" x14ac:dyDescent="0.2">
      <c r="A89" s="2">
        <v>87</v>
      </c>
      <c r="B89" s="2">
        <f t="shared" ca="1" si="1"/>
        <v>0.68088753408537728</v>
      </c>
      <c r="C89" s="2" t="s">
        <v>226</v>
      </c>
    </row>
    <row r="90" spans="1:3" x14ac:dyDescent="0.2">
      <c r="A90" s="2">
        <v>88</v>
      </c>
      <c r="B90" s="2">
        <f t="shared" ca="1" si="1"/>
        <v>0.64570814752306982</v>
      </c>
      <c r="C90" s="2" t="s">
        <v>226</v>
      </c>
    </row>
    <row r="91" spans="1:3" x14ac:dyDescent="0.2">
      <c r="A91" s="2">
        <v>89</v>
      </c>
      <c r="B91" s="2">
        <f t="shared" ca="1" si="1"/>
        <v>0.80905425741783854</v>
      </c>
      <c r="C91" s="2" t="s">
        <v>226</v>
      </c>
    </row>
    <row r="92" spans="1:3" x14ac:dyDescent="0.2">
      <c r="A92" s="2">
        <v>90</v>
      </c>
      <c r="B92" s="2">
        <f t="shared" ca="1" si="1"/>
        <v>0.73695974729690761</v>
      </c>
      <c r="C92" s="2" t="s">
        <v>227</v>
      </c>
    </row>
    <row r="93" spans="1:3" x14ac:dyDescent="0.2">
      <c r="A93" s="2">
        <v>91</v>
      </c>
      <c r="B93" s="2">
        <f t="shared" ca="1" si="1"/>
        <v>0.59147248120447526</v>
      </c>
      <c r="C93" s="2" t="s">
        <v>227</v>
      </c>
    </row>
    <row r="94" spans="1:3" x14ac:dyDescent="0.2">
      <c r="A94" s="2">
        <v>92</v>
      </c>
      <c r="B94" s="2">
        <f t="shared" ca="1" si="1"/>
        <v>0.17734571924884568</v>
      </c>
      <c r="C94" s="2" t="s">
        <v>226</v>
      </c>
    </row>
    <row r="95" spans="1:3" x14ac:dyDescent="0.2">
      <c r="A95" s="2">
        <v>93</v>
      </c>
      <c r="B95" s="2">
        <f t="shared" ca="1" si="1"/>
        <v>0.55871808041211235</v>
      </c>
      <c r="C95" s="2" t="s">
        <v>227</v>
      </c>
    </row>
    <row r="96" spans="1:3" x14ac:dyDescent="0.2">
      <c r="A96" s="2">
        <v>94</v>
      </c>
      <c r="B96" s="2">
        <f t="shared" ca="1" si="1"/>
        <v>0.77895891559031372</v>
      </c>
      <c r="C96" s="2" t="s">
        <v>227</v>
      </c>
    </row>
    <row r="97" spans="1:3" x14ac:dyDescent="0.2">
      <c r="A97" s="2">
        <v>95</v>
      </c>
      <c r="B97" s="2">
        <f t="shared" ca="1" si="1"/>
        <v>0.51563050210067241</v>
      </c>
      <c r="C97" s="2" t="s">
        <v>226</v>
      </c>
    </row>
    <row r="98" spans="1:3" x14ac:dyDescent="0.2">
      <c r="A98" s="2">
        <v>96</v>
      </c>
      <c r="B98" s="2">
        <f t="shared" ca="1" si="1"/>
        <v>0.5788863053705906</v>
      </c>
      <c r="C98" s="2" t="s">
        <v>226</v>
      </c>
    </row>
    <row r="99" spans="1:3" x14ac:dyDescent="0.2">
      <c r="A99" s="2">
        <v>97</v>
      </c>
      <c r="B99" s="2">
        <f t="shared" ca="1" si="1"/>
        <v>0.65878108221182041</v>
      </c>
      <c r="C99" s="2" t="s">
        <v>227</v>
      </c>
    </row>
    <row r="100" spans="1:3" x14ac:dyDescent="0.2">
      <c r="A100" s="2">
        <v>98</v>
      </c>
      <c r="B100" s="2">
        <f t="shared" ca="1" si="1"/>
        <v>0.71849193141745571</v>
      </c>
      <c r="C100" s="2" t="s">
        <v>227</v>
      </c>
    </row>
    <row r="101" spans="1:3" x14ac:dyDescent="0.2">
      <c r="A101" s="2">
        <v>99</v>
      </c>
      <c r="B101" s="2">
        <f t="shared" ca="1" si="1"/>
        <v>0.76663234221546839</v>
      </c>
      <c r="C101" s="2" t="s">
        <v>227</v>
      </c>
    </row>
    <row r="102" spans="1:3" x14ac:dyDescent="0.2">
      <c r="A102" s="2">
        <v>100</v>
      </c>
      <c r="B102" s="2">
        <f t="shared" ca="1" si="1"/>
        <v>0.81432508427244776</v>
      </c>
      <c r="C102" s="2" t="s">
        <v>226</v>
      </c>
    </row>
    <row r="103" spans="1:3" x14ac:dyDescent="0.2">
      <c r="A103" s="2">
        <v>101</v>
      </c>
      <c r="B103" s="2">
        <f t="shared" ca="1" si="1"/>
        <v>0.69308479079844187</v>
      </c>
      <c r="C103" s="2" t="s">
        <v>227</v>
      </c>
    </row>
    <row r="104" spans="1:3" x14ac:dyDescent="0.2">
      <c r="A104" s="2">
        <v>102</v>
      </c>
      <c r="B104" s="2">
        <f t="shared" ca="1" si="1"/>
        <v>0.75680480211856649</v>
      </c>
      <c r="C104" s="2" t="s">
        <v>226</v>
      </c>
    </row>
    <row r="105" spans="1:3" x14ac:dyDescent="0.2">
      <c r="A105" s="2">
        <v>103</v>
      </c>
      <c r="B105" s="2">
        <f t="shared" ca="1" si="1"/>
        <v>0.43244761064107329</v>
      </c>
      <c r="C105" s="2" t="s">
        <v>226</v>
      </c>
    </row>
    <row r="106" spans="1:3" x14ac:dyDescent="0.2">
      <c r="A106" s="2">
        <v>104</v>
      </c>
      <c r="B106" s="2">
        <f t="shared" ca="1" si="1"/>
        <v>0.65605250339549137</v>
      </c>
      <c r="C106" s="2" t="s">
        <v>226</v>
      </c>
    </row>
    <row r="107" spans="1:3" x14ac:dyDescent="0.2">
      <c r="A107" s="2">
        <v>105</v>
      </c>
      <c r="B107" s="2">
        <f t="shared" ca="1" si="1"/>
        <v>0.56425891865632272</v>
      </c>
      <c r="C107" s="2" t="s">
        <v>227</v>
      </c>
    </row>
    <row r="108" spans="1:3" x14ac:dyDescent="0.2">
      <c r="A108" s="2">
        <v>106</v>
      </c>
      <c r="B108" s="2">
        <f t="shared" ca="1" si="1"/>
        <v>0.57990273297513351</v>
      </c>
      <c r="C108" s="2" t="s">
        <v>226</v>
      </c>
    </row>
    <row r="109" spans="1:3" x14ac:dyDescent="0.2">
      <c r="A109" s="2">
        <v>107</v>
      </c>
      <c r="B109" s="2">
        <f t="shared" ca="1" si="1"/>
        <v>0.82765160328369158</v>
      </c>
      <c r="C109" s="2" t="s">
        <v>226</v>
      </c>
    </row>
    <row r="110" spans="1:3" x14ac:dyDescent="0.2">
      <c r="A110" s="2">
        <v>108</v>
      </c>
      <c r="B110" s="2">
        <f t="shared" ca="1" si="1"/>
        <v>0.72081422974880083</v>
      </c>
      <c r="C110" s="2" t="s">
        <v>226</v>
      </c>
    </row>
    <row r="111" spans="1:3" x14ac:dyDescent="0.2">
      <c r="A111" s="2">
        <v>109</v>
      </c>
      <c r="B111" s="2">
        <f t="shared" ca="1" si="1"/>
        <v>0.73166904173589398</v>
      </c>
      <c r="C111" s="2" t="s">
        <v>226</v>
      </c>
    </row>
    <row r="112" spans="1:3" x14ac:dyDescent="0.2">
      <c r="A112" s="2">
        <v>110</v>
      </c>
      <c r="B112" s="2">
        <f t="shared" ca="1" si="1"/>
        <v>0.50479195411492106</v>
      </c>
      <c r="C112" s="2" t="s">
        <v>226</v>
      </c>
    </row>
    <row r="113" spans="1:3" x14ac:dyDescent="0.2">
      <c r="A113" s="2">
        <v>111</v>
      </c>
      <c r="B113" s="2">
        <f t="shared" ca="1" si="1"/>
        <v>0.64122617083490885</v>
      </c>
      <c r="C113" s="2" t="s">
        <v>227</v>
      </c>
    </row>
    <row r="114" spans="1:3" x14ac:dyDescent="0.2">
      <c r="A114" s="2">
        <v>112</v>
      </c>
      <c r="B114" s="2">
        <f t="shared" ca="1" si="1"/>
        <v>0.86315826744621682</v>
      </c>
      <c r="C114" s="2" t="s">
        <v>226</v>
      </c>
    </row>
    <row r="115" spans="1:3" x14ac:dyDescent="0.2">
      <c r="A115" s="2">
        <v>113</v>
      </c>
      <c r="B115" s="2">
        <f t="shared" ca="1" si="1"/>
        <v>0.40147656777152496</v>
      </c>
      <c r="C115" s="2" t="s">
        <v>226</v>
      </c>
    </row>
    <row r="116" spans="1:3" x14ac:dyDescent="0.2">
      <c r="A116" s="2">
        <v>114</v>
      </c>
      <c r="B116" s="2">
        <f t="shared" ca="1" si="1"/>
        <v>0.53856182988588353</v>
      </c>
      <c r="C116" s="2" t="s">
        <v>226</v>
      </c>
    </row>
    <row r="117" spans="1:3" x14ac:dyDescent="0.2">
      <c r="A117" s="2">
        <v>115</v>
      </c>
      <c r="B117" s="2">
        <f t="shared" ca="1" si="1"/>
        <v>0.76921035158075979</v>
      </c>
      <c r="C117" s="2" t="s">
        <v>226</v>
      </c>
    </row>
    <row r="118" spans="1:3" x14ac:dyDescent="0.2">
      <c r="A118" s="2">
        <v>116</v>
      </c>
      <c r="B118" s="2">
        <f t="shared" ca="1" si="1"/>
        <v>0.80577924666403045</v>
      </c>
      <c r="C118" s="2" t="s">
        <v>226</v>
      </c>
    </row>
    <row r="119" spans="1:3" x14ac:dyDescent="0.2">
      <c r="A119" s="2">
        <v>117</v>
      </c>
      <c r="B119" s="2">
        <f t="shared" ca="1" si="1"/>
        <v>0.44455170131441035</v>
      </c>
      <c r="C119" s="2" t="s">
        <v>226</v>
      </c>
    </row>
    <row r="120" spans="1:3" x14ac:dyDescent="0.2">
      <c r="A120" s="2">
        <v>118</v>
      </c>
      <c r="B120" s="2">
        <f t="shared" ca="1" si="1"/>
        <v>0.59259208389098394</v>
      </c>
      <c r="C120" s="2" t="s">
        <v>226</v>
      </c>
    </row>
    <row r="121" spans="1:3" x14ac:dyDescent="0.2">
      <c r="A121" s="2">
        <v>119</v>
      </c>
      <c r="B121" s="2">
        <f t="shared" ca="1" si="1"/>
        <v>0.64382632124219052</v>
      </c>
      <c r="C121" s="2" t="s">
        <v>226</v>
      </c>
    </row>
    <row r="122" spans="1:3" x14ac:dyDescent="0.2">
      <c r="A122" s="2">
        <v>120</v>
      </c>
      <c r="B122" s="2">
        <f t="shared" ca="1" si="1"/>
        <v>0.76497042705892704</v>
      </c>
      <c r="C122" s="2" t="s">
        <v>227</v>
      </c>
    </row>
    <row r="123" spans="1:3" x14ac:dyDescent="0.2">
      <c r="A123" s="2">
        <v>121</v>
      </c>
      <c r="B123" s="2">
        <f t="shared" ca="1" si="1"/>
        <v>0.59030683851719501</v>
      </c>
      <c r="C123" s="2" t="s">
        <v>227</v>
      </c>
    </row>
    <row r="124" spans="1:3" x14ac:dyDescent="0.2">
      <c r="A124" s="2">
        <v>122</v>
      </c>
      <c r="B124" s="2">
        <f t="shared" ca="1" si="1"/>
        <v>0.36352634852733312</v>
      </c>
      <c r="C124" s="2" t="s">
        <v>226</v>
      </c>
    </row>
    <row r="125" spans="1:3" x14ac:dyDescent="0.2">
      <c r="A125" s="2">
        <v>123</v>
      </c>
      <c r="B125" s="2">
        <f t="shared" ca="1" si="1"/>
        <v>0.82368604729039041</v>
      </c>
      <c r="C125" s="2" t="s">
        <v>227</v>
      </c>
    </row>
    <row r="126" spans="1:3" x14ac:dyDescent="0.2">
      <c r="A126" s="2">
        <v>124</v>
      </c>
      <c r="B126" s="2">
        <f t="shared" ca="1" si="1"/>
        <v>0.8111453871203087</v>
      </c>
      <c r="C126" s="2" t="s">
        <v>227</v>
      </c>
    </row>
    <row r="127" spans="1:3" x14ac:dyDescent="0.2">
      <c r="A127" s="2">
        <v>125</v>
      </c>
      <c r="B127" s="2">
        <f t="shared" ca="1" si="1"/>
        <v>0.53205935789052905</v>
      </c>
      <c r="C127" s="2" t="s">
        <v>226</v>
      </c>
    </row>
    <row r="128" spans="1:3" x14ac:dyDescent="0.2">
      <c r="A128" s="2">
        <v>126</v>
      </c>
      <c r="B128" s="2">
        <f t="shared" ca="1" si="1"/>
        <v>0.60595834463279019</v>
      </c>
      <c r="C128" s="2" t="s">
        <v>226</v>
      </c>
    </row>
    <row r="129" spans="1:3" x14ac:dyDescent="0.2">
      <c r="A129" s="2">
        <v>127</v>
      </c>
      <c r="B129" s="2">
        <f t="shared" ca="1" si="1"/>
        <v>0.77972839774627245</v>
      </c>
      <c r="C129" s="2" t="s">
        <v>226</v>
      </c>
    </row>
    <row r="130" spans="1:3" x14ac:dyDescent="0.2">
      <c r="A130" s="2">
        <v>128</v>
      </c>
      <c r="B130" s="2">
        <f t="shared" ca="1" si="1"/>
        <v>0.4681076929719753</v>
      </c>
      <c r="C130" s="2" t="s">
        <v>226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0.62558259005720174</v>
      </c>
      <c r="C131" s="2" t="s">
        <v>226</v>
      </c>
    </row>
    <row r="132" spans="1:3" x14ac:dyDescent="0.2">
      <c r="A132" s="2">
        <v>130</v>
      </c>
      <c r="B132" s="2">
        <f t="shared" ca="1" si="2"/>
        <v>0.74152427028738943</v>
      </c>
      <c r="C132" s="2" t="s">
        <v>227</v>
      </c>
    </row>
    <row r="133" spans="1:3" x14ac:dyDescent="0.2">
      <c r="A133" s="2">
        <v>131</v>
      </c>
      <c r="B133" s="2">
        <f t="shared" ca="1" si="2"/>
        <v>0.73605652079650119</v>
      </c>
      <c r="C133" s="2" t="s">
        <v>227</v>
      </c>
    </row>
    <row r="134" spans="1:3" x14ac:dyDescent="0.2">
      <c r="A134" s="2">
        <v>132</v>
      </c>
      <c r="B134" s="2">
        <f t="shared" ca="1" si="2"/>
        <v>0.72995711274572406</v>
      </c>
      <c r="C134" s="2" t="s">
        <v>227</v>
      </c>
    </row>
    <row r="135" spans="1:3" x14ac:dyDescent="0.2">
      <c r="A135" s="2">
        <v>133</v>
      </c>
      <c r="B135" s="2">
        <f t="shared" ca="1" si="2"/>
        <v>0.67913365865493958</v>
      </c>
      <c r="C135" s="2" t="s">
        <v>227</v>
      </c>
    </row>
    <row r="136" spans="1:3" x14ac:dyDescent="0.2">
      <c r="A136" s="2">
        <v>134</v>
      </c>
      <c r="B136" s="2">
        <f t="shared" ca="1" si="2"/>
        <v>0.61113644832225134</v>
      </c>
      <c r="C136" s="2" t="s">
        <v>226</v>
      </c>
    </row>
    <row r="137" spans="1:3" x14ac:dyDescent="0.2">
      <c r="A137" s="2">
        <v>135</v>
      </c>
      <c r="B137" s="2">
        <f t="shared" ca="1" si="2"/>
        <v>0.62433601727359667</v>
      </c>
      <c r="C137" s="2" t="s">
        <v>227</v>
      </c>
    </row>
    <row r="138" spans="1:3" x14ac:dyDescent="0.2">
      <c r="A138" s="2">
        <v>136</v>
      </c>
      <c r="B138" s="2">
        <f t="shared" ca="1" si="2"/>
        <v>0.6281999477338549</v>
      </c>
      <c r="C138" s="2" t="s">
        <v>227</v>
      </c>
    </row>
    <row r="139" spans="1:3" x14ac:dyDescent="0.2">
      <c r="A139" s="2">
        <v>137</v>
      </c>
      <c r="B139" s="2">
        <f t="shared" ca="1" si="2"/>
        <v>0.54727570049580876</v>
      </c>
      <c r="C139" s="2" t="s">
        <v>226</v>
      </c>
    </row>
    <row r="140" spans="1:3" x14ac:dyDescent="0.2">
      <c r="A140" s="2">
        <v>138</v>
      </c>
      <c r="B140" s="2">
        <f t="shared" ca="1" si="2"/>
        <v>0.63402115889893751</v>
      </c>
      <c r="C140" s="2" t="s">
        <v>227</v>
      </c>
    </row>
    <row r="141" spans="1:3" x14ac:dyDescent="0.2">
      <c r="A141" s="2">
        <v>139</v>
      </c>
      <c r="B141" s="2">
        <f t="shared" ca="1" si="2"/>
        <v>0.53451570583382946</v>
      </c>
      <c r="C141" s="2" t="s">
        <v>226</v>
      </c>
    </row>
    <row r="142" spans="1:3" x14ac:dyDescent="0.2">
      <c r="A142" s="2">
        <v>140</v>
      </c>
      <c r="B142" s="2">
        <f t="shared" ca="1" si="2"/>
        <v>0.29411581757190891</v>
      </c>
      <c r="C142" s="2" t="s">
        <v>226</v>
      </c>
    </row>
    <row r="143" spans="1:3" x14ac:dyDescent="0.2">
      <c r="A143" s="2">
        <v>141</v>
      </c>
      <c r="B143" s="2">
        <f t="shared" ca="1" si="2"/>
        <v>0.7470600491766789</v>
      </c>
      <c r="C143" s="2" t="s">
        <v>226</v>
      </c>
    </row>
    <row r="144" spans="1:3" x14ac:dyDescent="0.2">
      <c r="A144" s="2">
        <v>142</v>
      </c>
      <c r="B144" s="2">
        <f t="shared" ca="1" si="2"/>
        <v>0.71492090540849185</v>
      </c>
      <c r="C144" s="2" t="s">
        <v>227</v>
      </c>
    </row>
    <row r="145" spans="1:3" x14ac:dyDescent="0.2">
      <c r="A145" s="2">
        <v>143</v>
      </c>
      <c r="B145" s="2">
        <f t="shared" ca="1" si="2"/>
        <v>0.52740722561447495</v>
      </c>
      <c r="C145" s="2" t="s">
        <v>226</v>
      </c>
    </row>
    <row r="146" spans="1:3" x14ac:dyDescent="0.2">
      <c r="A146" s="2">
        <v>144</v>
      </c>
      <c r="B146" s="2">
        <f t="shared" ca="1" si="2"/>
        <v>0.76604363799250186</v>
      </c>
      <c r="C146" s="2" t="s">
        <v>227</v>
      </c>
    </row>
    <row r="147" spans="1:3" x14ac:dyDescent="0.2">
      <c r="A147" s="2">
        <v>145</v>
      </c>
      <c r="B147" s="2">
        <f t="shared" ca="1" si="2"/>
        <v>0.43685903271222581</v>
      </c>
      <c r="C147" s="2" t="s">
        <v>226</v>
      </c>
    </row>
    <row r="148" spans="1:3" x14ac:dyDescent="0.2">
      <c r="A148" s="2">
        <v>146</v>
      </c>
      <c r="B148" s="2">
        <f t="shared" ca="1" si="2"/>
        <v>0.3044821220281953</v>
      </c>
      <c r="C148" s="2" t="s">
        <v>226</v>
      </c>
    </row>
    <row r="149" spans="1:3" x14ac:dyDescent="0.2">
      <c r="A149" s="2">
        <v>147</v>
      </c>
      <c r="B149" s="2">
        <f t="shared" ca="1" si="2"/>
        <v>0.68343890461560375</v>
      </c>
      <c r="C149" s="2" t="s">
        <v>227</v>
      </c>
    </row>
    <row r="150" spans="1:3" x14ac:dyDescent="0.2">
      <c r="A150" s="2">
        <v>148</v>
      </c>
      <c r="B150" s="2">
        <f t="shared" ca="1" si="2"/>
        <v>0.50120546030542001</v>
      </c>
      <c r="C150" s="2" t="s">
        <v>226</v>
      </c>
    </row>
    <row r="151" spans="1:3" x14ac:dyDescent="0.2">
      <c r="A151" s="2">
        <v>149</v>
      </c>
      <c r="B151" s="2">
        <f t="shared" ca="1" si="2"/>
        <v>0.52406827273983958</v>
      </c>
      <c r="C151" s="2" t="s">
        <v>226</v>
      </c>
    </row>
    <row r="152" spans="1:3" x14ac:dyDescent="0.2">
      <c r="A152" s="2">
        <v>150</v>
      </c>
      <c r="B152" s="2">
        <f t="shared" ca="1" si="2"/>
        <v>0.46243517865860462</v>
      </c>
      <c r="C152" s="2" t="s">
        <v>226</v>
      </c>
    </row>
    <row r="153" spans="1:3" x14ac:dyDescent="0.2">
      <c r="A153" s="2">
        <v>151</v>
      </c>
      <c r="B153" s="2">
        <f t="shared" ca="1" si="2"/>
        <v>0.6853382206114208</v>
      </c>
      <c r="C153" s="2" t="s">
        <v>227</v>
      </c>
    </row>
    <row r="154" spans="1:3" x14ac:dyDescent="0.2">
      <c r="A154" s="2">
        <v>152</v>
      </c>
      <c r="B154" s="2">
        <f t="shared" ca="1" si="2"/>
        <v>0.67582135047948744</v>
      </c>
      <c r="C154" s="2" t="s">
        <v>227</v>
      </c>
    </row>
    <row r="155" spans="1:3" x14ac:dyDescent="0.2">
      <c r="A155" s="2">
        <v>153</v>
      </c>
      <c r="B155" s="2">
        <f t="shared" ca="1" si="2"/>
        <v>0.67336810055969676</v>
      </c>
      <c r="C155" s="2" t="s">
        <v>227</v>
      </c>
    </row>
    <row r="156" spans="1:3" x14ac:dyDescent="0.2">
      <c r="A156" s="2">
        <v>154</v>
      </c>
      <c r="B156" s="2">
        <f t="shared" ca="1" si="2"/>
        <v>0.55211765180386163</v>
      </c>
      <c r="C156" s="2" t="s">
        <v>226</v>
      </c>
    </row>
    <row r="157" spans="1:3" x14ac:dyDescent="0.2">
      <c r="A157" s="2">
        <v>155</v>
      </c>
      <c r="B157" s="2">
        <f t="shared" ca="1" si="2"/>
        <v>0.77580222744680527</v>
      </c>
      <c r="C157" s="2" t="s">
        <v>227</v>
      </c>
    </row>
    <row r="158" spans="1:3" x14ac:dyDescent="0.2">
      <c r="A158" s="2">
        <v>156</v>
      </c>
      <c r="B158" s="2">
        <f t="shared" ca="1" si="2"/>
        <v>0.77555703220410477</v>
      </c>
      <c r="C158" s="2" t="s">
        <v>227</v>
      </c>
    </row>
    <row r="159" spans="1:3" x14ac:dyDescent="0.2">
      <c r="A159" s="2">
        <v>157</v>
      </c>
      <c r="B159" s="2">
        <f t="shared" ca="1" si="2"/>
        <v>0.7009155364688413</v>
      </c>
      <c r="C159" s="2" t="s">
        <v>226</v>
      </c>
    </row>
    <row r="160" spans="1:3" x14ac:dyDescent="0.2">
      <c r="A160" s="2">
        <v>158</v>
      </c>
      <c r="B160" s="2">
        <f t="shared" ca="1" si="2"/>
        <v>0.71134751982181466</v>
      </c>
      <c r="C160" s="2" t="s">
        <v>226</v>
      </c>
    </row>
    <row r="161" spans="1:3" x14ac:dyDescent="0.2">
      <c r="A161" s="2">
        <v>159</v>
      </c>
      <c r="B161" s="2">
        <f t="shared" ca="1" si="2"/>
        <v>0.76848201234529034</v>
      </c>
      <c r="C161" s="2" t="s">
        <v>227</v>
      </c>
    </row>
    <row r="162" spans="1:3" x14ac:dyDescent="0.2">
      <c r="A162" s="2">
        <v>160</v>
      </c>
      <c r="B162" s="2">
        <f t="shared" ca="1" si="2"/>
        <v>0.81915180313110336</v>
      </c>
      <c r="C162" s="2" t="s">
        <v>227</v>
      </c>
    </row>
    <row r="163" spans="1:3" x14ac:dyDescent="0.2">
      <c r="A163" s="2">
        <v>161</v>
      </c>
      <c r="B163" s="2">
        <f t="shared" ca="1" si="2"/>
        <v>0.81790746378183454</v>
      </c>
      <c r="C163" s="2" t="s">
        <v>227</v>
      </c>
    </row>
    <row r="164" spans="1:3" x14ac:dyDescent="0.2">
      <c r="A164" s="2">
        <v>162</v>
      </c>
      <c r="B164" s="2">
        <f t="shared" ca="1" si="2"/>
        <v>0.6978089219497744</v>
      </c>
      <c r="C164" s="2" t="s">
        <v>226</v>
      </c>
    </row>
    <row r="165" spans="1:3" x14ac:dyDescent="0.2">
      <c r="A165" s="2">
        <v>163</v>
      </c>
      <c r="B165" s="2">
        <f t="shared" ca="1" si="2"/>
        <v>0.59193987553676264</v>
      </c>
      <c r="C165" s="2" t="s">
        <v>226</v>
      </c>
    </row>
    <row r="166" spans="1:3" x14ac:dyDescent="0.2">
      <c r="A166" s="2">
        <v>164</v>
      </c>
      <c r="B166" s="2">
        <f t="shared" ca="1" si="2"/>
        <v>0.51787259523718332</v>
      </c>
      <c r="C166" s="2" t="s">
        <v>226</v>
      </c>
    </row>
    <row r="167" spans="1:3" x14ac:dyDescent="0.2">
      <c r="A167" s="2">
        <v>165</v>
      </c>
      <c r="B167" s="2">
        <f t="shared" ca="1" si="2"/>
        <v>0.72794297912098382</v>
      </c>
      <c r="C167" s="2" t="s">
        <v>226</v>
      </c>
    </row>
    <row r="168" spans="1:3" x14ac:dyDescent="0.2">
      <c r="A168" s="2">
        <v>166</v>
      </c>
      <c r="B168" s="2">
        <f t="shared" ca="1" si="2"/>
        <v>0.71464802176715836</v>
      </c>
      <c r="C168" s="2" t="s">
        <v>227</v>
      </c>
    </row>
    <row r="169" spans="1:3" x14ac:dyDescent="0.2">
      <c r="A169" s="2">
        <v>167</v>
      </c>
      <c r="B169" s="2">
        <f t="shared" ca="1" si="2"/>
        <v>0.8374383775306824</v>
      </c>
      <c r="C169" s="2" t="s">
        <v>227</v>
      </c>
    </row>
    <row r="170" spans="1:3" x14ac:dyDescent="0.2">
      <c r="A170" s="2">
        <v>168</v>
      </c>
      <c r="B170" s="2">
        <f t="shared" ca="1" si="2"/>
        <v>0.75445862724594426</v>
      </c>
      <c r="C170" s="2" t="s">
        <v>227</v>
      </c>
    </row>
    <row r="171" spans="1:3" x14ac:dyDescent="0.2">
      <c r="A171" s="2">
        <v>169</v>
      </c>
      <c r="B171" s="2">
        <f t="shared" ca="1" si="2"/>
        <v>0.47896592259896154</v>
      </c>
      <c r="C171" s="2" t="s">
        <v>226</v>
      </c>
    </row>
    <row r="172" spans="1:3" x14ac:dyDescent="0.2">
      <c r="A172" s="2">
        <v>170</v>
      </c>
      <c r="B172" s="2">
        <f t="shared" ca="1" si="2"/>
        <v>0.5173009629113039</v>
      </c>
      <c r="C172" s="2" t="s">
        <v>226</v>
      </c>
    </row>
    <row r="173" spans="1:3" x14ac:dyDescent="0.2">
      <c r="A173" s="2">
        <v>171</v>
      </c>
      <c r="B173" s="2">
        <f t="shared" ca="1" si="2"/>
        <v>0.70870702152606879</v>
      </c>
      <c r="C173" s="2" t="s">
        <v>227</v>
      </c>
    </row>
    <row r="174" spans="1:3" x14ac:dyDescent="0.2">
      <c r="A174" s="2">
        <v>172</v>
      </c>
      <c r="B174" s="2">
        <f t="shared" ca="1" si="2"/>
        <v>0.68444954272684166</v>
      </c>
      <c r="C174" s="2" t="s">
        <v>227</v>
      </c>
    </row>
    <row r="175" spans="1:3" x14ac:dyDescent="0.2">
      <c r="A175" s="2">
        <v>173</v>
      </c>
      <c r="B175" s="2">
        <f t="shared" ca="1" si="2"/>
        <v>0.6837230647433421</v>
      </c>
      <c r="C175" s="2" t="s">
        <v>227</v>
      </c>
    </row>
    <row r="176" spans="1:3" x14ac:dyDescent="0.2">
      <c r="A176" s="2">
        <v>174</v>
      </c>
      <c r="B176" s="2">
        <f t="shared" ca="1" si="2"/>
        <v>0.47221601485405035</v>
      </c>
      <c r="C176" s="2" t="s">
        <v>226</v>
      </c>
    </row>
    <row r="177" spans="1:3" x14ac:dyDescent="0.2">
      <c r="A177" s="2">
        <v>175</v>
      </c>
      <c r="B177" s="2">
        <f t="shared" ca="1" si="2"/>
        <v>0.60940668966144018</v>
      </c>
      <c r="C177" s="2" t="s">
        <v>227</v>
      </c>
    </row>
    <row r="178" spans="1:3" x14ac:dyDescent="0.2">
      <c r="A178" s="2">
        <v>176</v>
      </c>
      <c r="B178" s="2">
        <f t="shared" ca="1" si="2"/>
        <v>0.68098067892788094</v>
      </c>
      <c r="C178" s="2" t="s">
        <v>227</v>
      </c>
    </row>
    <row r="179" spans="1:3" x14ac:dyDescent="0.2">
      <c r="A179" s="2">
        <v>177</v>
      </c>
      <c r="B179" s="2">
        <f t="shared" ca="1" si="2"/>
        <v>0.44915239748388353</v>
      </c>
      <c r="C179" s="2" t="s">
        <v>226</v>
      </c>
    </row>
    <row r="180" spans="1:3" x14ac:dyDescent="0.2">
      <c r="A180" s="2">
        <v>178</v>
      </c>
      <c r="B180" s="2">
        <f t="shared" ca="1" si="2"/>
        <v>0.41051258090933085</v>
      </c>
      <c r="C180" s="2" t="s">
        <v>226</v>
      </c>
    </row>
    <row r="181" spans="1:3" x14ac:dyDescent="0.2">
      <c r="A181" s="2">
        <v>179</v>
      </c>
      <c r="B181" s="2">
        <f t="shared" ca="1" si="2"/>
        <v>0.59057282278096679</v>
      </c>
      <c r="C181" s="2" t="s">
        <v>227</v>
      </c>
    </row>
    <row r="182" spans="1:3" x14ac:dyDescent="0.2">
      <c r="A182" s="2">
        <v>180</v>
      </c>
      <c r="B182" s="2">
        <f t="shared" ca="1" si="2"/>
        <v>0.90238629756720834</v>
      </c>
      <c r="C182" s="2" t="s">
        <v>227</v>
      </c>
    </row>
    <row r="183" spans="1:3" x14ac:dyDescent="0.2">
      <c r="A183" s="2">
        <v>181</v>
      </c>
      <c r="B183" s="2">
        <f t="shared" ca="1" si="2"/>
        <v>0.6776511934148387</v>
      </c>
      <c r="C183" s="2" t="s">
        <v>227</v>
      </c>
    </row>
    <row r="184" spans="1:3" x14ac:dyDescent="0.2">
      <c r="A184" s="2">
        <v>182</v>
      </c>
      <c r="B184" s="2">
        <f t="shared" ca="1" si="2"/>
        <v>0.67301792131551841</v>
      </c>
      <c r="C184" s="2" t="s">
        <v>227</v>
      </c>
    </row>
    <row r="185" spans="1:3" x14ac:dyDescent="0.2">
      <c r="A185" s="2">
        <v>183</v>
      </c>
      <c r="B185" s="2">
        <f t="shared" ca="1" si="2"/>
        <v>0.44207592540896479</v>
      </c>
      <c r="C185" s="2" t="s">
        <v>226</v>
      </c>
    </row>
    <row r="186" spans="1:3" x14ac:dyDescent="0.2">
      <c r="A186" s="2">
        <v>184</v>
      </c>
      <c r="B186" s="2">
        <f t="shared" ca="1" si="2"/>
        <v>0.52593085758088032</v>
      </c>
      <c r="C186" s="2" t="s">
        <v>227</v>
      </c>
    </row>
    <row r="187" spans="1:3" x14ac:dyDescent="0.2">
      <c r="A187" s="2">
        <v>185</v>
      </c>
      <c r="B187" s="2">
        <f t="shared" ca="1" si="2"/>
        <v>0.47665449658241005</v>
      </c>
      <c r="C187" s="2" t="s">
        <v>226</v>
      </c>
    </row>
    <row r="188" spans="1:3" x14ac:dyDescent="0.2">
      <c r="A188" s="2">
        <v>186</v>
      </c>
      <c r="B188" s="2">
        <f t="shared" ca="1" si="2"/>
        <v>0.54523394892060395</v>
      </c>
      <c r="C188" s="2" t="s">
        <v>227</v>
      </c>
    </row>
    <row r="189" spans="1:3" x14ac:dyDescent="0.2">
      <c r="A189" s="2">
        <v>187</v>
      </c>
      <c r="B189" s="2">
        <f t="shared" ca="1" si="2"/>
        <v>0.50637156532673389</v>
      </c>
      <c r="C189" s="2" t="s">
        <v>226</v>
      </c>
    </row>
    <row r="190" spans="1:3" x14ac:dyDescent="0.2">
      <c r="A190" s="2">
        <v>188</v>
      </c>
      <c r="B190" s="2">
        <f t="shared" ca="1" si="2"/>
        <v>0.74367755005488734</v>
      </c>
      <c r="C190" s="2" t="s">
        <v>227</v>
      </c>
    </row>
    <row r="191" spans="1:3" x14ac:dyDescent="0.2">
      <c r="A191" s="2">
        <v>189</v>
      </c>
      <c r="B191" s="2">
        <f t="shared" ca="1" si="2"/>
        <v>0.81739790081428043</v>
      </c>
      <c r="C191" s="2" t="s">
        <v>227</v>
      </c>
    </row>
    <row r="192" spans="1:3" x14ac:dyDescent="0.2">
      <c r="A192" s="2">
        <v>190</v>
      </c>
      <c r="B192" s="2">
        <f t="shared" ca="1" si="2"/>
        <v>0.50920989594877186</v>
      </c>
      <c r="C192" s="2" t="s">
        <v>226</v>
      </c>
    </row>
    <row r="193" spans="1:3" x14ac:dyDescent="0.2">
      <c r="A193" s="2">
        <v>191</v>
      </c>
      <c r="B193" s="2">
        <f t="shared" ca="1" si="2"/>
        <v>0.68542467087734293</v>
      </c>
      <c r="C193" s="2" t="s">
        <v>227</v>
      </c>
    </row>
    <row r="194" spans="1:3" x14ac:dyDescent="0.2">
      <c r="A194" s="2">
        <v>192</v>
      </c>
      <c r="B194" s="2">
        <f t="shared" ca="1" si="2"/>
        <v>0.50421321524003626</v>
      </c>
      <c r="C194" s="2" t="s">
        <v>226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0.73015150526893646</v>
      </c>
      <c r="C195" s="2" t="s">
        <v>227</v>
      </c>
    </row>
    <row r="196" spans="1:3" x14ac:dyDescent="0.2">
      <c r="A196" s="2">
        <v>194</v>
      </c>
      <c r="B196" s="2">
        <f t="shared" ca="1" si="3"/>
        <v>0.91551682385555799</v>
      </c>
      <c r="C196" s="2" t="s">
        <v>226</v>
      </c>
    </row>
    <row r="197" spans="1:3" x14ac:dyDescent="0.2">
      <c r="A197" s="2">
        <v>195</v>
      </c>
      <c r="B197" s="2">
        <f t="shared" ca="1" si="3"/>
        <v>0.65460755499612999</v>
      </c>
      <c r="C197" s="2" t="s">
        <v>226</v>
      </c>
    </row>
    <row r="198" spans="1:3" x14ac:dyDescent="0.2">
      <c r="A198" s="2">
        <v>196</v>
      </c>
      <c r="B198" s="2">
        <f t="shared" ca="1" si="3"/>
        <v>0.67532518494506188</v>
      </c>
      <c r="C198" s="2" t="s">
        <v>227</v>
      </c>
    </row>
    <row r="199" spans="1:3" x14ac:dyDescent="0.2">
      <c r="A199" s="2">
        <v>197</v>
      </c>
      <c r="B199" s="2">
        <f t="shared" ca="1" si="3"/>
        <v>0.57976343527970398</v>
      </c>
      <c r="C199" s="2" t="s">
        <v>226</v>
      </c>
    </row>
    <row r="200" spans="1:3" x14ac:dyDescent="0.2">
      <c r="A200" s="2">
        <v>198</v>
      </c>
      <c r="B200" s="2">
        <f t="shared" ca="1" si="3"/>
        <v>0.74116925463041849</v>
      </c>
      <c r="C200" s="2" t="s">
        <v>227</v>
      </c>
    </row>
    <row r="201" spans="1:3" x14ac:dyDescent="0.2">
      <c r="A201" s="2">
        <v>199</v>
      </c>
      <c r="B201" s="2">
        <f t="shared" ca="1" si="3"/>
        <v>0.4472097911272972</v>
      </c>
      <c r="C201" s="2" t="s">
        <v>226</v>
      </c>
    </row>
    <row r="202" spans="1:3" x14ac:dyDescent="0.2">
      <c r="A202" s="2">
        <v>200</v>
      </c>
      <c r="B202" s="2">
        <f t="shared" ca="1" si="3"/>
        <v>0.69779037021319423</v>
      </c>
      <c r="C202" s="2" t="s">
        <v>227</v>
      </c>
    </row>
    <row r="203" spans="1:3" x14ac:dyDescent="0.2">
      <c r="A203" s="2">
        <v>201</v>
      </c>
      <c r="B203" s="2">
        <f t="shared" ca="1" si="3"/>
        <v>0.67349766564152824</v>
      </c>
      <c r="C203" s="2" t="s">
        <v>226</v>
      </c>
    </row>
    <row r="204" spans="1:3" x14ac:dyDescent="0.2">
      <c r="A204" s="2">
        <v>202</v>
      </c>
      <c r="B204" s="2">
        <f t="shared" ca="1" si="3"/>
        <v>0.74622015874767467</v>
      </c>
      <c r="C204" s="2" t="s">
        <v>227</v>
      </c>
    </row>
    <row r="205" spans="1:3" x14ac:dyDescent="0.2">
      <c r="A205" s="2">
        <v>203</v>
      </c>
      <c r="B205" s="2">
        <f t="shared" ca="1" si="3"/>
        <v>8.4807233026494289E-2</v>
      </c>
      <c r="C205" s="2" t="s">
        <v>226</v>
      </c>
    </row>
    <row r="206" spans="1:3" x14ac:dyDescent="0.2">
      <c r="A206" s="2">
        <v>204</v>
      </c>
      <c r="B206" s="2">
        <f t="shared" ca="1" si="3"/>
        <v>0.64518558850310159</v>
      </c>
      <c r="C206" s="2" t="s">
        <v>226</v>
      </c>
    </row>
    <row r="207" spans="1:3" x14ac:dyDescent="0.2">
      <c r="A207" s="2">
        <v>205</v>
      </c>
      <c r="B207" s="2">
        <f t="shared" ca="1" si="3"/>
        <v>0.83977407912769042</v>
      </c>
      <c r="C207" s="2" t="s">
        <v>226</v>
      </c>
    </row>
    <row r="208" spans="1:3" x14ac:dyDescent="0.2">
      <c r="A208" s="2">
        <v>206</v>
      </c>
      <c r="B208" s="2">
        <f t="shared" ca="1" si="3"/>
        <v>0.725644787269349</v>
      </c>
      <c r="C208" s="2" t="s">
        <v>227</v>
      </c>
    </row>
    <row r="209" spans="1:3" x14ac:dyDescent="0.2">
      <c r="A209" s="2">
        <v>207</v>
      </c>
      <c r="B209" s="2">
        <f t="shared" ca="1" si="3"/>
        <v>0.68727120711581413</v>
      </c>
      <c r="C209" s="2" t="s">
        <v>227</v>
      </c>
    </row>
    <row r="210" spans="1:3" x14ac:dyDescent="0.2">
      <c r="A210" s="2">
        <v>208</v>
      </c>
      <c r="B210" s="2">
        <f t="shared" ca="1" si="3"/>
        <v>0.63107794445727172</v>
      </c>
      <c r="C210" s="2" t="s">
        <v>227</v>
      </c>
    </row>
    <row r="211" spans="1:3" x14ac:dyDescent="0.2">
      <c r="A211" s="2">
        <v>209</v>
      </c>
      <c r="B211" s="2">
        <f t="shared" ca="1" si="3"/>
        <v>0.51716848508216662</v>
      </c>
      <c r="C211" s="2" t="s">
        <v>226</v>
      </c>
    </row>
    <row r="212" spans="1:3" x14ac:dyDescent="0.2">
      <c r="A212" s="2">
        <v>210</v>
      </c>
      <c r="B212" s="2">
        <f t="shared" ca="1" si="3"/>
        <v>0.53043682566136974</v>
      </c>
      <c r="C212" s="2" t="s">
        <v>226</v>
      </c>
    </row>
    <row r="213" spans="1:3" x14ac:dyDescent="0.2">
      <c r="A213" s="2">
        <v>211</v>
      </c>
      <c r="B213" s="2">
        <f t="shared" ca="1" si="3"/>
        <v>0.60053528760713282</v>
      </c>
      <c r="C213" s="2" t="s">
        <v>226</v>
      </c>
    </row>
    <row r="214" spans="1:3" x14ac:dyDescent="0.2">
      <c r="A214" s="2">
        <v>212</v>
      </c>
      <c r="B214" s="2">
        <f t="shared" ca="1" si="3"/>
        <v>0.58940809214091416</v>
      </c>
      <c r="C214" s="2" t="s">
        <v>226</v>
      </c>
    </row>
    <row r="215" spans="1:3" x14ac:dyDescent="0.2">
      <c r="A215" s="2">
        <v>213</v>
      </c>
      <c r="B215" s="2">
        <f t="shared" ca="1" si="3"/>
        <v>0.51389570229412562</v>
      </c>
      <c r="C215" s="2" t="s">
        <v>226</v>
      </c>
    </row>
    <row r="216" spans="1:3" x14ac:dyDescent="0.2">
      <c r="A216" s="2">
        <v>214</v>
      </c>
      <c r="B216" s="2">
        <f t="shared" ca="1" si="3"/>
        <v>0.38454491578110428</v>
      </c>
      <c r="C216" s="2" t="s">
        <v>226</v>
      </c>
    </row>
    <row r="217" spans="1:3" x14ac:dyDescent="0.2">
      <c r="A217" s="2">
        <v>215</v>
      </c>
      <c r="B217" s="2">
        <f t="shared" ca="1" si="3"/>
        <v>0.69901633189359413</v>
      </c>
      <c r="C217" s="2" t="s">
        <v>227</v>
      </c>
    </row>
    <row r="218" spans="1:3" x14ac:dyDescent="0.2">
      <c r="A218" s="2">
        <v>216</v>
      </c>
      <c r="B218" s="2">
        <f t="shared" ca="1" si="3"/>
        <v>0.71932948237463323</v>
      </c>
      <c r="C218" s="2" t="s">
        <v>227</v>
      </c>
    </row>
    <row r="219" spans="1:3" x14ac:dyDescent="0.2">
      <c r="A219" s="2">
        <v>217</v>
      </c>
      <c r="B219" s="2">
        <f t="shared" ca="1" si="3"/>
        <v>0.58686440631873449</v>
      </c>
      <c r="C219" s="2" t="s">
        <v>227</v>
      </c>
    </row>
    <row r="220" spans="1:3" x14ac:dyDescent="0.2">
      <c r="A220" s="2">
        <v>218</v>
      </c>
      <c r="B220" s="2">
        <f t="shared" ca="1" si="3"/>
        <v>0.76948910094734779</v>
      </c>
      <c r="C220" s="2" t="s">
        <v>226</v>
      </c>
    </row>
    <row r="221" spans="1:3" x14ac:dyDescent="0.2">
      <c r="A221" s="2">
        <v>219</v>
      </c>
      <c r="B221" s="2">
        <f t="shared" ca="1" si="3"/>
        <v>0.71258621257561505</v>
      </c>
      <c r="C221" s="2" t="s">
        <v>227</v>
      </c>
    </row>
    <row r="222" spans="1:3" x14ac:dyDescent="0.2">
      <c r="A222" s="2">
        <v>220</v>
      </c>
      <c r="B222" s="2">
        <f t="shared" ca="1" si="3"/>
        <v>0.55090902652751061</v>
      </c>
      <c r="C222" s="2" t="s">
        <v>226</v>
      </c>
    </row>
    <row r="223" spans="1:3" x14ac:dyDescent="0.2">
      <c r="A223" s="2">
        <v>221</v>
      </c>
      <c r="B223" s="2">
        <f t="shared" ca="1" si="3"/>
        <v>0.77335226545929969</v>
      </c>
      <c r="C223" s="2" t="s">
        <v>227</v>
      </c>
    </row>
    <row r="224" spans="1:3" x14ac:dyDescent="0.2">
      <c r="A224" s="2">
        <v>222</v>
      </c>
      <c r="B224" s="2">
        <f t="shared" ca="1" si="3"/>
        <v>0.60763418791656831</v>
      </c>
      <c r="C224" s="2" t="s">
        <v>227</v>
      </c>
    </row>
    <row r="225" spans="1:3" x14ac:dyDescent="0.2">
      <c r="A225" s="2">
        <v>223</v>
      </c>
      <c r="B225" s="2">
        <f t="shared" ca="1" si="3"/>
        <v>0.51688365714523965</v>
      </c>
      <c r="C225" s="2" t="s">
        <v>226</v>
      </c>
    </row>
    <row r="226" spans="1:3" x14ac:dyDescent="0.2">
      <c r="A226" s="2">
        <v>224</v>
      </c>
      <c r="B226" s="2">
        <f t="shared" ca="1" si="3"/>
        <v>0.75680134628983164</v>
      </c>
      <c r="C226" s="2" t="s">
        <v>226</v>
      </c>
    </row>
    <row r="227" spans="1:3" x14ac:dyDescent="0.2">
      <c r="A227" s="2">
        <v>225</v>
      </c>
      <c r="B227" s="2">
        <f t="shared" ca="1" si="3"/>
        <v>0.72737482040335866</v>
      </c>
      <c r="C227" s="2" t="s">
        <v>227</v>
      </c>
    </row>
    <row r="228" spans="1:3" x14ac:dyDescent="0.2">
      <c r="A228" s="2">
        <v>226</v>
      </c>
      <c r="B228" s="2">
        <f t="shared" ca="1" si="3"/>
        <v>0.54071575595431143</v>
      </c>
      <c r="C228" s="2" t="s">
        <v>226</v>
      </c>
    </row>
    <row r="229" spans="1:3" x14ac:dyDescent="0.2">
      <c r="A229" s="2">
        <v>227</v>
      </c>
      <c r="B229" s="2">
        <f t="shared" ca="1" si="3"/>
        <v>0.44800234325423294</v>
      </c>
      <c r="C229" s="2" t="s">
        <v>226</v>
      </c>
    </row>
    <row r="230" spans="1:3" x14ac:dyDescent="0.2">
      <c r="A230" s="2">
        <v>228</v>
      </c>
      <c r="B230" s="2">
        <f t="shared" ca="1" si="3"/>
        <v>0.62382358305949448</v>
      </c>
      <c r="C230" s="2" t="s">
        <v>226</v>
      </c>
    </row>
    <row r="231" spans="1:3" x14ac:dyDescent="0.2">
      <c r="A231" s="2">
        <v>229</v>
      </c>
      <c r="B231" s="2">
        <f t="shared" ca="1" si="3"/>
        <v>0.73597557790892998</v>
      </c>
      <c r="C231" s="2" t="s">
        <v>226</v>
      </c>
    </row>
    <row r="232" spans="1:3" x14ac:dyDescent="0.2">
      <c r="A232" s="2">
        <v>230</v>
      </c>
      <c r="B232" s="2">
        <f t="shared" ca="1" si="3"/>
        <v>0.51844860759330136</v>
      </c>
      <c r="C232" s="2" t="s">
        <v>227</v>
      </c>
    </row>
    <row r="233" spans="1:3" x14ac:dyDescent="0.2">
      <c r="A233" s="2">
        <v>231</v>
      </c>
      <c r="B233" s="2">
        <f t="shared" ca="1" si="3"/>
        <v>0.85173884603237515</v>
      </c>
      <c r="C233" s="2" t="s">
        <v>227</v>
      </c>
    </row>
    <row r="234" spans="1:3" x14ac:dyDescent="0.2">
      <c r="A234" s="2">
        <v>232</v>
      </c>
      <c r="B234" s="2">
        <f t="shared" ca="1" si="3"/>
        <v>0.2930763356665616</v>
      </c>
      <c r="C234" s="2" t="s">
        <v>226</v>
      </c>
    </row>
    <row r="235" spans="1:3" x14ac:dyDescent="0.2">
      <c r="A235" s="2">
        <v>233</v>
      </c>
      <c r="B235" s="2">
        <f t="shared" ca="1" si="3"/>
        <v>0.56178070260539725</v>
      </c>
      <c r="C235" s="2" t="s">
        <v>226</v>
      </c>
    </row>
    <row r="236" spans="1:3" x14ac:dyDescent="0.2">
      <c r="A236" s="2">
        <v>234</v>
      </c>
      <c r="B236" s="2">
        <f t="shared" ca="1" si="3"/>
        <v>0.74093569987646468</v>
      </c>
      <c r="C236" s="2" t="s">
        <v>227</v>
      </c>
    </row>
    <row r="237" spans="1:3" x14ac:dyDescent="0.2">
      <c r="A237" s="2">
        <v>235</v>
      </c>
      <c r="B237" s="2">
        <f t="shared" ca="1" si="3"/>
        <v>0.73907557820312986</v>
      </c>
      <c r="C237" s="2" t="s">
        <v>226</v>
      </c>
    </row>
    <row r="238" spans="1:3" x14ac:dyDescent="0.2">
      <c r="A238" s="2">
        <v>236</v>
      </c>
      <c r="B238" s="2">
        <f t="shared" ca="1" si="3"/>
        <v>0.70614998345071067</v>
      </c>
      <c r="C238" s="2" t="s">
        <v>227</v>
      </c>
    </row>
    <row r="239" spans="1:3" x14ac:dyDescent="0.2">
      <c r="A239" s="2">
        <v>237</v>
      </c>
      <c r="B239" s="2">
        <f t="shared" ca="1" si="3"/>
        <v>0.50835837038932974</v>
      </c>
      <c r="C239" s="2" t="s">
        <v>226</v>
      </c>
    </row>
    <row r="240" spans="1:3" x14ac:dyDescent="0.2">
      <c r="A240" s="2">
        <v>238</v>
      </c>
      <c r="B240" s="2">
        <f t="shared" ca="1" si="3"/>
        <v>0.57278681383629526</v>
      </c>
      <c r="C240" s="2" t="s">
        <v>227</v>
      </c>
    </row>
    <row r="241" spans="1:3" x14ac:dyDescent="0.2">
      <c r="A241" s="2">
        <v>239</v>
      </c>
      <c r="B241" s="2">
        <f t="shared" ca="1" si="3"/>
        <v>0.60505135566101964</v>
      </c>
      <c r="C241" s="2" t="s">
        <v>226</v>
      </c>
    </row>
    <row r="242" spans="1:3" x14ac:dyDescent="0.2">
      <c r="A242" s="2">
        <v>240</v>
      </c>
      <c r="B242" s="2">
        <f t="shared" ca="1" si="3"/>
        <v>0.51113583009953811</v>
      </c>
      <c r="C242" s="2" t="s">
        <v>226</v>
      </c>
    </row>
    <row r="243" spans="1:3" x14ac:dyDescent="0.2">
      <c r="A243" s="2">
        <v>241</v>
      </c>
      <c r="B243" s="2">
        <f t="shared" ca="1" si="3"/>
        <v>0.71641149574211827</v>
      </c>
      <c r="C243" s="2" t="s">
        <v>227</v>
      </c>
    </row>
    <row r="244" spans="1:3" x14ac:dyDescent="0.2">
      <c r="A244" s="2">
        <v>242</v>
      </c>
      <c r="B244" s="2">
        <f t="shared" ca="1" si="3"/>
        <v>0.6562868972000081</v>
      </c>
      <c r="C244" s="2" t="s">
        <v>227</v>
      </c>
    </row>
    <row r="245" spans="1:3" x14ac:dyDescent="0.2">
      <c r="A245" s="2">
        <v>243</v>
      </c>
      <c r="B245" s="2">
        <f t="shared" ca="1" si="3"/>
        <v>0.53910645475980423</v>
      </c>
      <c r="C245" s="2" t="s">
        <v>227</v>
      </c>
    </row>
    <row r="246" spans="1:3" x14ac:dyDescent="0.2">
      <c r="A246" s="2">
        <v>244</v>
      </c>
      <c r="B246" s="2">
        <f t="shared" ca="1" si="3"/>
        <v>0.56317984068610238</v>
      </c>
      <c r="C246" s="2" t="s">
        <v>226</v>
      </c>
    </row>
    <row r="247" spans="1:3" x14ac:dyDescent="0.2">
      <c r="A247" s="2">
        <v>245</v>
      </c>
      <c r="B247" s="2">
        <f t="shared" ca="1" si="3"/>
        <v>0.72473709817723775</v>
      </c>
      <c r="C247" s="2" t="s">
        <v>227</v>
      </c>
    </row>
    <row r="248" spans="1:3" x14ac:dyDescent="0.2">
      <c r="A248" s="2">
        <v>246</v>
      </c>
      <c r="B248" s="2">
        <f t="shared" ca="1" si="3"/>
        <v>0.76243984397610498</v>
      </c>
      <c r="C248" s="2" t="s">
        <v>227</v>
      </c>
    </row>
    <row r="249" spans="1:3" x14ac:dyDescent="0.2">
      <c r="A249" s="2">
        <v>247</v>
      </c>
      <c r="B249" s="2">
        <f t="shared" ca="1" si="3"/>
        <v>0.51290357933287045</v>
      </c>
      <c r="C249" s="2" t="s">
        <v>226</v>
      </c>
    </row>
    <row r="250" spans="1:3" x14ac:dyDescent="0.2">
      <c r="A250" s="2">
        <v>248</v>
      </c>
      <c r="B250" s="2">
        <f t="shared" ca="1" si="3"/>
        <v>0.70230276972704231</v>
      </c>
      <c r="C250" s="2" t="s">
        <v>227</v>
      </c>
    </row>
    <row r="251" spans="1:3" x14ac:dyDescent="0.2">
      <c r="A251" s="2">
        <v>249</v>
      </c>
      <c r="B251" s="2">
        <f t="shared" ca="1" si="3"/>
        <v>0.34396416597198665</v>
      </c>
      <c r="C251" s="2" t="s">
        <v>226</v>
      </c>
    </row>
    <row r="252" spans="1:3" x14ac:dyDescent="0.2">
      <c r="A252" s="2">
        <v>250</v>
      </c>
      <c r="B252" s="2">
        <f t="shared" ca="1" si="3"/>
        <v>0.75014006790934507</v>
      </c>
      <c r="C252" s="2" t="s">
        <v>227</v>
      </c>
    </row>
    <row r="253" spans="1:3" x14ac:dyDescent="0.2">
      <c r="A253" s="2">
        <v>251</v>
      </c>
      <c r="B253" s="2">
        <f t="shared" ca="1" si="3"/>
        <v>0.83094851039491291</v>
      </c>
      <c r="C253" s="2" t="s">
        <v>226</v>
      </c>
    </row>
    <row r="254" spans="1:3" x14ac:dyDescent="0.2">
      <c r="A254" s="2">
        <v>252</v>
      </c>
      <c r="B254" s="2">
        <f t="shared" ca="1" si="3"/>
        <v>0.53410040557515193</v>
      </c>
      <c r="C254" s="2" t="s">
        <v>227</v>
      </c>
    </row>
    <row r="255" spans="1:3" x14ac:dyDescent="0.2">
      <c r="A255" s="2">
        <v>253</v>
      </c>
      <c r="B255" s="2">
        <f t="shared" ca="1" si="3"/>
        <v>0.72605939104588701</v>
      </c>
      <c r="C255" s="2" t="s">
        <v>227</v>
      </c>
    </row>
    <row r="256" spans="1:3" x14ac:dyDescent="0.2">
      <c r="A256" s="2">
        <v>254</v>
      </c>
      <c r="B256" s="2">
        <f t="shared" ca="1" si="3"/>
        <v>0.64763697029516387</v>
      </c>
      <c r="C256" s="2" t="s">
        <v>227</v>
      </c>
    </row>
    <row r="257" spans="1:3" x14ac:dyDescent="0.2">
      <c r="A257" s="2">
        <v>255</v>
      </c>
      <c r="B257" s="2">
        <f t="shared" ca="1" si="3"/>
        <v>0.52017033206696972</v>
      </c>
      <c r="C257" s="2" t="s">
        <v>226</v>
      </c>
    </row>
    <row r="258" spans="1:3" x14ac:dyDescent="0.2">
      <c r="A258" s="2">
        <v>256</v>
      </c>
      <c r="B258" s="2">
        <f t="shared" ca="1" si="3"/>
        <v>0.6739122821993121</v>
      </c>
      <c r="C258" s="2" t="s">
        <v>226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0.36549629249085663</v>
      </c>
      <c r="C259" s="2" t="s">
        <v>226</v>
      </c>
    </row>
    <row r="260" spans="1:3" x14ac:dyDescent="0.2">
      <c r="A260" s="2">
        <v>258</v>
      </c>
      <c r="B260" s="2">
        <f t="shared" ca="1" si="4"/>
        <v>0.36863516013026676</v>
      </c>
      <c r="C260" s="2" t="s">
        <v>226</v>
      </c>
    </row>
    <row r="261" spans="1:3" x14ac:dyDescent="0.2">
      <c r="A261" s="2">
        <v>259</v>
      </c>
      <c r="B261" s="2">
        <f t="shared" ca="1" si="4"/>
        <v>0.56708653095341732</v>
      </c>
      <c r="C261" s="2" t="s">
        <v>226</v>
      </c>
    </row>
    <row r="262" spans="1:3" x14ac:dyDescent="0.2">
      <c r="A262" s="2">
        <v>260</v>
      </c>
      <c r="B262" s="2">
        <f t="shared" ca="1" si="4"/>
        <v>0.79237416034401265</v>
      </c>
      <c r="C262" s="2" t="s">
        <v>227</v>
      </c>
    </row>
    <row r="263" spans="1:3" x14ac:dyDescent="0.2">
      <c r="A263" s="2">
        <v>261</v>
      </c>
      <c r="B263" s="2">
        <f t="shared" ca="1" si="4"/>
        <v>0.64208954537598983</v>
      </c>
      <c r="C263" s="2" t="s">
        <v>227</v>
      </c>
    </row>
    <row r="264" spans="1:3" x14ac:dyDescent="0.2">
      <c r="A264" s="2">
        <v>262</v>
      </c>
      <c r="B264" s="2">
        <f t="shared" ca="1" si="4"/>
        <v>0.81964045652170614</v>
      </c>
      <c r="C264" s="2" t="s">
        <v>227</v>
      </c>
    </row>
    <row r="265" spans="1:3" x14ac:dyDescent="0.2">
      <c r="A265" s="2">
        <v>263</v>
      </c>
      <c r="B265" s="2">
        <f t="shared" ca="1" si="4"/>
        <v>0.63506615264617594</v>
      </c>
      <c r="C265" s="2" t="s">
        <v>227</v>
      </c>
    </row>
    <row r="266" spans="1:3" x14ac:dyDescent="0.2">
      <c r="A266" s="2">
        <v>264</v>
      </c>
      <c r="B266" s="2">
        <f t="shared" ca="1" si="4"/>
        <v>0.609373807745625</v>
      </c>
      <c r="C266" s="2" t="s">
        <v>226</v>
      </c>
    </row>
    <row r="267" spans="1:3" x14ac:dyDescent="0.2">
      <c r="A267" s="2">
        <v>265</v>
      </c>
      <c r="B267" s="2">
        <f t="shared" ca="1" si="4"/>
        <v>0.83017202859160755</v>
      </c>
      <c r="C267" s="2" t="s">
        <v>227</v>
      </c>
    </row>
    <row r="268" spans="1:3" x14ac:dyDescent="0.2">
      <c r="A268" s="2">
        <v>266</v>
      </c>
      <c r="B268" s="2">
        <f t="shared" ca="1" si="4"/>
        <v>0.88506688227961505</v>
      </c>
      <c r="C268" s="2" t="s">
        <v>227</v>
      </c>
    </row>
    <row r="269" spans="1:3" x14ac:dyDescent="0.2">
      <c r="A269" s="2">
        <v>267</v>
      </c>
      <c r="B269" s="2">
        <f t="shared" ca="1" si="4"/>
        <v>0.4636790716823006</v>
      </c>
      <c r="C269" s="2" t="s">
        <v>226</v>
      </c>
    </row>
    <row r="270" spans="1:3" x14ac:dyDescent="0.2">
      <c r="A270" s="2">
        <v>268</v>
      </c>
      <c r="B270" s="2">
        <f t="shared" ca="1" si="4"/>
        <v>0.84260512901819662</v>
      </c>
      <c r="C270" s="2" t="s">
        <v>226</v>
      </c>
    </row>
    <row r="271" spans="1:3" x14ac:dyDescent="0.2">
      <c r="A271" s="2">
        <v>269</v>
      </c>
      <c r="B271" s="2">
        <f t="shared" ca="1" si="4"/>
        <v>0.62486634328089286</v>
      </c>
      <c r="C271" s="2" t="s">
        <v>227</v>
      </c>
    </row>
    <row r="272" spans="1:3" x14ac:dyDescent="0.2">
      <c r="A272" s="2">
        <v>270</v>
      </c>
      <c r="B272" s="2">
        <f t="shared" ca="1" si="4"/>
        <v>0.55925879613843354</v>
      </c>
      <c r="C272" s="2" t="s">
        <v>227</v>
      </c>
    </row>
    <row r="273" spans="1:3" x14ac:dyDescent="0.2">
      <c r="A273" s="2">
        <v>271</v>
      </c>
      <c r="B273" s="2">
        <f t="shared" ca="1" si="4"/>
        <v>0.58932562930229893</v>
      </c>
      <c r="C273" s="2" t="s">
        <v>226</v>
      </c>
    </row>
    <row r="274" spans="1:3" x14ac:dyDescent="0.2">
      <c r="A274" s="2">
        <v>272</v>
      </c>
      <c r="B274" s="2">
        <f t="shared" ca="1" si="4"/>
        <v>0.42279094921697558</v>
      </c>
      <c r="C274" s="2" t="s">
        <v>226</v>
      </c>
    </row>
    <row r="275" spans="1:3" x14ac:dyDescent="0.2">
      <c r="A275" s="2">
        <v>273</v>
      </c>
      <c r="B275" s="2">
        <f t="shared" ca="1" si="4"/>
        <v>0.80212794658467468</v>
      </c>
      <c r="C275" s="2" t="s">
        <v>227</v>
      </c>
    </row>
    <row r="276" spans="1:3" x14ac:dyDescent="0.2">
      <c r="A276" s="2">
        <v>274</v>
      </c>
      <c r="B276" s="2">
        <f t="shared" ca="1" si="4"/>
        <v>0.47767352410705144</v>
      </c>
      <c r="C276" s="2" t="s">
        <v>226</v>
      </c>
    </row>
    <row r="277" spans="1:3" x14ac:dyDescent="0.2">
      <c r="A277" s="2">
        <v>275</v>
      </c>
      <c r="B277" s="2">
        <f t="shared" ca="1" si="4"/>
        <v>0.36321434853149259</v>
      </c>
      <c r="C277" s="2" t="s">
        <v>226</v>
      </c>
    </row>
    <row r="278" spans="1:3" x14ac:dyDescent="0.2">
      <c r="A278" s="2">
        <v>276</v>
      </c>
      <c r="B278" s="2">
        <f t="shared" ca="1" si="4"/>
        <v>0.81453202233952149</v>
      </c>
      <c r="C278" s="2" t="s">
        <v>227</v>
      </c>
    </row>
    <row r="279" spans="1:3" x14ac:dyDescent="0.2">
      <c r="A279" s="2">
        <v>277</v>
      </c>
      <c r="B279" s="2">
        <f t="shared" ca="1" si="4"/>
        <v>0.67372378722165371</v>
      </c>
      <c r="C279" s="2" t="s">
        <v>227</v>
      </c>
    </row>
    <row r="280" spans="1:3" x14ac:dyDescent="0.2">
      <c r="A280" s="2">
        <v>278</v>
      </c>
      <c r="B280" s="2">
        <f t="shared" ca="1" si="4"/>
        <v>0.59942046218653899</v>
      </c>
      <c r="C280" s="2" t="s">
        <v>226</v>
      </c>
    </row>
    <row r="281" spans="1:3" x14ac:dyDescent="0.2">
      <c r="A281" s="2">
        <v>279</v>
      </c>
      <c r="B281" s="2">
        <f t="shared" ca="1" si="4"/>
        <v>0.49962062564181831</v>
      </c>
      <c r="C281" s="2" t="s">
        <v>226</v>
      </c>
    </row>
    <row r="282" spans="1:3" x14ac:dyDescent="0.2">
      <c r="A282" s="2">
        <v>280</v>
      </c>
      <c r="B282" s="2">
        <f t="shared" ca="1" si="4"/>
        <v>0.54209004174567943</v>
      </c>
      <c r="C282" s="2" t="s">
        <v>226</v>
      </c>
    </row>
    <row r="283" spans="1:3" x14ac:dyDescent="0.2">
      <c r="A283" s="2">
        <v>281</v>
      </c>
      <c r="B283" s="2">
        <f t="shared" ca="1" si="4"/>
        <v>0.75054029644014719</v>
      </c>
      <c r="C283" s="2" t="s">
        <v>226</v>
      </c>
    </row>
    <row r="284" spans="1:3" x14ac:dyDescent="0.2">
      <c r="A284" s="2">
        <v>282</v>
      </c>
      <c r="B284" s="2">
        <f t="shared" ca="1" si="4"/>
        <v>0.69886636780030753</v>
      </c>
      <c r="C284" s="2" t="s">
        <v>227</v>
      </c>
    </row>
    <row r="285" spans="1:3" x14ac:dyDescent="0.2">
      <c r="A285" s="2">
        <v>283</v>
      </c>
      <c r="B285" s="2">
        <f t="shared" ca="1" si="4"/>
        <v>0.9537641924311655</v>
      </c>
      <c r="C285" s="2" t="s">
        <v>227</v>
      </c>
    </row>
    <row r="286" spans="1:3" x14ac:dyDescent="0.2">
      <c r="A286" s="2">
        <v>284</v>
      </c>
      <c r="B286" s="2">
        <f t="shared" ca="1" si="4"/>
        <v>0.50061920108377578</v>
      </c>
      <c r="C286" s="2" t="s">
        <v>227</v>
      </c>
    </row>
    <row r="287" spans="1:3" x14ac:dyDescent="0.2">
      <c r="A287" s="2">
        <v>285</v>
      </c>
      <c r="B287" s="2">
        <f t="shared" ca="1" si="4"/>
        <v>0.77444257185047483</v>
      </c>
      <c r="C287" s="2" t="s">
        <v>226</v>
      </c>
    </row>
    <row r="288" spans="1:3" x14ac:dyDescent="0.2">
      <c r="A288" s="2">
        <v>286</v>
      </c>
      <c r="B288" s="2">
        <f t="shared" ca="1" si="4"/>
        <v>0.72538286474835068</v>
      </c>
      <c r="C288" s="2" t="s">
        <v>227</v>
      </c>
    </row>
    <row r="289" spans="1:3" x14ac:dyDescent="0.2">
      <c r="A289" s="2">
        <v>287</v>
      </c>
      <c r="B289" s="2">
        <f t="shared" ca="1" si="4"/>
        <v>0.66292930877377232</v>
      </c>
      <c r="C289" s="2" t="s">
        <v>227</v>
      </c>
    </row>
    <row r="290" spans="1:3" x14ac:dyDescent="0.2">
      <c r="A290" s="2">
        <v>288</v>
      </c>
      <c r="B290" s="2">
        <f t="shared" ca="1" si="4"/>
        <v>0.66241599249403826</v>
      </c>
      <c r="C290" s="2" t="s">
        <v>227</v>
      </c>
    </row>
    <row r="291" spans="1:3" x14ac:dyDescent="0.2">
      <c r="A291" s="2">
        <v>289</v>
      </c>
      <c r="B291" s="2">
        <f t="shared" ca="1" si="4"/>
        <v>0.5756738929661338</v>
      </c>
      <c r="C291" s="2" t="s">
        <v>227</v>
      </c>
    </row>
    <row r="292" spans="1:3" x14ac:dyDescent="0.2">
      <c r="A292" s="2">
        <v>290</v>
      </c>
      <c r="B292" s="2">
        <f t="shared" ca="1" si="4"/>
        <v>0.6382389261127821</v>
      </c>
      <c r="C292" s="2" t="s">
        <v>226</v>
      </c>
    </row>
    <row r="293" spans="1:3" x14ac:dyDescent="0.2">
      <c r="A293" s="2">
        <v>291</v>
      </c>
      <c r="B293" s="2">
        <f t="shared" ca="1" si="4"/>
        <v>0.77072093453538393</v>
      </c>
      <c r="C293" s="2" t="s">
        <v>227</v>
      </c>
    </row>
    <row r="294" spans="1:3" x14ac:dyDescent="0.2">
      <c r="A294" s="2">
        <v>292</v>
      </c>
      <c r="B294" s="2">
        <f t="shared" ca="1" si="4"/>
        <v>0.76437312546296554</v>
      </c>
      <c r="C294" s="2" t="s">
        <v>226</v>
      </c>
    </row>
    <row r="295" spans="1:3" x14ac:dyDescent="0.2">
      <c r="A295" s="2">
        <v>293</v>
      </c>
      <c r="B295" s="2">
        <f t="shared" ca="1" si="4"/>
        <v>0.81348017327135214</v>
      </c>
      <c r="C295" s="2" t="s">
        <v>227</v>
      </c>
    </row>
    <row r="296" spans="1:3" x14ac:dyDescent="0.2">
      <c r="A296" s="2">
        <v>294</v>
      </c>
      <c r="B296" s="2">
        <f t="shared" ca="1" si="4"/>
        <v>0.64854831454227146</v>
      </c>
      <c r="C296" s="2" t="s">
        <v>226</v>
      </c>
    </row>
    <row r="297" spans="1:3" x14ac:dyDescent="0.2">
      <c r="A297" s="2">
        <v>295</v>
      </c>
      <c r="B297" s="2">
        <f t="shared" ca="1" si="4"/>
        <v>0.74645492519844825</v>
      </c>
      <c r="C297" s="2" t="s">
        <v>226</v>
      </c>
    </row>
    <row r="298" spans="1:3" x14ac:dyDescent="0.2">
      <c r="A298" s="2">
        <v>296</v>
      </c>
      <c r="B298" s="2">
        <f t="shared" ca="1" si="4"/>
        <v>0.60832772481139508</v>
      </c>
      <c r="C298" s="2" t="s">
        <v>227</v>
      </c>
    </row>
    <row r="299" spans="1:3" x14ac:dyDescent="0.2">
      <c r="A299" s="2">
        <v>297</v>
      </c>
      <c r="B299" s="2">
        <f t="shared" ca="1" si="4"/>
        <v>0.79708526489940035</v>
      </c>
      <c r="C299" s="2" t="s">
        <v>227</v>
      </c>
    </row>
    <row r="300" spans="1:3" x14ac:dyDescent="0.2">
      <c r="A300" s="2">
        <v>298</v>
      </c>
      <c r="B300" s="2">
        <f t="shared" ca="1" si="4"/>
        <v>0.51957074256217917</v>
      </c>
      <c r="C300" s="2" t="s">
        <v>226</v>
      </c>
    </row>
    <row r="301" spans="1:3" x14ac:dyDescent="0.2">
      <c r="A301" s="2">
        <v>299</v>
      </c>
      <c r="B301" s="2">
        <f t="shared" ca="1" si="4"/>
        <v>0.6314379724388679</v>
      </c>
      <c r="C301" s="2" t="s">
        <v>227</v>
      </c>
    </row>
    <row r="302" spans="1:3" x14ac:dyDescent="0.2">
      <c r="A302" s="2">
        <v>300</v>
      </c>
      <c r="B302" s="2">
        <f t="shared" ca="1" si="4"/>
        <v>0.59907870489514781</v>
      </c>
      <c r="C302" s="2" t="s">
        <v>227</v>
      </c>
    </row>
    <row r="303" spans="1:3" x14ac:dyDescent="0.2">
      <c r="A303" s="2">
        <v>301</v>
      </c>
      <c r="B303" s="2">
        <f t="shared" ca="1" si="4"/>
        <v>0.59289870869836581</v>
      </c>
      <c r="C303" s="2" t="s">
        <v>227</v>
      </c>
    </row>
    <row r="304" spans="1:3" x14ac:dyDescent="0.2">
      <c r="A304" s="2">
        <v>302</v>
      </c>
      <c r="B304" s="2">
        <f t="shared" ca="1" si="4"/>
        <v>0.60318644013396361</v>
      </c>
      <c r="C304" s="2" t="s">
        <v>227</v>
      </c>
    </row>
    <row r="305" spans="1:3" x14ac:dyDescent="0.2">
      <c r="A305" s="2">
        <v>303</v>
      </c>
      <c r="B305" s="2">
        <f t="shared" ca="1" si="4"/>
        <v>0.65740000213534833</v>
      </c>
      <c r="C305" s="2" t="s">
        <v>227</v>
      </c>
    </row>
    <row r="306" spans="1:3" x14ac:dyDescent="0.2">
      <c r="A306" s="2">
        <v>304</v>
      </c>
      <c r="B306" s="2">
        <f t="shared" ca="1" si="4"/>
        <v>0.70710015996101161</v>
      </c>
      <c r="C306" s="2" t="s">
        <v>227</v>
      </c>
    </row>
    <row r="307" spans="1:3" x14ac:dyDescent="0.2">
      <c r="A307" s="2">
        <v>305</v>
      </c>
      <c r="B307" s="2">
        <f t="shared" ca="1" si="4"/>
        <v>0.53747121551115606</v>
      </c>
      <c r="C307" s="2" t="s">
        <v>226</v>
      </c>
    </row>
    <row r="308" spans="1:3" x14ac:dyDescent="0.2">
      <c r="A308" s="2">
        <v>306</v>
      </c>
      <c r="B308" s="2">
        <f t="shared" ca="1" si="4"/>
        <v>0.61588299054072504</v>
      </c>
      <c r="C308" s="2" t="s">
        <v>227</v>
      </c>
    </row>
    <row r="309" spans="1:3" x14ac:dyDescent="0.2">
      <c r="A309" s="2">
        <v>307</v>
      </c>
      <c r="B309" s="2">
        <f t="shared" ca="1" si="4"/>
        <v>0.44250146203247354</v>
      </c>
      <c r="C309" s="2" t="s">
        <v>226</v>
      </c>
    </row>
    <row r="310" spans="1:3" x14ac:dyDescent="0.2">
      <c r="A310" s="2">
        <v>308</v>
      </c>
      <c r="B310" s="2">
        <f t="shared" ca="1" si="4"/>
        <v>0.69817142539720611</v>
      </c>
      <c r="C310" s="2" t="s">
        <v>227</v>
      </c>
    </row>
    <row r="311" spans="1:3" x14ac:dyDescent="0.2">
      <c r="A311" s="2">
        <v>309</v>
      </c>
      <c r="B311" s="2">
        <f t="shared" ca="1" si="4"/>
        <v>0.7002943349619789</v>
      </c>
      <c r="C311" s="2" t="s">
        <v>227</v>
      </c>
    </row>
    <row r="312" spans="1:3" x14ac:dyDescent="0.2">
      <c r="A312" s="2">
        <v>310</v>
      </c>
      <c r="B312" s="2">
        <f t="shared" ca="1" si="4"/>
        <v>0.80399487387062019</v>
      </c>
      <c r="C312" s="2" t="s">
        <v>226</v>
      </c>
    </row>
    <row r="313" spans="1:3" x14ac:dyDescent="0.2">
      <c r="A313" s="2">
        <v>311</v>
      </c>
      <c r="B313" s="2">
        <f t="shared" ca="1" si="4"/>
        <v>0.54341877656902826</v>
      </c>
      <c r="C313" s="2" t="s">
        <v>227</v>
      </c>
    </row>
    <row r="314" spans="1:3" x14ac:dyDescent="0.2">
      <c r="A314" s="2">
        <v>312</v>
      </c>
      <c r="B314" s="2">
        <f t="shared" ca="1" si="4"/>
        <v>0.76424594856673145</v>
      </c>
      <c r="C314" s="2" t="s">
        <v>227</v>
      </c>
    </row>
    <row r="315" spans="1:3" x14ac:dyDescent="0.2">
      <c r="A315" s="2">
        <v>313</v>
      </c>
      <c r="B315" s="2">
        <f t="shared" ca="1" si="4"/>
        <v>0.60795170540952403</v>
      </c>
      <c r="C315" s="2" t="s">
        <v>226</v>
      </c>
    </row>
    <row r="316" spans="1:3" x14ac:dyDescent="0.2">
      <c r="A316" s="2">
        <v>314</v>
      </c>
      <c r="B316" s="2">
        <f t="shared" ca="1" si="4"/>
        <v>0.44286835374014855</v>
      </c>
      <c r="C316" s="2" t="s">
        <v>226</v>
      </c>
    </row>
    <row r="317" spans="1:3" x14ac:dyDescent="0.2">
      <c r="A317" s="2">
        <v>315</v>
      </c>
      <c r="B317" s="2">
        <f t="shared" ca="1" si="4"/>
        <v>0.54887639486268058</v>
      </c>
      <c r="C317" s="2" t="s">
        <v>227</v>
      </c>
    </row>
    <row r="318" spans="1:3" x14ac:dyDescent="0.2">
      <c r="A318" s="2">
        <v>316</v>
      </c>
      <c r="B318" s="2">
        <f t="shared" ca="1" si="4"/>
        <v>0.74817421833540054</v>
      </c>
      <c r="C318" s="2" t="s">
        <v>227</v>
      </c>
    </row>
    <row r="319" spans="1:3" x14ac:dyDescent="0.2">
      <c r="A319" s="2">
        <v>317</v>
      </c>
      <c r="B319" s="2">
        <f t="shared" ca="1" si="4"/>
        <v>0.49121160337879166</v>
      </c>
      <c r="C319" s="2" t="s">
        <v>226</v>
      </c>
    </row>
    <row r="320" spans="1:3" x14ac:dyDescent="0.2">
      <c r="A320" s="2">
        <v>318</v>
      </c>
      <c r="B320" s="2">
        <f t="shared" ca="1" si="4"/>
        <v>0.62540398272400222</v>
      </c>
      <c r="C320" s="2" t="s">
        <v>227</v>
      </c>
    </row>
    <row r="321" spans="1:3" x14ac:dyDescent="0.2">
      <c r="A321" s="2">
        <v>319</v>
      </c>
      <c r="B321" s="2">
        <f t="shared" ca="1" si="4"/>
        <v>0.59108247794870628</v>
      </c>
      <c r="C321" s="2" t="s">
        <v>226</v>
      </c>
    </row>
    <row r="322" spans="1:3" x14ac:dyDescent="0.2">
      <c r="A322" s="2">
        <v>320</v>
      </c>
      <c r="B322" s="2">
        <f t="shared" ca="1" si="4"/>
        <v>0.35414005637488422</v>
      </c>
      <c r="C322" s="2" t="s">
        <v>226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0.82354896913584341</v>
      </c>
      <c r="C323" s="2" t="s">
        <v>227</v>
      </c>
    </row>
    <row r="324" spans="1:3" x14ac:dyDescent="0.2">
      <c r="A324" s="2">
        <v>322</v>
      </c>
      <c r="B324" s="2">
        <f t="shared" ca="1" si="5"/>
        <v>0.81171591991157788</v>
      </c>
      <c r="C324" s="2" t="s">
        <v>227</v>
      </c>
    </row>
    <row r="325" spans="1:3" x14ac:dyDescent="0.2">
      <c r="A325" s="2">
        <v>323</v>
      </c>
      <c r="B325" s="2">
        <f t="shared" ca="1" si="5"/>
        <v>0.68188566889235591</v>
      </c>
      <c r="C325" s="2" t="s">
        <v>227</v>
      </c>
    </row>
    <row r="326" spans="1:3" x14ac:dyDescent="0.2">
      <c r="A326" s="2">
        <v>324</v>
      </c>
      <c r="B326" s="2">
        <f t="shared" ca="1" si="5"/>
        <v>0.53092771924700255</v>
      </c>
      <c r="C326" s="2" t="s">
        <v>226</v>
      </c>
    </row>
    <row r="327" spans="1:3" x14ac:dyDescent="0.2">
      <c r="A327" s="2">
        <v>325</v>
      </c>
      <c r="B327" s="2">
        <f t="shared" ca="1" si="5"/>
        <v>0.84133358981513784</v>
      </c>
      <c r="C327" s="2" t="s">
        <v>226</v>
      </c>
    </row>
    <row r="328" spans="1:3" x14ac:dyDescent="0.2">
      <c r="A328" s="2">
        <v>326</v>
      </c>
      <c r="B328" s="2">
        <f t="shared" ca="1" si="5"/>
        <v>0.64311026667933624</v>
      </c>
      <c r="C328" s="2" t="s">
        <v>227</v>
      </c>
    </row>
    <row r="329" spans="1:3" x14ac:dyDescent="0.2">
      <c r="A329" s="2">
        <v>327</v>
      </c>
      <c r="B329" s="2">
        <f t="shared" ca="1" si="5"/>
        <v>0.24983045653481967</v>
      </c>
      <c r="C329" s="2" t="s">
        <v>226</v>
      </c>
    </row>
    <row r="330" spans="1:3" x14ac:dyDescent="0.2">
      <c r="A330" s="2">
        <v>328</v>
      </c>
      <c r="B330" s="2">
        <f t="shared" ca="1" si="5"/>
        <v>0.66949899833525894</v>
      </c>
      <c r="C330" s="2" t="s">
        <v>226</v>
      </c>
    </row>
    <row r="331" spans="1:3" x14ac:dyDescent="0.2">
      <c r="A331" s="2">
        <v>329</v>
      </c>
      <c r="B331" s="2">
        <f t="shared" ca="1" si="5"/>
        <v>0.81627340733017062</v>
      </c>
      <c r="C331" s="2" t="s">
        <v>227</v>
      </c>
    </row>
    <row r="332" spans="1:3" x14ac:dyDescent="0.2">
      <c r="A332" s="2">
        <v>330</v>
      </c>
      <c r="B332" s="2">
        <f t="shared" ca="1" si="5"/>
        <v>0.82898232188486121</v>
      </c>
      <c r="C332" s="2" t="s">
        <v>226</v>
      </c>
    </row>
    <row r="333" spans="1:3" x14ac:dyDescent="0.2">
      <c r="A333" s="2">
        <v>331</v>
      </c>
      <c r="B333" s="2">
        <f t="shared" ca="1" si="5"/>
        <v>0.67094664480819277</v>
      </c>
      <c r="C333" s="2" t="s">
        <v>226</v>
      </c>
    </row>
    <row r="334" spans="1:3" x14ac:dyDescent="0.2">
      <c r="A334" s="2">
        <v>332</v>
      </c>
      <c r="B334" s="2">
        <f t="shared" ca="1" si="5"/>
        <v>0.6606563030604341</v>
      </c>
      <c r="C334" s="2" t="s">
        <v>227</v>
      </c>
    </row>
    <row r="335" spans="1:3" x14ac:dyDescent="0.2">
      <c r="A335" s="2">
        <v>333</v>
      </c>
      <c r="B335" s="2">
        <f t="shared" ca="1" si="5"/>
        <v>0.53074607160552845</v>
      </c>
      <c r="C335" s="2" t="s">
        <v>226</v>
      </c>
    </row>
    <row r="336" spans="1:3" x14ac:dyDescent="0.2">
      <c r="A336" s="2">
        <v>334</v>
      </c>
      <c r="B336" s="2">
        <f t="shared" ca="1" si="5"/>
        <v>0.61262709602652021</v>
      </c>
      <c r="C336" s="2" t="s">
        <v>226</v>
      </c>
    </row>
    <row r="337" spans="1:3" x14ac:dyDescent="0.2">
      <c r="A337" s="2">
        <v>335</v>
      </c>
      <c r="B337" s="2">
        <f t="shared" ca="1" si="5"/>
        <v>0.60747747069877078</v>
      </c>
      <c r="C337" s="2" t="s">
        <v>226</v>
      </c>
    </row>
    <row r="338" spans="1:3" x14ac:dyDescent="0.2">
      <c r="A338" s="2">
        <v>336</v>
      </c>
      <c r="B338" s="2">
        <f t="shared" ca="1" si="5"/>
        <v>0.57963422289214583</v>
      </c>
      <c r="C338" s="2" t="s">
        <v>227</v>
      </c>
    </row>
    <row r="339" spans="1:3" x14ac:dyDescent="0.2">
      <c r="A339" s="2">
        <v>337</v>
      </c>
      <c r="B339" s="2">
        <f t="shared" ca="1" si="5"/>
        <v>0.64464773645056916</v>
      </c>
      <c r="C339" s="2" t="s">
        <v>227</v>
      </c>
    </row>
    <row r="340" spans="1:3" x14ac:dyDescent="0.2">
      <c r="A340" s="2">
        <v>338</v>
      </c>
      <c r="B340" s="2">
        <f t="shared" ca="1" si="5"/>
        <v>0.81453718705071765</v>
      </c>
      <c r="C340" s="2" t="s">
        <v>227</v>
      </c>
    </row>
    <row r="341" spans="1:3" x14ac:dyDescent="0.2">
      <c r="A341" s="2">
        <v>339</v>
      </c>
      <c r="B341" s="2">
        <f t="shared" ca="1" si="5"/>
        <v>0.76747444902535678</v>
      </c>
      <c r="C341" s="2" t="s">
        <v>226</v>
      </c>
    </row>
    <row r="342" spans="1:3" x14ac:dyDescent="0.2">
      <c r="A342" s="2">
        <v>340</v>
      </c>
      <c r="B342" s="2">
        <f t="shared" ca="1" si="5"/>
        <v>0.31291139993591155</v>
      </c>
      <c r="C342" s="2" t="s">
        <v>226</v>
      </c>
    </row>
    <row r="343" spans="1:3" x14ac:dyDescent="0.2">
      <c r="A343" s="2">
        <v>341</v>
      </c>
      <c r="B343" s="2">
        <f t="shared" ca="1" si="5"/>
        <v>0.65401447760675013</v>
      </c>
      <c r="C343" s="2" t="s">
        <v>226</v>
      </c>
    </row>
    <row r="344" spans="1:3" x14ac:dyDescent="0.2">
      <c r="A344" s="2">
        <v>342</v>
      </c>
      <c r="B344" s="2">
        <f t="shared" ca="1" si="5"/>
        <v>0.59413622085545958</v>
      </c>
      <c r="C344" s="2" t="s">
        <v>226</v>
      </c>
    </row>
    <row r="345" spans="1:3" x14ac:dyDescent="0.2">
      <c r="A345" s="2">
        <v>343</v>
      </c>
      <c r="B345" s="2">
        <f t="shared" ca="1" si="5"/>
        <v>0.6202627272137804</v>
      </c>
      <c r="C345" s="2" t="s">
        <v>227</v>
      </c>
    </row>
    <row r="346" spans="1:3" x14ac:dyDescent="0.2">
      <c r="A346" s="2">
        <v>344</v>
      </c>
      <c r="B346" s="2">
        <f t="shared" ca="1" si="5"/>
        <v>0.75984988074247561</v>
      </c>
      <c r="C346" s="2" t="s">
        <v>227</v>
      </c>
    </row>
    <row r="347" spans="1:3" x14ac:dyDescent="0.2">
      <c r="A347" s="2">
        <v>345</v>
      </c>
      <c r="B347" s="2">
        <f t="shared" ca="1" si="5"/>
        <v>0.50090008966704147</v>
      </c>
      <c r="C347" s="2" t="s">
        <v>226</v>
      </c>
    </row>
    <row r="348" spans="1:3" x14ac:dyDescent="0.2">
      <c r="A348" s="2">
        <v>346</v>
      </c>
      <c r="B348" s="2">
        <f t="shared" ca="1" si="5"/>
        <v>0.58969436681618415</v>
      </c>
      <c r="C348" s="2" t="s">
        <v>227</v>
      </c>
    </row>
    <row r="349" spans="1:3" x14ac:dyDescent="0.2">
      <c r="A349" s="2">
        <v>347</v>
      </c>
      <c r="B349" s="2">
        <f t="shared" ca="1" si="5"/>
        <v>0.64220578000913653</v>
      </c>
      <c r="C349" s="2" t="s">
        <v>226</v>
      </c>
    </row>
    <row r="350" spans="1:3" x14ac:dyDescent="0.2">
      <c r="A350" s="2">
        <v>348</v>
      </c>
      <c r="B350" s="2">
        <f t="shared" ca="1" si="5"/>
        <v>0.84378245917562045</v>
      </c>
      <c r="C350" s="2" t="s">
        <v>227</v>
      </c>
    </row>
    <row r="351" spans="1:3" x14ac:dyDescent="0.2">
      <c r="A351" s="2">
        <v>349</v>
      </c>
      <c r="B351" s="2">
        <f t="shared" ca="1" si="5"/>
        <v>0.76721284514024202</v>
      </c>
      <c r="C351" s="2" t="s">
        <v>227</v>
      </c>
    </row>
    <row r="352" spans="1:3" x14ac:dyDescent="0.2">
      <c r="A352" s="2">
        <v>350</v>
      </c>
      <c r="B352" s="2">
        <f t="shared" ca="1" si="5"/>
        <v>0.78935206901019372</v>
      </c>
      <c r="C352" s="2" t="s">
        <v>226</v>
      </c>
    </row>
    <row r="353" spans="1:3" x14ac:dyDescent="0.2">
      <c r="A353" s="2">
        <v>351</v>
      </c>
      <c r="B353" s="2">
        <f t="shared" ca="1" si="5"/>
        <v>0.42865945800657079</v>
      </c>
      <c r="C353" s="2" t="s">
        <v>226</v>
      </c>
    </row>
    <row r="354" spans="1:3" x14ac:dyDescent="0.2">
      <c r="A354" s="2">
        <v>352</v>
      </c>
      <c r="B354" s="2">
        <f t="shared" ca="1" si="5"/>
        <v>0.62892666318721746</v>
      </c>
      <c r="C354" s="2" t="s">
        <v>226</v>
      </c>
    </row>
    <row r="355" spans="1:3" x14ac:dyDescent="0.2">
      <c r="A355" s="2">
        <v>353</v>
      </c>
      <c r="B355" s="2">
        <f t="shared" ca="1" si="5"/>
        <v>0.73628932788948143</v>
      </c>
      <c r="C355" s="2" t="s">
        <v>227</v>
      </c>
    </row>
    <row r="356" spans="1:3" x14ac:dyDescent="0.2">
      <c r="A356" s="2">
        <v>354</v>
      </c>
      <c r="B356" s="2">
        <f t="shared" ca="1" si="5"/>
        <v>0.81899021107680692</v>
      </c>
      <c r="C356" s="2" t="s">
        <v>227</v>
      </c>
    </row>
    <row r="357" spans="1:3" x14ac:dyDescent="0.2">
      <c r="A357" s="2">
        <v>355</v>
      </c>
      <c r="B357" s="2">
        <f t="shared" ca="1" si="5"/>
        <v>0.73161746567638464</v>
      </c>
      <c r="C357" s="2" t="s">
        <v>227</v>
      </c>
    </row>
    <row r="358" spans="1:3" x14ac:dyDescent="0.2">
      <c r="A358" s="2">
        <v>356</v>
      </c>
      <c r="B358" s="2">
        <f t="shared" ca="1" si="5"/>
        <v>0.77050277329027306</v>
      </c>
      <c r="C358" s="2" t="s">
        <v>227</v>
      </c>
    </row>
    <row r="359" spans="1:3" x14ac:dyDescent="0.2">
      <c r="A359" s="2">
        <v>357</v>
      </c>
      <c r="B359" s="2">
        <f t="shared" ca="1" si="5"/>
        <v>0.38124729297760296</v>
      </c>
      <c r="C359" s="2" t="s">
        <v>226</v>
      </c>
    </row>
    <row r="360" spans="1:3" x14ac:dyDescent="0.2">
      <c r="A360" s="2">
        <v>358</v>
      </c>
      <c r="B360" s="2">
        <f t="shared" ca="1" si="5"/>
        <v>0.57504364821008436</v>
      </c>
      <c r="C360" s="2" t="s">
        <v>227</v>
      </c>
    </row>
    <row r="361" spans="1:3" x14ac:dyDescent="0.2">
      <c r="A361" s="2">
        <v>359</v>
      </c>
      <c r="B361" s="2">
        <f t="shared" ca="1" si="5"/>
        <v>0.6848661675297758</v>
      </c>
      <c r="C361" s="2" t="s">
        <v>226</v>
      </c>
    </row>
    <row r="362" spans="1:3" x14ac:dyDescent="0.2">
      <c r="A362" s="2">
        <v>360</v>
      </c>
      <c r="B362" s="2">
        <f t="shared" ca="1" si="5"/>
        <v>0.36331290349030571</v>
      </c>
      <c r="C362" s="2" t="s">
        <v>226</v>
      </c>
    </row>
    <row r="363" spans="1:3" x14ac:dyDescent="0.2">
      <c r="A363" s="2">
        <v>361</v>
      </c>
      <c r="B363" s="2">
        <f t="shared" ca="1" si="5"/>
        <v>0.73461482429982483</v>
      </c>
      <c r="C363" s="2" t="s">
        <v>227</v>
      </c>
    </row>
    <row r="364" spans="1:3" x14ac:dyDescent="0.2">
      <c r="A364" s="2">
        <v>362</v>
      </c>
      <c r="B364" s="2">
        <f t="shared" ca="1" si="5"/>
        <v>0.65787881821128968</v>
      </c>
      <c r="C364" s="2" t="s">
        <v>227</v>
      </c>
    </row>
    <row r="365" spans="1:3" x14ac:dyDescent="0.2">
      <c r="A365" s="2">
        <v>363</v>
      </c>
      <c r="B365" s="2">
        <f t="shared" ca="1" si="5"/>
        <v>0.41723265019140721</v>
      </c>
      <c r="C365" s="2" t="s">
        <v>226</v>
      </c>
    </row>
    <row r="366" spans="1:3" x14ac:dyDescent="0.2">
      <c r="A366" s="2">
        <v>364</v>
      </c>
      <c r="B366" s="2">
        <f t="shared" ca="1" si="5"/>
        <v>0.71587721019467609</v>
      </c>
      <c r="C366" s="2" t="s">
        <v>227</v>
      </c>
    </row>
    <row r="367" spans="1:3" x14ac:dyDescent="0.2">
      <c r="A367" s="2">
        <v>365</v>
      </c>
      <c r="B367" s="2">
        <f t="shared" ca="1" si="5"/>
        <v>0.60670233491811421</v>
      </c>
      <c r="C367" s="2" t="s">
        <v>226</v>
      </c>
    </row>
    <row r="368" spans="1:3" x14ac:dyDescent="0.2">
      <c r="A368" s="2">
        <v>366</v>
      </c>
      <c r="B368" s="2">
        <f t="shared" ca="1" si="5"/>
        <v>0.71316344516903163</v>
      </c>
      <c r="C368" s="2" t="s">
        <v>226</v>
      </c>
    </row>
    <row r="369" spans="1:3" x14ac:dyDescent="0.2">
      <c r="A369" s="2">
        <v>367</v>
      </c>
      <c r="B369" s="2">
        <f t="shared" ca="1" si="5"/>
        <v>0.66985687641804592</v>
      </c>
      <c r="C369" s="2" t="s">
        <v>227</v>
      </c>
    </row>
    <row r="370" spans="1:3" x14ac:dyDescent="0.2">
      <c r="A370" s="2">
        <v>368</v>
      </c>
      <c r="B370" s="2">
        <f t="shared" ca="1" si="5"/>
        <v>0.67006457136457631</v>
      </c>
      <c r="C370" s="2" t="s">
        <v>227</v>
      </c>
    </row>
    <row r="371" spans="1:3" x14ac:dyDescent="0.2">
      <c r="A371" s="2">
        <v>369</v>
      </c>
      <c r="B371" s="2">
        <f t="shared" ca="1" si="5"/>
        <v>0.48536719597897454</v>
      </c>
      <c r="C371" s="2" t="s">
        <v>226</v>
      </c>
    </row>
    <row r="372" spans="1:3" x14ac:dyDescent="0.2">
      <c r="A372" s="2">
        <v>370</v>
      </c>
      <c r="B372" s="2">
        <f t="shared" ca="1" si="5"/>
        <v>0.71231001743075328</v>
      </c>
      <c r="C372" s="2" t="s">
        <v>227</v>
      </c>
    </row>
    <row r="373" spans="1:3" x14ac:dyDescent="0.2">
      <c r="A373" s="2">
        <v>371</v>
      </c>
      <c r="B373" s="2">
        <f t="shared" ca="1" si="5"/>
        <v>0.68711817494174543</v>
      </c>
      <c r="C373" s="2" t="s">
        <v>227</v>
      </c>
    </row>
    <row r="374" spans="1:3" x14ac:dyDescent="0.2">
      <c r="A374" s="2">
        <v>372</v>
      </c>
      <c r="B374" s="2">
        <f t="shared" ca="1" si="5"/>
        <v>0.47092780863110095</v>
      </c>
      <c r="C374" s="2" t="s">
        <v>226</v>
      </c>
    </row>
    <row r="375" spans="1:3" x14ac:dyDescent="0.2">
      <c r="A375" s="2">
        <v>373</v>
      </c>
      <c r="B375" s="2">
        <f t="shared" ca="1" si="5"/>
        <v>0.63350020189572531</v>
      </c>
      <c r="C375" s="2" t="s">
        <v>227</v>
      </c>
    </row>
    <row r="376" spans="1:3" x14ac:dyDescent="0.2">
      <c r="A376" s="2">
        <v>374</v>
      </c>
      <c r="B376" s="2">
        <f t="shared" ca="1" si="5"/>
        <v>0.65994191546349157</v>
      </c>
      <c r="C376" s="2" t="s">
        <v>227</v>
      </c>
    </row>
    <row r="377" spans="1:3" x14ac:dyDescent="0.2">
      <c r="A377" s="2">
        <v>375</v>
      </c>
      <c r="B377" s="2">
        <f t="shared" ca="1" si="5"/>
        <v>0.39109842223937319</v>
      </c>
      <c r="C377" s="2" t="s">
        <v>226</v>
      </c>
    </row>
    <row r="378" spans="1:3" x14ac:dyDescent="0.2">
      <c r="A378" s="2">
        <v>376</v>
      </c>
      <c r="B378" s="2">
        <f t="shared" ca="1" si="5"/>
        <v>0.68081651727455783</v>
      </c>
      <c r="C378" s="2" t="s">
        <v>227</v>
      </c>
    </row>
    <row r="379" spans="1:3" x14ac:dyDescent="0.2">
      <c r="A379" s="2">
        <v>377</v>
      </c>
      <c r="B379" s="2">
        <f t="shared" ca="1" si="5"/>
        <v>0.82057946860974529</v>
      </c>
      <c r="C379" s="2" t="s">
        <v>227</v>
      </c>
    </row>
    <row r="380" spans="1:3" x14ac:dyDescent="0.2">
      <c r="A380" s="2">
        <v>378</v>
      </c>
      <c r="B380" s="2">
        <f t="shared" ca="1" si="5"/>
        <v>0.65967948007997745</v>
      </c>
      <c r="C380" s="2" t="s">
        <v>227</v>
      </c>
    </row>
    <row r="381" spans="1:3" x14ac:dyDescent="0.2">
      <c r="A381" s="2">
        <v>379</v>
      </c>
      <c r="B381" s="2">
        <f t="shared" ca="1" si="5"/>
        <v>0.58485260614071488</v>
      </c>
      <c r="C381" s="2" t="s">
        <v>227</v>
      </c>
    </row>
    <row r="382" spans="1:3" x14ac:dyDescent="0.2">
      <c r="A382" s="2">
        <v>380</v>
      </c>
      <c r="B382" s="2">
        <f t="shared" ca="1" si="5"/>
        <v>0.84222024816127605</v>
      </c>
      <c r="C382" s="2" t="s">
        <v>227</v>
      </c>
    </row>
    <row r="383" spans="1:3" x14ac:dyDescent="0.2">
      <c r="A383" s="2">
        <v>381</v>
      </c>
      <c r="B383" s="2">
        <f t="shared" ca="1" si="5"/>
        <v>0.55159754535514338</v>
      </c>
      <c r="C383" s="2" t="s">
        <v>227</v>
      </c>
    </row>
    <row r="384" spans="1:3" x14ac:dyDescent="0.2">
      <c r="A384" s="2">
        <v>382</v>
      </c>
      <c r="B384" s="2">
        <f t="shared" ca="1" si="5"/>
        <v>0.69675740093756855</v>
      </c>
      <c r="C384" s="2" t="s">
        <v>227</v>
      </c>
    </row>
    <row r="385" spans="1:3" x14ac:dyDescent="0.2">
      <c r="A385" s="2">
        <v>383</v>
      </c>
      <c r="B385" s="2">
        <f t="shared" ca="1" si="5"/>
        <v>0.52839946763693546</v>
      </c>
      <c r="C385" s="2" t="s">
        <v>226</v>
      </c>
    </row>
    <row r="386" spans="1:3" x14ac:dyDescent="0.2">
      <c r="A386" s="2">
        <v>384</v>
      </c>
      <c r="B386" s="2">
        <f t="shared" ca="1" si="5"/>
        <v>0.65583268326020017</v>
      </c>
      <c r="C386" s="2" t="s">
        <v>227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0.69801833729857155</v>
      </c>
      <c r="C387" s="2" t="s">
        <v>226</v>
      </c>
    </row>
    <row r="388" spans="1:3" x14ac:dyDescent="0.2">
      <c r="A388" s="2">
        <v>386</v>
      </c>
      <c r="B388" s="2">
        <f t="shared" ca="1" si="6"/>
        <v>0.59295416859536232</v>
      </c>
      <c r="C388" s="2" t="s">
        <v>226</v>
      </c>
    </row>
    <row r="389" spans="1:3" x14ac:dyDescent="0.2">
      <c r="A389" s="2">
        <v>387</v>
      </c>
      <c r="B389" s="2">
        <f t="shared" ca="1" si="6"/>
        <v>0.82075234372031247</v>
      </c>
      <c r="C389" s="2" t="s">
        <v>226</v>
      </c>
    </row>
    <row r="390" spans="1:3" x14ac:dyDescent="0.2">
      <c r="A390" s="2">
        <v>388</v>
      </c>
      <c r="B390" s="2">
        <f t="shared" ca="1" si="6"/>
        <v>0.37945743357423645</v>
      </c>
      <c r="C390" s="2" t="s">
        <v>226</v>
      </c>
    </row>
    <row r="391" spans="1:3" x14ac:dyDescent="0.2">
      <c r="A391" s="2">
        <v>389</v>
      </c>
      <c r="B391" s="2">
        <f t="shared" ca="1" si="6"/>
        <v>0.60808838933112208</v>
      </c>
      <c r="C391" s="2" t="s">
        <v>226</v>
      </c>
    </row>
    <row r="392" spans="1:3" x14ac:dyDescent="0.2">
      <c r="A392" s="2">
        <v>390</v>
      </c>
      <c r="B392" s="2">
        <f t="shared" ca="1" si="6"/>
        <v>0.71330459377227795</v>
      </c>
      <c r="C392" s="2" t="s">
        <v>227</v>
      </c>
    </row>
    <row r="393" spans="1:3" x14ac:dyDescent="0.2">
      <c r="A393" s="2">
        <v>391</v>
      </c>
      <c r="B393" s="2">
        <f t="shared" ca="1" si="6"/>
        <v>0.68098510039993942</v>
      </c>
      <c r="C393" s="2" t="s">
        <v>227</v>
      </c>
    </row>
    <row r="394" spans="1:3" x14ac:dyDescent="0.2">
      <c r="A394" s="2">
        <v>392</v>
      </c>
      <c r="B394" s="2">
        <f t="shared" ca="1" si="6"/>
        <v>0.51803634559626355</v>
      </c>
      <c r="C394" s="2" t="s">
        <v>226</v>
      </c>
    </row>
    <row r="395" spans="1:3" x14ac:dyDescent="0.2">
      <c r="A395" s="2">
        <v>393</v>
      </c>
      <c r="B395" s="2">
        <f t="shared" ca="1" si="6"/>
        <v>0.61386373708009578</v>
      </c>
      <c r="C395" s="2" t="s">
        <v>226</v>
      </c>
    </row>
    <row r="396" spans="1:3" x14ac:dyDescent="0.2">
      <c r="A396" s="2">
        <v>394</v>
      </c>
      <c r="B396" s="2">
        <f t="shared" ca="1" si="6"/>
        <v>0.24820695291899947</v>
      </c>
      <c r="C396" s="2" t="s">
        <v>226</v>
      </c>
    </row>
    <row r="397" spans="1:3" x14ac:dyDescent="0.2">
      <c r="A397" s="2">
        <v>395</v>
      </c>
      <c r="B397" s="2">
        <f t="shared" ca="1" si="6"/>
        <v>0.63879034078892116</v>
      </c>
      <c r="C397" s="2" t="s">
        <v>227</v>
      </c>
    </row>
    <row r="398" spans="1:3" x14ac:dyDescent="0.2">
      <c r="A398" s="2">
        <v>396</v>
      </c>
      <c r="B398" s="2">
        <f t="shared" ca="1" si="6"/>
        <v>0.66025379298123354</v>
      </c>
      <c r="C398" s="2" t="s">
        <v>227</v>
      </c>
    </row>
    <row r="399" spans="1:3" x14ac:dyDescent="0.2">
      <c r="A399" s="2">
        <v>397</v>
      </c>
      <c r="B399" s="2">
        <f t="shared" ca="1" si="6"/>
        <v>0.72707185992315126</v>
      </c>
      <c r="C399" s="2" t="s">
        <v>226</v>
      </c>
    </row>
    <row r="400" spans="1:3" x14ac:dyDescent="0.2">
      <c r="A400" s="2">
        <v>398</v>
      </c>
      <c r="B400" s="2">
        <f t="shared" ca="1" si="6"/>
        <v>0.79827832743638205</v>
      </c>
      <c r="C400" s="2" t="s">
        <v>227</v>
      </c>
    </row>
    <row r="401" spans="1:3" x14ac:dyDescent="0.2">
      <c r="A401" s="2">
        <v>399</v>
      </c>
      <c r="B401" s="2">
        <f t="shared" ca="1" si="6"/>
        <v>0.430550001939069</v>
      </c>
      <c r="C401" s="2" t="s">
        <v>226</v>
      </c>
    </row>
    <row r="402" spans="1:3" x14ac:dyDescent="0.2">
      <c r="A402" s="2">
        <v>400</v>
      </c>
      <c r="B402" s="2">
        <f t="shared" ca="1" si="6"/>
        <v>0.71016644936835549</v>
      </c>
      <c r="C402" s="2" t="s">
        <v>227</v>
      </c>
    </row>
    <row r="403" spans="1:3" x14ac:dyDescent="0.2">
      <c r="A403" s="2">
        <v>401</v>
      </c>
      <c r="B403" s="2">
        <f t="shared" ca="1" si="6"/>
        <v>0.64081894140168982</v>
      </c>
      <c r="C403" s="2" t="s">
        <v>226</v>
      </c>
    </row>
    <row r="404" spans="1:3" x14ac:dyDescent="0.2">
      <c r="A404" s="2">
        <v>402</v>
      </c>
      <c r="B404" s="2">
        <f t="shared" ca="1" si="6"/>
        <v>0.66962867286218264</v>
      </c>
      <c r="C404" s="2" t="s">
        <v>226</v>
      </c>
    </row>
    <row r="405" spans="1:3" x14ac:dyDescent="0.2">
      <c r="A405" s="2">
        <v>403</v>
      </c>
      <c r="B405" s="2">
        <f t="shared" ca="1" si="6"/>
        <v>0.61175646120520044</v>
      </c>
      <c r="C405" s="2" t="s">
        <v>226</v>
      </c>
    </row>
    <row r="406" spans="1:3" x14ac:dyDescent="0.2">
      <c r="A406" s="2">
        <v>404</v>
      </c>
      <c r="B406" s="2">
        <f t="shared" ca="1" si="6"/>
        <v>0.68209296215811821</v>
      </c>
      <c r="C406" s="2" t="s">
        <v>227</v>
      </c>
    </row>
    <row r="407" spans="1:3" x14ac:dyDescent="0.2">
      <c r="A407" s="2">
        <v>405</v>
      </c>
      <c r="B407" s="2">
        <f t="shared" ca="1" si="6"/>
        <v>0.69200950749756274</v>
      </c>
      <c r="C407" s="2" t="s">
        <v>227</v>
      </c>
    </row>
    <row r="408" spans="1:3" x14ac:dyDescent="0.2">
      <c r="A408" s="2">
        <v>406</v>
      </c>
      <c r="B408" s="2">
        <f t="shared" ca="1" si="6"/>
        <v>0.86553420232582845</v>
      </c>
      <c r="C408" s="2" t="s">
        <v>226</v>
      </c>
    </row>
    <row r="409" spans="1:3" x14ac:dyDescent="0.2">
      <c r="A409" s="2">
        <v>407</v>
      </c>
      <c r="B409" s="2">
        <f t="shared" ca="1" si="6"/>
        <v>0.61828987035067107</v>
      </c>
      <c r="C409" s="2" t="s">
        <v>226</v>
      </c>
    </row>
    <row r="410" spans="1:3" x14ac:dyDescent="0.2">
      <c r="A410" s="2">
        <v>408</v>
      </c>
      <c r="B410" s="2">
        <f t="shared" ca="1" si="6"/>
        <v>0.59374155303603016</v>
      </c>
      <c r="C410" s="2" t="s">
        <v>227</v>
      </c>
    </row>
    <row r="411" spans="1:3" x14ac:dyDescent="0.2">
      <c r="A411" s="2">
        <v>409</v>
      </c>
      <c r="B411" s="2">
        <f t="shared" ca="1" si="6"/>
        <v>0.85226235201055167</v>
      </c>
      <c r="C411" s="2" t="s">
        <v>227</v>
      </c>
    </row>
    <row r="412" spans="1:3" x14ac:dyDescent="0.2">
      <c r="A412" s="2">
        <v>410</v>
      </c>
      <c r="B412" s="2">
        <f t="shared" ca="1" si="6"/>
        <v>0.6745879479731598</v>
      </c>
      <c r="C412" s="2" t="s">
        <v>227</v>
      </c>
    </row>
    <row r="413" spans="1:3" x14ac:dyDescent="0.2">
      <c r="A413" s="2">
        <v>411</v>
      </c>
      <c r="B413" s="2">
        <f t="shared" ca="1" si="6"/>
        <v>0.52130200613129229</v>
      </c>
      <c r="C413" s="2" t="s">
        <v>226</v>
      </c>
    </row>
    <row r="414" spans="1:3" x14ac:dyDescent="0.2">
      <c r="A414" s="2">
        <v>412</v>
      </c>
      <c r="B414" s="2">
        <f t="shared" ca="1" si="6"/>
        <v>0.32219274964221417</v>
      </c>
      <c r="C414" s="2" t="s">
        <v>226</v>
      </c>
    </row>
    <row r="415" spans="1:3" x14ac:dyDescent="0.2">
      <c r="A415" s="2">
        <v>413</v>
      </c>
      <c r="B415" s="2">
        <f t="shared" ca="1" si="6"/>
        <v>0.70799803483883483</v>
      </c>
      <c r="C415" s="2" t="s">
        <v>227</v>
      </c>
    </row>
    <row r="416" spans="1:3" x14ac:dyDescent="0.2">
      <c r="A416" s="2">
        <v>414</v>
      </c>
      <c r="B416" s="2">
        <f t="shared" ca="1" si="6"/>
        <v>0.69982474744419088</v>
      </c>
      <c r="C416" s="2" t="s">
        <v>227</v>
      </c>
    </row>
    <row r="417" spans="1:3" x14ac:dyDescent="0.2">
      <c r="A417" s="2">
        <v>415</v>
      </c>
      <c r="B417" s="2">
        <f t="shared" ca="1" si="6"/>
        <v>0.5274063223228358</v>
      </c>
      <c r="C417" s="2" t="s">
        <v>226</v>
      </c>
    </row>
    <row r="418" spans="1:3" x14ac:dyDescent="0.2">
      <c r="A418" s="2">
        <v>416</v>
      </c>
      <c r="B418" s="2">
        <f t="shared" ca="1" si="6"/>
        <v>0.65226965334672427</v>
      </c>
      <c r="C418" s="2" t="s">
        <v>227</v>
      </c>
    </row>
    <row r="419" spans="1:3" x14ac:dyDescent="0.2">
      <c r="A419" s="2">
        <v>417</v>
      </c>
      <c r="B419" s="2">
        <f t="shared" ca="1" si="6"/>
        <v>0.75518657994157523</v>
      </c>
      <c r="C419" s="2" t="s">
        <v>227</v>
      </c>
    </row>
    <row r="420" spans="1:3" x14ac:dyDescent="0.2">
      <c r="A420" s="2">
        <v>418</v>
      </c>
      <c r="B420" s="2">
        <f t="shared" ca="1" si="6"/>
        <v>0.38831422036750129</v>
      </c>
      <c r="C420" s="2" t="s">
        <v>226</v>
      </c>
    </row>
    <row r="421" spans="1:3" x14ac:dyDescent="0.2">
      <c r="A421" s="2">
        <v>419</v>
      </c>
      <c r="B421" s="2">
        <f t="shared" ca="1" si="6"/>
        <v>0.51332584723956975</v>
      </c>
      <c r="C421" s="2" t="s">
        <v>226</v>
      </c>
    </row>
    <row r="422" spans="1:3" x14ac:dyDescent="0.2">
      <c r="A422" s="2">
        <v>420</v>
      </c>
      <c r="B422" s="2">
        <f t="shared" ca="1" si="6"/>
        <v>0.4995926463593704</v>
      </c>
      <c r="C422" s="2" t="s">
        <v>227</v>
      </c>
    </row>
    <row r="423" spans="1:3" x14ac:dyDescent="0.2">
      <c r="A423" s="2">
        <v>421</v>
      </c>
      <c r="B423" s="2">
        <f t="shared" ca="1" si="6"/>
        <v>0.68059200963656064</v>
      </c>
      <c r="C423" s="2" t="s">
        <v>227</v>
      </c>
    </row>
    <row r="424" spans="1:3" x14ac:dyDescent="0.2">
      <c r="A424" s="2">
        <v>422</v>
      </c>
      <c r="B424" s="2">
        <f t="shared" ca="1" si="6"/>
        <v>0.60441576403487163</v>
      </c>
      <c r="C424" s="2" t="s">
        <v>226</v>
      </c>
    </row>
    <row r="425" spans="1:3" x14ac:dyDescent="0.2">
      <c r="A425" s="2">
        <v>423</v>
      </c>
      <c r="B425" s="2">
        <f t="shared" ca="1" si="6"/>
        <v>0.71550844090502808</v>
      </c>
      <c r="C425" s="2" t="s">
        <v>226</v>
      </c>
    </row>
    <row r="426" spans="1:3" x14ac:dyDescent="0.2">
      <c r="A426" s="2">
        <v>424</v>
      </c>
      <c r="B426" s="2">
        <f t="shared" ca="1" si="6"/>
        <v>0.7547143472976684</v>
      </c>
      <c r="C426" s="2" t="s">
        <v>226</v>
      </c>
    </row>
    <row r="427" spans="1:3" x14ac:dyDescent="0.2">
      <c r="A427" s="2">
        <v>425</v>
      </c>
      <c r="B427" s="2">
        <f t="shared" ca="1" si="6"/>
        <v>0.65637618488676386</v>
      </c>
      <c r="C427" s="2" t="s">
        <v>227</v>
      </c>
    </row>
    <row r="428" spans="1:3" x14ac:dyDescent="0.2">
      <c r="A428" s="2">
        <v>426</v>
      </c>
      <c r="B428" s="2">
        <f t="shared" ca="1" si="6"/>
        <v>0.35196204105560458</v>
      </c>
      <c r="C428" s="2" t="s">
        <v>226</v>
      </c>
    </row>
    <row r="429" spans="1:3" x14ac:dyDescent="0.2">
      <c r="A429" s="2">
        <v>427</v>
      </c>
      <c r="B429" s="2">
        <f t="shared" ca="1" si="6"/>
        <v>0.64810850694646516</v>
      </c>
      <c r="C429" s="2" t="s">
        <v>227</v>
      </c>
    </row>
    <row r="430" spans="1:3" x14ac:dyDescent="0.2">
      <c r="A430" s="2">
        <v>428</v>
      </c>
      <c r="B430" s="2">
        <f t="shared" ca="1" si="6"/>
        <v>0.51323938074033915</v>
      </c>
      <c r="C430" s="2" t="s">
        <v>226</v>
      </c>
    </row>
    <row r="431" spans="1:3" x14ac:dyDescent="0.2">
      <c r="A431" s="2">
        <v>429</v>
      </c>
      <c r="B431" s="2">
        <f t="shared" ca="1" si="6"/>
        <v>0.57875132502621063</v>
      </c>
      <c r="C431" s="2" t="s">
        <v>226</v>
      </c>
    </row>
    <row r="432" spans="1:3" x14ac:dyDescent="0.2">
      <c r="A432" s="2">
        <v>430</v>
      </c>
      <c r="B432" s="2">
        <f t="shared" ca="1" si="6"/>
        <v>0.54151937529846572</v>
      </c>
      <c r="C432" s="2" t="s">
        <v>227</v>
      </c>
    </row>
    <row r="433" spans="1:3" x14ac:dyDescent="0.2">
      <c r="A433" s="2">
        <v>431</v>
      </c>
      <c r="B433" s="2">
        <f t="shared" ca="1" si="6"/>
        <v>0.59087736226539866</v>
      </c>
      <c r="C433" s="2" t="s">
        <v>227</v>
      </c>
    </row>
    <row r="434" spans="1:3" x14ac:dyDescent="0.2">
      <c r="A434" s="2">
        <v>432</v>
      </c>
      <c r="B434" s="2">
        <f t="shared" ca="1" si="6"/>
        <v>0.79609183887524804</v>
      </c>
      <c r="C434" s="2" t="s">
        <v>226</v>
      </c>
    </row>
    <row r="435" spans="1:3" x14ac:dyDescent="0.2">
      <c r="A435" s="2">
        <v>433</v>
      </c>
      <c r="B435" s="2">
        <f t="shared" ca="1" si="6"/>
        <v>0.82323309858117732</v>
      </c>
      <c r="C435" s="2" t="s">
        <v>227</v>
      </c>
    </row>
    <row r="436" spans="1:3" x14ac:dyDescent="0.2">
      <c r="A436" s="2">
        <v>434</v>
      </c>
      <c r="B436" s="2">
        <f t="shared" ca="1" si="6"/>
        <v>0.78486536383148642</v>
      </c>
      <c r="C436" s="2" t="s">
        <v>226</v>
      </c>
    </row>
    <row r="437" spans="1:3" x14ac:dyDescent="0.2">
      <c r="A437" s="2">
        <v>435</v>
      </c>
      <c r="B437" s="2">
        <f t="shared" ca="1" si="6"/>
        <v>0.73093179615387782</v>
      </c>
      <c r="C437" s="2" t="s">
        <v>227</v>
      </c>
    </row>
    <row r="438" spans="1:3" x14ac:dyDescent="0.2">
      <c r="A438" s="2">
        <v>436</v>
      </c>
      <c r="B438" s="2">
        <f t="shared" ca="1" si="6"/>
        <v>0.86921524982287157</v>
      </c>
      <c r="C438" s="2" t="s">
        <v>227</v>
      </c>
    </row>
    <row r="439" spans="1:3" x14ac:dyDescent="0.2">
      <c r="A439" s="2">
        <v>437</v>
      </c>
      <c r="B439" s="2">
        <f t="shared" ca="1" si="6"/>
        <v>0.64078647822911061</v>
      </c>
      <c r="C439" s="2" t="s">
        <v>226</v>
      </c>
    </row>
    <row r="440" spans="1:3" x14ac:dyDescent="0.2">
      <c r="A440" s="2">
        <v>438</v>
      </c>
      <c r="B440" s="2">
        <f t="shared" ca="1" si="6"/>
        <v>0.79851302344005626</v>
      </c>
      <c r="C440" s="2" t="s">
        <v>227</v>
      </c>
    </row>
    <row r="441" spans="1:3" x14ac:dyDescent="0.2">
      <c r="A441" s="2">
        <v>439</v>
      </c>
      <c r="B441" s="2">
        <f t="shared" ca="1" si="6"/>
        <v>0.80177954324563749</v>
      </c>
      <c r="C441" s="2" t="s">
        <v>227</v>
      </c>
    </row>
    <row r="442" spans="1:3" x14ac:dyDescent="0.2">
      <c r="A442" s="2">
        <v>440</v>
      </c>
      <c r="B442" s="2">
        <f t="shared" ca="1" si="6"/>
        <v>0.61337943014795149</v>
      </c>
      <c r="C442" s="2" t="s">
        <v>227</v>
      </c>
    </row>
    <row r="443" spans="1:3" x14ac:dyDescent="0.2">
      <c r="A443" s="2">
        <v>441</v>
      </c>
      <c r="B443" s="2">
        <f t="shared" ca="1" si="6"/>
        <v>0.6940331236724665</v>
      </c>
      <c r="C443" s="2" t="s">
        <v>227</v>
      </c>
    </row>
    <row r="444" spans="1:3" x14ac:dyDescent="0.2">
      <c r="A444" s="2">
        <v>442</v>
      </c>
      <c r="B444" s="2">
        <f t="shared" ca="1" si="6"/>
        <v>0.7464991450586016</v>
      </c>
      <c r="C444" s="2" t="s">
        <v>227</v>
      </c>
    </row>
    <row r="445" spans="1:3" x14ac:dyDescent="0.2">
      <c r="A445" s="2">
        <v>443</v>
      </c>
      <c r="B445" s="2">
        <f t="shared" ca="1" si="6"/>
        <v>0.69781916568923918</v>
      </c>
      <c r="C445" s="2" t="s">
        <v>227</v>
      </c>
    </row>
    <row r="446" spans="1:3" x14ac:dyDescent="0.2">
      <c r="A446" s="2">
        <v>444</v>
      </c>
      <c r="B446" s="2">
        <f t="shared" ca="1" si="6"/>
        <v>0.69014016521154109</v>
      </c>
      <c r="C446" s="2" t="s">
        <v>226</v>
      </c>
    </row>
    <row r="447" spans="1:3" x14ac:dyDescent="0.2">
      <c r="A447" s="2">
        <v>445</v>
      </c>
      <c r="B447" s="2">
        <f t="shared" ca="1" si="6"/>
        <v>0.54320085040544941</v>
      </c>
      <c r="C447" s="2" t="s">
        <v>226</v>
      </c>
    </row>
    <row r="448" spans="1:3" x14ac:dyDescent="0.2">
      <c r="A448" s="2">
        <v>446</v>
      </c>
      <c r="B448" s="2">
        <f t="shared" ca="1" si="6"/>
        <v>0.74047775690113782</v>
      </c>
      <c r="C448" s="2" t="s">
        <v>227</v>
      </c>
    </row>
    <row r="449" spans="1:3" x14ac:dyDescent="0.2">
      <c r="A449" s="2">
        <v>447</v>
      </c>
      <c r="B449" s="2">
        <f t="shared" ca="1" si="6"/>
        <v>0.65334599985235009</v>
      </c>
      <c r="C449" s="2" t="s">
        <v>226</v>
      </c>
    </row>
    <row r="450" spans="1:3" x14ac:dyDescent="0.2">
      <c r="A450" s="2">
        <v>448</v>
      </c>
      <c r="B450" s="2">
        <f t="shared" ca="1" si="6"/>
        <v>0.60116812107279338</v>
      </c>
      <c r="C450" s="2" t="s">
        <v>227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0.81147418238271307</v>
      </c>
      <c r="C451" s="2" t="s">
        <v>227</v>
      </c>
    </row>
    <row r="452" spans="1:3" x14ac:dyDescent="0.2">
      <c r="A452" s="2">
        <v>450</v>
      </c>
      <c r="B452" s="2">
        <f t="shared" ca="1" si="7"/>
        <v>0.46911367379416513</v>
      </c>
      <c r="C452" s="2" t="s">
        <v>226</v>
      </c>
    </row>
    <row r="453" spans="1:3" x14ac:dyDescent="0.2">
      <c r="A453" s="2">
        <v>451</v>
      </c>
      <c r="B453" s="2">
        <f t="shared" ca="1" si="7"/>
        <v>0.56322344300243743</v>
      </c>
      <c r="C453" s="2" t="s">
        <v>227</v>
      </c>
    </row>
    <row r="454" spans="1:3" x14ac:dyDescent="0.2">
      <c r="A454" s="2">
        <v>452</v>
      </c>
      <c r="B454" s="2">
        <f t="shared" ca="1" si="7"/>
        <v>0.77628149749649866</v>
      </c>
      <c r="C454" s="2" t="s">
        <v>227</v>
      </c>
    </row>
    <row r="455" spans="1:3" x14ac:dyDescent="0.2">
      <c r="A455" s="2">
        <v>453</v>
      </c>
      <c r="B455" s="2">
        <f t="shared" ca="1" si="7"/>
        <v>0.72943330223353764</v>
      </c>
      <c r="C455" s="2" t="s">
        <v>226</v>
      </c>
    </row>
    <row r="456" spans="1:3" x14ac:dyDescent="0.2">
      <c r="A456" s="2">
        <v>454</v>
      </c>
      <c r="B456" s="2">
        <f t="shared" ca="1" si="7"/>
        <v>0.78621642273549508</v>
      </c>
      <c r="C456" s="2" t="s">
        <v>227</v>
      </c>
    </row>
    <row r="457" spans="1:3" x14ac:dyDescent="0.2">
      <c r="A457" s="2">
        <v>455</v>
      </c>
      <c r="B457" s="2">
        <f t="shared" ca="1" si="7"/>
        <v>0.58819391000901089</v>
      </c>
      <c r="C457" s="2" t="s">
        <v>226</v>
      </c>
    </row>
    <row r="458" spans="1:3" x14ac:dyDescent="0.2">
      <c r="A458" s="2">
        <v>456</v>
      </c>
      <c r="B458" s="2">
        <f t="shared" ca="1" si="7"/>
        <v>0.64158964982313016</v>
      </c>
      <c r="C458" s="2" t="s">
        <v>226</v>
      </c>
    </row>
    <row r="459" spans="1:3" x14ac:dyDescent="0.2">
      <c r="A459" s="2">
        <v>457</v>
      </c>
      <c r="B459" s="2">
        <f t="shared" ca="1" si="7"/>
        <v>0.50868831174258566</v>
      </c>
      <c r="C459" s="2" t="s">
        <v>226</v>
      </c>
    </row>
    <row r="460" spans="1:3" x14ac:dyDescent="0.2">
      <c r="A460" s="2">
        <v>458</v>
      </c>
      <c r="B460" s="2">
        <f t="shared" ca="1" si="7"/>
        <v>0.71536011857063431</v>
      </c>
      <c r="C460" s="2" t="s">
        <v>226</v>
      </c>
    </row>
    <row r="461" spans="1:3" x14ac:dyDescent="0.2">
      <c r="A461" s="2">
        <v>459</v>
      </c>
      <c r="B461" s="2">
        <f t="shared" ca="1" si="7"/>
        <v>0.7119303554343952</v>
      </c>
      <c r="C461" s="2" t="s">
        <v>227</v>
      </c>
    </row>
    <row r="462" spans="1:3" x14ac:dyDescent="0.2">
      <c r="A462" s="2">
        <v>460</v>
      </c>
      <c r="B462" s="2">
        <f t="shared" ca="1" si="7"/>
        <v>0.5300661712150464</v>
      </c>
      <c r="C462" s="2" t="s">
        <v>227</v>
      </c>
    </row>
    <row r="463" spans="1:3" x14ac:dyDescent="0.2">
      <c r="A463" s="2">
        <v>461</v>
      </c>
      <c r="B463" s="2">
        <f t="shared" ca="1" si="7"/>
        <v>0.39262357755154198</v>
      </c>
      <c r="C463" s="2" t="s">
        <v>226</v>
      </c>
    </row>
    <row r="464" spans="1:3" x14ac:dyDescent="0.2">
      <c r="A464" s="2">
        <v>462</v>
      </c>
      <c r="B464" s="2">
        <f t="shared" ca="1" si="7"/>
        <v>0.62416070607808383</v>
      </c>
      <c r="C464" s="2" t="s">
        <v>227</v>
      </c>
    </row>
    <row r="465" spans="1:3" x14ac:dyDescent="0.2">
      <c r="A465" s="2">
        <v>463</v>
      </c>
      <c r="B465" s="2">
        <f t="shared" ca="1" si="7"/>
        <v>0.68034355631347987</v>
      </c>
      <c r="C465" s="2" t="s">
        <v>227</v>
      </c>
    </row>
    <row r="466" spans="1:3" x14ac:dyDescent="0.2">
      <c r="A466" s="2">
        <v>464</v>
      </c>
      <c r="B466" s="2">
        <f t="shared" ca="1" si="7"/>
        <v>0.7516233342564127</v>
      </c>
      <c r="C466" s="2" t="s">
        <v>227</v>
      </c>
    </row>
    <row r="467" spans="1:3" x14ac:dyDescent="0.2">
      <c r="A467" s="2">
        <v>465</v>
      </c>
      <c r="B467" s="2">
        <f t="shared" ca="1" si="7"/>
        <v>0.79496385023673377</v>
      </c>
      <c r="C467" s="2" t="s">
        <v>227</v>
      </c>
    </row>
    <row r="468" spans="1:3" x14ac:dyDescent="0.2">
      <c r="A468" s="2">
        <v>466</v>
      </c>
      <c r="B468" s="2">
        <f t="shared" ca="1" si="7"/>
        <v>0.7827707816338928</v>
      </c>
      <c r="C468" s="2" t="s">
        <v>226</v>
      </c>
    </row>
    <row r="469" spans="1:3" x14ac:dyDescent="0.2">
      <c r="A469" s="2">
        <v>467</v>
      </c>
      <c r="B469" s="2">
        <f t="shared" ca="1" si="7"/>
        <v>0.28526458881760397</v>
      </c>
      <c r="C469" s="2" t="s">
        <v>226</v>
      </c>
    </row>
    <row r="470" spans="1:3" x14ac:dyDescent="0.2">
      <c r="A470" s="2">
        <v>468</v>
      </c>
      <c r="B470" s="2">
        <f t="shared" ca="1" si="7"/>
        <v>0.70288275823314672</v>
      </c>
      <c r="C470" s="2" t="s">
        <v>226</v>
      </c>
    </row>
    <row r="471" spans="1:3" x14ac:dyDescent="0.2">
      <c r="A471" s="2">
        <v>469</v>
      </c>
      <c r="B471" s="2">
        <f t="shared" ca="1" si="7"/>
        <v>0.92109367120771679</v>
      </c>
      <c r="C471" s="2" t="s">
        <v>227</v>
      </c>
    </row>
    <row r="472" spans="1:3" x14ac:dyDescent="0.2">
      <c r="A472" s="2">
        <v>470</v>
      </c>
      <c r="B472" s="2">
        <f t="shared" ca="1" si="7"/>
        <v>0.65250982546833602</v>
      </c>
      <c r="C472" s="2" t="s">
        <v>226</v>
      </c>
    </row>
    <row r="473" spans="1:3" x14ac:dyDescent="0.2">
      <c r="A473" s="2">
        <v>471</v>
      </c>
      <c r="B473" s="2">
        <f t="shared" ca="1" si="7"/>
        <v>0.56098651243388387</v>
      </c>
      <c r="C473" s="2" t="s">
        <v>227</v>
      </c>
    </row>
    <row r="474" spans="1:3" x14ac:dyDescent="0.2">
      <c r="A474" s="2">
        <v>472</v>
      </c>
      <c r="B474" s="2">
        <f t="shared" ca="1" si="7"/>
        <v>0.75931155996804001</v>
      </c>
      <c r="C474" s="2" t="s">
        <v>227</v>
      </c>
    </row>
    <row r="475" spans="1:3" x14ac:dyDescent="0.2">
      <c r="A475" s="2">
        <v>473</v>
      </c>
      <c r="B475" s="2">
        <f t="shared" ca="1" si="7"/>
        <v>0.93944752301633594</v>
      </c>
      <c r="C475" s="2" t="s">
        <v>227</v>
      </c>
    </row>
    <row r="476" spans="1:3" x14ac:dyDescent="0.2">
      <c r="A476" s="2">
        <v>474</v>
      </c>
      <c r="B476" s="2">
        <f t="shared" ca="1" si="7"/>
        <v>0.38325787894808894</v>
      </c>
      <c r="C476" s="2" t="s">
        <v>226</v>
      </c>
    </row>
    <row r="477" spans="1:3" x14ac:dyDescent="0.2">
      <c r="A477" s="2">
        <v>475</v>
      </c>
      <c r="B477" s="2">
        <f t="shared" ca="1" si="7"/>
        <v>0.69973335163920325</v>
      </c>
      <c r="C477" s="2" t="s">
        <v>227</v>
      </c>
    </row>
    <row r="478" spans="1:3" x14ac:dyDescent="0.2">
      <c r="A478" s="2">
        <v>476</v>
      </c>
      <c r="B478" s="2">
        <f t="shared" ca="1" si="7"/>
        <v>0.78758891700756384</v>
      </c>
      <c r="C478" s="2" t="s">
        <v>227</v>
      </c>
    </row>
    <row r="479" spans="1:3" x14ac:dyDescent="0.2">
      <c r="A479" s="2">
        <v>477</v>
      </c>
      <c r="B479" s="2">
        <f t="shared" ca="1" si="7"/>
        <v>0.72280619112102584</v>
      </c>
      <c r="C479" s="2" t="s">
        <v>226</v>
      </c>
    </row>
    <row r="480" spans="1:3" x14ac:dyDescent="0.2">
      <c r="A480" s="2">
        <v>478</v>
      </c>
      <c r="B480" s="2">
        <f t="shared" ca="1" si="7"/>
        <v>0.84273026051005495</v>
      </c>
      <c r="C480" s="2" t="s">
        <v>226</v>
      </c>
    </row>
    <row r="481" spans="1:3" x14ac:dyDescent="0.2">
      <c r="A481" s="2">
        <v>479</v>
      </c>
      <c r="B481" s="2">
        <f t="shared" ca="1" si="7"/>
        <v>0.63167627085946676</v>
      </c>
      <c r="C481" s="2" t="s">
        <v>227</v>
      </c>
    </row>
    <row r="482" spans="1:3" x14ac:dyDescent="0.2">
      <c r="A482" s="2">
        <v>480</v>
      </c>
      <c r="B482" s="2">
        <f t="shared" ca="1" si="7"/>
        <v>0.66562994180981616</v>
      </c>
      <c r="C482" s="2" t="s">
        <v>227</v>
      </c>
    </row>
    <row r="483" spans="1:3" x14ac:dyDescent="0.2">
      <c r="A483" s="2">
        <v>481</v>
      </c>
      <c r="B483" s="2">
        <f t="shared" ca="1" si="7"/>
        <v>0.60101988991811517</v>
      </c>
      <c r="C483" s="2" t="s">
        <v>226</v>
      </c>
    </row>
    <row r="484" spans="1:3" x14ac:dyDescent="0.2">
      <c r="A484" s="2">
        <v>482</v>
      </c>
      <c r="B484" s="2">
        <f t="shared" ca="1" si="7"/>
        <v>0.46483227896957446</v>
      </c>
      <c r="C484" s="2" t="s">
        <v>226</v>
      </c>
    </row>
    <row r="485" spans="1:3" x14ac:dyDescent="0.2">
      <c r="A485" s="2">
        <v>483</v>
      </c>
      <c r="B485" s="2">
        <f t="shared" ca="1" si="7"/>
        <v>0.84552175927403972</v>
      </c>
      <c r="C485" s="2" t="s">
        <v>227</v>
      </c>
    </row>
    <row r="486" spans="1:3" x14ac:dyDescent="0.2">
      <c r="A486" s="2">
        <v>484</v>
      </c>
      <c r="B486" s="2">
        <f t="shared" ca="1" si="7"/>
        <v>0.75959930525735608</v>
      </c>
      <c r="C486" s="2" t="s">
        <v>227</v>
      </c>
    </row>
    <row r="487" spans="1:3" x14ac:dyDescent="0.2">
      <c r="A487" s="2">
        <v>485</v>
      </c>
      <c r="B487" s="2">
        <f t="shared" ca="1" si="7"/>
        <v>0.62322749128247712</v>
      </c>
      <c r="C487" s="2" t="s">
        <v>227</v>
      </c>
    </row>
    <row r="488" spans="1:3" x14ac:dyDescent="0.2">
      <c r="A488" s="2">
        <v>486</v>
      </c>
      <c r="B488" s="2">
        <f t="shared" ca="1" si="7"/>
        <v>0.29553428321459435</v>
      </c>
      <c r="C488" s="2" t="s">
        <v>226</v>
      </c>
    </row>
    <row r="489" spans="1:3" x14ac:dyDescent="0.2">
      <c r="A489" s="2">
        <v>487</v>
      </c>
      <c r="B489" s="2">
        <f t="shared" ca="1" si="7"/>
        <v>0.73841543384867514</v>
      </c>
      <c r="C489" s="2" t="s">
        <v>227</v>
      </c>
    </row>
    <row r="490" spans="1:3" x14ac:dyDescent="0.2">
      <c r="A490" s="2">
        <v>488</v>
      </c>
      <c r="B490" s="2">
        <f t="shared" ca="1" si="7"/>
        <v>0.44033676599733418</v>
      </c>
      <c r="C490" s="2" t="s">
        <v>226</v>
      </c>
    </row>
    <row r="491" spans="1:3" x14ac:dyDescent="0.2">
      <c r="A491" s="2">
        <v>489</v>
      </c>
      <c r="B491" s="2">
        <f t="shared" ca="1" si="7"/>
        <v>0.86152570390240379</v>
      </c>
      <c r="C491" s="2" t="s">
        <v>226</v>
      </c>
    </row>
    <row r="492" spans="1:3" x14ac:dyDescent="0.2">
      <c r="A492" s="2">
        <v>490</v>
      </c>
      <c r="B492" s="2">
        <f t="shared" ca="1" si="7"/>
        <v>0.69344594260254688</v>
      </c>
      <c r="C492" s="2" t="s">
        <v>227</v>
      </c>
    </row>
    <row r="493" spans="1:3" x14ac:dyDescent="0.2">
      <c r="A493" s="2">
        <v>491</v>
      </c>
      <c r="B493" s="2">
        <f t="shared" ca="1" si="7"/>
        <v>0.53226438053551017</v>
      </c>
      <c r="C493" s="2" t="s">
        <v>226</v>
      </c>
    </row>
    <row r="494" spans="1:3" x14ac:dyDescent="0.2">
      <c r="A494" s="2">
        <v>492</v>
      </c>
      <c r="B494" s="2">
        <f t="shared" ca="1" si="7"/>
        <v>0.76355641503426774</v>
      </c>
      <c r="C494" s="2" t="s">
        <v>227</v>
      </c>
    </row>
    <row r="495" spans="1:3" x14ac:dyDescent="0.2">
      <c r="A495" s="2">
        <v>493</v>
      </c>
      <c r="B495" s="2">
        <f t="shared" ca="1" si="7"/>
        <v>0.77914699102785434</v>
      </c>
      <c r="C495" s="2" t="s">
        <v>226</v>
      </c>
    </row>
    <row r="496" spans="1:3" x14ac:dyDescent="0.2">
      <c r="A496" s="2">
        <v>494</v>
      </c>
      <c r="B496" s="2">
        <f t="shared" ca="1" si="7"/>
        <v>0.66888525844744151</v>
      </c>
      <c r="C496" s="2" t="s">
        <v>226</v>
      </c>
    </row>
    <row r="497" spans="1:3" x14ac:dyDescent="0.2">
      <c r="A497" s="2">
        <v>495</v>
      </c>
      <c r="B497" s="2">
        <f t="shared" ca="1" si="7"/>
        <v>0.71546915091441732</v>
      </c>
      <c r="C497" s="2" t="s">
        <v>227</v>
      </c>
    </row>
    <row r="498" spans="1:3" x14ac:dyDescent="0.2">
      <c r="A498" s="2">
        <v>496</v>
      </c>
      <c r="B498" s="2">
        <f t="shared" ca="1" si="7"/>
        <v>0.65192121450185303</v>
      </c>
      <c r="C498" s="2" t="s">
        <v>227</v>
      </c>
    </row>
    <row r="499" spans="1:3" x14ac:dyDescent="0.2">
      <c r="A499" s="2">
        <v>497</v>
      </c>
      <c r="B499" s="2">
        <f t="shared" ca="1" si="7"/>
        <v>0.84553652001526958</v>
      </c>
      <c r="C499" s="2" t="s">
        <v>227</v>
      </c>
    </row>
    <row r="500" spans="1:3" x14ac:dyDescent="0.2">
      <c r="A500" s="2">
        <v>498</v>
      </c>
      <c r="B500" s="2">
        <f t="shared" ca="1" si="7"/>
        <v>0.664841847826949</v>
      </c>
      <c r="C500" s="2" t="s">
        <v>226</v>
      </c>
    </row>
    <row r="501" spans="1:3" x14ac:dyDescent="0.2">
      <c r="A501" s="2">
        <v>499</v>
      </c>
      <c r="B501" s="2">
        <f t="shared" ca="1" si="7"/>
        <v>0.83962923263820199</v>
      </c>
      <c r="C501" s="2" t="s">
        <v>227</v>
      </c>
    </row>
    <row r="502" spans="1:3" x14ac:dyDescent="0.2">
      <c r="A502" s="2">
        <v>500</v>
      </c>
      <c r="B502" s="2">
        <f t="shared" ca="1" si="7"/>
        <v>0.82436995820446102</v>
      </c>
      <c r="C502" s="2" t="s">
        <v>227</v>
      </c>
    </row>
    <row r="503" spans="1:3" x14ac:dyDescent="0.2">
      <c r="A503" s="2">
        <v>501</v>
      </c>
      <c r="B503" s="2">
        <f t="shared" ca="1" si="7"/>
        <v>0.61595007047436356</v>
      </c>
      <c r="C503" s="2" t="s">
        <v>226</v>
      </c>
    </row>
    <row r="504" spans="1:3" x14ac:dyDescent="0.2">
      <c r="A504" s="2">
        <v>502</v>
      </c>
      <c r="B504" s="2">
        <f t="shared" ca="1" si="7"/>
        <v>0.53342503986983414</v>
      </c>
      <c r="C504" s="2" t="s">
        <v>226</v>
      </c>
    </row>
    <row r="505" spans="1:3" x14ac:dyDescent="0.2">
      <c r="A505" s="2">
        <v>503</v>
      </c>
      <c r="B505" s="2">
        <f t="shared" ca="1" si="7"/>
        <v>0.52179675989619445</v>
      </c>
      <c r="C505" s="2" t="s">
        <v>226</v>
      </c>
    </row>
    <row r="506" spans="1:3" x14ac:dyDescent="0.2">
      <c r="A506" s="2">
        <v>504</v>
      </c>
      <c r="B506" s="2">
        <f t="shared" ca="1" si="7"/>
        <v>0.60601859707551853</v>
      </c>
      <c r="C506" s="2" t="s">
        <v>226</v>
      </c>
    </row>
    <row r="507" spans="1:3" x14ac:dyDescent="0.2">
      <c r="A507" s="2">
        <v>505</v>
      </c>
      <c r="B507" s="2">
        <f t="shared" ca="1" si="7"/>
        <v>0.74587989993341453</v>
      </c>
      <c r="C507" s="2" t="s">
        <v>227</v>
      </c>
    </row>
    <row r="508" spans="1:3" x14ac:dyDescent="0.2">
      <c r="A508" s="2">
        <v>506</v>
      </c>
      <c r="B508" s="2">
        <f t="shared" ca="1" si="7"/>
        <v>0.67083507970271272</v>
      </c>
      <c r="C508" s="2" t="s">
        <v>227</v>
      </c>
    </row>
    <row r="509" spans="1:3" x14ac:dyDescent="0.2">
      <c r="A509" s="2">
        <v>507</v>
      </c>
      <c r="B509" s="2">
        <f t="shared" ca="1" si="7"/>
        <v>0.7738892822234934</v>
      </c>
      <c r="C509" s="2" t="s">
        <v>227</v>
      </c>
    </row>
    <row r="510" spans="1:3" x14ac:dyDescent="0.2">
      <c r="A510" s="2">
        <v>508</v>
      </c>
      <c r="B510" s="2">
        <f t="shared" ca="1" si="7"/>
        <v>0.4649951302637565</v>
      </c>
      <c r="C510" s="2" t="s">
        <v>226</v>
      </c>
    </row>
    <row r="511" spans="1:3" x14ac:dyDescent="0.2">
      <c r="A511" s="2">
        <v>509</v>
      </c>
      <c r="B511" s="2">
        <f t="shared" ca="1" si="7"/>
        <v>0.65369861744858315</v>
      </c>
      <c r="C511" s="2" t="s">
        <v>227</v>
      </c>
    </row>
    <row r="512" spans="1:3" x14ac:dyDescent="0.2">
      <c r="A512" s="2">
        <v>510</v>
      </c>
      <c r="B512" s="2">
        <f t="shared" ca="1" si="7"/>
        <v>0.7464985974434345</v>
      </c>
      <c r="C512" s="2" t="s">
        <v>227</v>
      </c>
    </row>
    <row r="513" spans="1:3" x14ac:dyDescent="0.2">
      <c r="A513" s="2">
        <v>511</v>
      </c>
      <c r="B513" s="2">
        <f t="shared" ca="1" si="7"/>
        <v>0.5748515795067729</v>
      </c>
      <c r="C513" s="2" t="s">
        <v>227</v>
      </c>
    </row>
    <row r="514" spans="1:3" x14ac:dyDescent="0.2">
      <c r="A514" s="2">
        <v>512</v>
      </c>
      <c r="B514" s="2">
        <f t="shared" ca="1" si="7"/>
        <v>0.77142138927891779</v>
      </c>
      <c r="C514" s="2" t="s">
        <v>227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0.70455733462413206</v>
      </c>
      <c r="C515" s="2" t="s">
        <v>227</v>
      </c>
    </row>
    <row r="516" spans="1:3" x14ac:dyDescent="0.2">
      <c r="A516" s="2">
        <v>514</v>
      </c>
      <c r="B516" s="2">
        <f t="shared" ca="1" si="8"/>
        <v>0.4458894570871848</v>
      </c>
      <c r="C516" s="2" t="s">
        <v>226</v>
      </c>
    </row>
    <row r="517" spans="1:3" x14ac:dyDescent="0.2">
      <c r="A517" s="2">
        <v>515</v>
      </c>
      <c r="B517" s="2">
        <f t="shared" ca="1" si="8"/>
        <v>0.68910995958642007</v>
      </c>
      <c r="C517" s="2" t="s">
        <v>227</v>
      </c>
    </row>
    <row r="518" spans="1:3" x14ac:dyDescent="0.2">
      <c r="A518" s="2">
        <v>516</v>
      </c>
      <c r="B518" s="2">
        <f t="shared" ca="1" si="8"/>
        <v>0.5457827496700467</v>
      </c>
      <c r="C518" s="2" t="s">
        <v>227</v>
      </c>
    </row>
    <row r="519" spans="1:3" x14ac:dyDescent="0.2">
      <c r="A519" s="2">
        <v>517</v>
      </c>
      <c r="B519" s="2">
        <f t="shared" ca="1" si="8"/>
        <v>0.55401033845867098</v>
      </c>
      <c r="C519" s="2" t="s">
        <v>227</v>
      </c>
    </row>
    <row r="520" spans="1:3" x14ac:dyDescent="0.2">
      <c r="A520" s="2">
        <v>518</v>
      </c>
      <c r="B520" s="2">
        <f t="shared" ca="1" si="8"/>
        <v>0.51073530852368354</v>
      </c>
      <c r="C520" s="2" t="s">
        <v>226</v>
      </c>
    </row>
    <row r="521" spans="1:3" x14ac:dyDescent="0.2">
      <c r="A521" s="2">
        <v>519</v>
      </c>
      <c r="B521" s="2">
        <f t="shared" ca="1" si="8"/>
        <v>0.90242075056970661</v>
      </c>
      <c r="C521" s="2" t="s">
        <v>227</v>
      </c>
    </row>
    <row r="522" spans="1:3" x14ac:dyDescent="0.2">
      <c r="A522" s="2">
        <v>520</v>
      </c>
      <c r="B522" s="2">
        <f t="shared" ca="1" si="8"/>
        <v>0.29152812630015812</v>
      </c>
      <c r="C522" s="2" t="s">
        <v>226</v>
      </c>
    </row>
    <row r="523" spans="1:3" x14ac:dyDescent="0.2">
      <c r="A523" s="2">
        <v>521</v>
      </c>
      <c r="B523" s="2">
        <f t="shared" ca="1" si="8"/>
        <v>0.39544670433406304</v>
      </c>
      <c r="C523" s="2" t="s">
        <v>226</v>
      </c>
    </row>
    <row r="524" spans="1:3" x14ac:dyDescent="0.2">
      <c r="A524" s="2">
        <v>522</v>
      </c>
      <c r="B524" s="2">
        <f t="shared" ca="1" si="8"/>
        <v>0.87004747177585029</v>
      </c>
      <c r="C524" s="2" t="s">
        <v>227</v>
      </c>
    </row>
    <row r="525" spans="1:3" x14ac:dyDescent="0.2">
      <c r="A525" s="2">
        <v>523</v>
      </c>
      <c r="B525" s="2">
        <f t="shared" ca="1" si="8"/>
        <v>0.57340584645787906</v>
      </c>
      <c r="C525" s="2" t="s">
        <v>227</v>
      </c>
    </row>
    <row r="526" spans="1:3" x14ac:dyDescent="0.2">
      <c r="A526" s="2">
        <v>524</v>
      </c>
      <c r="B526" s="2">
        <f t="shared" ca="1" si="8"/>
        <v>0.644237955506614</v>
      </c>
      <c r="C526" s="2" t="s">
        <v>226</v>
      </c>
    </row>
    <row r="527" spans="1:3" x14ac:dyDescent="0.2">
      <c r="A527" s="2">
        <v>525</v>
      </c>
      <c r="B527" s="2">
        <f t="shared" ca="1" si="8"/>
        <v>0.690577276152748</v>
      </c>
      <c r="C527" s="2" t="s">
        <v>227</v>
      </c>
    </row>
    <row r="528" spans="1:3" x14ac:dyDescent="0.2">
      <c r="A528" s="2">
        <v>526</v>
      </c>
      <c r="B528" s="2">
        <f t="shared" ca="1" si="8"/>
        <v>0.57079697898314874</v>
      </c>
      <c r="C528" s="2" t="s">
        <v>226</v>
      </c>
    </row>
    <row r="529" spans="1:3" x14ac:dyDescent="0.2">
      <c r="A529" s="2">
        <v>527</v>
      </c>
      <c r="B529" s="2">
        <f t="shared" ca="1" si="8"/>
        <v>0.62958538593776769</v>
      </c>
      <c r="C529" s="2" t="s">
        <v>226</v>
      </c>
    </row>
    <row r="530" spans="1:3" x14ac:dyDescent="0.2">
      <c r="A530" s="2">
        <v>528</v>
      </c>
      <c r="B530" s="2">
        <f t="shared" ca="1" si="8"/>
        <v>0.80492237427856306</v>
      </c>
      <c r="C530" s="2" t="s">
        <v>227</v>
      </c>
    </row>
    <row r="531" spans="1:3" x14ac:dyDescent="0.2">
      <c r="A531" s="2">
        <v>529</v>
      </c>
      <c r="B531" s="2">
        <f t="shared" ca="1" si="8"/>
        <v>0.62098648516928701</v>
      </c>
      <c r="C531" s="2" t="s">
        <v>227</v>
      </c>
    </row>
    <row r="532" spans="1:3" x14ac:dyDescent="0.2">
      <c r="A532" s="2">
        <v>530</v>
      </c>
      <c r="B532" s="2">
        <f t="shared" ca="1" si="8"/>
        <v>0.65535333300015297</v>
      </c>
      <c r="C532" s="2" t="s">
        <v>226</v>
      </c>
    </row>
    <row r="533" spans="1:3" x14ac:dyDescent="0.2">
      <c r="A533" s="2">
        <v>531</v>
      </c>
      <c r="B533" s="2">
        <f t="shared" ca="1" si="8"/>
        <v>0.76980041266897037</v>
      </c>
      <c r="C533" s="2" t="s">
        <v>227</v>
      </c>
    </row>
    <row r="534" spans="1:3" x14ac:dyDescent="0.2">
      <c r="A534" s="2">
        <v>532</v>
      </c>
      <c r="B534" s="2">
        <f t="shared" ca="1" si="8"/>
        <v>0.78220456880654377</v>
      </c>
      <c r="C534" s="2" t="s">
        <v>226</v>
      </c>
    </row>
    <row r="535" spans="1:3" x14ac:dyDescent="0.2">
      <c r="A535" s="2">
        <v>533</v>
      </c>
      <c r="B535" s="2">
        <f t="shared" ca="1" si="8"/>
        <v>0.50989961466990286</v>
      </c>
      <c r="C535" s="2" t="s">
        <v>226</v>
      </c>
    </row>
    <row r="536" spans="1:3" x14ac:dyDescent="0.2">
      <c r="A536" s="2">
        <v>534</v>
      </c>
      <c r="B536" s="2">
        <f t="shared" ca="1" si="8"/>
        <v>0.77241362567233574</v>
      </c>
      <c r="C536" s="2" t="s">
        <v>227</v>
      </c>
    </row>
    <row r="537" spans="1:3" x14ac:dyDescent="0.2">
      <c r="A537" s="2">
        <v>535</v>
      </c>
      <c r="B537" s="2">
        <f t="shared" ca="1" si="8"/>
        <v>0.60390718032547452</v>
      </c>
      <c r="C537" s="2" t="s">
        <v>226</v>
      </c>
    </row>
    <row r="538" spans="1:3" x14ac:dyDescent="0.2">
      <c r="A538" s="2">
        <v>536</v>
      </c>
      <c r="B538" s="2">
        <f t="shared" ca="1" si="8"/>
        <v>0.46841376318388772</v>
      </c>
      <c r="C538" s="2" t="s">
        <v>226</v>
      </c>
    </row>
    <row r="539" spans="1:3" x14ac:dyDescent="0.2">
      <c r="A539" s="2">
        <v>537</v>
      </c>
      <c r="B539" s="2">
        <f t="shared" ca="1" si="8"/>
        <v>0.60971486348924631</v>
      </c>
      <c r="C539" s="2" t="s">
        <v>226</v>
      </c>
    </row>
    <row r="540" spans="1:3" x14ac:dyDescent="0.2">
      <c r="A540" s="2">
        <v>538</v>
      </c>
      <c r="B540" s="2">
        <f t="shared" ca="1" si="8"/>
        <v>0.73978460158115555</v>
      </c>
      <c r="C540" s="2" t="s">
        <v>227</v>
      </c>
    </row>
    <row r="541" spans="1:3" x14ac:dyDescent="0.2">
      <c r="A541" s="2">
        <v>539</v>
      </c>
      <c r="B541" s="2">
        <f t="shared" ca="1" si="8"/>
        <v>0.62753452459268066</v>
      </c>
      <c r="C541" s="2" t="s">
        <v>226</v>
      </c>
    </row>
    <row r="542" spans="1:3" x14ac:dyDescent="0.2">
      <c r="A542" s="2">
        <v>540</v>
      </c>
      <c r="B542" s="2">
        <f t="shared" ca="1" si="8"/>
        <v>0.62275706307295808</v>
      </c>
      <c r="C542" s="2" t="s">
        <v>226</v>
      </c>
    </row>
    <row r="543" spans="1:3" x14ac:dyDescent="0.2">
      <c r="A543" s="2">
        <v>541</v>
      </c>
      <c r="B543" s="2">
        <f t="shared" ca="1" si="8"/>
        <v>0.79155396713709614</v>
      </c>
      <c r="C543" s="2" t="s">
        <v>226</v>
      </c>
    </row>
    <row r="544" spans="1:3" x14ac:dyDescent="0.2">
      <c r="A544" s="2">
        <v>542</v>
      </c>
      <c r="B544" s="2">
        <f t="shared" ca="1" si="8"/>
        <v>0.82154790121400179</v>
      </c>
      <c r="C544" s="2" t="s">
        <v>227</v>
      </c>
    </row>
    <row r="545" spans="1:3" x14ac:dyDescent="0.2">
      <c r="A545" s="2">
        <v>543</v>
      </c>
      <c r="B545" s="2">
        <f t="shared" ca="1" si="8"/>
        <v>0.55583851733012735</v>
      </c>
      <c r="C545" s="2" t="s">
        <v>227</v>
      </c>
    </row>
    <row r="546" spans="1:3" x14ac:dyDescent="0.2">
      <c r="A546" s="2">
        <v>544</v>
      </c>
      <c r="B546" s="2">
        <f t="shared" ca="1" si="8"/>
        <v>0.77085113399259608</v>
      </c>
      <c r="C546" s="2" t="s">
        <v>227</v>
      </c>
    </row>
    <row r="547" spans="1:3" x14ac:dyDescent="0.2">
      <c r="A547" s="2">
        <v>545</v>
      </c>
      <c r="B547" s="2">
        <f t="shared" ca="1" si="8"/>
        <v>0.64988119679490497</v>
      </c>
      <c r="C547" s="2" t="s">
        <v>226</v>
      </c>
    </row>
    <row r="548" spans="1:3" x14ac:dyDescent="0.2">
      <c r="A548" s="2">
        <v>546</v>
      </c>
      <c r="B548" s="2">
        <f t="shared" ca="1" si="8"/>
        <v>0.59486608384628481</v>
      </c>
      <c r="C548" s="2" t="s">
        <v>226</v>
      </c>
    </row>
    <row r="549" spans="1:3" x14ac:dyDescent="0.2">
      <c r="A549" s="2">
        <v>547</v>
      </c>
      <c r="B549" s="2">
        <f t="shared" ca="1" si="8"/>
        <v>0.7288888409597889</v>
      </c>
      <c r="C549" s="2" t="s">
        <v>227</v>
      </c>
    </row>
    <row r="550" spans="1:3" x14ac:dyDescent="0.2">
      <c r="A550" s="2">
        <v>548</v>
      </c>
      <c r="B550" s="2">
        <f t="shared" ca="1" si="8"/>
        <v>0.59871140496438657</v>
      </c>
      <c r="C550" s="2" t="s">
        <v>227</v>
      </c>
    </row>
    <row r="551" spans="1:3" x14ac:dyDescent="0.2">
      <c r="A551" s="2">
        <v>549</v>
      </c>
      <c r="B551" s="2">
        <f t="shared" ca="1" si="8"/>
        <v>0.67187461970275275</v>
      </c>
      <c r="C551" s="2" t="s">
        <v>226</v>
      </c>
    </row>
    <row r="552" spans="1:3" x14ac:dyDescent="0.2">
      <c r="A552" s="2">
        <v>550</v>
      </c>
      <c r="B552" s="2">
        <f t="shared" ca="1" si="8"/>
        <v>0.75487397927520905</v>
      </c>
      <c r="C552" s="2" t="s">
        <v>227</v>
      </c>
    </row>
    <row r="553" spans="1:3" x14ac:dyDescent="0.2">
      <c r="A553" s="2">
        <v>551</v>
      </c>
      <c r="B553" s="2">
        <f t="shared" ca="1" si="8"/>
        <v>0.63309068341908614</v>
      </c>
      <c r="C553" s="2" t="s">
        <v>226</v>
      </c>
    </row>
    <row r="554" spans="1:3" x14ac:dyDescent="0.2">
      <c r="A554" s="2">
        <v>552</v>
      </c>
      <c r="B554" s="2">
        <f t="shared" ca="1" si="8"/>
        <v>0.68368535402400588</v>
      </c>
      <c r="C554" s="2" t="s">
        <v>226</v>
      </c>
    </row>
    <row r="555" spans="1:3" x14ac:dyDescent="0.2">
      <c r="A555" s="2">
        <v>553</v>
      </c>
      <c r="B555" s="2">
        <f t="shared" ca="1" si="8"/>
        <v>0.50502823459217216</v>
      </c>
      <c r="C555" s="2" t="s">
        <v>226</v>
      </c>
    </row>
    <row r="556" spans="1:3" x14ac:dyDescent="0.2">
      <c r="A556" s="2">
        <v>554</v>
      </c>
      <c r="B556" s="2">
        <f t="shared" ca="1" si="8"/>
        <v>0.71457011376214885</v>
      </c>
      <c r="C556" s="2" t="s">
        <v>227</v>
      </c>
    </row>
    <row r="557" spans="1:3" x14ac:dyDescent="0.2">
      <c r="A557" s="2">
        <v>555</v>
      </c>
      <c r="B557" s="2">
        <f t="shared" ca="1" si="8"/>
        <v>0.51342747615819517</v>
      </c>
      <c r="C557" s="2" t="s">
        <v>226</v>
      </c>
    </row>
    <row r="558" spans="1:3" x14ac:dyDescent="0.2">
      <c r="A558" s="2">
        <v>556</v>
      </c>
      <c r="B558" s="2">
        <f t="shared" ca="1" si="8"/>
        <v>0.71248327014150337</v>
      </c>
      <c r="C558" s="2" t="s">
        <v>227</v>
      </c>
    </row>
    <row r="559" spans="1:3" x14ac:dyDescent="0.2">
      <c r="A559" s="2">
        <v>557</v>
      </c>
      <c r="B559" s="2">
        <f t="shared" ca="1" si="8"/>
        <v>0.61424141376242314</v>
      </c>
      <c r="C559" s="2" t="s">
        <v>227</v>
      </c>
    </row>
    <row r="560" spans="1:3" x14ac:dyDescent="0.2">
      <c r="A560" s="2">
        <v>558</v>
      </c>
      <c r="B560" s="2">
        <f t="shared" ca="1" si="8"/>
        <v>0.57281242358334539</v>
      </c>
      <c r="C560" s="2" t="s">
        <v>226</v>
      </c>
    </row>
    <row r="561" spans="1:3" x14ac:dyDescent="0.2">
      <c r="A561" s="2">
        <v>559</v>
      </c>
      <c r="B561" s="2">
        <f t="shared" ca="1" si="8"/>
        <v>0.62085033622343722</v>
      </c>
      <c r="C561" s="2" t="s">
        <v>227</v>
      </c>
    </row>
    <row r="562" spans="1:3" x14ac:dyDescent="0.2">
      <c r="A562" s="2">
        <v>560</v>
      </c>
      <c r="B562" s="2">
        <f t="shared" ca="1" si="8"/>
        <v>0.53207675163749302</v>
      </c>
      <c r="C562" s="2" t="s">
        <v>226</v>
      </c>
    </row>
    <row r="563" spans="1:3" x14ac:dyDescent="0.2">
      <c r="A563" s="2">
        <v>561</v>
      </c>
      <c r="B563" s="2">
        <f t="shared" ca="1" si="8"/>
        <v>0.50268985964009494</v>
      </c>
      <c r="C563" s="2" t="s">
        <v>226</v>
      </c>
    </row>
    <row r="564" spans="1:3" x14ac:dyDescent="0.2">
      <c r="A564" s="2">
        <v>562</v>
      </c>
      <c r="B564" s="2">
        <f t="shared" ca="1" si="8"/>
        <v>0.57701838957461327</v>
      </c>
      <c r="C564" s="2" t="s">
        <v>226</v>
      </c>
    </row>
    <row r="565" spans="1:3" x14ac:dyDescent="0.2">
      <c r="A565" s="2">
        <v>563</v>
      </c>
      <c r="B565" s="2">
        <f t="shared" ca="1" si="8"/>
        <v>0.30530088015609119</v>
      </c>
      <c r="C565" s="2" t="s">
        <v>226</v>
      </c>
    </row>
    <row r="566" spans="1:3" x14ac:dyDescent="0.2">
      <c r="A566" s="2">
        <v>564</v>
      </c>
      <c r="B566" s="2">
        <f t="shared" ca="1" si="8"/>
        <v>0.54759818272770411</v>
      </c>
      <c r="C566" s="2" t="s">
        <v>226</v>
      </c>
    </row>
    <row r="567" spans="1:3" x14ac:dyDescent="0.2">
      <c r="A567" s="2">
        <v>565</v>
      </c>
      <c r="B567" s="2">
        <f t="shared" ca="1" si="8"/>
        <v>0.83538288774905756</v>
      </c>
      <c r="C567" s="2" t="s">
        <v>226</v>
      </c>
    </row>
    <row r="568" spans="1:3" x14ac:dyDescent="0.2">
      <c r="A568" s="2">
        <v>566</v>
      </c>
      <c r="B568" s="2">
        <f t="shared" ca="1" si="8"/>
        <v>0.63450680252797764</v>
      </c>
      <c r="C568" s="2" t="s">
        <v>227</v>
      </c>
    </row>
    <row r="569" spans="1:3" x14ac:dyDescent="0.2">
      <c r="A569" s="2">
        <v>567</v>
      </c>
      <c r="B569" s="2">
        <f t="shared" ca="1" si="8"/>
        <v>0.76962532716515564</v>
      </c>
      <c r="C569" s="2" t="s">
        <v>227</v>
      </c>
    </row>
    <row r="570" spans="1:3" x14ac:dyDescent="0.2">
      <c r="A570" s="2">
        <v>568</v>
      </c>
      <c r="B570" s="2">
        <f t="shared" ca="1" si="8"/>
        <v>0.65603050369075766</v>
      </c>
      <c r="C570" s="2" t="s">
        <v>227</v>
      </c>
    </row>
    <row r="571" spans="1:3" x14ac:dyDescent="0.2">
      <c r="A571" s="2">
        <v>569</v>
      </c>
      <c r="B571" s="2">
        <f t="shared" ca="1" si="8"/>
        <v>0.73685584531610326</v>
      </c>
      <c r="C571" s="2" t="s">
        <v>226</v>
      </c>
    </row>
    <row r="572" spans="1:3" x14ac:dyDescent="0.2">
      <c r="A572" s="2">
        <v>570</v>
      </c>
      <c r="B572" s="2">
        <f t="shared" ca="1" si="8"/>
        <v>0.63752628227295038</v>
      </c>
      <c r="C572" s="2" t="s">
        <v>227</v>
      </c>
    </row>
    <row r="573" spans="1:3" x14ac:dyDescent="0.2">
      <c r="A573" s="2">
        <v>571</v>
      </c>
      <c r="B573" s="2">
        <f t="shared" ca="1" si="8"/>
        <v>0.70116137570939618</v>
      </c>
      <c r="C573" s="2" t="s">
        <v>226</v>
      </c>
    </row>
    <row r="574" spans="1:3" x14ac:dyDescent="0.2">
      <c r="A574" s="2">
        <v>572</v>
      </c>
      <c r="B574" s="2">
        <f t="shared" ca="1" si="8"/>
        <v>0.63723445305077198</v>
      </c>
      <c r="C574" s="2" t="s">
        <v>227</v>
      </c>
    </row>
    <row r="575" spans="1:3" x14ac:dyDescent="0.2">
      <c r="A575" s="2">
        <v>573</v>
      </c>
      <c r="B575" s="2">
        <f t="shared" ca="1" si="8"/>
        <v>0.62583294996656147</v>
      </c>
      <c r="C575" s="2" t="s">
        <v>227</v>
      </c>
    </row>
    <row r="576" spans="1:3" x14ac:dyDescent="0.2">
      <c r="A576" s="2">
        <v>574</v>
      </c>
      <c r="B576" s="2">
        <f t="shared" ca="1" si="8"/>
        <v>0.85776506504525973</v>
      </c>
      <c r="C576" s="2" t="s">
        <v>227</v>
      </c>
    </row>
    <row r="577" spans="1:3" x14ac:dyDescent="0.2">
      <c r="A577" s="2">
        <v>575</v>
      </c>
      <c r="B577" s="2">
        <f t="shared" ca="1" si="8"/>
        <v>0.56507596487756229</v>
      </c>
      <c r="C577" s="2" t="s">
        <v>226</v>
      </c>
    </row>
    <row r="578" spans="1:3" x14ac:dyDescent="0.2">
      <c r="A578" s="2">
        <v>576</v>
      </c>
      <c r="B578" s="2">
        <f t="shared" ca="1" si="8"/>
        <v>0.77141272828926577</v>
      </c>
      <c r="C578" s="2" t="s">
        <v>226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0.67672857386346918</v>
      </c>
      <c r="C579" s="2" t="s">
        <v>226</v>
      </c>
    </row>
    <row r="580" spans="1:3" x14ac:dyDescent="0.2">
      <c r="A580" s="2">
        <v>578</v>
      </c>
      <c r="B580" s="2">
        <f t="shared" ca="1" si="9"/>
        <v>0.77540024839349819</v>
      </c>
      <c r="C580" s="2" t="s">
        <v>227</v>
      </c>
    </row>
    <row r="581" spans="1:3" x14ac:dyDescent="0.2">
      <c r="A581" s="2">
        <v>579</v>
      </c>
      <c r="B581" s="2">
        <f t="shared" ca="1" si="9"/>
        <v>0.62322020677102485</v>
      </c>
      <c r="C581" s="2" t="s">
        <v>227</v>
      </c>
    </row>
    <row r="582" spans="1:3" x14ac:dyDescent="0.2">
      <c r="A582" s="2">
        <v>580</v>
      </c>
      <c r="B582" s="2">
        <f t="shared" ca="1" si="9"/>
        <v>0.76267723331824955</v>
      </c>
      <c r="C582" s="2" t="s">
        <v>227</v>
      </c>
    </row>
    <row r="583" spans="1:3" x14ac:dyDescent="0.2">
      <c r="A583" s="2">
        <v>581</v>
      </c>
      <c r="B583" s="2">
        <f t="shared" ca="1" si="9"/>
        <v>0.75668543933882593</v>
      </c>
      <c r="C583" s="2" t="s">
        <v>226</v>
      </c>
    </row>
    <row r="584" spans="1:3" x14ac:dyDescent="0.2">
      <c r="A584" s="2">
        <v>582</v>
      </c>
      <c r="B584" s="2">
        <f t="shared" ca="1" si="9"/>
        <v>0.58939424777733296</v>
      </c>
      <c r="C584" s="2" t="s">
        <v>227</v>
      </c>
    </row>
    <row r="585" spans="1:3" x14ac:dyDescent="0.2">
      <c r="A585" s="2">
        <v>583</v>
      </c>
      <c r="B585" s="2">
        <f t="shared" ca="1" si="9"/>
        <v>0.78907330227745975</v>
      </c>
      <c r="C585" s="2" t="s">
        <v>226</v>
      </c>
    </row>
    <row r="586" spans="1:3" x14ac:dyDescent="0.2">
      <c r="A586" s="2">
        <v>584</v>
      </c>
      <c r="B586" s="2">
        <f t="shared" ca="1" si="9"/>
        <v>0.78199885679404224</v>
      </c>
      <c r="C586" s="2" t="s">
        <v>227</v>
      </c>
    </row>
    <row r="587" spans="1:3" x14ac:dyDescent="0.2">
      <c r="A587" s="2">
        <v>585</v>
      </c>
      <c r="B587" s="2">
        <f t="shared" ca="1" si="9"/>
        <v>0.63202188110519919</v>
      </c>
      <c r="C587" s="2" t="s">
        <v>226</v>
      </c>
    </row>
    <row r="588" spans="1:3" x14ac:dyDescent="0.2">
      <c r="A588" s="2">
        <v>586</v>
      </c>
      <c r="B588" s="2">
        <f t="shared" ca="1" si="9"/>
        <v>0.72656361461890839</v>
      </c>
      <c r="C588" s="2" t="s">
        <v>226</v>
      </c>
    </row>
    <row r="589" spans="1:3" x14ac:dyDescent="0.2">
      <c r="A589" s="2">
        <v>587</v>
      </c>
      <c r="B589" s="2">
        <f t="shared" ca="1" si="9"/>
        <v>0.79786316498456911</v>
      </c>
      <c r="C589" s="2" t="s">
        <v>227</v>
      </c>
    </row>
    <row r="590" spans="1:3" x14ac:dyDescent="0.2">
      <c r="A590" s="2">
        <v>588</v>
      </c>
      <c r="B590" s="2">
        <f t="shared" ca="1" si="9"/>
        <v>0.55239008313818683</v>
      </c>
      <c r="C590" s="2" t="s">
        <v>226</v>
      </c>
    </row>
    <row r="591" spans="1:3" x14ac:dyDescent="0.2">
      <c r="A591" s="2">
        <v>589</v>
      </c>
      <c r="B591" s="2">
        <f t="shared" ca="1" si="9"/>
        <v>0.59164834734749738</v>
      </c>
      <c r="C591" s="2" t="s">
        <v>226</v>
      </c>
    </row>
    <row r="592" spans="1:3" x14ac:dyDescent="0.2">
      <c r="A592" s="2">
        <v>590</v>
      </c>
      <c r="B592" s="2">
        <f t="shared" ca="1" si="9"/>
        <v>0.66430632769148068</v>
      </c>
      <c r="C592" s="2" t="s">
        <v>227</v>
      </c>
    </row>
    <row r="593" spans="1:3" x14ac:dyDescent="0.2">
      <c r="A593" s="2">
        <v>591</v>
      </c>
      <c r="B593" s="2">
        <f t="shared" ca="1" si="9"/>
        <v>0.51549926506431598</v>
      </c>
      <c r="C593" s="2" t="s">
        <v>226</v>
      </c>
    </row>
    <row r="594" spans="1:3" x14ac:dyDescent="0.2">
      <c r="A594" s="2">
        <v>592</v>
      </c>
      <c r="B594" s="2">
        <f t="shared" ca="1" si="9"/>
        <v>0.63903697407976223</v>
      </c>
      <c r="C594" s="2" t="s">
        <v>227</v>
      </c>
    </row>
    <row r="595" spans="1:3" x14ac:dyDescent="0.2">
      <c r="A595" s="2">
        <v>593</v>
      </c>
      <c r="B595" s="2">
        <f t="shared" ca="1" si="9"/>
        <v>0.35637575646064235</v>
      </c>
      <c r="C595" s="2" t="s">
        <v>226</v>
      </c>
    </row>
    <row r="596" spans="1:3" x14ac:dyDescent="0.2">
      <c r="A596" s="2">
        <v>594</v>
      </c>
      <c r="B596" s="2">
        <f t="shared" ca="1" si="9"/>
        <v>0.67192213601786643</v>
      </c>
      <c r="C596" s="2" t="s">
        <v>227</v>
      </c>
    </row>
    <row r="597" spans="1:3" x14ac:dyDescent="0.2">
      <c r="A597" s="2">
        <v>595</v>
      </c>
      <c r="B597" s="2">
        <f t="shared" ca="1" si="9"/>
        <v>0.71485041188823151</v>
      </c>
      <c r="C597" s="2" t="s">
        <v>227</v>
      </c>
    </row>
    <row r="598" spans="1:3" x14ac:dyDescent="0.2">
      <c r="A598" s="2">
        <v>596</v>
      </c>
      <c r="B598" s="2">
        <f t="shared" ca="1" si="9"/>
        <v>0.63238870580421203</v>
      </c>
      <c r="C598" s="2" t="s">
        <v>227</v>
      </c>
    </row>
    <row r="599" spans="1:3" x14ac:dyDescent="0.2">
      <c r="A599" s="2">
        <v>597</v>
      </c>
      <c r="B599" s="2">
        <f t="shared" ca="1" si="9"/>
        <v>0.75630696163885869</v>
      </c>
      <c r="C599" s="2" t="s">
        <v>227</v>
      </c>
    </row>
    <row r="600" spans="1:3" x14ac:dyDescent="0.2">
      <c r="A600" s="2">
        <v>598</v>
      </c>
      <c r="B600" s="2">
        <f t="shared" ca="1" si="9"/>
        <v>0.56540821864166446</v>
      </c>
      <c r="C600" s="2" t="s">
        <v>226</v>
      </c>
    </row>
    <row r="601" spans="1:3" x14ac:dyDescent="0.2">
      <c r="A601" s="2">
        <v>599</v>
      </c>
      <c r="B601" s="2">
        <f t="shared" ca="1" si="9"/>
        <v>0.74407136683254638</v>
      </c>
      <c r="C601" s="2" t="s">
        <v>227</v>
      </c>
    </row>
    <row r="602" spans="1:3" x14ac:dyDescent="0.2">
      <c r="A602" s="2">
        <v>600</v>
      </c>
      <c r="B602" s="2">
        <f t="shared" ca="1" si="9"/>
        <v>0.73882167292565393</v>
      </c>
      <c r="C602" s="2" t="s">
        <v>227</v>
      </c>
    </row>
    <row r="603" spans="1:3" x14ac:dyDescent="0.2">
      <c r="A603" s="2">
        <v>601</v>
      </c>
      <c r="B603" s="2">
        <f t="shared" ca="1" si="9"/>
        <v>0.76391756998432025</v>
      </c>
      <c r="C603" s="2" t="s">
        <v>226</v>
      </c>
    </row>
    <row r="604" spans="1:3" x14ac:dyDescent="0.2">
      <c r="A604" s="2">
        <v>602</v>
      </c>
      <c r="B604" s="2">
        <f t="shared" ca="1" si="9"/>
        <v>0.52790646519582451</v>
      </c>
      <c r="C604" s="2" t="s">
        <v>226</v>
      </c>
    </row>
    <row r="605" spans="1:3" x14ac:dyDescent="0.2">
      <c r="A605" s="2">
        <v>603</v>
      </c>
      <c r="B605" s="2">
        <f t="shared" ca="1" si="9"/>
        <v>0.68378097226878309</v>
      </c>
      <c r="C605" s="2" t="s">
        <v>226</v>
      </c>
    </row>
    <row r="606" spans="1:3" x14ac:dyDescent="0.2">
      <c r="A606" s="2">
        <v>604</v>
      </c>
      <c r="B606" s="2">
        <f t="shared" ca="1" si="9"/>
        <v>0.61874605623973589</v>
      </c>
      <c r="C606" s="2" t="s">
        <v>227</v>
      </c>
    </row>
    <row r="607" spans="1:3" x14ac:dyDescent="0.2">
      <c r="A607" s="2">
        <v>605</v>
      </c>
      <c r="B607" s="2">
        <f t="shared" ca="1" si="9"/>
        <v>0.48026229553478983</v>
      </c>
      <c r="C607" s="2" t="s">
        <v>226</v>
      </c>
    </row>
    <row r="608" spans="1:3" x14ac:dyDescent="0.2">
      <c r="A608" s="2">
        <v>606</v>
      </c>
      <c r="B608" s="2">
        <f t="shared" ca="1" si="9"/>
        <v>0.68638069449433892</v>
      </c>
      <c r="C608" s="2" t="s">
        <v>227</v>
      </c>
    </row>
    <row r="609" spans="1:3" x14ac:dyDescent="0.2">
      <c r="A609" s="2">
        <v>607</v>
      </c>
      <c r="B609" s="2">
        <f t="shared" ca="1" si="9"/>
        <v>0.54920791047587769</v>
      </c>
      <c r="C609" s="2" t="s">
        <v>226</v>
      </c>
    </row>
    <row r="610" spans="1:3" x14ac:dyDescent="0.2">
      <c r="A610" s="2">
        <v>608</v>
      </c>
      <c r="B610" s="2">
        <f t="shared" ca="1" si="9"/>
        <v>0.74940987186749697</v>
      </c>
      <c r="C610" s="2" t="s">
        <v>227</v>
      </c>
    </row>
    <row r="611" spans="1:3" x14ac:dyDescent="0.2">
      <c r="A611" s="2">
        <v>609</v>
      </c>
      <c r="B611" s="2">
        <f t="shared" ca="1" si="9"/>
        <v>0.55983564363098837</v>
      </c>
      <c r="C611" s="2" t="s">
        <v>226</v>
      </c>
    </row>
    <row r="612" spans="1:3" x14ac:dyDescent="0.2">
      <c r="A612" s="2">
        <v>610</v>
      </c>
      <c r="B612" s="2">
        <f t="shared" ca="1" si="9"/>
        <v>0.59869251606894258</v>
      </c>
      <c r="C612" s="2" t="s">
        <v>226</v>
      </c>
    </row>
    <row r="613" spans="1:3" x14ac:dyDescent="0.2">
      <c r="A613" s="2">
        <v>611</v>
      </c>
      <c r="B613" s="2">
        <f t="shared" ca="1" si="9"/>
        <v>0.75871209079508961</v>
      </c>
      <c r="C613" s="2" t="s">
        <v>227</v>
      </c>
    </row>
    <row r="614" spans="1:3" x14ac:dyDescent="0.2">
      <c r="A614" s="2">
        <v>612</v>
      </c>
      <c r="B614" s="2">
        <f t="shared" ca="1" si="9"/>
        <v>0.66702289905541867</v>
      </c>
      <c r="C614" s="2" t="s">
        <v>227</v>
      </c>
    </row>
    <row r="615" spans="1:3" x14ac:dyDescent="0.2">
      <c r="A615" s="2">
        <v>613</v>
      </c>
      <c r="B615" s="2">
        <f t="shared" ca="1" si="9"/>
        <v>0.68358941386267524</v>
      </c>
      <c r="C615" s="2" t="s">
        <v>226</v>
      </c>
    </row>
    <row r="616" spans="1:3" x14ac:dyDescent="0.2">
      <c r="A616" s="2">
        <v>614</v>
      </c>
      <c r="B616" s="2">
        <f t="shared" ca="1" si="9"/>
        <v>0.66879887894228784</v>
      </c>
      <c r="C616" s="2" t="s">
        <v>226</v>
      </c>
    </row>
    <row r="617" spans="1:3" x14ac:dyDescent="0.2">
      <c r="A617" s="2">
        <v>615</v>
      </c>
      <c r="B617" s="2">
        <f t="shared" ca="1" si="9"/>
        <v>0.3929587283629532</v>
      </c>
      <c r="C617" s="2" t="s">
        <v>226</v>
      </c>
    </row>
    <row r="618" spans="1:3" x14ac:dyDescent="0.2">
      <c r="A618" s="2">
        <v>616</v>
      </c>
      <c r="B618" s="2">
        <f t="shared" ca="1" si="9"/>
        <v>0.63173083260375051</v>
      </c>
      <c r="C618" s="2" t="s">
        <v>227</v>
      </c>
    </row>
    <row r="619" spans="1:3" x14ac:dyDescent="0.2">
      <c r="A619" s="2">
        <v>617</v>
      </c>
      <c r="B619" s="2">
        <f t="shared" ca="1" si="9"/>
        <v>0.74230709329371725</v>
      </c>
      <c r="C619" s="2" t="s">
        <v>227</v>
      </c>
    </row>
    <row r="620" spans="1:3" x14ac:dyDescent="0.2">
      <c r="A620" s="2">
        <v>618</v>
      </c>
      <c r="B620" s="2">
        <f t="shared" ca="1" si="9"/>
        <v>0.63268219652513191</v>
      </c>
      <c r="C620" s="2" t="s">
        <v>227</v>
      </c>
    </row>
    <row r="621" spans="1:3" x14ac:dyDescent="0.2">
      <c r="A621" s="2">
        <v>619</v>
      </c>
      <c r="B621" s="2">
        <f t="shared" ca="1" si="9"/>
        <v>0.65995847344088643</v>
      </c>
      <c r="C621" s="2" t="s">
        <v>226</v>
      </c>
    </row>
    <row r="622" spans="1:3" x14ac:dyDescent="0.2">
      <c r="A622" s="2">
        <v>620</v>
      </c>
      <c r="B622" s="2">
        <f t="shared" ca="1" si="9"/>
        <v>0.82486535948013429</v>
      </c>
      <c r="C622" s="2" t="s">
        <v>226</v>
      </c>
    </row>
    <row r="623" spans="1:3" x14ac:dyDescent="0.2">
      <c r="A623" s="2">
        <v>621</v>
      </c>
      <c r="B623" s="2">
        <f t="shared" ca="1" si="9"/>
        <v>0.6252414278694044</v>
      </c>
      <c r="C623" s="2" t="s">
        <v>227</v>
      </c>
    </row>
    <row r="624" spans="1:3" x14ac:dyDescent="0.2">
      <c r="A624" s="2">
        <v>622</v>
      </c>
      <c r="B624" s="2">
        <f t="shared" ca="1" si="9"/>
        <v>0.82481780753910161</v>
      </c>
      <c r="C624" s="2" t="s">
        <v>227</v>
      </c>
    </row>
    <row r="625" spans="1:3" x14ac:dyDescent="0.2">
      <c r="A625" s="2">
        <v>623</v>
      </c>
      <c r="B625" s="2">
        <f t="shared" ca="1" si="9"/>
        <v>0.7512149378533105</v>
      </c>
      <c r="C625" s="2" t="s">
        <v>227</v>
      </c>
    </row>
    <row r="626" spans="1:3" x14ac:dyDescent="0.2">
      <c r="A626" s="2">
        <v>624</v>
      </c>
      <c r="B626" s="2">
        <f t="shared" ca="1" si="9"/>
        <v>0.46236607925868567</v>
      </c>
      <c r="C626" s="2" t="s">
        <v>226</v>
      </c>
    </row>
    <row r="627" spans="1:3" x14ac:dyDescent="0.2">
      <c r="A627" s="2">
        <v>625</v>
      </c>
      <c r="B627" s="2">
        <f t="shared" ca="1" si="9"/>
        <v>0.74845428189021779</v>
      </c>
      <c r="C627" s="2" t="s">
        <v>227</v>
      </c>
    </row>
    <row r="628" spans="1:3" x14ac:dyDescent="0.2">
      <c r="A628" s="2">
        <v>626</v>
      </c>
      <c r="B628" s="2">
        <f t="shared" ca="1" si="9"/>
        <v>0.58003418008745844</v>
      </c>
      <c r="C628" s="2" t="s">
        <v>226</v>
      </c>
    </row>
    <row r="629" spans="1:3" x14ac:dyDescent="0.2">
      <c r="A629" s="2">
        <v>627</v>
      </c>
      <c r="B629" s="2">
        <f t="shared" ca="1" si="9"/>
        <v>0.46362974334256957</v>
      </c>
      <c r="C629" s="2" t="s">
        <v>226</v>
      </c>
    </row>
    <row r="630" spans="1:3" x14ac:dyDescent="0.2">
      <c r="A630" s="2">
        <v>628</v>
      </c>
      <c r="B630" s="2">
        <f t="shared" ca="1" si="9"/>
        <v>0.7426158935541477</v>
      </c>
      <c r="C630" s="2" t="s">
        <v>226</v>
      </c>
    </row>
    <row r="631" spans="1:3" x14ac:dyDescent="0.2">
      <c r="A631" s="2">
        <v>629</v>
      </c>
      <c r="B631" s="2">
        <f t="shared" ca="1" si="9"/>
        <v>0.79463736485372571</v>
      </c>
      <c r="C631" s="2" t="s">
        <v>226</v>
      </c>
    </row>
    <row r="632" spans="1:3" x14ac:dyDescent="0.2">
      <c r="A632" s="2">
        <v>630</v>
      </c>
      <c r="B632" s="2">
        <f t="shared" ca="1" si="9"/>
        <v>0.90075341084671678</v>
      </c>
      <c r="C632" s="2" t="s">
        <v>227</v>
      </c>
    </row>
    <row r="633" spans="1:3" x14ac:dyDescent="0.2">
      <c r="A633" s="2">
        <v>631</v>
      </c>
      <c r="B633" s="2">
        <f t="shared" ca="1" si="9"/>
        <v>0.59544063891109</v>
      </c>
      <c r="C633" s="2" t="s">
        <v>227</v>
      </c>
    </row>
    <row r="634" spans="1:3" x14ac:dyDescent="0.2">
      <c r="A634" s="2">
        <v>632</v>
      </c>
      <c r="B634" s="2">
        <f t="shared" ca="1" si="9"/>
        <v>0.51861957689426064</v>
      </c>
      <c r="C634" s="2" t="s">
        <v>226</v>
      </c>
    </row>
    <row r="635" spans="1:3" x14ac:dyDescent="0.2">
      <c r="A635" s="2">
        <v>633</v>
      </c>
      <c r="B635" s="2">
        <f t="shared" ca="1" si="9"/>
        <v>0.69710732788222851</v>
      </c>
      <c r="C635" s="2" t="s">
        <v>227</v>
      </c>
    </row>
    <row r="636" spans="1:3" x14ac:dyDescent="0.2">
      <c r="A636" s="2">
        <v>634</v>
      </c>
      <c r="B636" s="2">
        <f t="shared" ca="1" si="9"/>
        <v>0.80487000049655422</v>
      </c>
      <c r="C636" s="2" t="s">
        <v>227</v>
      </c>
    </row>
    <row r="637" spans="1:3" x14ac:dyDescent="0.2">
      <c r="A637" s="2">
        <v>635</v>
      </c>
      <c r="B637" s="2">
        <f t="shared" ca="1" si="9"/>
        <v>0.61509128239221034</v>
      </c>
      <c r="C637" s="2" t="s">
        <v>227</v>
      </c>
    </row>
    <row r="638" spans="1:3" x14ac:dyDescent="0.2">
      <c r="A638" s="2">
        <v>636</v>
      </c>
      <c r="B638" s="2">
        <f t="shared" ca="1" si="9"/>
        <v>0.64841804603366215</v>
      </c>
      <c r="C638" s="2" t="s">
        <v>226</v>
      </c>
    </row>
    <row r="639" spans="1:3" x14ac:dyDescent="0.2">
      <c r="A639" s="2">
        <v>637</v>
      </c>
      <c r="B639" s="2">
        <f t="shared" ca="1" si="9"/>
        <v>0.57599339262066618</v>
      </c>
      <c r="C639" s="2" t="s">
        <v>226</v>
      </c>
    </row>
    <row r="640" spans="1:3" x14ac:dyDescent="0.2">
      <c r="A640" s="2">
        <v>638</v>
      </c>
      <c r="B640" s="2">
        <f t="shared" ca="1" si="9"/>
        <v>0.65488199789365731</v>
      </c>
      <c r="C640" s="2" t="s">
        <v>227</v>
      </c>
    </row>
    <row r="641" spans="1:3" x14ac:dyDescent="0.2">
      <c r="A641" s="2">
        <v>639</v>
      </c>
      <c r="B641" s="2">
        <f t="shared" ca="1" si="9"/>
        <v>0.57542619186503752</v>
      </c>
      <c r="C641" s="2" t="s">
        <v>226</v>
      </c>
    </row>
    <row r="642" spans="1:3" x14ac:dyDescent="0.2">
      <c r="A642" s="2">
        <v>640</v>
      </c>
      <c r="B642" s="2">
        <f t="shared" ca="1" si="9"/>
        <v>0.70730811282280048</v>
      </c>
      <c r="C642" s="2" t="s">
        <v>227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0.65946812173558933</v>
      </c>
      <c r="C643" s="2" t="s">
        <v>227</v>
      </c>
    </row>
    <row r="644" spans="1:3" x14ac:dyDescent="0.2">
      <c r="A644" s="2">
        <v>642</v>
      </c>
      <c r="B644" s="2">
        <f t="shared" ca="1" si="10"/>
        <v>0.67718087836445195</v>
      </c>
      <c r="C644" s="2" t="s">
        <v>226</v>
      </c>
    </row>
    <row r="645" spans="1:3" x14ac:dyDescent="0.2">
      <c r="A645" s="2">
        <v>643</v>
      </c>
      <c r="B645" s="2">
        <f t="shared" ca="1" si="10"/>
        <v>0.54387653078439524</v>
      </c>
      <c r="C645" s="2" t="s">
        <v>227</v>
      </c>
    </row>
    <row r="646" spans="1:3" x14ac:dyDescent="0.2">
      <c r="A646" s="2">
        <v>644</v>
      </c>
      <c r="B646" s="2">
        <f t="shared" ca="1" si="10"/>
        <v>0.67584362272996523</v>
      </c>
      <c r="C646" s="2" t="s">
        <v>226</v>
      </c>
    </row>
    <row r="647" spans="1:3" x14ac:dyDescent="0.2">
      <c r="A647" s="2">
        <v>645</v>
      </c>
      <c r="B647" s="2">
        <f t="shared" ca="1" si="10"/>
        <v>0.50969437737500756</v>
      </c>
      <c r="C647" s="2" t="s">
        <v>226</v>
      </c>
    </row>
    <row r="648" spans="1:3" x14ac:dyDescent="0.2">
      <c r="A648" s="2">
        <v>646</v>
      </c>
      <c r="B648" s="2">
        <f t="shared" ca="1" si="10"/>
        <v>0.84075209236537485</v>
      </c>
      <c r="C648" s="2" t="s">
        <v>226</v>
      </c>
    </row>
    <row r="649" spans="1:3" x14ac:dyDescent="0.2">
      <c r="A649" s="2">
        <v>647</v>
      </c>
      <c r="B649" s="2">
        <f t="shared" ca="1" si="10"/>
        <v>0.71052216304690363</v>
      </c>
      <c r="C649" s="2" t="s">
        <v>227</v>
      </c>
    </row>
    <row r="650" spans="1:3" x14ac:dyDescent="0.2">
      <c r="A650" s="2">
        <v>648</v>
      </c>
      <c r="B650" s="2">
        <f t="shared" ca="1" si="10"/>
        <v>0.63767861351496813</v>
      </c>
      <c r="C650" s="2" t="s">
        <v>227</v>
      </c>
    </row>
    <row r="651" spans="1:3" x14ac:dyDescent="0.2">
      <c r="A651" s="2">
        <v>649</v>
      </c>
      <c r="B651" s="2">
        <f t="shared" ca="1" si="10"/>
        <v>0.68356474304003678</v>
      </c>
      <c r="C651" s="2" t="s">
        <v>227</v>
      </c>
    </row>
    <row r="652" spans="1:3" x14ac:dyDescent="0.2">
      <c r="A652" s="2">
        <v>650</v>
      </c>
      <c r="B652" s="2">
        <f t="shared" ca="1" si="10"/>
        <v>0.66509113489609561</v>
      </c>
      <c r="C652" s="2" t="s">
        <v>227</v>
      </c>
    </row>
    <row r="653" spans="1:3" x14ac:dyDescent="0.2">
      <c r="A653" s="2">
        <v>651</v>
      </c>
      <c r="B653" s="2">
        <f t="shared" ca="1" si="10"/>
        <v>0.44317296198791001</v>
      </c>
      <c r="C653" s="2" t="s">
        <v>226</v>
      </c>
    </row>
    <row r="654" spans="1:3" x14ac:dyDescent="0.2">
      <c r="A654" s="2">
        <v>652</v>
      </c>
      <c r="B654" s="2">
        <f t="shared" ca="1" si="10"/>
        <v>0.75311922561701117</v>
      </c>
      <c r="C654" s="2" t="s">
        <v>226</v>
      </c>
    </row>
    <row r="655" spans="1:3" x14ac:dyDescent="0.2">
      <c r="A655" s="2">
        <v>653</v>
      </c>
      <c r="B655" s="2">
        <f t="shared" ca="1" si="10"/>
        <v>0.61585761701516839</v>
      </c>
      <c r="C655" s="2" t="s">
        <v>226</v>
      </c>
    </row>
    <row r="656" spans="1:3" x14ac:dyDescent="0.2">
      <c r="A656" s="2">
        <v>654</v>
      </c>
      <c r="B656" s="2">
        <f t="shared" ca="1" si="10"/>
        <v>0.56731196248240467</v>
      </c>
      <c r="C656" s="2" t="s">
        <v>226</v>
      </c>
    </row>
    <row r="657" spans="1:3" x14ac:dyDescent="0.2">
      <c r="A657" s="2">
        <v>655</v>
      </c>
      <c r="B657" s="2">
        <f t="shared" ca="1" si="10"/>
        <v>0.38151277656416438</v>
      </c>
      <c r="C657" s="2" t="s">
        <v>226</v>
      </c>
    </row>
    <row r="658" spans="1:3" x14ac:dyDescent="0.2">
      <c r="A658" s="2">
        <v>656</v>
      </c>
      <c r="B658" s="2">
        <f t="shared" ca="1" si="10"/>
        <v>0.92669380053833161</v>
      </c>
      <c r="C658" s="2" t="s">
        <v>226</v>
      </c>
    </row>
    <row r="659" spans="1:3" x14ac:dyDescent="0.2">
      <c r="A659" s="2">
        <v>657</v>
      </c>
      <c r="B659" s="2">
        <f t="shared" ca="1" si="10"/>
        <v>0.66850759655255743</v>
      </c>
      <c r="C659" s="2" t="s">
        <v>227</v>
      </c>
    </row>
    <row r="660" spans="1:3" x14ac:dyDescent="0.2">
      <c r="A660" s="2">
        <v>658</v>
      </c>
      <c r="B660" s="2">
        <f t="shared" ca="1" si="10"/>
        <v>0.53304295918037492</v>
      </c>
      <c r="C660" s="2" t="s">
        <v>226</v>
      </c>
    </row>
    <row r="661" spans="1:3" x14ac:dyDescent="0.2">
      <c r="A661" s="2">
        <v>659</v>
      </c>
      <c r="B661" s="2">
        <f t="shared" ca="1" si="10"/>
        <v>0.72383027478765882</v>
      </c>
      <c r="C661" s="2" t="s">
        <v>227</v>
      </c>
    </row>
    <row r="662" spans="1:3" x14ac:dyDescent="0.2">
      <c r="A662" s="2">
        <v>660</v>
      </c>
      <c r="B662" s="2">
        <f t="shared" ca="1" si="10"/>
        <v>0.40597891657728602</v>
      </c>
      <c r="C662" s="2" t="s">
        <v>226</v>
      </c>
    </row>
    <row r="663" spans="1:3" x14ac:dyDescent="0.2">
      <c r="A663" s="2">
        <v>661</v>
      </c>
      <c r="B663" s="2">
        <f t="shared" ca="1" si="10"/>
        <v>0.66609806078663336</v>
      </c>
      <c r="C663" s="2" t="s">
        <v>227</v>
      </c>
    </row>
    <row r="664" spans="1:3" x14ac:dyDescent="0.2">
      <c r="A664" s="2">
        <v>662</v>
      </c>
      <c r="B664" s="2">
        <f t="shared" ca="1" si="10"/>
        <v>0.33085058519431088</v>
      </c>
      <c r="C664" s="2" t="s">
        <v>226</v>
      </c>
    </row>
    <row r="665" spans="1:3" x14ac:dyDescent="0.2">
      <c r="A665" s="2">
        <v>663</v>
      </c>
      <c r="B665" s="2">
        <f t="shared" ca="1" si="10"/>
        <v>0.75111817812669646</v>
      </c>
      <c r="C665" s="2" t="s">
        <v>226</v>
      </c>
    </row>
    <row r="666" spans="1:3" x14ac:dyDescent="0.2">
      <c r="A666" s="2">
        <v>664</v>
      </c>
      <c r="B666" s="2">
        <f t="shared" ca="1" si="10"/>
        <v>0.85134833841178148</v>
      </c>
      <c r="C666" s="2" t="s">
        <v>227</v>
      </c>
    </row>
    <row r="667" spans="1:3" x14ac:dyDescent="0.2">
      <c r="A667" s="2">
        <v>665</v>
      </c>
      <c r="B667" s="2">
        <f t="shared" ca="1" si="10"/>
        <v>0.5353006020447465</v>
      </c>
      <c r="C667" s="2" t="s">
        <v>226</v>
      </c>
    </row>
    <row r="668" spans="1:3" x14ac:dyDescent="0.2">
      <c r="A668" s="2">
        <v>666</v>
      </c>
      <c r="B668" s="2">
        <f t="shared" ca="1" si="10"/>
        <v>0.49884880705648998</v>
      </c>
      <c r="C668" s="2" t="s">
        <v>226</v>
      </c>
    </row>
    <row r="669" spans="1:3" x14ac:dyDescent="0.2">
      <c r="A669" s="2">
        <v>667</v>
      </c>
      <c r="B669" s="2">
        <f t="shared" ca="1" si="10"/>
        <v>0.6614528122951594</v>
      </c>
      <c r="C669" s="2" t="s">
        <v>227</v>
      </c>
    </row>
    <row r="670" spans="1:3" x14ac:dyDescent="0.2">
      <c r="A670" s="2">
        <v>668</v>
      </c>
      <c r="B670" s="2">
        <f t="shared" ca="1" si="10"/>
        <v>0.46217162811867646</v>
      </c>
      <c r="C670" s="2" t="s">
        <v>226</v>
      </c>
    </row>
    <row r="671" spans="1:3" x14ac:dyDescent="0.2">
      <c r="A671" s="2">
        <v>669</v>
      </c>
      <c r="B671" s="2">
        <f t="shared" ca="1" si="10"/>
        <v>0.81416903165171028</v>
      </c>
      <c r="C671" s="2" t="s">
        <v>226</v>
      </c>
    </row>
    <row r="672" spans="1:3" x14ac:dyDescent="0.2">
      <c r="A672" s="2">
        <v>670</v>
      </c>
      <c r="B672" s="2">
        <f t="shared" ca="1" si="10"/>
        <v>0.4754770646038694</v>
      </c>
      <c r="C672" s="2" t="s">
        <v>226</v>
      </c>
    </row>
    <row r="673" spans="1:3" x14ac:dyDescent="0.2">
      <c r="A673" s="2">
        <v>671</v>
      </c>
      <c r="B673" s="2">
        <f t="shared" ca="1" si="10"/>
        <v>0.38999744967837513</v>
      </c>
      <c r="C673" s="2" t="s">
        <v>226</v>
      </c>
    </row>
    <row r="674" spans="1:3" x14ac:dyDescent="0.2">
      <c r="A674" s="2">
        <v>672</v>
      </c>
      <c r="B674" s="2">
        <f t="shared" ca="1" si="10"/>
        <v>0.63850209224545063</v>
      </c>
      <c r="C674" s="2" t="s">
        <v>226</v>
      </c>
    </row>
    <row r="675" spans="1:3" x14ac:dyDescent="0.2">
      <c r="A675" s="2">
        <v>673</v>
      </c>
      <c r="B675" s="2">
        <f t="shared" ca="1" si="10"/>
        <v>0.75025207797254156</v>
      </c>
      <c r="C675" s="2" t="s">
        <v>226</v>
      </c>
    </row>
    <row r="676" spans="1:3" x14ac:dyDescent="0.2">
      <c r="A676" s="2">
        <v>674</v>
      </c>
      <c r="B676" s="2">
        <f t="shared" ca="1" si="10"/>
        <v>0.7118110374345169</v>
      </c>
      <c r="C676" s="2" t="s">
        <v>227</v>
      </c>
    </row>
    <row r="677" spans="1:3" x14ac:dyDescent="0.2">
      <c r="A677" s="2">
        <v>675</v>
      </c>
      <c r="B677" s="2">
        <f t="shared" ca="1" si="10"/>
        <v>0.56397022142838926</v>
      </c>
      <c r="C677" s="2" t="s">
        <v>226</v>
      </c>
    </row>
    <row r="678" spans="1:3" x14ac:dyDescent="0.2">
      <c r="A678" s="2">
        <v>676</v>
      </c>
      <c r="B678" s="2">
        <f t="shared" ca="1" si="10"/>
        <v>0.76355115125888695</v>
      </c>
      <c r="C678" s="2" t="s">
        <v>227</v>
      </c>
    </row>
    <row r="679" spans="1:3" x14ac:dyDescent="0.2">
      <c r="A679" s="2">
        <v>677</v>
      </c>
      <c r="B679" s="2">
        <f t="shared" ca="1" si="10"/>
        <v>0.7131734460298399</v>
      </c>
      <c r="C679" s="2" t="s">
        <v>226</v>
      </c>
    </row>
    <row r="680" spans="1:3" x14ac:dyDescent="0.2">
      <c r="A680" s="2">
        <v>678</v>
      </c>
      <c r="B680" s="2">
        <f t="shared" ca="1" si="10"/>
        <v>0.77512251983999303</v>
      </c>
      <c r="C680" s="2" t="s">
        <v>227</v>
      </c>
    </row>
    <row r="681" spans="1:3" x14ac:dyDescent="0.2">
      <c r="A681" s="2">
        <v>679</v>
      </c>
      <c r="B681" s="2">
        <f t="shared" ca="1" si="10"/>
        <v>0.87877773466111475</v>
      </c>
      <c r="C681" s="2" t="s">
        <v>226</v>
      </c>
    </row>
    <row r="682" spans="1:3" x14ac:dyDescent="0.2">
      <c r="A682" s="2">
        <v>680</v>
      </c>
      <c r="B682" s="2">
        <f t="shared" ca="1" si="10"/>
        <v>0.75631414093527127</v>
      </c>
      <c r="C682" s="2" t="s">
        <v>226</v>
      </c>
    </row>
    <row r="683" spans="1:3" x14ac:dyDescent="0.2">
      <c r="A683" s="2">
        <v>681</v>
      </c>
      <c r="B683" s="2">
        <f t="shared" ca="1" si="10"/>
        <v>0.50044641395212153</v>
      </c>
      <c r="C683" s="2" t="s">
        <v>226</v>
      </c>
    </row>
    <row r="684" spans="1:3" x14ac:dyDescent="0.2">
      <c r="A684" s="2">
        <v>682</v>
      </c>
      <c r="B684" s="2">
        <f t="shared" ca="1" si="10"/>
        <v>0.46727748878028685</v>
      </c>
      <c r="C684" s="2" t="s">
        <v>226</v>
      </c>
    </row>
    <row r="685" spans="1:3" x14ac:dyDescent="0.2">
      <c r="A685" s="2">
        <v>683</v>
      </c>
      <c r="B685" s="2">
        <f t="shared" ca="1" si="10"/>
        <v>0.50197888069629837</v>
      </c>
      <c r="C685" s="2" t="s">
        <v>226</v>
      </c>
    </row>
    <row r="686" spans="1:3" x14ac:dyDescent="0.2">
      <c r="A686" s="2">
        <v>684</v>
      </c>
      <c r="B686" s="2">
        <f t="shared" ca="1" si="10"/>
        <v>0.25195492156409599</v>
      </c>
      <c r="C686" s="2" t="s">
        <v>226</v>
      </c>
    </row>
    <row r="687" spans="1:3" x14ac:dyDescent="0.2">
      <c r="A687" s="2">
        <v>685</v>
      </c>
      <c r="B687" s="2">
        <f t="shared" ca="1" si="10"/>
        <v>0.81332099687099402</v>
      </c>
      <c r="C687" s="2" t="s">
        <v>227</v>
      </c>
    </row>
    <row r="688" spans="1:3" x14ac:dyDescent="0.2">
      <c r="A688" s="2">
        <v>686</v>
      </c>
      <c r="B688" s="2">
        <f t="shared" ca="1" si="10"/>
        <v>0.8002413158408247</v>
      </c>
      <c r="C688" s="2" t="s">
        <v>226</v>
      </c>
    </row>
    <row r="689" spans="1:3" x14ac:dyDescent="0.2">
      <c r="A689" s="2">
        <v>687</v>
      </c>
      <c r="B689" s="2">
        <f t="shared" ca="1" si="10"/>
        <v>0.37441332514890768</v>
      </c>
      <c r="C689" s="2" t="s">
        <v>226</v>
      </c>
    </row>
    <row r="690" spans="1:3" x14ac:dyDescent="0.2">
      <c r="A690" s="2">
        <v>688</v>
      </c>
      <c r="B690" s="2">
        <f t="shared" ca="1" si="10"/>
        <v>0.85481145157587324</v>
      </c>
      <c r="C690" s="2" t="s">
        <v>226</v>
      </c>
    </row>
    <row r="691" spans="1:3" x14ac:dyDescent="0.2">
      <c r="A691" s="2">
        <v>689</v>
      </c>
      <c r="B691" s="2">
        <f t="shared" ca="1" si="10"/>
        <v>0.36459240405576188</v>
      </c>
      <c r="C691" s="2" t="s">
        <v>226</v>
      </c>
    </row>
    <row r="692" spans="1:3" x14ac:dyDescent="0.2">
      <c r="A692" s="2">
        <v>690</v>
      </c>
      <c r="B692" s="2">
        <f t="shared" ca="1" si="10"/>
        <v>0.73886689885834766</v>
      </c>
      <c r="C692" s="2" t="s">
        <v>227</v>
      </c>
    </row>
    <row r="693" spans="1:3" x14ac:dyDescent="0.2">
      <c r="A693" s="2">
        <v>691</v>
      </c>
      <c r="B693" s="2">
        <f t="shared" ca="1" si="10"/>
        <v>0.62339796872805819</v>
      </c>
      <c r="C693" s="2" t="s">
        <v>227</v>
      </c>
    </row>
    <row r="694" spans="1:3" x14ac:dyDescent="0.2">
      <c r="A694" s="2">
        <v>692</v>
      </c>
      <c r="B694" s="2">
        <f t="shared" ca="1" si="10"/>
        <v>0.58633004852350668</v>
      </c>
      <c r="C694" s="2" t="s">
        <v>227</v>
      </c>
    </row>
    <row r="695" spans="1:3" x14ac:dyDescent="0.2">
      <c r="A695" s="2">
        <v>693</v>
      </c>
      <c r="B695" s="2">
        <f t="shared" ca="1" si="10"/>
        <v>0.69934739727150474</v>
      </c>
      <c r="C695" s="2" t="s">
        <v>227</v>
      </c>
    </row>
    <row r="696" spans="1:3" x14ac:dyDescent="0.2">
      <c r="A696" s="2">
        <v>694</v>
      </c>
      <c r="B696" s="2">
        <f t="shared" ca="1" si="10"/>
        <v>0.45156441417430215</v>
      </c>
      <c r="C696" s="2" t="s">
        <v>226</v>
      </c>
    </row>
    <row r="697" spans="1:3" x14ac:dyDescent="0.2">
      <c r="A697" s="2">
        <v>695</v>
      </c>
      <c r="B697" s="2">
        <f t="shared" ca="1" si="10"/>
        <v>0.77300779683662157</v>
      </c>
      <c r="C697" s="2" t="s">
        <v>226</v>
      </c>
    </row>
    <row r="698" spans="1:3" x14ac:dyDescent="0.2">
      <c r="A698" s="2">
        <v>696</v>
      </c>
      <c r="B698" s="2">
        <f t="shared" ca="1" si="10"/>
        <v>0.48921021758582733</v>
      </c>
      <c r="C698" s="2" t="s">
        <v>226</v>
      </c>
    </row>
    <row r="699" spans="1:3" x14ac:dyDescent="0.2">
      <c r="A699" s="2">
        <v>697</v>
      </c>
      <c r="B699" s="2">
        <f t="shared" ca="1" si="10"/>
        <v>0.65801382225813521</v>
      </c>
      <c r="C699" s="2" t="s">
        <v>226</v>
      </c>
    </row>
    <row r="700" spans="1:3" x14ac:dyDescent="0.2">
      <c r="A700" s="2">
        <v>698</v>
      </c>
      <c r="B700" s="2">
        <f t="shared" ca="1" si="10"/>
        <v>0.68985401800700075</v>
      </c>
      <c r="C700" s="2" t="s">
        <v>227</v>
      </c>
    </row>
    <row r="701" spans="1:3" x14ac:dyDescent="0.2">
      <c r="A701" s="2">
        <v>699</v>
      </c>
      <c r="B701" s="2">
        <f t="shared" ca="1" si="10"/>
        <v>0.62657492988892871</v>
      </c>
      <c r="C701" s="2" t="s">
        <v>226</v>
      </c>
    </row>
    <row r="702" spans="1:3" x14ac:dyDescent="0.2">
      <c r="A702" s="2">
        <v>700</v>
      </c>
      <c r="B702" s="2">
        <f t="shared" ca="1" si="10"/>
        <v>0.6832418726917906</v>
      </c>
      <c r="C702" s="2" t="s">
        <v>226</v>
      </c>
    </row>
    <row r="703" spans="1:3" x14ac:dyDescent="0.2">
      <c r="A703" s="2">
        <v>701</v>
      </c>
      <c r="B703" s="2">
        <f t="shared" ca="1" si="10"/>
        <v>0.50037719663799995</v>
      </c>
      <c r="C703" s="2" t="s">
        <v>226</v>
      </c>
    </row>
    <row r="704" spans="1:3" x14ac:dyDescent="0.2">
      <c r="A704" s="2">
        <v>702</v>
      </c>
      <c r="B704" s="2">
        <f t="shared" ca="1" si="10"/>
        <v>0.70295999335358872</v>
      </c>
      <c r="C704" s="2" t="s">
        <v>226</v>
      </c>
    </row>
    <row r="705" spans="1:3" x14ac:dyDescent="0.2">
      <c r="A705" s="2">
        <v>703</v>
      </c>
      <c r="B705" s="2">
        <f t="shared" ca="1" si="10"/>
        <v>0.46697582311028046</v>
      </c>
      <c r="C705" s="2" t="s">
        <v>227</v>
      </c>
    </row>
    <row r="706" spans="1:3" x14ac:dyDescent="0.2">
      <c r="A706" s="2">
        <v>704</v>
      </c>
      <c r="B706" s="2">
        <f t="shared" ca="1" si="10"/>
        <v>0.90850871574319558</v>
      </c>
      <c r="C706" s="2" t="s">
        <v>227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0.57266252808085294</v>
      </c>
      <c r="C707" s="2" t="s">
        <v>226</v>
      </c>
    </row>
    <row r="708" spans="1:3" x14ac:dyDescent="0.2">
      <c r="A708" s="2">
        <v>706</v>
      </c>
      <c r="B708" s="2">
        <f t="shared" ca="1" si="11"/>
        <v>0.57333989973439159</v>
      </c>
      <c r="C708" s="2" t="s">
        <v>226</v>
      </c>
    </row>
    <row r="709" spans="1:3" x14ac:dyDescent="0.2">
      <c r="A709" s="2">
        <v>707</v>
      </c>
      <c r="B709" s="2">
        <f t="shared" ca="1" si="11"/>
        <v>0.46944251458585318</v>
      </c>
      <c r="C709" s="2" t="s">
        <v>226</v>
      </c>
    </row>
    <row r="710" spans="1:3" x14ac:dyDescent="0.2">
      <c r="A710" s="2">
        <v>708</v>
      </c>
      <c r="B710" s="2">
        <f t="shared" ca="1" si="11"/>
        <v>0.71440296364387001</v>
      </c>
      <c r="C710" s="2" t="s">
        <v>227</v>
      </c>
    </row>
    <row r="711" spans="1:3" x14ac:dyDescent="0.2">
      <c r="A711" s="2">
        <v>709</v>
      </c>
      <c r="B711" s="2">
        <f t="shared" ca="1" si="11"/>
        <v>0.77055893314737367</v>
      </c>
      <c r="C711" s="2" t="s">
        <v>227</v>
      </c>
    </row>
    <row r="712" spans="1:3" x14ac:dyDescent="0.2">
      <c r="A712" s="2">
        <v>710</v>
      </c>
      <c r="B712" s="2">
        <f t="shared" ca="1" si="11"/>
        <v>0.91322627931351708</v>
      </c>
      <c r="C712" s="2" t="s">
        <v>227</v>
      </c>
    </row>
    <row r="713" spans="1:3" x14ac:dyDescent="0.2">
      <c r="A713" s="2">
        <v>711</v>
      </c>
      <c r="B713" s="2">
        <f t="shared" ca="1" si="11"/>
        <v>0.67293709835812698</v>
      </c>
      <c r="C713" s="2" t="s">
        <v>226</v>
      </c>
    </row>
    <row r="714" spans="1:3" x14ac:dyDescent="0.2">
      <c r="A714" s="2">
        <v>712</v>
      </c>
      <c r="B714" s="2">
        <f t="shared" ca="1" si="11"/>
        <v>0.63425944909034837</v>
      </c>
      <c r="C714" s="2" t="s">
        <v>227</v>
      </c>
    </row>
    <row r="715" spans="1:3" x14ac:dyDescent="0.2">
      <c r="A715" s="2">
        <v>713</v>
      </c>
      <c r="B715" s="2">
        <f t="shared" ca="1" si="11"/>
        <v>0.39098336422740598</v>
      </c>
      <c r="C715" s="2" t="s">
        <v>226</v>
      </c>
    </row>
    <row r="716" spans="1:3" x14ac:dyDescent="0.2">
      <c r="A716" s="2">
        <v>714</v>
      </c>
      <c r="B716" s="2">
        <f t="shared" ca="1" si="11"/>
        <v>0.75067342839451512</v>
      </c>
      <c r="C716" s="2" t="s">
        <v>226</v>
      </c>
    </row>
    <row r="717" spans="1:3" x14ac:dyDescent="0.2">
      <c r="A717" s="2">
        <v>715</v>
      </c>
      <c r="B717" s="2">
        <f t="shared" ca="1" si="11"/>
        <v>0.45157924066818328</v>
      </c>
      <c r="C717" s="2" t="s">
        <v>226</v>
      </c>
    </row>
    <row r="718" spans="1:3" x14ac:dyDescent="0.2">
      <c r="A718" s="2">
        <v>716</v>
      </c>
      <c r="B718" s="2">
        <f t="shared" ca="1" si="11"/>
        <v>0.77607952029785565</v>
      </c>
      <c r="C718" s="2" t="s">
        <v>227</v>
      </c>
    </row>
    <row r="719" spans="1:3" x14ac:dyDescent="0.2">
      <c r="A719" s="2">
        <v>717</v>
      </c>
      <c r="B719" s="2">
        <f t="shared" ca="1" si="11"/>
        <v>0.80159611424225952</v>
      </c>
      <c r="C719" s="2" t="s">
        <v>226</v>
      </c>
    </row>
    <row r="720" spans="1:3" x14ac:dyDescent="0.2">
      <c r="A720" s="2">
        <v>718</v>
      </c>
      <c r="B720" s="2">
        <f t="shared" ca="1" si="11"/>
        <v>0.3836566103823178</v>
      </c>
      <c r="C720" s="2" t="s">
        <v>226</v>
      </c>
    </row>
    <row r="721" spans="1:3" x14ac:dyDescent="0.2">
      <c r="A721" s="2">
        <v>719</v>
      </c>
      <c r="B721" s="2">
        <f t="shared" ca="1" si="11"/>
        <v>0.49728187999595252</v>
      </c>
      <c r="C721" s="2" t="s">
        <v>226</v>
      </c>
    </row>
    <row r="722" spans="1:3" x14ac:dyDescent="0.2">
      <c r="A722" s="2">
        <v>720</v>
      </c>
      <c r="B722" s="2">
        <f t="shared" ca="1" si="11"/>
        <v>0.68846910764222413</v>
      </c>
      <c r="C722" s="2" t="s">
        <v>226</v>
      </c>
    </row>
    <row r="723" spans="1:3" x14ac:dyDescent="0.2">
      <c r="A723" s="2">
        <v>721</v>
      </c>
      <c r="B723" s="2">
        <f t="shared" ca="1" si="11"/>
        <v>0.9484274707483169</v>
      </c>
      <c r="C723" s="2" t="s">
        <v>227</v>
      </c>
    </row>
    <row r="724" spans="1:3" x14ac:dyDescent="0.2">
      <c r="A724" s="2">
        <v>722</v>
      </c>
      <c r="B724" s="2">
        <f t="shared" ca="1" si="11"/>
        <v>0.52945673203453603</v>
      </c>
      <c r="C724" s="2" t="s">
        <v>226</v>
      </c>
    </row>
    <row r="725" spans="1:3" x14ac:dyDescent="0.2">
      <c r="A725" s="2">
        <v>723</v>
      </c>
      <c r="B725" s="2">
        <f t="shared" ca="1" si="11"/>
        <v>0.71052386925550304</v>
      </c>
      <c r="C725" s="2" t="s">
        <v>227</v>
      </c>
    </row>
    <row r="726" spans="1:3" x14ac:dyDescent="0.2">
      <c r="A726" s="2">
        <v>724</v>
      </c>
      <c r="B726" s="2">
        <f t="shared" ca="1" si="11"/>
        <v>0.72628583068397035</v>
      </c>
      <c r="C726" s="2" t="s">
        <v>227</v>
      </c>
    </row>
    <row r="727" spans="1:3" x14ac:dyDescent="0.2">
      <c r="A727" s="2">
        <v>725</v>
      </c>
      <c r="B727" s="2">
        <f t="shared" ca="1" si="11"/>
        <v>0.42554824613331543</v>
      </c>
      <c r="C727" s="2" t="s">
        <v>226</v>
      </c>
    </row>
    <row r="728" spans="1:3" x14ac:dyDescent="0.2">
      <c r="A728" s="2">
        <v>726</v>
      </c>
      <c r="B728" s="2">
        <f t="shared" ca="1" si="11"/>
        <v>0.96679671877354822</v>
      </c>
      <c r="C728" s="2" t="s">
        <v>226</v>
      </c>
    </row>
    <row r="729" spans="1:3" x14ac:dyDescent="0.2">
      <c r="A729" s="2">
        <v>727</v>
      </c>
      <c r="B729" s="2">
        <f t="shared" ca="1" si="11"/>
        <v>0.68240979510537625</v>
      </c>
      <c r="C729" s="2" t="s">
        <v>227</v>
      </c>
    </row>
    <row r="730" spans="1:3" x14ac:dyDescent="0.2">
      <c r="A730" s="2">
        <v>728</v>
      </c>
      <c r="B730" s="2">
        <f t="shared" ca="1" si="11"/>
        <v>0.56623743838880047</v>
      </c>
      <c r="C730" s="2" t="s">
        <v>226</v>
      </c>
    </row>
    <row r="731" spans="1:3" x14ac:dyDescent="0.2">
      <c r="A731" s="2">
        <v>729</v>
      </c>
      <c r="B731" s="2">
        <f t="shared" ca="1" si="11"/>
        <v>0.76609011013031925</v>
      </c>
      <c r="C731" s="2" t="s">
        <v>227</v>
      </c>
    </row>
    <row r="732" spans="1:3" x14ac:dyDescent="0.2">
      <c r="A732" s="2">
        <v>730</v>
      </c>
      <c r="B732" s="2">
        <f t="shared" ca="1" si="11"/>
        <v>0.72099776030986362</v>
      </c>
      <c r="C732" s="2" t="s">
        <v>227</v>
      </c>
    </row>
    <row r="733" spans="1:3" x14ac:dyDescent="0.2">
      <c r="A733" s="2">
        <v>731</v>
      </c>
      <c r="B733" s="2">
        <f t="shared" ca="1" si="11"/>
        <v>0.62623190519904848</v>
      </c>
      <c r="C733" s="2" t="s">
        <v>227</v>
      </c>
    </row>
    <row r="734" spans="1:3" x14ac:dyDescent="0.2">
      <c r="A734" s="2">
        <v>732</v>
      </c>
      <c r="B734" s="2">
        <f t="shared" ca="1" si="11"/>
        <v>0.79550848613573455</v>
      </c>
      <c r="C734" s="2" t="s">
        <v>226</v>
      </c>
    </row>
    <row r="735" spans="1:3" x14ac:dyDescent="0.2">
      <c r="A735" s="2">
        <v>733</v>
      </c>
      <c r="B735" s="2">
        <f t="shared" ca="1" si="11"/>
        <v>0.60677277050201506</v>
      </c>
      <c r="C735" s="2" t="s">
        <v>226</v>
      </c>
    </row>
    <row r="736" spans="1:3" x14ac:dyDescent="0.2">
      <c r="A736" s="2">
        <v>734</v>
      </c>
      <c r="B736" s="2">
        <f t="shared" ca="1" si="11"/>
        <v>0.51382042601145117</v>
      </c>
      <c r="C736" s="2" t="s">
        <v>226</v>
      </c>
    </row>
    <row r="737" spans="1:3" x14ac:dyDescent="0.2">
      <c r="A737" s="2">
        <v>735</v>
      </c>
      <c r="B737" s="2">
        <f t="shared" ca="1" si="11"/>
        <v>0.63260799066462314</v>
      </c>
      <c r="C737" s="2" t="s">
        <v>227</v>
      </c>
    </row>
    <row r="738" spans="1:3" x14ac:dyDescent="0.2">
      <c r="A738" s="2">
        <v>736</v>
      </c>
      <c r="B738" s="2">
        <f t="shared" ca="1" si="11"/>
        <v>0.77491642858831855</v>
      </c>
      <c r="C738" s="2" t="s">
        <v>227</v>
      </c>
    </row>
    <row r="739" spans="1:3" x14ac:dyDescent="0.2">
      <c r="A739" s="2">
        <v>737</v>
      </c>
      <c r="B739" s="2">
        <f t="shared" ca="1" si="11"/>
        <v>0.77519063580560199</v>
      </c>
      <c r="C739" s="2" t="s">
        <v>226</v>
      </c>
    </row>
    <row r="740" spans="1:3" x14ac:dyDescent="0.2">
      <c r="A740" s="2">
        <v>738</v>
      </c>
      <c r="B740" s="2">
        <f t="shared" ca="1" si="11"/>
        <v>0.53378967485348705</v>
      </c>
      <c r="C740" s="2" t="s">
        <v>226</v>
      </c>
    </row>
    <row r="741" spans="1:3" x14ac:dyDescent="0.2">
      <c r="A741" s="2">
        <v>739</v>
      </c>
      <c r="B741" s="2">
        <f t="shared" ca="1" si="11"/>
        <v>0.71102122155555159</v>
      </c>
      <c r="C741" s="2" t="s">
        <v>227</v>
      </c>
    </row>
    <row r="742" spans="1:3" x14ac:dyDescent="0.2">
      <c r="A742" s="2">
        <v>740</v>
      </c>
      <c r="B742" s="2">
        <f t="shared" ca="1" si="11"/>
        <v>0.60971429908986563</v>
      </c>
      <c r="C742" s="2" t="s">
        <v>226</v>
      </c>
    </row>
    <row r="743" spans="1:3" x14ac:dyDescent="0.2">
      <c r="A743" s="2">
        <v>741</v>
      </c>
      <c r="B743" s="2">
        <f t="shared" ca="1" si="11"/>
        <v>0.49781364733333849</v>
      </c>
      <c r="C743" s="2" t="s">
        <v>226</v>
      </c>
    </row>
    <row r="744" spans="1:3" x14ac:dyDescent="0.2">
      <c r="A744" s="2">
        <v>742</v>
      </c>
      <c r="B744" s="2">
        <f t="shared" ca="1" si="11"/>
        <v>0.61475724348001115</v>
      </c>
      <c r="C744" s="2" t="s">
        <v>226</v>
      </c>
    </row>
    <row r="745" spans="1:3" x14ac:dyDescent="0.2">
      <c r="A745" s="2">
        <v>743</v>
      </c>
      <c r="B745" s="2">
        <f t="shared" ca="1" si="11"/>
        <v>0.36639103743863832</v>
      </c>
      <c r="C745" s="2" t="s">
        <v>226</v>
      </c>
    </row>
    <row r="746" spans="1:3" x14ac:dyDescent="0.2">
      <c r="A746" s="2">
        <v>744</v>
      </c>
      <c r="B746" s="2">
        <f t="shared" ca="1" si="11"/>
        <v>0.57361371898081293</v>
      </c>
      <c r="C746" s="2" t="s">
        <v>226</v>
      </c>
    </row>
    <row r="747" spans="1:3" x14ac:dyDescent="0.2">
      <c r="A747" s="2">
        <v>745</v>
      </c>
      <c r="B747" s="2">
        <f t="shared" ca="1" si="11"/>
        <v>0.42447455708784332</v>
      </c>
      <c r="C747" s="2" t="s">
        <v>226</v>
      </c>
    </row>
    <row r="748" spans="1:3" x14ac:dyDescent="0.2">
      <c r="A748" s="2">
        <v>746</v>
      </c>
      <c r="B748" s="2">
        <f t="shared" ca="1" si="11"/>
        <v>0.88111487887045947</v>
      </c>
      <c r="C748" s="2" t="s">
        <v>227</v>
      </c>
    </row>
    <row r="749" spans="1:3" x14ac:dyDescent="0.2">
      <c r="A749" s="2">
        <v>747</v>
      </c>
      <c r="B749" s="2">
        <f t="shared" ca="1" si="11"/>
        <v>0.81321786550943298</v>
      </c>
      <c r="C749" s="2" t="s">
        <v>227</v>
      </c>
    </row>
    <row r="750" spans="1:3" x14ac:dyDescent="0.2">
      <c r="A750" s="2">
        <v>748</v>
      </c>
      <c r="B750" s="2">
        <f t="shared" ca="1" si="11"/>
        <v>-7.5215974036302535E-2</v>
      </c>
      <c r="C750" s="2" t="s">
        <v>226</v>
      </c>
    </row>
    <row r="751" spans="1:3" x14ac:dyDescent="0.2">
      <c r="A751" s="2">
        <v>749</v>
      </c>
      <c r="B751" s="2">
        <f t="shared" ca="1" si="11"/>
        <v>0.71350771432179716</v>
      </c>
      <c r="C751" s="2" t="s">
        <v>227</v>
      </c>
    </row>
    <row r="752" spans="1:3" x14ac:dyDescent="0.2">
      <c r="A752" s="2">
        <v>750</v>
      </c>
      <c r="B752" s="2">
        <f t="shared" ca="1" si="11"/>
        <v>0.64856756957877693</v>
      </c>
      <c r="C752" s="2" t="s">
        <v>226</v>
      </c>
    </row>
    <row r="753" spans="1:3" x14ac:dyDescent="0.2">
      <c r="A753" s="2">
        <v>751</v>
      </c>
      <c r="B753" s="2">
        <f t="shared" ca="1" si="11"/>
        <v>0.82091335877584393</v>
      </c>
      <c r="C753" s="2" t="s">
        <v>227</v>
      </c>
    </row>
    <row r="754" spans="1:3" x14ac:dyDescent="0.2">
      <c r="A754" s="2">
        <v>752</v>
      </c>
      <c r="B754" s="2">
        <f t="shared" ca="1" si="11"/>
        <v>0.59694134879748262</v>
      </c>
      <c r="C754" s="2" t="s">
        <v>227</v>
      </c>
    </row>
    <row r="755" spans="1:3" x14ac:dyDescent="0.2">
      <c r="A755" s="2">
        <v>753</v>
      </c>
      <c r="B755" s="2">
        <f t="shared" ca="1" si="11"/>
        <v>0.77066740227437092</v>
      </c>
      <c r="C755" s="2" t="s">
        <v>227</v>
      </c>
    </row>
    <row r="756" spans="1:3" x14ac:dyDescent="0.2">
      <c r="A756" s="2">
        <v>754</v>
      </c>
      <c r="B756" s="2">
        <f t="shared" ca="1" si="11"/>
        <v>0.88488488887713168</v>
      </c>
      <c r="C756" s="2" t="s">
        <v>227</v>
      </c>
    </row>
    <row r="757" spans="1:3" x14ac:dyDescent="0.2">
      <c r="A757" s="2">
        <v>755</v>
      </c>
      <c r="B757" s="2">
        <f t="shared" ca="1" si="11"/>
        <v>0.48869060245718254</v>
      </c>
      <c r="C757" s="2" t="s">
        <v>226</v>
      </c>
    </row>
    <row r="758" spans="1:3" x14ac:dyDescent="0.2">
      <c r="A758" s="2">
        <v>756</v>
      </c>
      <c r="B758" s="2">
        <f t="shared" ca="1" si="11"/>
        <v>0.74455412567779067</v>
      </c>
      <c r="C758" s="2" t="s">
        <v>227</v>
      </c>
    </row>
    <row r="759" spans="1:3" x14ac:dyDescent="0.2">
      <c r="A759" s="2">
        <v>757</v>
      </c>
      <c r="B759" s="2">
        <f t="shared" ca="1" si="11"/>
        <v>0.72596229202368701</v>
      </c>
      <c r="C759" s="2" t="s">
        <v>227</v>
      </c>
    </row>
    <row r="760" spans="1:3" x14ac:dyDescent="0.2">
      <c r="A760" s="2">
        <v>758</v>
      </c>
      <c r="B760" s="2">
        <f t="shared" ca="1" si="11"/>
        <v>0.58364192149122618</v>
      </c>
      <c r="C760" s="2" t="s">
        <v>227</v>
      </c>
    </row>
    <row r="761" spans="1:3" x14ac:dyDescent="0.2">
      <c r="A761" s="2">
        <v>759</v>
      </c>
      <c r="B761" s="2">
        <f t="shared" ca="1" si="11"/>
        <v>0.37880604685591568</v>
      </c>
      <c r="C761" s="2" t="s">
        <v>226</v>
      </c>
    </row>
    <row r="762" spans="1:3" x14ac:dyDescent="0.2">
      <c r="A762" s="2">
        <v>760</v>
      </c>
      <c r="B762" s="2">
        <f t="shared" ca="1" si="11"/>
        <v>0.67505367480799183</v>
      </c>
      <c r="C762" s="2" t="s">
        <v>227</v>
      </c>
    </row>
    <row r="763" spans="1:3" x14ac:dyDescent="0.2">
      <c r="A763" s="2">
        <v>761</v>
      </c>
      <c r="B763" s="2">
        <f t="shared" ca="1" si="11"/>
        <v>0.5494216392034097</v>
      </c>
      <c r="C763" s="2" t="s">
        <v>226</v>
      </c>
    </row>
    <row r="764" spans="1:3" x14ac:dyDescent="0.2">
      <c r="A764" s="2">
        <v>762</v>
      </c>
      <c r="B764" s="2">
        <f t="shared" ca="1" si="11"/>
        <v>0.55446035326962451</v>
      </c>
      <c r="C764" s="2" t="s">
        <v>226</v>
      </c>
    </row>
    <row r="765" spans="1:3" x14ac:dyDescent="0.2">
      <c r="A765" s="2">
        <v>763</v>
      </c>
      <c r="B765" s="2">
        <f t="shared" ca="1" si="11"/>
        <v>0.72043917544977021</v>
      </c>
      <c r="C765" s="2" t="s">
        <v>226</v>
      </c>
    </row>
    <row r="766" spans="1:3" x14ac:dyDescent="0.2">
      <c r="A766" s="2">
        <v>764</v>
      </c>
      <c r="B766" s="2">
        <f t="shared" ca="1" si="11"/>
        <v>0.59855113751724087</v>
      </c>
      <c r="C766" s="2" t="s">
        <v>226</v>
      </c>
    </row>
    <row r="767" spans="1:3" x14ac:dyDescent="0.2">
      <c r="A767" s="2">
        <v>765</v>
      </c>
      <c r="B767" s="2">
        <f t="shared" ca="1" si="11"/>
        <v>0.71646046773021121</v>
      </c>
      <c r="C767" s="2" t="s">
        <v>226</v>
      </c>
    </row>
    <row r="768" spans="1:3" x14ac:dyDescent="0.2">
      <c r="A768" s="2">
        <v>766</v>
      </c>
      <c r="B768" s="2">
        <f t="shared" ca="1" si="11"/>
        <v>0.64815920394084314</v>
      </c>
      <c r="C768" s="2" t="s">
        <v>226</v>
      </c>
    </row>
    <row r="769" spans="1:3" x14ac:dyDescent="0.2">
      <c r="A769" s="2">
        <v>767</v>
      </c>
      <c r="B769" s="2">
        <f t="shared" ca="1" si="11"/>
        <v>0.67647706412162767</v>
      </c>
      <c r="C769" s="2" t="s">
        <v>227</v>
      </c>
    </row>
    <row r="770" spans="1:3" x14ac:dyDescent="0.2">
      <c r="A770" s="2">
        <v>768</v>
      </c>
      <c r="B770" s="2">
        <f t="shared" ca="1" si="11"/>
        <v>0.59732508477682156</v>
      </c>
      <c r="C770" s="2" t="s">
        <v>227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0.57727727792852612</v>
      </c>
      <c r="C771" s="2" t="s">
        <v>226</v>
      </c>
    </row>
    <row r="772" spans="1:3" x14ac:dyDescent="0.2">
      <c r="A772" s="2">
        <v>770</v>
      </c>
      <c r="B772" s="2">
        <f t="shared" ca="1" si="12"/>
        <v>0.6951029128154087</v>
      </c>
      <c r="C772" s="2" t="s">
        <v>227</v>
      </c>
    </row>
    <row r="773" spans="1:3" x14ac:dyDescent="0.2">
      <c r="A773" s="2">
        <v>771</v>
      </c>
      <c r="B773" s="2">
        <f t="shared" ca="1" si="12"/>
        <v>0.56351399100342603</v>
      </c>
      <c r="C773" s="2" t="s">
        <v>226</v>
      </c>
    </row>
    <row r="774" spans="1:3" x14ac:dyDescent="0.2">
      <c r="A774" s="2">
        <v>772</v>
      </c>
      <c r="B774" s="2">
        <f t="shared" ca="1" si="12"/>
        <v>0.60230687067062583</v>
      </c>
      <c r="C774" s="2" t="s">
        <v>226</v>
      </c>
    </row>
    <row r="775" spans="1:3" x14ac:dyDescent="0.2">
      <c r="A775" s="2">
        <v>773</v>
      </c>
      <c r="B775" s="2">
        <f t="shared" ca="1" si="12"/>
        <v>0.38417817221388095</v>
      </c>
      <c r="C775" s="2" t="s">
        <v>226</v>
      </c>
    </row>
    <row r="776" spans="1:3" x14ac:dyDescent="0.2">
      <c r="A776" s="2">
        <v>774</v>
      </c>
      <c r="B776" s="2">
        <f t="shared" ca="1" si="12"/>
        <v>0.36658972546544122</v>
      </c>
      <c r="C776" s="2" t="s">
        <v>226</v>
      </c>
    </row>
    <row r="777" spans="1:3" x14ac:dyDescent="0.2">
      <c r="A777" s="2">
        <v>775</v>
      </c>
      <c r="B777" s="2">
        <f t="shared" ca="1" si="12"/>
        <v>0.65441627460712914</v>
      </c>
      <c r="C777" s="2" t="s">
        <v>227</v>
      </c>
    </row>
    <row r="778" spans="1:3" x14ac:dyDescent="0.2">
      <c r="A778" s="2">
        <v>776</v>
      </c>
      <c r="B778" s="2">
        <f t="shared" ca="1" si="12"/>
        <v>0.41074924815192065</v>
      </c>
      <c r="C778" s="2" t="s">
        <v>226</v>
      </c>
    </row>
    <row r="779" spans="1:3" x14ac:dyDescent="0.2">
      <c r="A779" s="2">
        <v>777</v>
      </c>
      <c r="B779" s="2">
        <f t="shared" ca="1" si="12"/>
        <v>0.67248103996447228</v>
      </c>
      <c r="C779" s="2" t="s">
        <v>227</v>
      </c>
    </row>
    <row r="780" spans="1:3" x14ac:dyDescent="0.2">
      <c r="A780" s="2">
        <v>778</v>
      </c>
      <c r="B780" s="2">
        <f t="shared" ca="1" si="12"/>
        <v>0.77539355628986784</v>
      </c>
      <c r="C780" s="2" t="s">
        <v>227</v>
      </c>
    </row>
    <row r="781" spans="1:3" x14ac:dyDescent="0.2">
      <c r="A781" s="2">
        <v>779</v>
      </c>
      <c r="B781" s="2">
        <f t="shared" ca="1" si="12"/>
        <v>0.69410783173667423</v>
      </c>
      <c r="C781" s="2" t="s">
        <v>227</v>
      </c>
    </row>
    <row r="782" spans="1:3" x14ac:dyDescent="0.2">
      <c r="A782" s="2">
        <v>780</v>
      </c>
      <c r="B782" s="2">
        <f t="shared" ca="1" si="12"/>
        <v>0.67362324774497173</v>
      </c>
      <c r="C782" s="2" t="s">
        <v>227</v>
      </c>
    </row>
    <row r="783" spans="1:3" x14ac:dyDescent="0.2">
      <c r="A783" s="2">
        <v>781</v>
      </c>
      <c r="B783" s="2">
        <f t="shared" ca="1" si="12"/>
        <v>0.85851978205220503</v>
      </c>
      <c r="C783" s="2" t="s">
        <v>227</v>
      </c>
    </row>
    <row r="784" spans="1:3" x14ac:dyDescent="0.2">
      <c r="A784" s="2">
        <v>782</v>
      </c>
      <c r="B784" s="2">
        <f t="shared" ca="1" si="12"/>
        <v>0.79756129990713887</v>
      </c>
      <c r="C784" s="2" t="s">
        <v>227</v>
      </c>
    </row>
    <row r="785" spans="1:3" x14ac:dyDescent="0.2">
      <c r="A785" s="2">
        <v>783</v>
      </c>
      <c r="B785" s="2">
        <f t="shared" ca="1" si="12"/>
        <v>0.76349985196844272</v>
      </c>
      <c r="C785" s="2" t="s">
        <v>227</v>
      </c>
    </row>
    <row r="786" spans="1:3" x14ac:dyDescent="0.2">
      <c r="A786" s="2">
        <v>784</v>
      </c>
      <c r="B786" s="2">
        <f t="shared" ca="1" si="12"/>
        <v>0.6216394839844448</v>
      </c>
      <c r="C786" s="2" t="s">
        <v>226</v>
      </c>
    </row>
    <row r="787" spans="1:3" x14ac:dyDescent="0.2">
      <c r="A787" s="2">
        <v>785</v>
      </c>
      <c r="B787" s="2">
        <f t="shared" ca="1" si="12"/>
        <v>0.45794552919999376</v>
      </c>
      <c r="C787" s="2" t="s">
        <v>226</v>
      </c>
    </row>
    <row r="788" spans="1:3" x14ac:dyDescent="0.2">
      <c r="A788" s="2">
        <v>786</v>
      </c>
      <c r="B788" s="2">
        <f t="shared" ca="1" si="12"/>
        <v>0.57668502026359669</v>
      </c>
      <c r="C788" s="2" t="s">
        <v>226</v>
      </c>
    </row>
    <row r="789" spans="1:3" x14ac:dyDescent="0.2">
      <c r="A789" s="2">
        <v>787</v>
      </c>
      <c r="B789" s="2">
        <f t="shared" ca="1" si="12"/>
        <v>0.52399595393527132</v>
      </c>
      <c r="C789" s="2" t="s">
        <v>227</v>
      </c>
    </row>
    <row r="790" spans="1:3" x14ac:dyDescent="0.2">
      <c r="A790" s="2">
        <v>788</v>
      </c>
      <c r="B790" s="2">
        <f t="shared" ca="1" si="12"/>
        <v>0.48883846044912105</v>
      </c>
      <c r="C790" s="2" t="s">
        <v>226</v>
      </c>
    </row>
    <row r="791" spans="1:3" x14ac:dyDescent="0.2">
      <c r="A791" s="2">
        <v>789</v>
      </c>
      <c r="B791" s="2">
        <f t="shared" ca="1" si="12"/>
        <v>0.68897081259601212</v>
      </c>
      <c r="C791" s="2" t="s">
        <v>227</v>
      </c>
    </row>
    <row r="792" spans="1:3" x14ac:dyDescent="0.2">
      <c r="A792" s="2">
        <v>790</v>
      </c>
      <c r="B792" s="2">
        <f t="shared" ca="1" si="12"/>
        <v>0.7592348554822933</v>
      </c>
      <c r="C792" s="2" t="s">
        <v>227</v>
      </c>
    </row>
    <row r="793" spans="1:3" x14ac:dyDescent="0.2">
      <c r="A793" s="2">
        <v>791</v>
      </c>
      <c r="B793" s="2">
        <f t="shared" ca="1" si="12"/>
        <v>0.50167636046542952</v>
      </c>
      <c r="C793" s="2" t="s">
        <v>226</v>
      </c>
    </row>
    <row r="794" spans="1:3" x14ac:dyDescent="0.2">
      <c r="A794" s="2">
        <v>792</v>
      </c>
      <c r="B794" s="2">
        <f t="shared" ca="1" si="12"/>
        <v>0.76087491627049741</v>
      </c>
      <c r="C794" s="2" t="s">
        <v>226</v>
      </c>
    </row>
    <row r="795" spans="1:3" x14ac:dyDescent="0.2">
      <c r="A795" s="2">
        <v>793</v>
      </c>
      <c r="B795" s="2">
        <f t="shared" ca="1" si="12"/>
        <v>0.79062763044818518</v>
      </c>
      <c r="C795" s="2" t="s">
        <v>227</v>
      </c>
    </row>
    <row r="796" spans="1:3" x14ac:dyDescent="0.2">
      <c r="A796" s="2">
        <v>794</v>
      </c>
      <c r="B796" s="2">
        <f t="shared" ca="1" si="12"/>
        <v>0.65780607808451785</v>
      </c>
      <c r="C796" s="2" t="s">
        <v>226</v>
      </c>
    </row>
    <row r="797" spans="1:3" x14ac:dyDescent="0.2">
      <c r="A797" s="2">
        <v>795</v>
      </c>
      <c r="B797" s="2">
        <f t="shared" ca="1" si="12"/>
        <v>0.33715877516823101</v>
      </c>
      <c r="C797" s="2" t="s">
        <v>226</v>
      </c>
    </row>
    <row r="798" spans="1:3" x14ac:dyDescent="0.2">
      <c r="A798" s="2">
        <v>796</v>
      </c>
      <c r="B798" s="2">
        <f t="shared" ca="1" si="12"/>
        <v>0.56902007101966845</v>
      </c>
      <c r="C798" s="2" t="s">
        <v>226</v>
      </c>
    </row>
    <row r="799" spans="1:3" x14ac:dyDescent="0.2">
      <c r="A799" s="2">
        <v>797</v>
      </c>
      <c r="B799" s="2">
        <f t="shared" ca="1" si="12"/>
        <v>0.64750041535239899</v>
      </c>
      <c r="C799" s="2" t="s">
        <v>226</v>
      </c>
    </row>
    <row r="800" spans="1:3" x14ac:dyDescent="0.2">
      <c r="A800" s="2">
        <v>798</v>
      </c>
      <c r="B800" s="2">
        <f t="shared" ca="1" si="12"/>
        <v>0.81441929416907022</v>
      </c>
      <c r="C800" s="2" t="s">
        <v>227</v>
      </c>
    </row>
    <row r="801" spans="1:3" x14ac:dyDescent="0.2">
      <c r="A801" s="2">
        <v>799</v>
      </c>
      <c r="B801" s="2">
        <f t="shared" ca="1" si="12"/>
        <v>0.59955341858338196</v>
      </c>
      <c r="C801" s="2" t="s">
        <v>226</v>
      </c>
    </row>
    <row r="802" spans="1:3" x14ac:dyDescent="0.2">
      <c r="A802" s="2">
        <v>800</v>
      </c>
      <c r="B802" s="2">
        <f t="shared" ca="1" si="12"/>
        <v>0.7499628723630487</v>
      </c>
      <c r="C802" s="2" t="s">
        <v>226</v>
      </c>
    </row>
    <row r="803" spans="1:3" x14ac:dyDescent="0.2">
      <c r="A803" s="2">
        <v>801</v>
      </c>
      <c r="B803" s="2">
        <f t="shared" ca="1" si="12"/>
        <v>0.71868179327281034</v>
      </c>
      <c r="C803" s="2" t="s">
        <v>226</v>
      </c>
    </row>
    <row r="804" spans="1:3" x14ac:dyDescent="0.2">
      <c r="A804" s="2">
        <v>802</v>
      </c>
      <c r="B804" s="2">
        <f t="shared" ca="1" si="12"/>
        <v>0.45868615794352763</v>
      </c>
      <c r="C804" s="2" t="s">
        <v>226</v>
      </c>
    </row>
    <row r="805" spans="1:3" x14ac:dyDescent="0.2">
      <c r="A805" s="2">
        <v>803</v>
      </c>
      <c r="B805" s="2">
        <f t="shared" ca="1" si="12"/>
        <v>0.57481218476524232</v>
      </c>
      <c r="C805" s="2" t="s">
        <v>227</v>
      </c>
    </row>
    <row r="806" spans="1:3" x14ac:dyDescent="0.2">
      <c r="A806" s="2">
        <v>804</v>
      </c>
      <c r="B806" s="2">
        <f t="shared" ca="1" si="12"/>
        <v>0.78291485940390149</v>
      </c>
      <c r="C806" s="2" t="s">
        <v>226</v>
      </c>
    </row>
    <row r="807" spans="1:3" x14ac:dyDescent="0.2">
      <c r="A807" s="2">
        <v>805</v>
      </c>
      <c r="B807" s="2">
        <f t="shared" ca="1" si="12"/>
        <v>0.57529553101782316</v>
      </c>
      <c r="C807" s="2" t="s">
        <v>227</v>
      </c>
    </row>
    <row r="808" spans="1:3" x14ac:dyDescent="0.2">
      <c r="A808" s="2">
        <v>806</v>
      </c>
      <c r="B808" s="2">
        <f t="shared" ca="1" si="12"/>
        <v>0.29416075298631494</v>
      </c>
      <c r="C808" s="2" t="s">
        <v>226</v>
      </c>
    </row>
    <row r="809" spans="1:3" x14ac:dyDescent="0.2">
      <c r="A809" s="2">
        <v>807</v>
      </c>
      <c r="B809" s="2">
        <f t="shared" ca="1" si="12"/>
        <v>0.93673076016201906</v>
      </c>
      <c r="C809" s="2" t="s">
        <v>227</v>
      </c>
    </row>
    <row r="810" spans="1:3" x14ac:dyDescent="0.2">
      <c r="A810" s="2">
        <v>808</v>
      </c>
      <c r="B810" s="2">
        <f t="shared" ca="1" si="12"/>
        <v>0.62901306560489123</v>
      </c>
      <c r="C810" s="2" t="s">
        <v>227</v>
      </c>
    </row>
    <row r="811" spans="1:3" x14ac:dyDescent="0.2">
      <c r="A811" s="2">
        <v>809</v>
      </c>
      <c r="B811" s="2">
        <f t="shared" ca="1" si="12"/>
        <v>0.54190457716775842</v>
      </c>
      <c r="C811" s="2" t="s">
        <v>227</v>
      </c>
    </row>
    <row r="812" spans="1:3" x14ac:dyDescent="0.2">
      <c r="A812" s="2">
        <v>810</v>
      </c>
      <c r="B812" s="2">
        <f t="shared" ca="1" si="12"/>
        <v>0.55420084928588464</v>
      </c>
      <c r="C812" s="2" t="s">
        <v>227</v>
      </c>
    </row>
    <row r="813" spans="1:3" x14ac:dyDescent="0.2">
      <c r="A813" s="2">
        <v>811</v>
      </c>
      <c r="B813" s="2">
        <f t="shared" ca="1" si="12"/>
        <v>0.68655969941283401</v>
      </c>
      <c r="C813" s="2" t="s">
        <v>226</v>
      </c>
    </row>
    <row r="814" spans="1:3" x14ac:dyDescent="0.2">
      <c r="A814" s="2">
        <v>812</v>
      </c>
      <c r="B814" s="2">
        <f t="shared" ca="1" si="12"/>
        <v>0.5887036173146355</v>
      </c>
      <c r="C814" s="2" t="s">
        <v>227</v>
      </c>
    </row>
    <row r="815" spans="1:3" x14ac:dyDescent="0.2">
      <c r="A815" s="2">
        <v>813</v>
      </c>
      <c r="B815" s="2">
        <f t="shared" ca="1" si="12"/>
        <v>0.65099088379519188</v>
      </c>
      <c r="C815" s="2" t="s">
        <v>227</v>
      </c>
    </row>
    <row r="816" spans="1:3" x14ac:dyDescent="0.2">
      <c r="A816" s="2">
        <v>814</v>
      </c>
      <c r="B816" s="2">
        <f t="shared" ca="1" si="12"/>
        <v>0.49446480058612635</v>
      </c>
      <c r="C816" s="2" t="s">
        <v>226</v>
      </c>
    </row>
    <row r="817" spans="1:3" x14ac:dyDescent="0.2">
      <c r="A817" s="2">
        <v>815</v>
      </c>
      <c r="B817" s="2">
        <f t="shared" ca="1" si="12"/>
        <v>0.53541068011493598</v>
      </c>
      <c r="C817" s="2" t="s">
        <v>226</v>
      </c>
    </row>
    <row r="818" spans="1:3" x14ac:dyDescent="0.2">
      <c r="A818" s="2">
        <v>816</v>
      </c>
      <c r="B818" s="2">
        <f t="shared" ca="1" si="12"/>
        <v>0.81745235391243143</v>
      </c>
      <c r="C818" s="2" t="s">
        <v>226</v>
      </c>
    </row>
    <row r="819" spans="1:3" x14ac:dyDescent="0.2">
      <c r="A819" s="2">
        <v>817</v>
      </c>
      <c r="B819" s="2">
        <f t="shared" ca="1" si="12"/>
        <v>0.49901872780196443</v>
      </c>
      <c r="C819" s="2" t="s">
        <v>226</v>
      </c>
    </row>
    <row r="820" spans="1:3" x14ac:dyDescent="0.2">
      <c r="A820" s="2">
        <v>818</v>
      </c>
      <c r="B820" s="2">
        <f t="shared" ca="1" si="12"/>
        <v>0.33961338545217223</v>
      </c>
      <c r="C820" s="2" t="s">
        <v>226</v>
      </c>
    </row>
    <row r="821" spans="1:3" x14ac:dyDescent="0.2">
      <c r="A821" s="2">
        <v>819</v>
      </c>
      <c r="B821" s="2">
        <f t="shared" ca="1" si="12"/>
        <v>0.59814998406589381</v>
      </c>
      <c r="C821" s="2" t="s">
        <v>226</v>
      </c>
    </row>
    <row r="822" spans="1:3" x14ac:dyDescent="0.2">
      <c r="A822" s="2">
        <v>820</v>
      </c>
      <c r="B822" s="2">
        <f t="shared" ca="1" si="12"/>
        <v>0.78008322939628338</v>
      </c>
      <c r="C822" s="2" t="s">
        <v>226</v>
      </c>
    </row>
    <row r="823" spans="1:3" x14ac:dyDescent="0.2">
      <c r="A823" s="2">
        <v>821</v>
      </c>
      <c r="B823" s="2">
        <f t="shared" ca="1" si="12"/>
        <v>0.76480467696599419</v>
      </c>
      <c r="C823" s="2" t="s">
        <v>227</v>
      </c>
    </row>
    <row r="824" spans="1:3" x14ac:dyDescent="0.2">
      <c r="A824" s="2">
        <v>822</v>
      </c>
      <c r="B824" s="2">
        <f t="shared" ca="1" si="12"/>
        <v>0.62069302623210865</v>
      </c>
      <c r="C824" s="2" t="s">
        <v>226</v>
      </c>
    </row>
    <row r="825" spans="1:3" x14ac:dyDescent="0.2">
      <c r="A825" s="2">
        <v>823</v>
      </c>
      <c r="B825" s="2">
        <f t="shared" ca="1" si="12"/>
        <v>0.61261082207759077</v>
      </c>
      <c r="C825" s="2" t="s">
        <v>227</v>
      </c>
    </row>
    <row r="826" spans="1:3" x14ac:dyDescent="0.2">
      <c r="A826" s="2">
        <v>824</v>
      </c>
      <c r="B826" s="2">
        <f t="shared" ca="1" si="12"/>
        <v>0.8004170816950229</v>
      </c>
      <c r="C826" s="2" t="s">
        <v>227</v>
      </c>
    </row>
    <row r="827" spans="1:3" x14ac:dyDescent="0.2">
      <c r="A827" s="2">
        <v>825</v>
      </c>
      <c r="B827" s="2">
        <f t="shared" ca="1" si="12"/>
        <v>0.76169666427742133</v>
      </c>
      <c r="C827" s="2" t="s">
        <v>227</v>
      </c>
    </row>
    <row r="828" spans="1:3" x14ac:dyDescent="0.2">
      <c r="A828" s="2">
        <v>826</v>
      </c>
      <c r="B828" s="2">
        <f t="shared" ca="1" si="12"/>
        <v>0.5019481248156541</v>
      </c>
      <c r="C828" s="2" t="s">
        <v>226</v>
      </c>
    </row>
    <row r="829" spans="1:3" x14ac:dyDescent="0.2">
      <c r="A829" s="2">
        <v>827</v>
      </c>
      <c r="B829" s="2">
        <f t="shared" ca="1" si="12"/>
        <v>0.57167899530301869</v>
      </c>
      <c r="C829" s="2" t="s">
        <v>226</v>
      </c>
    </row>
    <row r="830" spans="1:3" x14ac:dyDescent="0.2">
      <c r="A830" s="2">
        <v>828</v>
      </c>
      <c r="B830" s="2">
        <f t="shared" ca="1" si="12"/>
        <v>0.62807883035446932</v>
      </c>
      <c r="C830" s="2" t="s">
        <v>226</v>
      </c>
    </row>
    <row r="831" spans="1:3" x14ac:dyDescent="0.2">
      <c r="A831" s="2">
        <v>829</v>
      </c>
      <c r="B831" s="2">
        <f t="shared" ca="1" si="12"/>
        <v>0.81289433183537185</v>
      </c>
      <c r="C831" s="2" t="s">
        <v>227</v>
      </c>
    </row>
    <row r="832" spans="1:3" x14ac:dyDescent="0.2">
      <c r="A832" s="2">
        <v>830</v>
      </c>
      <c r="B832" s="2">
        <f t="shared" ca="1" si="12"/>
        <v>0.53580274488475177</v>
      </c>
      <c r="C832" s="2" t="s">
        <v>226</v>
      </c>
    </row>
    <row r="833" spans="1:3" x14ac:dyDescent="0.2">
      <c r="A833" s="2">
        <v>831</v>
      </c>
      <c r="B833" s="2">
        <f t="shared" ca="1" si="12"/>
        <v>0.52061397940545151</v>
      </c>
      <c r="C833" s="2" t="s">
        <v>226</v>
      </c>
    </row>
    <row r="834" spans="1:3" x14ac:dyDescent="0.2">
      <c r="A834" s="2">
        <v>832</v>
      </c>
      <c r="B834" s="2">
        <f t="shared" ca="1" si="12"/>
        <v>0.7959314865220728</v>
      </c>
      <c r="C834" s="2" t="s">
        <v>226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0.51598507065292609</v>
      </c>
      <c r="C835" s="2" t="s">
        <v>227</v>
      </c>
    </row>
    <row r="836" spans="1:3" x14ac:dyDescent="0.2">
      <c r="A836" s="2">
        <v>834</v>
      </c>
      <c r="B836" s="2">
        <f t="shared" ca="1" si="13"/>
        <v>0.52059686075197709</v>
      </c>
      <c r="C836" s="2" t="s">
        <v>226</v>
      </c>
    </row>
    <row r="837" spans="1:3" x14ac:dyDescent="0.2">
      <c r="A837" s="2">
        <v>835</v>
      </c>
      <c r="B837" s="2">
        <f t="shared" ca="1" si="13"/>
        <v>0.57855138793790595</v>
      </c>
      <c r="C837" s="2" t="s">
        <v>227</v>
      </c>
    </row>
    <row r="838" spans="1:3" x14ac:dyDescent="0.2">
      <c r="A838" s="2">
        <v>836</v>
      </c>
      <c r="B838" s="2">
        <f t="shared" ca="1" si="13"/>
        <v>0.86044941475953518</v>
      </c>
      <c r="C838" s="2" t="s">
        <v>226</v>
      </c>
    </row>
    <row r="839" spans="1:3" x14ac:dyDescent="0.2">
      <c r="A839" s="2">
        <v>837</v>
      </c>
      <c r="B839" s="2">
        <f t="shared" ca="1" si="13"/>
        <v>0.80757249002160281</v>
      </c>
      <c r="C839" s="2" t="s">
        <v>227</v>
      </c>
    </row>
    <row r="840" spans="1:3" x14ac:dyDescent="0.2">
      <c r="A840" s="2">
        <v>838</v>
      </c>
      <c r="B840" s="2">
        <f t="shared" ca="1" si="13"/>
        <v>0.59904587429043721</v>
      </c>
      <c r="C840" s="2" t="s">
        <v>226</v>
      </c>
    </row>
    <row r="841" spans="1:3" x14ac:dyDescent="0.2">
      <c r="A841" s="2">
        <v>839</v>
      </c>
      <c r="B841" s="2">
        <f t="shared" ca="1" si="13"/>
        <v>0.76661142783025982</v>
      </c>
      <c r="C841" s="2" t="s">
        <v>227</v>
      </c>
    </row>
    <row r="842" spans="1:3" x14ac:dyDescent="0.2">
      <c r="A842" s="2">
        <v>840</v>
      </c>
      <c r="B842" s="2">
        <f t="shared" ca="1" si="13"/>
        <v>0.64872419334569309</v>
      </c>
      <c r="C842" s="2" t="s">
        <v>227</v>
      </c>
    </row>
    <row r="843" spans="1:3" x14ac:dyDescent="0.2">
      <c r="A843" s="2">
        <v>841</v>
      </c>
      <c r="B843" s="2">
        <f t="shared" ca="1" si="13"/>
        <v>0.66033056590186789</v>
      </c>
      <c r="C843" s="2" t="s">
        <v>227</v>
      </c>
    </row>
    <row r="844" spans="1:3" x14ac:dyDescent="0.2">
      <c r="A844" s="2">
        <v>842</v>
      </c>
      <c r="B844" s="2">
        <f t="shared" ca="1" si="13"/>
        <v>0.71643776695192152</v>
      </c>
      <c r="C844" s="2" t="s">
        <v>226</v>
      </c>
    </row>
    <row r="845" spans="1:3" x14ac:dyDescent="0.2">
      <c r="A845" s="2">
        <v>843</v>
      </c>
      <c r="B845" s="2">
        <f t="shared" ca="1" si="13"/>
        <v>0.44642123459834121</v>
      </c>
      <c r="C845" s="2" t="s">
        <v>226</v>
      </c>
    </row>
    <row r="846" spans="1:3" x14ac:dyDescent="0.2">
      <c r="A846" s="2">
        <v>844</v>
      </c>
      <c r="B846" s="2">
        <f t="shared" ca="1" si="13"/>
        <v>0.71835909736948533</v>
      </c>
      <c r="C846" s="2" t="s">
        <v>226</v>
      </c>
    </row>
    <row r="847" spans="1:3" x14ac:dyDescent="0.2">
      <c r="A847" s="2">
        <v>845</v>
      </c>
      <c r="B847" s="2">
        <f t="shared" ca="1" si="13"/>
        <v>0.42868068124529035</v>
      </c>
      <c r="C847" s="2" t="s">
        <v>226</v>
      </c>
    </row>
    <row r="848" spans="1:3" x14ac:dyDescent="0.2">
      <c r="A848" s="2">
        <v>846</v>
      </c>
      <c r="B848" s="2">
        <f t="shared" ca="1" si="13"/>
        <v>0.45295735900784395</v>
      </c>
      <c r="C848" s="2" t="s">
        <v>226</v>
      </c>
    </row>
    <row r="849" spans="1:3" x14ac:dyDescent="0.2">
      <c r="A849" s="2">
        <v>847</v>
      </c>
      <c r="B849" s="2">
        <f t="shared" ca="1" si="13"/>
        <v>0.69962234615041874</v>
      </c>
      <c r="C849" s="2" t="s">
        <v>227</v>
      </c>
    </row>
    <row r="850" spans="1:3" x14ac:dyDescent="0.2">
      <c r="A850" s="2">
        <v>848</v>
      </c>
      <c r="B850" s="2">
        <f t="shared" ca="1" si="13"/>
        <v>0.58702146498521757</v>
      </c>
      <c r="C850" s="2" t="s">
        <v>226</v>
      </c>
    </row>
    <row r="851" spans="1:3" x14ac:dyDescent="0.2">
      <c r="A851" s="2">
        <v>849</v>
      </c>
      <c r="B851" s="2">
        <f t="shared" ca="1" si="13"/>
        <v>0.7118233465517555</v>
      </c>
      <c r="C851" s="2" t="s">
        <v>227</v>
      </c>
    </row>
    <row r="852" spans="1:3" x14ac:dyDescent="0.2">
      <c r="A852" s="2">
        <v>850</v>
      </c>
      <c r="B852" s="2">
        <f t="shared" ca="1" si="13"/>
        <v>0.90377207598064313</v>
      </c>
      <c r="C852" s="2" t="s">
        <v>226</v>
      </c>
    </row>
    <row r="853" spans="1:3" x14ac:dyDescent="0.2">
      <c r="A853" s="2">
        <v>851</v>
      </c>
      <c r="B853" s="2">
        <f t="shared" ca="1" si="13"/>
        <v>0.91828182579061646</v>
      </c>
      <c r="C853" s="2" t="s">
        <v>226</v>
      </c>
    </row>
    <row r="854" spans="1:3" x14ac:dyDescent="0.2">
      <c r="A854" s="2">
        <v>852</v>
      </c>
      <c r="B854" s="2">
        <f t="shared" ca="1" si="13"/>
        <v>0.4896972580613338</v>
      </c>
      <c r="C854" s="2" t="s">
        <v>226</v>
      </c>
    </row>
    <row r="855" spans="1:3" x14ac:dyDescent="0.2">
      <c r="A855" s="2">
        <v>853</v>
      </c>
      <c r="B855" s="2">
        <f t="shared" ca="1" si="13"/>
        <v>0.77203957865382278</v>
      </c>
      <c r="C855" s="2" t="s">
        <v>226</v>
      </c>
    </row>
    <row r="856" spans="1:3" x14ac:dyDescent="0.2">
      <c r="A856" s="2">
        <v>854</v>
      </c>
      <c r="B856" s="2">
        <f t="shared" ca="1" si="13"/>
        <v>0.7462005089416085</v>
      </c>
      <c r="C856" s="2" t="s">
        <v>226</v>
      </c>
    </row>
    <row r="857" spans="1:3" x14ac:dyDescent="0.2">
      <c r="A857" s="2">
        <v>855</v>
      </c>
      <c r="B857" s="2">
        <f t="shared" ca="1" si="13"/>
        <v>0.68260798222433305</v>
      </c>
      <c r="C857" s="2" t="s">
        <v>227</v>
      </c>
    </row>
    <row r="858" spans="1:3" x14ac:dyDescent="0.2">
      <c r="A858" s="2">
        <v>856</v>
      </c>
      <c r="B858" s="2">
        <f t="shared" ca="1" si="13"/>
        <v>0.7562774128123031</v>
      </c>
      <c r="C858" s="2" t="s">
        <v>227</v>
      </c>
    </row>
    <row r="859" spans="1:3" x14ac:dyDescent="0.2">
      <c r="A859" s="2">
        <v>857</v>
      </c>
      <c r="B859" s="2">
        <f t="shared" ca="1" si="13"/>
        <v>0.49345940760728324</v>
      </c>
      <c r="C859" s="2" t="s">
        <v>226</v>
      </c>
    </row>
    <row r="860" spans="1:3" x14ac:dyDescent="0.2">
      <c r="A860" s="2">
        <v>858</v>
      </c>
      <c r="B860" s="2">
        <f t="shared" ca="1" si="13"/>
        <v>0.34553018316925393</v>
      </c>
      <c r="C860" s="2" t="s">
        <v>226</v>
      </c>
    </row>
    <row r="861" spans="1:3" x14ac:dyDescent="0.2">
      <c r="A861" s="2">
        <v>859</v>
      </c>
      <c r="B861" s="2">
        <f t="shared" ca="1" si="13"/>
        <v>0.61879297044870574</v>
      </c>
      <c r="C861" s="2" t="s">
        <v>226</v>
      </c>
    </row>
    <row r="862" spans="1:3" x14ac:dyDescent="0.2">
      <c r="A862" s="2">
        <v>860</v>
      </c>
      <c r="B862" s="2">
        <f t="shared" ca="1" si="13"/>
        <v>0.52659586399264913</v>
      </c>
      <c r="C862" s="2" t="s">
        <v>226</v>
      </c>
    </row>
    <row r="863" spans="1:3" x14ac:dyDescent="0.2">
      <c r="A863" s="2">
        <v>861</v>
      </c>
      <c r="B863" s="2">
        <f t="shared" ca="1" si="13"/>
        <v>0.59453084966962222</v>
      </c>
      <c r="C863" s="2" t="s">
        <v>227</v>
      </c>
    </row>
    <row r="864" spans="1:3" x14ac:dyDescent="0.2">
      <c r="A864" s="2">
        <v>862</v>
      </c>
      <c r="B864" s="2">
        <f t="shared" ca="1" si="13"/>
        <v>0.89242607510494043</v>
      </c>
      <c r="C864" s="2" t="s">
        <v>226</v>
      </c>
    </row>
    <row r="865" spans="1:3" x14ac:dyDescent="0.2">
      <c r="A865" s="2">
        <v>863</v>
      </c>
      <c r="B865" s="2">
        <f t="shared" ca="1" si="13"/>
        <v>0.54943919885833681</v>
      </c>
      <c r="C865" s="2" t="s">
        <v>226</v>
      </c>
    </row>
    <row r="866" spans="1:3" x14ac:dyDescent="0.2">
      <c r="A866" s="2">
        <v>864</v>
      </c>
      <c r="B866" s="2">
        <f t="shared" ca="1" si="13"/>
        <v>0.86534762963705136</v>
      </c>
      <c r="C866" s="2" t="s">
        <v>226</v>
      </c>
    </row>
    <row r="867" spans="1:3" x14ac:dyDescent="0.2">
      <c r="A867" s="2">
        <v>865</v>
      </c>
      <c r="B867" s="2">
        <f t="shared" ca="1" si="13"/>
        <v>0.53542923835022593</v>
      </c>
      <c r="C867" s="2" t="s">
        <v>226</v>
      </c>
    </row>
    <row r="868" spans="1:3" x14ac:dyDescent="0.2">
      <c r="A868" s="2">
        <v>866</v>
      </c>
      <c r="B868" s="2">
        <f t="shared" ca="1" si="13"/>
        <v>0.55109334448974179</v>
      </c>
      <c r="C868" s="2" t="s">
        <v>226</v>
      </c>
    </row>
    <row r="869" spans="1:3" x14ac:dyDescent="0.2">
      <c r="A869" s="2">
        <v>867</v>
      </c>
      <c r="B869" s="2">
        <f t="shared" ca="1" si="13"/>
        <v>0.55675938761587251</v>
      </c>
      <c r="C869" s="2" t="s">
        <v>226</v>
      </c>
    </row>
    <row r="870" spans="1:3" x14ac:dyDescent="0.2">
      <c r="A870" s="2">
        <v>868</v>
      </c>
      <c r="B870" s="2">
        <f t="shared" ca="1" si="13"/>
        <v>0.64218794155116832</v>
      </c>
      <c r="C870" s="2" t="s">
        <v>226</v>
      </c>
    </row>
    <row r="871" spans="1:3" x14ac:dyDescent="0.2">
      <c r="A871" s="2">
        <v>869</v>
      </c>
      <c r="B871" s="2">
        <f t="shared" ca="1" si="13"/>
        <v>0.7329488976566606</v>
      </c>
      <c r="C871" s="2" t="s">
        <v>226</v>
      </c>
    </row>
    <row r="872" spans="1:3" x14ac:dyDescent="0.2">
      <c r="A872" s="2">
        <v>870</v>
      </c>
      <c r="B872" s="2">
        <f t="shared" ca="1" si="13"/>
        <v>0.65147197762916598</v>
      </c>
      <c r="C872" s="2" t="s">
        <v>226</v>
      </c>
    </row>
    <row r="873" spans="1:3" x14ac:dyDescent="0.2">
      <c r="A873" s="2">
        <v>871</v>
      </c>
      <c r="B873" s="2">
        <f t="shared" ca="1" si="13"/>
        <v>0.59926288439037589</v>
      </c>
      <c r="C873" s="2" t="s">
        <v>227</v>
      </c>
    </row>
    <row r="874" spans="1:3" x14ac:dyDescent="0.2">
      <c r="A874" s="2">
        <v>872</v>
      </c>
      <c r="B874" s="2">
        <f t="shared" ca="1" si="13"/>
        <v>0.74899124115568672</v>
      </c>
      <c r="C874" s="2" t="s">
        <v>227</v>
      </c>
    </row>
    <row r="875" spans="1:3" x14ac:dyDescent="0.2">
      <c r="A875" s="2">
        <v>873</v>
      </c>
      <c r="B875" s="2">
        <f t="shared" ca="1" si="13"/>
        <v>0.62983763694898887</v>
      </c>
      <c r="C875" s="2" t="s">
        <v>227</v>
      </c>
    </row>
    <row r="876" spans="1:3" x14ac:dyDescent="0.2">
      <c r="A876" s="2">
        <v>874</v>
      </c>
      <c r="B876" s="2">
        <f t="shared" ca="1" si="13"/>
        <v>0.69369914344037631</v>
      </c>
      <c r="C876" s="2" t="s">
        <v>226</v>
      </c>
    </row>
    <row r="877" spans="1:3" x14ac:dyDescent="0.2">
      <c r="A877" s="2">
        <v>875</v>
      </c>
      <c r="B877" s="2">
        <f t="shared" ca="1" si="13"/>
        <v>0.49131376572231245</v>
      </c>
      <c r="C877" s="2" t="s">
        <v>226</v>
      </c>
    </row>
    <row r="878" spans="1:3" x14ac:dyDescent="0.2">
      <c r="A878" s="2">
        <v>876</v>
      </c>
      <c r="B878" s="2">
        <f t="shared" ca="1" si="13"/>
        <v>0.77002341641027228</v>
      </c>
      <c r="C878" s="2" t="s">
        <v>227</v>
      </c>
    </row>
    <row r="879" spans="1:3" x14ac:dyDescent="0.2">
      <c r="A879" s="2">
        <v>877</v>
      </c>
      <c r="B879" s="2">
        <f t="shared" ca="1" si="13"/>
        <v>0.582051683429197</v>
      </c>
      <c r="C879" s="2" t="s">
        <v>226</v>
      </c>
    </row>
    <row r="880" spans="1:3" x14ac:dyDescent="0.2">
      <c r="A880" s="2">
        <v>878</v>
      </c>
      <c r="B880" s="2">
        <f t="shared" ca="1" si="13"/>
        <v>0.43198835551394987</v>
      </c>
      <c r="C880" s="2" t="s">
        <v>226</v>
      </c>
    </row>
    <row r="881" spans="1:3" x14ac:dyDescent="0.2">
      <c r="A881" s="2">
        <v>879</v>
      </c>
      <c r="B881" s="2">
        <f t="shared" ca="1" si="13"/>
        <v>0.73408745802781028</v>
      </c>
      <c r="C881" s="2" t="s">
        <v>227</v>
      </c>
    </row>
    <row r="882" spans="1:3" x14ac:dyDescent="0.2">
      <c r="A882" s="2">
        <v>880</v>
      </c>
      <c r="B882" s="2">
        <f t="shared" ca="1" si="13"/>
        <v>0.77866843428159027</v>
      </c>
      <c r="C882" s="2" t="s">
        <v>227</v>
      </c>
    </row>
    <row r="883" spans="1:3" x14ac:dyDescent="0.2">
      <c r="A883" s="2">
        <v>881</v>
      </c>
      <c r="B883" s="2">
        <f t="shared" ca="1" si="13"/>
        <v>0.65195368089322048</v>
      </c>
      <c r="C883" s="2" t="s">
        <v>227</v>
      </c>
    </row>
    <row r="884" spans="1:3" x14ac:dyDescent="0.2">
      <c r="A884" s="2">
        <v>882</v>
      </c>
      <c r="B884" s="2">
        <f t="shared" ca="1" si="13"/>
        <v>0.70818184375324078</v>
      </c>
      <c r="C884" s="2" t="s">
        <v>227</v>
      </c>
    </row>
    <row r="885" spans="1:3" x14ac:dyDescent="0.2">
      <c r="A885" s="2">
        <v>883</v>
      </c>
      <c r="B885" s="2">
        <f t="shared" ca="1" si="13"/>
        <v>0.20956983071028323</v>
      </c>
      <c r="C885" s="2" t="s">
        <v>226</v>
      </c>
    </row>
    <row r="886" spans="1:3" x14ac:dyDescent="0.2">
      <c r="A886" s="2">
        <v>884</v>
      </c>
      <c r="B886" s="2">
        <f t="shared" ca="1" si="13"/>
        <v>0.58221975121252767</v>
      </c>
      <c r="C886" s="2" t="s">
        <v>226</v>
      </c>
    </row>
    <row r="887" spans="1:3" x14ac:dyDescent="0.2">
      <c r="A887" s="2">
        <v>885</v>
      </c>
      <c r="B887" s="2">
        <f t="shared" ca="1" si="13"/>
        <v>0.53532968249004886</v>
      </c>
      <c r="C887" s="2" t="s">
        <v>226</v>
      </c>
    </row>
    <row r="888" spans="1:3" x14ac:dyDescent="0.2">
      <c r="A888" s="2">
        <v>886</v>
      </c>
      <c r="B888" s="2">
        <f t="shared" ca="1" si="13"/>
        <v>0.7334635165921054</v>
      </c>
      <c r="C888" s="2" t="s">
        <v>227</v>
      </c>
    </row>
    <row r="889" spans="1:3" x14ac:dyDescent="0.2">
      <c r="A889" s="2">
        <v>887</v>
      </c>
      <c r="B889" s="2">
        <f t="shared" ca="1" si="13"/>
        <v>0.80004274771242945</v>
      </c>
      <c r="C889" s="2" t="s">
        <v>227</v>
      </c>
    </row>
    <row r="890" spans="1:3" x14ac:dyDescent="0.2">
      <c r="A890" s="2">
        <v>888</v>
      </c>
      <c r="B890" s="2">
        <f t="shared" ca="1" si="13"/>
        <v>0.69759768153502577</v>
      </c>
      <c r="C890" s="2" t="s">
        <v>227</v>
      </c>
    </row>
    <row r="891" spans="1:3" x14ac:dyDescent="0.2">
      <c r="A891" s="2">
        <v>889</v>
      </c>
      <c r="B891" s="2">
        <f t="shared" ca="1" si="13"/>
        <v>0.53023761019446292</v>
      </c>
      <c r="C891" s="2" t="s">
        <v>226</v>
      </c>
    </row>
    <row r="892" spans="1:3" x14ac:dyDescent="0.2">
      <c r="A892" s="2">
        <v>890</v>
      </c>
      <c r="B892" s="2">
        <f t="shared" ca="1" si="13"/>
        <v>0.74566564679620007</v>
      </c>
      <c r="C892" s="2" t="s">
        <v>226</v>
      </c>
    </row>
    <row r="893" spans="1:3" x14ac:dyDescent="0.2">
      <c r="A893" s="2">
        <v>891</v>
      </c>
      <c r="B893" s="2">
        <f t="shared" ca="1" si="13"/>
        <v>0.36888874739809918</v>
      </c>
      <c r="C893" s="2" t="s">
        <v>226</v>
      </c>
    </row>
    <row r="894" spans="1:3" x14ac:dyDescent="0.2">
      <c r="A894" s="2">
        <v>892</v>
      </c>
      <c r="B894" s="2">
        <f t="shared" ca="1" si="13"/>
        <v>0.81858021243285717</v>
      </c>
      <c r="C894" s="2" t="s">
        <v>227</v>
      </c>
    </row>
    <row r="895" spans="1:3" x14ac:dyDescent="0.2">
      <c r="A895" s="2">
        <v>893</v>
      </c>
      <c r="B895" s="2">
        <f t="shared" ca="1" si="13"/>
        <v>0.51604770458603855</v>
      </c>
      <c r="C895" s="2" t="s">
        <v>226</v>
      </c>
    </row>
    <row r="896" spans="1:3" x14ac:dyDescent="0.2">
      <c r="A896" s="2">
        <v>894</v>
      </c>
      <c r="B896" s="2">
        <f t="shared" ca="1" si="13"/>
        <v>0.61891287616859769</v>
      </c>
      <c r="C896" s="2" t="s">
        <v>227</v>
      </c>
    </row>
    <row r="897" spans="1:3" x14ac:dyDescent="0.2">
      <c r="A897" s="2">
        <v>895</v>
      </c>
      <c r="B897" s="2">
        <f t="shared" ca="1" si="13"/>
        <v>0.5541983945752833</v>
      </c>
      <c r="C897" s="2" t="s">
        <v>226</v>
      </c>
    </row>
    <row r="898" spans="1:3" x14ac:dyDescent="0.2">
      <c r="A898" s="2">
        <v>896</v>
      </c>
      <c r="B898" s="2">
        <f t="shared" ca="1" si="13"/>
        <v>0.65626171711611558</v>
      </c>
      <c r="C898" s="2" t="s">
        <v>227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0.47299845798766671</v>
      </c>
      <c r="C899" s="2" t="s">
        <v>227</v>
      </c>
    </row>
    <row r="900" spans="1:3" x14ac:dyDescent="0.2">
      <c r="A900" s="2">
        <v>898</v>
      </c>
      <c r="B900" s="2">
        <f t="shared" ca="1" si="14"/>
        <v>0.85514871578743468</v>
      </c>
      <c r="C900" s="2" t="s">
        <v>227</v>
      </c>
    </row>
    <row r="901" spans="1:3" x14ac:dyDescent="0.2">
      <c r="A901" s="2">
        <v>899</v>
      </c>
      <c r="B901" s="2">
        <f t="shared" ca="1" si="14"/>
        <v>0.58684483736185244</v>
      </c>
      <c r="C901" s="2" t="s">
        <v>226</v>
      </c>
    </row>
    <row r="902" spans="1:3" x14ac:dyDescent="0.2">
      <c r="A902" s="2">
        <v>900</v>
      </c>
      <c r="B902" s="2">
        <f t="shared" ca="1" si="14"/>
        <v>0.80085723062216818</v>
      </c>
      <c r="C902" s="2" t="s">
        <v>227</v>
      </c>
    </row>
    <row r="903" spans="1:3" x14ac:dyDescent="0.2">
      <c r="A903" s="2">
        <v>901</v>
      </c>
      <c r="B903" s="2">
        <f t="shared" ca="1" si="14"/>
        <v>0.61475054646099814</v>
      </c>
      <c r="C903" s="2" t="s">
        <v>227</v>
      </c>
    </row>
    <row r="904" spans="1:3" x14ac:dyDescent="0.2">
      <c r="A904" s="2">
        <v>902</v>
      </c>
      <c r="B904" s="2">
        <f t="shared" ca="1" si="14"/>
        <v>0.70955024027737579</v>
      </c>
      <c r="C904" s="2" t="s">
        <v>227</v>
      </c>
    </row>
    <row r="905" spans="1:3" x14ac:dyDescent="0.2">
      <c r="A905" s="2">
        <v>903</v>
      </c>
      <c r="B905" s="2">
        <f t="shared" ca="1" si="14"/>
        <v>0.6388694989880187</v>
      </c>
      <c r="C905" s="2" t="s">
        <v>227</v>
      </c>
    </row>
    <row r="906" spans="1:3" x14ac:dyDescent="0.2">
      <c r="A906" s="2">
        <v>904</v>
      </c>
      <c r="B906" s="2">
        <f t="shared" ca="1" si="14"/>
        <v>0.74036942038910447</v>
      </c>
      <c r="C906" s="2" t="s">
        <v>227</v>
      </c>
    </row>
    <row r="907" spans="1:3" x14ac:dyDescent="0.2">
      <c r="A907" s="2">
        <v>905</v>
      </c>
      <c r="B907" s="2">
        <f t="shared" ca="1" si="14"/>
        <v>0.45024682534271565</v>
      </c>
      <c r="C907" s="2" t="s">
        <v>226</v>
      </c>
    </row>
    <row r="908" spans="1:3" x14ac:dyDescent="0.2">
      <c r="A908" s="2">
        <v>906</v>
      </c>
      <c r="B908" s="2">
        <f t="shared" ca="1" si="14"/>
        <v>0.73988685115672403</v>
      </c>
      <c r="C908" s="2" t="s">
        <v>226</v>
      </c>
    </row>
    <row r="909" spans="1:3" x14ac:dyDescent="0.2">
      <c r="A909" s="2">
        <v>907</v>
      </c>
      <c r="B909" s="2">
        <f t="shared" ca="1" si="14"/>
        <v>0.7437729627945916</v>
      </c>
      <c r="C909" s="2" t="s">
        <v>226</v>
      </c>
    </row>
    <row r="910" spans="1:3" x14ac:dyDescent="0.2">
      <c r="A910" s="2">
        <v>908</v>
      </c>
      <c r="B910" s="2">
        <f t="shared" ca="1" si="14"/>
        <v>0.50763486496420762</v>
      </c>
      <c r="C910" s="2" t="s">
        <v>226</v>
      </c>
    </row>
    <row r="911" spans="1:3" x14ac:dyDescent="0.2">
      <c r="A911" s="2">
        <v>909</v>
      </c>
      <c r="B911" s="2">
        <f t="shared" ca="1" si="14"/>
        <v>0.26494991570866772</v>
      </c>
      <c r="C911" s="2" t="s">
        <v>226</v>
      </c>
    </row>
    <row r="912" spans="1:3" x14ac:dyDescent="0.2">
      <c r="A912" s="2">
        <v>910</v>
      </c>
      <c r="B912" s="2">
        <f t="shared" ca="1" si="14"/>
        <v>0.58259620064679563</v>
      </c>
      <c r="C912" s="2" t="s">
        <v>227</v>
      </c>
    </row>
    <row r="913" spans="1:3" x14ac:dyDescent="0.2">
      <c r="A913" s="2">
        <v>911</v>
      </c>
      <c r="B913" s="2">
        <f t="shared" ca="1" si="14"/>
        <v>0.8623914551213534</v>
      </c>
      <c r="C913" s="2" t="s">
        <v>226</v>
      </c>
    </row>
    <row r="914" spans="1:3" x14ac:dyDescent="0.2">
      <c r="A914" s="2">
        <v>912</v>
      </c>
      <c r="B914" s="2">
        <f t="shared" ca="1" si="14"/>
        <v>0.87773393099509667</v>
      </c>
      <c r="C914" s="2" t="s">
        <v>226</v>
      </c>
    </row>
    <row r="915" spans="1:3" x14ac:dyDescent="0.2">
      <c r="A915" s="2">
        <v>913</v>
      </c>
      <c r="B915" s="2">
        <f t="shared" ca="1" si="14"/>
        <v>0.38267118270652289</v>
      </c>
      <c r="C915" s="2" t="s">
        <v>226</v>
      </c>
    </row>
    <row r="916" spans="1:3" x14ac:dyDescent="0.2">
      <c r="A916" s="2">
        <v>914</v>
      </c>
      <c r="B916" s="2">
        <f t="shared" ca="1" si="14"/>
        <v>0.75506272308698719</v>
      </c>
      <c r="C916" s="2" t="s">
        <v>227</v>
      </c>
    </row>
    <row r="917" spans="1:3" x14ac:dyDescent="0.2">
      <c r="A917" s="2">
        <v>915</v>
      </c>
      <c r="B917" s="2">
        <f t="shared" ca="1" si="14"/>
        <v>0.63942061695997365</v>
      </c>
      <c r="C917" s="2" t="s">
        <v>226</v>
      </c>
    </row>
    <row r="918" spans="1:3" x14ac:dyDescent="0.2">
      <c r="A918" s="2">
        <v>916</v>
      </c>
      <c r="B918" s="2">
        <f t="shared" ca="1" si="14"/>
        <v>0.83954221004567176</v>
      </c>
      <c r="C918" s="2" t="s">
        <v>227</v>
      </c>
    </row>
    <row r="919" spans="1:3" x14ac:dyDescent="0.2">
      <c r="A919" s="2">
        <v>917</v>
      </c>
      <c r="B919" s="2">
        <f t="shared" ca="1" si="14"/>
        <v>0.5157244900563509</v>
      </c>
      <c r="C919" s="2" t="s">
        <v>226</v>
      </c>
    </row>
    <row r="920" spans="1:3" x14ac:dyDescent="0.2">
      <c r="A920" s="2">
        <v>918</v>
      </c>
      <c r="B920" s="2">
        <f t="shared" ca="1" si="14"/>
        <v>0.61698164787221632</v>
      </c>
      <c r="C920" s="2" t="s">
        <v>227</v>
      </c>
    </row>
    <row r="921" spans="1:3" x14ac:dyDescent="0.2">
      <c r="A921" s="2">
        <v>919</v>
      </c>
      <c r="B921" s="2">
        <f t="shared" ca="1" si="14"/>
        <v>0.56268441890324905</v>
      </c>
      <c r="C921" s="2" t="s">
        <v>226</v>
      </c>
    </row>
    <row r="922" spans="1:3" x14ac:dyDescent="0.2">
      <c r="A922" s="2">
        <v>920</v>
      </c>
      <c r="B922" s="2">
        <f t="shared" ca="1" si="14"/>
        <v>0.65008953520503066</v>
      </c>
      <c r="C922" s="2" t="s">
        <v>227</v>
      </c>
    </row>
    <row r="923" spans="1:3" x14ac:dyDescent="0.2">
      <c r="A923" s="2">
        <v>921</v>
      </c>
      <c r="B923" s="2">
        <f t="shared" ca="1" si="14"/>
        <v>0.68065794070229046</v>
      </c>
      <c r="C923" s="2" t="s">
        <v>227</v>
      </c>
    </row>
    <row r="924" spans="1:3" x14ac:dyDescent="0.2">
      <c r="A924" s="2">
        <v>922</v>
      </c>
      <c r="B924" s="2">
        <f t="shared" ca="1" si="14"/>
        <v>0.46916217975904162</v>
      </c>
      <c r="C924" s="2" t="s">
        <v>226</v>
      </c>
    </row>
    <row r="925" spans="1:3" x14ac:dyDescent="0.2">
      <c r="A925" s="2">
        <v>923</v>
      </c>
      <c r="B925" s="2">
        <f t="shared" ca="1" si="14"/>
        <v>0.64467550877364965</v>
      </c>
      <c r="C925" s="2" t="s">
        <v>226</v>
      </c>
    </row>
    <row r="926" spans="1:3" x14ac:dyDescent="0.2">
      <c r="A926" s="2">
        <v>924</v>
      </c>
      <c r="B926" s="2">
        <f t="shared" ca="1" si="14"/>
        <v>0.65381973460323672</v>
      </c>
      <c r="C926" s="2" t="s">
        <v>226</v>
      </c>
    </row>
    <row r="927" spans="1:3" x14ac:dyDescent="0.2">
      <c r="A927" s="2">
        <v>925</v>
      </c>
      <c r="B927" s="2">
        <f t="shared" ca="1" si="14"/>
        <v>0.92396733309247525</v>
      </c>
      <c r="C927" s="2" t="s">
        <v>227</v>
      </c>
    </row>
    <row r="928" spans="1:3" x14ac:dyDescent="0.2">
      <c r="A928" s="2">
        <v>926</v>
      </c>
      <c r="B928" s="2">
        <f t="shared" ca="1" si="14"/>
        <v>0.6427479320613193</v>
      </c>
      <c r="C928" s="2" t="s">
        <v>227</v>
      </c>
    </row>
    <row r="929" spans="1:3" x14ac:dyDescent="0.2">
      <c r="A929" s="2">
        <v>927</v>
      </c>
      <c r="B929" s="2">
        <f t="shared" ca="1" si="14"/>
        <v>0.73632129016379111</v>
      </c>
      <c r="C929" s="2" t="s">
        <v>227</v>
      </c>
    </row>
    <row r="930" spans="1:3" x14ac:dyDescent="0.2">
      <c r="A930" s="2">
        <v>928</v>
      </c>
      <c r="B930" s="2">
        <f t="shared" ca="1" si="14"/>
        <v>0.82617629469039366</v>
      </c>
      <c r="C930" s="2" t="s">
        <v>227</v>
      </c>
    </row>
    <row r="931" spans="1:3" x14ac:dyDescent="0.2">
      <c r="A931" s="2">
        <v>929</v>
      </c>
      <c r="B931" s="2">
        <f t="shared" ca="1" si="14"/>
        <v>0.72882306772608951</v>
      </c>
      <c r="C931" s="2" t="s">
        <v>227</v>
      </c>
    </row>
    <row r="932" spans="1:3" x14ac:dyDescent="0.2">
      <c r="A932" s="2">
        <v>930</v>
      </c>
      <c r="B932" s="2">
        <f t="shared" ca="1" si="14"/>
        <v>0.57583128924712246</v>
      </c>
      <c r="C932" s="2" t="s">
        <v>227</v>
      </c>
    </row>
    <row r="933" spans="1:3" x14ac:dyDescent="0.2">
      <c r="A933" s="2">
        <v>931</v>
      </c>
      <c r="B933" s="2">
        <f t="shared" ca="1" si="14"/>
        <v>0.77354438279438609</v>
      </c>
      <c r="C933" s="2" t="s">
        <v>226</v>
      </c>
    </row>
    <row r="934" spans="1:3" x14ac:dyDescent="0.2">
      <c r="A934" s="2">
        <v>932</v>
      </c>
      <c r="B934" s="2">
        <f t="shared" ca="1" si="14"/>
        <v>0.83997077947393006</v>
      </c>
      <c r="C934" s="2" t="s">
        <v>227</v>
      </c>
    </row>
    <row r="935" spans="1:3" x14ac:dyDescent="0.2">
      <c r="A935" s="2">
        <v>933</v>
      </c>
      <c r="B935" s="2">
        <f t="shared" ca="1" si="14"/>
        <v>0.83263215149918657</v>
      </c>
      <c r="C935" s="2" t="s">
        <v>226</v>
      </c>
    </row>
    <row r="936" spans="1:3" x14ac:dyDescent="0.2">
      <c r="A936" s="2">
        <v>934</v>
      </c>
      <c r="B936" s="2">
        <f t="shared" ca="1" si="14"/>
        <v>0.60728368739640459</v>
      </c>
      <c r="C936" s="2" t="s">
        <v>227</v>
      </c>
    </row>
    <row r="937" spans="1:3" x14ac:dyDescent="0.2">
      <c r="A937" s="2">
        <v>935</v>
      </c>
      <c r="B937" s="2">
        <f t="shared" ca="1" si="14"/>
        <v>0.76083116715002441</v>
      </c>
      <c r="C937" s="2" t="s">
        <v>227</v>
      </c>
    </row>
    <row r="938" spans="1:3" x14ac:dyDescent="0.2">
      <c r="A938" s="2">
        <v>936</v>
      </c>
      <c r="B938" s="2">
        <f t="shared" ca="1" si="14"/>
        <v>0.66784580270144067</v>
      </c>
      <c r="C938" s="2" t="s">
        <v>226</v>
      </c>
    </row>
    <row r="939" spans="1:3" x14ac:dyDescent="0.2">
      <c r="A939" s="2">
        <v>937</v>
      </c>
      <c r="B939" s="2">
        <f t="shared" ca="1" si="14"/>
        <v>0.49210941746036474</v>
      </c>
      <c r="C939" s="2" t="s">
        <v>226</v>
      </c>
    </row>
    <row r="940" spans="1:3" x14ac:dyDescent="0.2">
      <c r="A940" s="2">
        <v>938</v>
      </c>
      <c r="B940" s="2">
        <f t="shared" ca="1" si="14"/>
        <v>0.81257067198358068</v>
      </c>
      <c r="C940" s="2" t="s">
        <v>227</v>
      </c>
    </row>
    <row r="941" spans="1:3" x14ac:dyDescent="0.2">
      <c r="A941" s="2">
        <v>939</v>
      </c>
      <c r="B941" s="2">
        <f t="shared" ca="1" si="14"/>
        <v>0.74082765412072349</v>
      </c>
      <c r="C941" s="2" t="s">
        <v>227</v>
      </c>
    </row>
    <row r="942" spans="1:3" x14ac:dyDescent="0.2">
      <c r="A942" s="2">
        <v>940</v>
      </c>
      <c r="B942" s="2">
        <f t="shared" ca="1" si="14"/>
        <v>0.64370911948503662</v>
      </c>
      <c r="C942" s="2" t="s">
        <v>226</v>
      </c>
    </row>
    <row r="943" spans="1:3" x14ac:dyDescent="0.2">
      <c r="A943" s="2">
        <v>941</v>
      </c>
      <c r="B943" s="2">
        <f t="shared" ca="1" si="14"/>
        <v>0.55186758366444066</v>
      </c>
      <c r="C943" s="2" t="s">
        <v>226</v>
      </c>
    </row>
    <row r="944" spans="1:3" x14ac:dyDescent="0.2">
      <c r="A944" s="2">
        <v>942</v>
      </c>
      <c r="B944" s="2">
        <f t="shared" ca="1" si="14"/>
        <v>0.35006852999014226</v>
      </c>
      <c r="C944" s="2" t="s">
        <v>226</v>
      </c>
    </row>
    <row r="945" spans="1:3" x14ac:dyDescent="0.2">
      <c r="A945" s="2">
        <v>943</v>
      </c>
      <c r="B945" s="2">
        <f t="shared" ca="1" si="14"/>
        <v>0.38177105584285914</v>
      </c>
      <c r="C945" s="2" t="s">
        <v>226</v>
      </c>
    </row>
    <row r="946" spans="1:3" x14ac:dyDescent="0.2">
      <c r="A946" s="2">
        <v>944</v>
      </c>
      <c r="B946" s="2">
        <f t="shared" ca="1" si="14"/>
        <v>0.49649408445944287</v>
      </c>
      <c r="C946" s="2" t="s">
        <v>226</v>
      </c>
    </row>
    <row r="947" spans="1:3" x14ac:dyDescent="0.2">
      <c r="A947" s="2">
        <v>945</v>
      </c>
      <c r="B947" s="2">
        <f t="shared" ca="1" si="14"/>
        <v>0.53234794039769795</v>
      </c>
      <c r="C947" s="2" t="s">
        <v>227</v>
      </c>
    </row>
    <row r="948" spans="1:3" x14ac:dyDescent="0.2">
      <c r="A948" s="2">
        <v>946</v>
      </c>
      <c r="B948" s="2">
        <f t="shared" ca="1" si="14"/>
        <v>0.49857060939564729</v>
      </c>
      <c r="C948" s="2" t="s">
        <v>226</v>
      </c>
    </row>
    <row r="949" spans="1:3" x14ac:dyDescent="0.2">
      <c r="A949" s="2">
        <v>947</v>
      </c>
      <c r="B949" s="2">
        <f t="shared" ca="1" si="14"/>
        <v>0.76638849987163304</v>
      </c>
      <c r="C949" s="2" t="s">
        <v>227</v>
      </c>
    </row>
    <row r="950" spans="1:3" x14ac:dyDescent="0.2">
      <c r="A950" s="2">
        <v>948</v>
      </c>
      <c r="B950" s="2">
        <f t="shared" ca="1" si="14"/>
        <v>0.45330668223065407</v>
      </c>
      <c r="C950" s="2" t="s">
        <v>226</v>
      </c>
    </row>
    <row r="951" spans="1:3" x14ac:dyDescent="0.2">
      <c r="A951" s="2">
        <v>949</v>
      </c>
      <c r="B951" s="2">
        <f t="shared" ca="1" si="14"/>
        <v>0.66417951987676893</v>
      </c>
      <c r="C951" s="2" t="s">
        <v>227</v>
      </c>
    </row>
    <row r="952" spans="1:3" x14ac:dyDescent="0.2">
      <c r="A952" s="2">
        <v>950</v>
      </c>
      <c r="B952" s="2">
        <f t="shared" ca="1" si="14"/>
        <v>0.81626940047583063</v>
      </c>
      <c r="C952" s="2" t="s">
        <v>227</v>
      </c>
    </row>
    <row r="953" spans="1:3" x14ac:dyDescent="0.2">
      <c r="A953" s="2">
        <v>951</v>
      </c>
      <c r="B953" s="2">
        <f t="shared" ca="1" si="14"/>
        <v>0.56663242502459177</v>
      </c>
      <c r="C953" s="2" t="s">
        <v>226</v>
      </c>
    </row>
    <row r="954" spans="1:3" x14ac:dyDescent="0.2">
      <c r="A954" s="2">
        <v>952</v>
      </c>
      <c r="B954" s="2">
        <f t="shared" ca="1" si="14"/>
        <v>0.7387766765422441</v>
      </c>
      <c r="C954" s="2" t="s">
        <v>226</v>
      </c>
    </row>
    <row r="955" spans="1:3" x14ac:dyDescent="0.2">
      <c r="A955" s="2">
        <v>953</v>
      </c>
      <c r="B955" s="2">
        <f t="shared" ca="1" si="14"/>
        <v>0.83505717320091999</v>
      </c>
      <c r="C955" s="2" t="s">
        <v>227</v>
      </c>
    </row>
    <row r="956" spans="1:3" x14ac:dyDescent="0.2">
      <c r="A956" s="2">
        <v>954</v>
      </c>
      <c r="B956" s="2">
        <f t="shared" ca="1" si="14"/>
        <v>0.69096691406185862</v>
      </c>
      <c r="C956" s="2" t="s">
        <v>226</v>
      </c>
    </row>
    <row r="957" spans="1:3" x14ac:dyDescent="0.2">
      <c r="A957" s="2">
        <v>955</v>
      </c>
      <c r="B957" s="2">
        <f t="shared" ca="1" si="14"/>
        <v>0.7341865925669846</v>
      </c>
      <c r="C957" s="2" t="s">
        <v>227</v>
      </c>
    </row>
    <row r="958" spans="1:3" x14ac:dyDescent="0.2">
      <c r="A958" s="2">
        <v>956</v>
      </c>
      <c r="B958" s="2">
        <f t="shared" ca="1" si="14"/>
        <v>0.6359510997077511</v>
      </c>
      <c r="C958" s="2" t="s">
        <v>227</v>
      </c>
    </row>
    <row r="959" spans="1:3" x14ac:dyDescent="0.2">
      <c r="A959" s="2">
        <v>957</v>
      </c>
      <c r="B959" s="2">
        <f t="shared" ca="1" si="14"/>
        <v>0.65450218469425481</v>
      </c>
      <c r="C959" s="2" t="s">
        <v>226</v>
      </c>
    </row>
    <row r="960" spans="1:3" x14ac:dyDescent="0.2">
      <c r="A960" s="2">
        <v>958</v>
      </c>
      <c r="B960" s="2">
        <f t="shared" ca="1" si="14"/>
        <v>0.63005990150387226</v>
      </c>
      <c r="C960" s="2" t="s">
        <v>227</v>
      </c>
    </row>
    <row r="961" spans="1:3" x14ac:dyDescent="0.2">
      <c r="A961" s="2">
        <v>959</v>
      </c>
      <c r="B961" s="2">
        <f t="shared" ca="1" si="14"/>
        <v>0.73881657900484821</v>
      </c>
      <c r="C961" s="2" t="s">
        <v>226</v>
      </c>
    </row>
    <row r="962" spans="1:3" x14ac:dyDescent="0.2">
      <c r="A962" s="2">
        <v>960</v>
      </c>
      <c r="B962" s="2">
        <f t="shared" ca="1" si="14"/>
        <v>0.43585756393213304</v>
      </c>
      <c r="C962" s="2" t="s">
        <v>226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0.71058808484647196</v>
      </c>
      <c r="C963" s="2" t="s">
        <v>227</v>
      </c>
    </row>
    <row r="964" spans="1:3" x14ac:dyDescent="0.2">
      <c r="A964" s="2">
        <v>962</v>
      </c>
      <c r="B964" s="2">
        <f t="shared" ca="1" si="15"/>
        <v>0.88580924656246407</v>
      </c>
      <c r="C964" s="2" t="s">
        <v>227</v>
      </c>
    </row>
    <row r="965" spans="1:3" x14ac:dyDescent="0.2">
      <c r="A965" s="2">
        <v>963</v>
      </c>
      <c r="B965" s="2">
        <f t="shared" ca="1" si="15"/>
        <v>0.53683127907271766</v>
      </c>
      <c r="C965" s="2" t="s">
        <v>227</v>
      </c>
    </row>
    <row r="966" spans="1:3" x14ac:dyDescent="0.2">
      <c r="A966" s="2">
        <v>964</v>
      </c>
      <c r="B966" s="2">
        <f t="shared" ca="1" si="15"/>
        <v>0.86985540079775003</v>
      </c>
      <c r="C966" s="2" t="s">
        <v>227</v>
      </c>
    </row>
    <row r="967" spans="1:3" x14ac:dyDescent="0.2">
      <c r="A967" s="2">
        <v>965</v>
      </c>
      <c r="B967" s="2">
        <f t="shared" ca="1" si="15"/>
        <v>0.68305486162658879</v>
      </c>
      <c r="C967" s="2" t="s">
        <v>227</v>
      </c>
    </row>
    <row r="968" spans="1:3" x14ac:dyDescent="0.2">
      <c r="A968" s="2">
        <v>966</v>
      </c>
      <c r="B968" s="2">
        <f t="shared" ca="1" si="15"/>
        <v>0.73243768569553525</v>
      </c>
      <c r="C968" s="2" t="s">
        <v>227</v>
      </c>
    </row>
    <row r="969" spans="1:3" x14ac:dyDescent="0.2">
      <c r="A969" s="2">
        <v>967</v>
      </c>
      <c r="B969" s="2">
        <f t="shared" ca="1" si="15"/>
        <v>0.6837740263737796</v>
      </c>
      <c r="C969" s="2" t="s">
        <v>227</v>
      </c>
    </row>
    <row r="970" spans="1:3" x14ac:dyDescent="0.2">
      <c r="A970" s="2">
        <v>968</v>
      </c>
      <c r="B970" s="2">
        <f t="shared" ca="1" si="15"/>
        <v>0.67918950620787433</v>
      </c>
      <c r="C970" s="2" t="s">
        <v>227</v>
      </c>
    </row>
    <row r="971" spans="1:3" x14ac:dyDescent="0.2">
      <c r="A971" s="2">
        <v>969</v>
      </c>
      <c r="B971" s="2">
        <f t="shared" ca="1" si="15"/>
        <v>0.86585240149664533</v>
      </c>
      <c r="C971" s="2" t="s">
        <v>226</v>
      </c>
    </row>
    <row r="972" spans="1:3" x14ac:dyDescent="0.2">
      <c r="A972" s="2">
        <v>970</v>
      </c>
      <c r="B972" s="2">
        <f t="shared" ca="1" si="15"/>
        <v>0.85679815040475793</v>
      </c>
      <c r="C972" s="2" t="s">
        <v>226</v>
      </c>
    </row>
    <row r="973" spans="1:3" x14ac:dyDescent="0.2">
      <c r="A973" s="2">
        <v>971</v>
      </c>
      <c r="B973" s="2">
        <f t="shared" ca="1" si="15"/>
        <v>0.60243524773981671</v>
      </c>
      <c r="C973" s="2" t="s">
        <v>227</v>
      </c>
    </row>
    <row r="974" spans="1:3" x14ac:dyDescent="0.2">
      <c r="A974" s="2">
        <v>972</v>
      </c>
      <c r="B974" s="2">
        <f t="shared" ca="1" si="15"/>
        <v>0.55282132801387607</v>
      </c>
      <c r="C974" s="2" t="s">
        <v>226</v>
      </c>
    </row>
    <row r="975" spans="1:3" x14ac:dyDescent="0.2">
      <c r="A975" s="2">
        <v>973</v>
      </c>
      <c r="B975" s="2">
        <f t="shared" ca="1" si="15"/>
        <v>0.67825639410381877</v>
      </c>
      <c r="C975" s="2" t="s">
        <v>227</v>
      </c>
    </row>
    <row r="976" spans="1:3" x14ac:dyDescent="0.2">
      <c r="A976" s="2">
        <v>974</v>
      </c>
      <c r="B976" s="2">
        <f t="shared" ca="1" si="15"/>
        <v>0.67762176078844483</v>
      </c>
      <c r="C976" s="2" t="s">
        <v>227</v>
      </c>
    </row>
    <row r="977" spans="1:3" x14ac:dyDescent="0.2">
      <c r="A977" s="2">
        <v>975</v>
      </c>
      <c r="B977" s="2">
        <f t="shared" ca="1" si="15"/>
        <v>0.62959897484399618</v>
      </c>
      <c r="C977" s="2" t="s">
        <v>227</v>
      </c>
    </row>
    <row r="978" spans="1:3" x14ac:dyDescent="0.2">
      <c r="A978" s="2">
        <v>976</v>
      </c>
      <c r="B978" s="2">
        <f t="shared" ca="1" si="15"/>
        <v>0.59208406430241955</v>
      </c>
      <c r="C978" s="2" t="s">
        <v>227</v>
      </c>
    </row>
    <row r="979" spans="1:3" x14ac:dyDescent="0.2">
      <c r="A979" s="2">
        <v>977</v>
      </c>
      <c r="B979" s="2">
        <f t="shared" ca="1" si="15"/>
        <v>0.76600767974537198</v>
      </c>
      <c r="C979" s="2" t="s">
        <v>227</v>
      </c>
    </row>
    <row r="980" spans="1:3" x14ac:dyDescent="0.2">
      <c r="A980" s="2">
        <v>978</v>
      </c>
      <c r="B980" s="2">
        <f t="shared" ca="1" si="15"/>
        <v>0.8759849956722896</v>
      </c>
      <c r="C980" s="2" t="s">
        <v>227</v>
      </c>
    </row>
    <row r="981" spans="1:3" x14ac:dyDescent="0.2">
      <c r="A981" s="2">
        <v>979</v>
      </c>
      <c r="B981" s="2">
        <f t="shared" ca="1" si="15"/>
        <v>0.76921645887825496</v>
      </c>
      <c r="C981" s="2" t="s">
        <v>227</v>
      </c>
    </row>
    <row r="982" spans="1:3" x14ac:dyDescent="0.2">
      <c r="A982" s="2">
        <v>980</v>
      </c>
      <c r="B982" s="2">
        <f t="shared" ca="1" si="15"/>
        <v>0.5992949540752347</v>
      </c>
      <c r="C982" s="2" t="s">
        <v>226</v>
      </c>
    </row>
    <row r="983" spans="1:3" x14ac:dyDescent="0.2">
      <c r="A983" s="2">
        <v>981</v>
      </c>
      <c r="B983" s="2">
        <f t="shared" ca="1" si="15"/>
        <v>0.55298251333109016</v>
      </c>
      <c r="C983" s="2" t="s">
        <v>226</v>
      </c>
    </row>
    <row r="984" spans="1:3" x14ac:dyDescent="0.2">
      <c r="A984" s="2">
        <v>982</v>
      </c>
      <c r="B984" s="2">
        <f t="shared" ca="1" si="15"/>
        <v>0.71826925568007016</v>
      </c>
      <c r="C984" s="2" t="s">
        <v>227</v>
      </c>
    </row>
    <row r="985" spans="1:3" x14ac:dyDescent="0.2">
      <c r="A985" s="2">
        <v>983</v>
      </c>
      <c r="B985" s="2">
        <f t="shared" ca="1" si="15"/>
        <v>0.50971284603236666</v>
      </c>
      <c r="C985" s="2" t="s">
        <v>227</v>
      </c>
    </row>
    <row r="986" spans="1:3" x14ac:dyDescent="0.2">
      <c r="A986" s="2">
        <v>984</v>
      </c>
      <c r="B986" s="2">
        <f t="shared" ca="1" si="15"/>
        <v>0.56321618819978458</v>
      </c>
      <c r="C986" s="2" t="s">
        <v>226</v>
      </c>
    </row>
    <row r="987" spans="1:3" x14ac:dyDescent="0.2">
      <c r="A987" s="2">
        <v>985</v>
      </c>
      <c r="B987" s="2">
        <f t="shared" ca="1" si="15"/>
        <v>0.68467406734296865</v>
      </c>
      <c r="C987" s="2" t="s">
        <v>226</v>
      </c>
    </row>
    <row r="988" spans="1:3" x14ac:dyDescent="0.2">
      <c r="A988" s="2">
        <v>986</v>
      </c>
      <c r="B988" s="2">
        <f t="shared" ca="1" si="15"/>
        <v>0.85353898220069946</v>
      </c>
      <c r="C988" s="2" t="s">
        <v>227</v>
      </c>
    </row>
    <row r="989" spans="1:3" x14ac:dyDescent="0.2">
      <c r="A989" s="2">
        <v>987</v>
      </c>
      <c r="B989" s="2">
        <f t="shared" ca="1" si="15"/>
        <v>0.52096431142327781</v>
      </c>
      <c r="C989" s="2" t="s">
        <v>226</v>
      </c>
    </row>
    <row r="990" spans="1:3" x14ac:dyDescent="0.2">
      <c r="A990" s="2">
        <v>988</v>
      </c>
      <c r="B990" s="2">
        <f t="shared" ca="1" si="15"/>
        <v>0.65015783864887289</v>
      </c>
      <c r="C990" s="2" t="s">
        <v>226</v>
      </c>
    </row>
    <row r="991" spans="1:3" x14ac:dyDescent="0.2">
      <c r="A991" s="2">
        <v>989</v>
      </c>
      <c r="B991" s="2">
        <f t="shared" ca="1" si="15"/>
        <v>0.77476651582737621</v>
      </c>
      <c r="C991" s="2" t="s">
        <v>227</v>
      </c>
    </row>
    <row r="992" spans="1:3" x14ac:dyDescent="0.2">
      <c r="A992" s="2">
        <v>990</v>
      </c>
      <c r="B992" s="2">
        <f t="shared" ca="1" si="15"/>
        <v>0.42840999405310642</v>
      </c>
      <c r="C992" s="2" t="s">
        <v>226</v>
      </c>
    </row>
    <row r="993" spans="1:3" x14ac:dyDescent="0.2">
      <c r="A993" s="2">
        <v>991</v>
      </c>
      <c r="B993" s="2">
        <f t="shared" ca="1" si="15"/>
        <v>0.69859524432621645</v>
      </c>
      <c r="C993" s="2" t="s">
        <v>227</v>
      </c>
    </row>
    <row r="994" spans="1:3" x14ac:dyDescent="0.2">
      <c r="A994" s="2">
        <v>992</v>
      </c>
      <c r="B994" s="2">
        <f t="shared" ca="1" si="15"/>
        <v>0.31660362014289889</v>
      </c>
      <c r="C994" s="2" t="s">
        <v>226</v>
      </c>
    </row>
    <row r="995" spans="1:3" x14ac:dyDescent="0.2">
      <c r="A995" s="2">
        <v>993</v>
      </c>
      <c r="B995" s="2">
        <f t="shared" ca="1" si="15"/>
        <v>0.76686191468021481</v>
      </c>
      <c r="C995" s="2" t="s">
        <v>227</v>
      </c>
    </row>
    <row r="996" spans="1:3" x14ac:dyDescent="0.2">
      <c r="A996" s="2">
        <v>994</v>
      </c>
      <c r="B996" s="2">
        <f t="shared" ca="1" si="15"/>
        <v>0.59209736963871196</v>
      </c>
      <c r="C996" s="2" t="s">
        <v>227</v>
      </c>
    </row>
    <row r="997" spans="1:3" x14ac:dyDescent="0.2">
      <c r="A997" s="2">
        <v>995</v>
      </c>
      <c r="B997" s="2">
        <f t="shared" ca="1" si="15"/>
        <v>0.80272990122033661</v>
      </c>
      <c r="C997" s="2" t="s">
        <v>226</v>
      </c>
    </row>
    <row r="998" spans="1:3" x14ac:dyDescent="0.2">
      <c r="A998" s="2">
        <v>996</v>
      </c>
      <c r="B998" s="2">
        <f t="shared" ca="1" si="15"/>
        <v>0.61328137888993917</v>
      </c>
      <c r="C998" s="2" t="s">
        <v>227</v>
      </c>
    </row>
    <row r="999" spans="1:3" x14ac:dyDescent="0.2">
      <c r="A999" s="2">
        <v>997</v>
      </c>
      <c r="B999" s="2">
        <f t="shared" ca="1" si="15"/>
        <v>0.79377745424960522</v>
      </c>
      <c r="C999" s="2" t="s">
        <v>226</v>
      </c>
    </row>
    <row r="1000" spans="1:3" x14ac:dyDescent="0.2">
      <c r="A1000" s="2">
        <v>998</v>
      </c>
      <c r="B1000" s="2">
        <f t="shared" ca="1" si="15"/>
        <v>0.54426115013346799</v>
      </c>
      <c r="C1000" s="2" t="s">
        <v>226</v>
      </c>
    </row>
    <row r="1001" spans="1:3" x14ac:dyDescent="0.2">
      <c r="A1001" s="2">
        <v>999</v>
      </c>
      <c r="B1001" s="2">
        <f t="shared" ca="1" si="15"/>
        <v>0.54948496631053834</v>
      </c>
      <c r="C1001" s="2" t="s">
        <v>226</v>
      </c>
    </row>
    <row r="1002" spans="1:3" x14ac:dyDescent="0.2">
      <c r="A1002" s="2">
        <v>1000</v>
      </c>
      <c r="B1002" s="2">
        <f t="shared" ca="1" si="15"/>
        <v>0.56893837813200487</v>
      </c>
      <c r="C1002" s="2" t="s">
        <v>226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0F27-EAF3-B243-A807-9364641E7A3C}">
  <sheetPr codeName="Sheet6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231</v>
      </c>
      <c r="C2" s="2" t="s">
        <v>10</v>
      </c>
    </row>
    <row r="3" spans="1:3" x14ac:dyDescent="0.2">
      <c r="A3" s="2">
        <v>1</v>
      </c>
      <c r="B3" s="2">
        <f ca="1">IF(C3="Bomb",_xlfn.NORM.INV(RAND(),0.7,0.07),1-_xlfn.NORM.INV(RAND(),0.7,0.07))</f>
        <v>0.60137841613366905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129</v>
      </c>
    </row>
    <row r="4" spans="2:4" x14ac:dyDescent="0.3">
      <c r="B4" s="1" t="s">
        <v>130</v>
      </c>
    </row>
    <row r="5" spans="2:4" x14ac:dyDescent="0.3">
      <c r="B5" s="6" t="s">
        <v>137</v>
      </c>
    </row>
    <row r="6" spans="2:4" x14ac:dyDescent="0.3">
      <c r="B6" s="6"/>
    </row>
    <row r="7" spans="2:4" x14ac:dyDescent="0.3">
      <c r="C7" s="1" t="s">
        <v>135</v>
      </c>
    </row>
    <row r="8" spans="2:4" x14ac:dyDescent="0.3">
      <c r="C8" s="1">
        <v>2.2999999999999998</v>
      </c>
      <c r="D8" s="1" t="s">
        <v>131</v>
      </c>
    </row>
    <row r="9" spans="2:4" x14ac:dyDescent="0.3">
      <c r="C9" s="1">
        <v>3.1</v>
      </c>
      <c r="D9" s="1" t="s">
        <v>132</v>
      </c>
    </row>
    <row r="10" spans="2:4" x14ac:dyDescent="0.3">
      <c r="C10" s="1">
        <v>3.2</v>
      </c>
      <c r="D10" s="1" t="s">
        <v>133</v>
      </c>
    </row>
    <row r="12" spans="2:4" x14ac:dyDescent="0.3">
      <c r="C12" s="1" t="s">
        <v>136</v>
      </c>
    </row>
    <row r="13" spans="2:4" x14ac:dyDescent="0.3">
      <c r="C13" s="1">
        <v>3.5</v>
      </c>
      <c r="D13" s="1" t="s">
        <v>3</v>
      </c>
    </row>
    <row r="14" spans="2:4" x14ac:dyDescent="0.3">
      <c r="C14" s="1">
        <v>2.2000000000000002</v>
      </c>
      <c r="D14" s="1" t="s">
        <v>134</v>
      </c>
    </row>
    <row r="16" spans="2:4" x14ac:dyDescent="0.3">
      <c r="B16" s="1" t="s">
        <v>138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4" x14ac:dyDescent="0.3">
      <c r="C2" s="1" t="s">
        <v>139</v>
      </c>
      <c r="D2" s="1" t="s">
        <v>140</v>
      </c>
    </row>
    <row r="3" spans="2:4" x14ac:dyDescent="0.3">
      <c r="B3" s="1">
        <v>1</v>
      </c>
      <c r="C3" s="1" t="s">
        <v>237</v>
      </c>
      <c r="D3" s="1">
        <v>15</v>
      </c>
    </row>
    <row r="4" spans="2:4" x14ac:dyDescent="0.3">
      <c r="B4" s="1">
        <v>2</v>
      </c>
      <c r="C4" s="1" t="s">
        <v>113</v>
      </c>
      <c r="D4" s="1">
        <v>15</v>
      </c>
    </row>
    <row r="5" spans="2:4" x14ac:dyDescent="0.3">
      <c r="B5" s="1">
        <v>3</v>
      </c>
      <c r="C5" s="1" t="s">
        <v>13</v>
      </c>
      <c r="D5" s="1">
        <v>20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</v>
      </c>
    </row>
    <row r="3" spans="1:3" x14ac:dyDescent="0.3">
      <c r="C3" s="1" t="s">
        <v>192</v>
      </c>
    </row>
    <row r="4" spans="1:3" x14ac:dyDescent="0.3">
      <c r="C4" s="1" t="s">
        <v>178</v>
      </c>
    </row>
    <row r="5" spans="1:3" x14ac:dyDescent="0.3">
      <c r="B5" s="1" t="s">
        <v>14</v>
      </c>
    </row>
    <row r="6" spans="1:3" x14ac:dyDescent="0.3">
      <c r="B6" s="1" t="s">
        <v>179</v>
      </c>
    </row>
    <row r="7" spans="1:3" x14ac:dyDescent="0.3">
      <c r="A7" s="1">
        <v>1</v>
      </c>
      <c r="B7" s="1" t="s">
        <v>2</v>
      </c>
    </row>
    <row r="8" spans="1:3" x14ac:dyDescent="0.3">
      <c r="A8" s="1">
        <v>2</v>
      </c>
      <c r="B8" s="1" t="s">
        <v>191</v>
      </c>
    </row>
    <row r="9" spans="1:3" x14ac:dyDescent="0.3">
      <c r="B9" s="1" t="s">
        <v>141</v>
      </c>
    </row>
    <row r="10" spans="1:3" x14ac:dyDescent="0.3">
      <c r="B10" s="1" t="s">
        <v>190</v>
      </c>
    </row>
    <row r="11" spans="1:3" x14ac:dyDescent="0.3">
      <c r="B11" s="1" t="s">
        <v>180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126</v>
      </c>
    </row>
    <row r="4" spans="1:2" x14ac:dyDescent="0.3">
      <c r="B4" s="1" t="s">
        <v>127</v>
      </c>
    </row>
    <row r="5" spans="1:2" x14ac:dyDescent="0.3">
      <c r="B5" s="1" t="s">
        <v>179</v>
      </c>
    </row>
    <row r="6" spans="1:2" x14ac:dyDescent="0.3">
      <c r="A6" s="13">
        <v>1</v>
      </c>
      <c r="B6" s="13" t="s">
        <v>2</v>
      </c>
    </row>
    <row r="7" spans="1:2" x14ac:dyDescent="0.3">
      <c r="A7" s="13">
        <v>2</v>
      </c>
      <c r="B7" s="13" t="s">
        <v>128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4256C-AA59-B84A-8A87-ECEEC85729E0}">
  <sheetPr codeName="Sheet45">
    <tabColor rgb="FFFFFF00"/>
  </sheetPr>
  <dimension ref="A2:B21"/>
  <sheetViews>
    <sheetView workbookViewId="0">
      <selection activeCell="B18" sqref="B18"/>
    </sheetView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233</v>
      </c>
    </row>
    <row r="3" spans="1:2" s="35" customFormat="1" x14ac:dyDescent="0.3">
      <c r="A3" s="1"/>
    </row>
    <row r="4" spans="1:2" s="35" customFormat="1" x14ac:dyDescent="0.3">
      <c r="A4" s="1"/>
    </row>
    <row r="5" spans="1:2" s="35" customFormat="1" x14ac:dyDescent="0.3">
      <c r="A5" s="1"/>
    </row>
    <row r="6" spans="1:2" x14ac:dyDescent="0.3">
      <c r="A6" s="1">
        <v>2</v>
      </c>
      <c r="B6" s="1" t="s">
        <v>234</v>
      </c>
    </row>
    <row r="7" spans="1:2" s="35" customFormat="1" x14ac:dyDescent="0.3">
      <c r="A7" s="1"/>
    </row>
    <row r="8" spans="1:2" s="35" customFormat="1" x14ac:dyDescent="0.3">
      <c r="A8" s="1"/>
    </row>
    <row r="9" spans="1:2" s="35" customFormat="1" x14ac:dyDescent="0.3">
      <c r="A9" s="1"/>
    </row>
    <row r="10" spans="1:2" x14ac:dyDescent="0.3">
      <c r="A10" s="1">
        <v>3</v>
      </c>
      <c r="B10" s="1" t="s">
        <v>235</v>
      </c>
    </row>
    <row r="11" spans="1:2" s="35" customFormat="1" x14ac:dyDescent="0.3">
      <c r="A11" s="1"/>
    </row>
    <row r="12" spans="1:2" s="35" customFormat="1" x14ac:dyDescent="0.3">
      <c r="A12" s="1"/>
    </row>
    <row r="13" spans="1:2" s="35" customFormat="1" x14ac:dyDescent="0.3">
      <c r="A13" s="1"/>
    </row>
    <row r="14" spans="1:2" x14ac:dyDescent="0.3">
      <c r="A14" s="1">
        <v>4</v>
      </c>
      <c r="B14" s="1" t="s">
        <v>236</v>
      </c>
    </row>
    <row r="15" spans="1:2" s="35" customFormat="1" x14ac:dyDescent="0.3">
      <c r="A15" s="1"/>
    </row>
    <row r="16" spans="1:2" s="35" customFormat="1" x14ac:dyDescent="0.3">
      <c r="A16" s="1"/>
    </row>
    <row r="17" spans="1:2" s="35" customFormat="1" x14ac:dyDescent="0.3">
      <c r="A17" s="1"/>
    </row>
    <row r="18" spans="1:2" x14ac:dyDescent="0.3">
      <c r="A18" s="1">
        <v>5</v>
      </c>
      <c r="B18" s="1" t="s">
        <v>241</v>
      </c>
    </row>
    <row r="19" spans="1:2" s="35" customFormat="1" x14ac:dyDescent="0.3">
      <c r="A19" s="1"/>
    </row>
    <row r="20" spans="1:2" s="35" customFormat="1" x14ac:dyDescent="0.3">
      <c r="A20" s="1"/>
    </row>
    <row r="21" spans="1:2" s="35" customFormat="1" x14ac:dyDescent="0.3">
      <c r="A21" s="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152</v>
      </c>
      <c r="B1" t="s">
        <v>151</v>
      </c>
      <c r="C1" t="s">
        <v>150</v>
      </c>
      <c r="D1" t="s">
        <v>149</v>
      </c>
      <c r="E1" t="s">
        <v>148</v>
      </c>
      <c r="F1" t="s">
        <v>147</v>
      </c>
      <c r="G1" t="s">
        <v>146</v>
      </c>
    </row>
    <row r="2" spans="1:7" x14ac:dyDescent="0.2">
      <c r="A2">
        <v>12500</v>
      </c>
      <c r="B2">
        <v>0.17269999999999999</v>
      </c>
      <c r="C2" t="s">
        <v>142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142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144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142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142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144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144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142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142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142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142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144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142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144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142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142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142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144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142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142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142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142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144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144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143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143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142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142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142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142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142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144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142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142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142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142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142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144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142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142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143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142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142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143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142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142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144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143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142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142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143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142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144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143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142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144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144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144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144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144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142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143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144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142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142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142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144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144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142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144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144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142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142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142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142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144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142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144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143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142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143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144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142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142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142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142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142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144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144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142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142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142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142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144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142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142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143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144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142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142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142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142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143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144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142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142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142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142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142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142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142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142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142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142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142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142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142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142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144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143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142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144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142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142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142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144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143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142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142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142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144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144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142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144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142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144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144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144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144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142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142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142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144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144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144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144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144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142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142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143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144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144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144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144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142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144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144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142</v>
      </c>
      <c r="D159" s="14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144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144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144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144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143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144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144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142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142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144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144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144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144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142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144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144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144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142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142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142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144</v>
      </c>
      <c r="D180" s="14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144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142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142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144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144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142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144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144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142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142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144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143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144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143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142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143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144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144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144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142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142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143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143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142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144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144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142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142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142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142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144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144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144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143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144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142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144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144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144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142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144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142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144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144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144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144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144</v>
      </c>
      <c r="D227" s="14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144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144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143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142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144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144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143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144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143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144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142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144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142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144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142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144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144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142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144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142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142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142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144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144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142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144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144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144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144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144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144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144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144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142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142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142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144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144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142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144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142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144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142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144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143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142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144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144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144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144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144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144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143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142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144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144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142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142</v>
      </c>
      <c r="D285" s="14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142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143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142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144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144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142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142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144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144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142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144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144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142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142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143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142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142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144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144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142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144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144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142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144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142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142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144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144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142</v>
      </c>
      <c r="D314" s="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143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144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142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144</v>
      </c>
      <c r="D318" s="14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142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144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142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144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144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144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142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142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144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144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144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144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142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142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142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142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144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144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144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144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142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144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144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144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144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144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142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144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142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144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142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144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144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142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144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144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144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144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142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144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144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142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142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144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144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144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144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142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142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144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144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144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142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144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144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142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142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144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144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144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144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142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142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144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144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144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142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143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142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144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144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142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144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144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144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142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144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142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143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142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144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144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143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144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142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144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144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143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144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142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142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142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144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143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142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144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142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144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142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144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144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144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144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144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142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144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144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144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142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142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144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142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144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142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144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144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142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142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142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142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144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142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144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144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144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142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142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144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142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142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142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142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144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142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142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144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144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142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144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144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144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142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144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142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144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142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144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142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144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144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142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144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142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144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144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144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144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144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143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144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143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144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142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144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144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142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143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144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144</v>
      </c>
      <c r="D487" s="14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142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143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142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144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142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142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144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144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144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144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144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144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142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144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144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144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142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142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144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144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144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144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142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142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144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142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142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142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144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142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142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144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144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142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144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143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144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144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142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142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144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142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142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144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142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142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142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144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144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144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144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144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142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144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144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144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142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143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144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144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142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142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144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142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144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144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142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142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144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144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144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143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142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144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142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142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144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142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142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142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142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144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144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142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142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142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143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142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144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142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144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144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144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142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142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143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144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142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143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142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142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142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144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142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144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144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143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142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144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142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142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144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144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142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144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142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142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142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142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144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142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142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144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142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144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142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142</v>
      </c>
      <c r="D614" s="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144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144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142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142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144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142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142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142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143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144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142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142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144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144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142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142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144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144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142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144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142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143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143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142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143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142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144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142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142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144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142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142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142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142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143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144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144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142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142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144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142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144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144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144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142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144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144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144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142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144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144</v>
      </c>
      <c r="D665" s="14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144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143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144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144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142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142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144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144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144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144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142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142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144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144</v>
      </c>
      <c r="D679" s="14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143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142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144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144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142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143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143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142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142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144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144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143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142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143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144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142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144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143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142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143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143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144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144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142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144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144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142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144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144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142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144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144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142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143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142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142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142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144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142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144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144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143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144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142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144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142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144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144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144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144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142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142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142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144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142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142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143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142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144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144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144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143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142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144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144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142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142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142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142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142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144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144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142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142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142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143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143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144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144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142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142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143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142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143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142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143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144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142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142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142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142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142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142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144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144</v>
      </c>
      <c r="D774" s="1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144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142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142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144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144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142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142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142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142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142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144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142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144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142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142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144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143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142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142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142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144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142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144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144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142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144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144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142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142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144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142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142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142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144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142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144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142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144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143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142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144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142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143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144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142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144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143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143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144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144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142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142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144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142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142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142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142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142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142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144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144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144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142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143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144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142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144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142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142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143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144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144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144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142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144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142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142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144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144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142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144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142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144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144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142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142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142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142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144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142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144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144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144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144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142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143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142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144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142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142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142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144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142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142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142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142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144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144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144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144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142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142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144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144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144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142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144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144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142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142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142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142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144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144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142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144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144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144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143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144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142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144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143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144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142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142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144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144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144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144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144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143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142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144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142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142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143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142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142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143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142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144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142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142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144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142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143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142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143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142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142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144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144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142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142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144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144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142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144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144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144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144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144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142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142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142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144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142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142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142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142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142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143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144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144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144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144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144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142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142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142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144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144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142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142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142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144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144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142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142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144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142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144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143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144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142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144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144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142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144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142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142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142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144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144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143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142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142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142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142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144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142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144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142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144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144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142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144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144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144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142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144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142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142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142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144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143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144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144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142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142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144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142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142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144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144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142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144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142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144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144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144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142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142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144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144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142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144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142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144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144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144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142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142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144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144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144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143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144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142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142</v>
      </c>
      <c r="D1045" s="14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142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144</v>
      </c>
      <c r="D1047" s="14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144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143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142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142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142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142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144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144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144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142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144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143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142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142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142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144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142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143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144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142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144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142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144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142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144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142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144</v>
      </c>
      <c r="D1074" s="1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142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144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144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144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144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144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144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142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142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143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144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142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144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144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142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144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142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144</v>
      </c>
      <c r="D1092" s="14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142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142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142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144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144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143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144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142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142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142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144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144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144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142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142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144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144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142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144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144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144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142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142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144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143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144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144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142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144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144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144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142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143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142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142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142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144</v>
      </c>
      <c r="D1129" s="14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142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144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143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142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144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142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144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144</v>
      </c>
      <c r="D1137" s="14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142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142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143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143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144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142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142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144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144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144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144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144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142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144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144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144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142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142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142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144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142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142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144</v>
      </c>
      <c r="D1160" s="14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144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144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144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144</v>
      </c>
      <c r="D1164" s="1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142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142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144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142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144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142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144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142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142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142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142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142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144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144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142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144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144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144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144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144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144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144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142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142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142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144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142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144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142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142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144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144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144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144</v>
      </c>
      <c r="D1198" s="14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142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144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142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142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142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142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144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142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142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144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144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143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144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144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144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143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144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144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142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142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144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142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144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144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144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142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144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144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142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143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144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142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144</v>
      </c>
      <c r="D1231" s="14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144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142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144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142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144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142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144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144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142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144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144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144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142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144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144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144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142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142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142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144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142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142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142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142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144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144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142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142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142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142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142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142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142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144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144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143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144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142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142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142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142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144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142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142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144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142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143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142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142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142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144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144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144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144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142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142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143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144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142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144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144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144</v>
      </c>
      <c r="D1293" s="14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142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142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144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144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144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142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143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142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142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144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142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142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142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142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144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142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144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144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142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144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144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142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144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142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142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144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142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142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144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144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144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144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142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144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144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142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142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144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144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144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142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144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142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142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144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142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143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144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144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144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144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142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142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142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144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144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142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143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144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144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142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144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144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144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143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142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144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144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144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143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142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144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142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142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142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144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142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143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144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142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144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144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142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142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142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144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142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142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144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144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144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144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142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142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142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142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144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142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142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142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142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142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144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142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144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142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142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142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144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144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144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144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144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144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142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142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143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142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142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142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144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142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144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142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144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142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144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142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144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144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142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144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142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142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144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144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142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144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144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144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142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142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142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142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144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144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142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144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142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144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144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142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144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142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144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142</v>
      </c>
      <c r="D1449" s="14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142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143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142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142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144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142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143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144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142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144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144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144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144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142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144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142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144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142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142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142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144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144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143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144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142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142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144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142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142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144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142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144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144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143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142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144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142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142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144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144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143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144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142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142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142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144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144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142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142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142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144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142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142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144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142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142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142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142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143</v>
      </c>
      <c r="D1508" s="14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142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142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142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143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142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142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142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142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144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143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144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142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144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144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142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142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142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144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144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142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142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143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144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144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144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142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142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144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144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142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144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143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144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144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142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142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142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144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143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144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144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144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143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144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144</v>
      </c>
      <c r="D1553" s="14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142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142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142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142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144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142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142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144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142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143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142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142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142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142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142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142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144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144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144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144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142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142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142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142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143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143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142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143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142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142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142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142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142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143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144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142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142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144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142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143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142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142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144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142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144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144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142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142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142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142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144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142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142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142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144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144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142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142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144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142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144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142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142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143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144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142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144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144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143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144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144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142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142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142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144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142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144</v>
      </c>
      <c r="D1630" s="14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144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142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142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144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142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142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144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145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142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142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142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142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142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142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144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144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142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144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142</v>
      </c>
      <c r="D1649" s="14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142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142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142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144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142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144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142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144</v>
      </c>
      <c r="D1657" s="14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142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142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144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142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142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142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142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142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142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144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143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142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144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142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144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144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142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142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142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144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144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144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144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142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142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142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142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142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143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142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142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142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144</v>
      </c>
      <c r="D1690" s="14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142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144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144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142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142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142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142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142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142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144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144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142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142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144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142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142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144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142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144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142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144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142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142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144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142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144</v>
      </c>
      <c r="D1716" s="14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144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144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142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144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144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142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144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142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144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144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143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144</v>
      </c>
      <c r="D1728" s="14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142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145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142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142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142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144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143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142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144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144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144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144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143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142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144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144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144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142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142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144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142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142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144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144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142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143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142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144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142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144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142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142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144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142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144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144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142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142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144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142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142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142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142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144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142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142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142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144</v>
      </c>
      <c r="D1776" s="14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144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142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142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142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142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143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144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142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144</v>
      </c>
      <c r="D1785" s="14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142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144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145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142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144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145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143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142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144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142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142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142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144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142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142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142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142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142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144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142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143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142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142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144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144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144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142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142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142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144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142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144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143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143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144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144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142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142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142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144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142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142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142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142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144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142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142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144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142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142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142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142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142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144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144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144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142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142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144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143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142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142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142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142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142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142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143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142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142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142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142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142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142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144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142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144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142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142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144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142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142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144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145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144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142</v>
      </c>
      <c r="D1870" s="14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144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144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143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142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143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142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142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142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142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142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142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144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144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142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143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143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142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142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142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142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142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142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142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142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142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144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144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142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142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144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144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143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142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144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143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144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144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142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142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144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142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144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144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144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143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144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143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143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144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144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144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144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142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142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144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142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144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144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144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144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144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142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142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142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142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144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142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144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142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142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144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142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142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144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144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142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142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142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144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142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142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142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144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142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142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144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144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144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144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144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144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142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142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143</v>
      </c>
      <c r="D1964" s="1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142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144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144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144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144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144</v>
      </c>
      <c r="D1970" s="14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144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144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142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144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142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144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144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142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143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142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144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142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142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144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144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142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142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142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142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143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144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144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142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144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144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142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144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144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144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142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142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144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143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144</v>
      </c>
      <c r="D2004" s="1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142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143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144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144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143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142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144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144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143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143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142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144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144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144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144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144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144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144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142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144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142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142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144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142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144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142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143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143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143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142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144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142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142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143</v>
      </c>
      <c r="D2038" s="14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142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144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142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142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144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144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144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142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144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144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142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144</v>
      </c>
      <c r="D2050" s="14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144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144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142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144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144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142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144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144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142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144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142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144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142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142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144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142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142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142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142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144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144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142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142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144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144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144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142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144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142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144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142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142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142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142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142</v>
      </c>
      <c r="D2085" s="14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142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142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144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144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144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142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144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144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142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144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142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144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144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144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142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142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144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142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144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144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144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143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142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144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144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142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144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144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144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144</v>
      </c>
      <c r="D2115" s="14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142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144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142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144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144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142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142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144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144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142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144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144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143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144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144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142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144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144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142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144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142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142</v>
      </c>
      <c r="D2137" s="14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144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144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144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144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143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142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144</v>
      </c>
      <c r="D2144" s="1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142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142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144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144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144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142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142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143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142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144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144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144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142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142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142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142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144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142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142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144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143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144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144</v>
      </c>
      <c r="D2167" s="14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142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144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144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143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144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142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142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142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144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142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144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144</v>
      </c>
      <c r="D2179" s="14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142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142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142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142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142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142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142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143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144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143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144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144</v>
      </c>
      <c r="D2191" s="14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144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142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144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144</v>
      </c>
      <c r="D2195" s="14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144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142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142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144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143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142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142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144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144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143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144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143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142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142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144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144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144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144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144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143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143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144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144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144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144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142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144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142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144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144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144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144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142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143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144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144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144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142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143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144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144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144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144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144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142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144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142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144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142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144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144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144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142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144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144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144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144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142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142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142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144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142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143</v>
      </c>
      <c r="D2258" s="14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144</v>
      </c>
      <c r="D2259" s="14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144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144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142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142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143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142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144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144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144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144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142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143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142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142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142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144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144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142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144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143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144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142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142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143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143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144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143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142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144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144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144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144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144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144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144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144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142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143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142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144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142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143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144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144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144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142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144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142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144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144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144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144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142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144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143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144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144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143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144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143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142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142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142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144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144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144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142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142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144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144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142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142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144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142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143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143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142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144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142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142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143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143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142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144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143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142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142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142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142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143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144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144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142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144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142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144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144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144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142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144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142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142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143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144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144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144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144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144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142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143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142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142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144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142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142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144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142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142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144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144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144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142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144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142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142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142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144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144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144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142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144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144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144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144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144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144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144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144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144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142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144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142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144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143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142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144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144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144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144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142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144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143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142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144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142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142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144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144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144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142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144</v>
      </c>
      <c r="D2420" s="14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142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142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144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144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142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144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142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144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144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144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142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142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144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142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144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142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144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142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144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142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142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142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144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142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144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142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144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142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142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144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144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142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144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144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144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144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142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144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144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142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142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142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142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143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142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142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144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142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144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144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144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144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144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144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142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144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144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142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144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144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144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142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144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144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142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144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144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144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144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142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143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142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142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142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144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142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144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142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144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144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144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144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142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144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143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144</v>
      </c>
      <c r="D2506" s="14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144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144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144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144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142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142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144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142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144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143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144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142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143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142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144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142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142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144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144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142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144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144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142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143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144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142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142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144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144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142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144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144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144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144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144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144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142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144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142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144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144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143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144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144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144</v>
      </c>
      <c r="D2551" s="14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144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142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144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144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142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142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144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143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142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142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143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144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144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144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142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144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142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144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142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144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142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142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142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144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144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144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144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142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143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142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142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143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143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142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144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142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142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144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144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144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143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142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142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144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144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142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142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142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144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144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144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144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142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144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144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144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144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144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144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142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142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144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142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144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144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144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142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142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144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142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144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144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144</v>
      </c>
      <c r="D2624" s="1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144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142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142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142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142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142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144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142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142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142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144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142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143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142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143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142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142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144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144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142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143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142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142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142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144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144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144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142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144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144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143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143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144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144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142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142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144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144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144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144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144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144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143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144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144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144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142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144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144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142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143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142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142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143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143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143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142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144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144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144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144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144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144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143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144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144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144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144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142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142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144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142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142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142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142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143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142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142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142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143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144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144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142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142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142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143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142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142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144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142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142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142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144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142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144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144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142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144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142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144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144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144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144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144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144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142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142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142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142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142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142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142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144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144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144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142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143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142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144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142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144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142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144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144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143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142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144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143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142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142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144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143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144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142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142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144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144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143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142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142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144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142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144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144</v>
      </c>
      <c r="D2768" s="14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142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144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144</v>
      </c>
      <c r="D2771" s="14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142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144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144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142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144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142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142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144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142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142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144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143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142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142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144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144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142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144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144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144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142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142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144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144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144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144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144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143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144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144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144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144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142</v>
      </c>
      <c r="D2804" s="1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142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144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143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142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144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144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144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144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142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144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144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144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144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144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144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142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144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144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142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144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144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144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144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144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144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144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142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144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144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142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142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142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144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144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142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144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142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144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143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143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144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142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144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144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142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144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142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142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144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144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142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142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142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142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142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144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144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144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144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142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144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142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142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144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143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144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142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142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144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144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144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144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142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142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142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143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144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144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144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144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142</v>
      </c>
      <c r="D2885" s="14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144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144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144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144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143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144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144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144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142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144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142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142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144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142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142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144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142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142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144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144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142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144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144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142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144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144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144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143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144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144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144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144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142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144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144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144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142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142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144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144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144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144</v>
      </c>
      <c r="D2927" s="14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142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144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144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142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144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143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143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142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144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144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144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144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142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144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142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142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144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144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142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144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144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144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143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142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144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142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142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143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144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142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144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142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142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142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142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144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142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144</v>
      </c>
      <c r="D2965" s="14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142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144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143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143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144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142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144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142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142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144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143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142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144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142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144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144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142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142</v>
      </c>
      <c r="D2983" s="14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144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144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142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142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144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144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142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144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144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142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142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144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142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143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142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144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143</v>
      </c>
      <c r="D3000" s="14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144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144</v>
      </c>
      <c r="D3002" s="14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142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144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144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144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144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142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142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144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143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142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142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142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144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142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142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142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142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144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144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144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144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144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144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142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143</v>
      </c>
      <c r="D3027" s="14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142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142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142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142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142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142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144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144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144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144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142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144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144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142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144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144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142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144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144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144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143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144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144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143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142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144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142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144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142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142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143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142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144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142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143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144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144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142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144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144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142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142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144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143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142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142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144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144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143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144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143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144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144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144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142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144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143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144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144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142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144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144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144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144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142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144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142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142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142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144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142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143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142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144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144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144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142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143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144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144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144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144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142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144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144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142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144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144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142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142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144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144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144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144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144</v>
      </c>
      <c r="D3122" s="14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142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144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144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144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144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144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144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142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144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144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142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144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142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144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144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144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142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144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144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143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144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144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144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142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144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142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144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144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142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144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142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144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144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144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144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144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144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142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144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143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142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142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142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144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144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144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142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142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144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144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144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144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142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142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144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144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143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142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142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144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142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144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143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142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144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142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144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142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142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142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144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144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142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142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142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144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142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142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142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143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144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144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144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144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142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142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144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142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143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144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142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143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142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142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144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144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142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144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144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142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142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142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144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142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144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143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144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143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144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144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144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144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142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144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142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142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144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144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144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144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144</v>
      </c>
      <c r="D3243" s="14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142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144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142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144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142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142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144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144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144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142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144</v>
      </c>
      <c r="D3254" s="1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144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144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142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142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144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142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144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144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144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144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142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142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144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142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143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144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144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144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142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144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142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142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142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144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142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144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142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142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144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142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144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144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144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144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144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144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144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144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144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142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142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142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142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142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142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144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144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142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144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142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142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144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142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144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144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144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144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144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144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144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142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144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144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144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142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144</v>
      </c>
      <c r="D3320" s="14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144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144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142</v>
      </c>
      <c r="D3323" s="14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142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144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142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142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143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142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142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144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144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142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144</v>
      </c>
      <c r="D3334" s="1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142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144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144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142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142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144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144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142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142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143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144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144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144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144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144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144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144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144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144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142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142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142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142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142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142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144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142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142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143</v>
      </c>
      <c r="D3363" s="14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143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144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144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142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142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142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143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144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144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142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142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144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142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144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142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144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142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144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142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142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144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144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142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144</v>
      </c>
      <c r="D3387" s="14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142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144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144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142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144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144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144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144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144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144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144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142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142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144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144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144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144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144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144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142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144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144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142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144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142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144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144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144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144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144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142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143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142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144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143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144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144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144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142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142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144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142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142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144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142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143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142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143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144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144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144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142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144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142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144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144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142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144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142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144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144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144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142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142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142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142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144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142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144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144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144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142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142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144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142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144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142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142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144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144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142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142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144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142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143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142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144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142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144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142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144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144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144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144</v>
      </c>
      <c r="D3481" s="14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144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144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144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142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142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144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142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142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143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142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144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144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142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144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144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144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144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142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144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142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142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143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144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144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144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142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144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142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144</v>
      </c>
      <c r="D3510" s="14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144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144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142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144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142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142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144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144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144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144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144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144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143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144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142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143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144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144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144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144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142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142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142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142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144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142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144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143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144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144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142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142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144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142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142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142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144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144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142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142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142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144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142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142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144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144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142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142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144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144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144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144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144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144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144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144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142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142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142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142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144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142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144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144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144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144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144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142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142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144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142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142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142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144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142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144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144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144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144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142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142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142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142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144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144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144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142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142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144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144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144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144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144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144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144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143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143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144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143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144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142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144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144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143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143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142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144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142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144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144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144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142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142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144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142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144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142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143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142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142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144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144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142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144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142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144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142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142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144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144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142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142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143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144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142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143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144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142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144</v>
      </c>
      <c r="D3649" s="14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142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142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143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144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144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144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142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142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144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142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144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143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144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144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142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144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144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142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142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142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142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144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144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142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144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144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142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144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144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142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144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142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142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142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142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142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144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144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144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142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142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143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144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144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143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142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142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143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142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142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142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144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142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144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142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144</v>
      </c>
      <c r="D3705" s="14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143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144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144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143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143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144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142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142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144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142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144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143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143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142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144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144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142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142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142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144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144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144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144</v>
      </c>
      <c r="D3728" s="14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142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142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144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142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142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144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144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142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142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144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142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144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144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143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144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144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144</v>
      </c>
      <c r="D3745" s="14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144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144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144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142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142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144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144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142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142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144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143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142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144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144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144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142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144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142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142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142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144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144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144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144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144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144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144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144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142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144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143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144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142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144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142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142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144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144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144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142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142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144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144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144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144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144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142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144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142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142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144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142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144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142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144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144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142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144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144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142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144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144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142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142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144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142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144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144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142</v>
      </c>
      <c r="D3814" s="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143</v>
      </c>
      <c r="D3815" s="14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142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142</v>
      </c>
      <c r="D3817" s="14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142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143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144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142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142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144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142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144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142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142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144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143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142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142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144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142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144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142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144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144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142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144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142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143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142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144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142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144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142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144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144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142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142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143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144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144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144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144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144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144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144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144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142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144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144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142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144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142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142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144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144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142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144</v>
      </c>
      <c r="D3870" s="14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142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144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144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144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143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144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144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144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142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142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142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144</v>
      </c>
      <c r="D3882" s="14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144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144</v>
      </c>
      <c r="D3884" s="1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144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144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142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143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144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144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144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142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142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142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142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142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142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142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144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142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142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143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142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144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142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142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142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144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144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142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142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143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144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142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142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144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142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144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142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143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142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144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144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142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142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142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144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144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144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143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143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144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142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142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142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142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144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144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144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144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142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142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144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144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144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142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144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144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142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144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144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144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144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144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142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142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144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142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143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142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144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144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142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142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142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142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144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144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142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143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142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142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142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144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144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144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142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144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142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144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142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142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142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144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142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144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144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142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142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144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142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143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144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142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144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142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144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142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144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142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144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144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142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143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142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144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142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143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144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142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144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142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144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142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144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142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142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144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142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144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142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142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143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144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144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144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143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144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143</v>
      </c>
      <c r="D4029" s="14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142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142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144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142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144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144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144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142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144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142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144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142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142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144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144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144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142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144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144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144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144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142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144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144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142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144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142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144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144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142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142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144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142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142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144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142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143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144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144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144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144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142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144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142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142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144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142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144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144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142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144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142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142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144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142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144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142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142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144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144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142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144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142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144</v>
      </c>
      <c r="D4093" s="14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142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144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142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142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142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142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142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142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142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144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144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144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142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144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142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144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142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143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142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144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142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144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144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143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142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144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144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144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144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142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143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144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142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143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142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144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144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144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144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143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142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142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142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142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144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142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144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142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144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142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142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142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142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144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144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144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142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144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144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144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144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144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142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144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144</v>
      </c>
      <c r="D4158" s="14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142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144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142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142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142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142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144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143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144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144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144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142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142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142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144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142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142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144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142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143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144</v>
      </c>
      <c r="D4179" s="14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144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144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144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142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144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142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142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142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142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142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142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142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143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142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144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142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142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142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142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144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142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142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144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142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144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144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142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142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142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144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142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142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142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144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144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144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144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142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144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142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142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144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144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144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142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142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144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144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142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143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142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144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143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144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142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144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142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142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144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142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144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144</v>
      </c>
      <c r="D4241" s="14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144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142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144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142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142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142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144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143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144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142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142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142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142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144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142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144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142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142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142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144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144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144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142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142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142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144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144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143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144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144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144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142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144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144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144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142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144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142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142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142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144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142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142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142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142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144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142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144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144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142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142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144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144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142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144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142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144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142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144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142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144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142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144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144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144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142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142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144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144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142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144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144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144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143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144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144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144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144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144</v>
      </c>
      <c r="D4320" s="14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144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142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144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142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144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142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144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144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144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143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144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144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144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144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144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142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142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144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142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143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144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142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144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144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142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143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142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142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144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144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144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144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142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143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144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142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142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144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142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144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144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142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143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142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144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142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142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144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144</v>
      </c>
      <c r="D4369" s="14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144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142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142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142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144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143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143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144</v>
      </c>
      <c r="D4377" s="14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144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142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144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142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142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142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144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144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144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142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144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144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142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143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144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144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142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142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142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144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142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144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142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144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142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144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143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144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142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143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144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144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144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144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144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142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142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144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142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142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142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142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144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144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144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142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144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142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143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142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142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143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142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144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142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142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142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142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144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144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142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144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144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144</v>
      </c>
      <c r="D4441" s="14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144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143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142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144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144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144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142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144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142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144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142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144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144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142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144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142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144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144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144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144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142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142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143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144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144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144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144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142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142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142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142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144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144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143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142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144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144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142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142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144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144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142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144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142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142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142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143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144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142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142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143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142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144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144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144</v>
      </c>
      <c r="D4496" s="14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144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142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142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143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142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142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144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144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144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144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144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142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142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142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142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142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142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144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142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142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144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142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144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142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142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142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142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144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144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143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144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144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144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144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144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142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144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144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142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142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142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144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143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142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143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144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143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144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144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144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144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144</v>
      </c>
      <c r="D4548" s="14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142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144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143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144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142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142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142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144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142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142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144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143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144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144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143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144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144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142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142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144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144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144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142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142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142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143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144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144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143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142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144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144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142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144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142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142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144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143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143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143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144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142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144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144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144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142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142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144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144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142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144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144</v>
      </c>
      <c r="D4600" s="14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143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144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144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142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144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143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142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144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144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144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142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142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144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142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144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142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143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142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144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144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142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142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144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142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144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144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144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144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143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142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144</v>
      </c>
      <c r="D4631" s="14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144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142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144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143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142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143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144</v>
      </c>
      <c r="D4638" s="14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144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142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142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142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144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143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144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143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144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142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142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142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142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143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144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144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142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142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144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142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142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144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142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144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144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142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142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142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142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142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142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143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142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142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144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144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144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142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144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144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144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142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142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144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144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142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144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142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144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144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142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142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144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142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142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143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142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144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144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144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142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142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142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144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144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144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144</v>
      </c>
      <c r="D4705" s="14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142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142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142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144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144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144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142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142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144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144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144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144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144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144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144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144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144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144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142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144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144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144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143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144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142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144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144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142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142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144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144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142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142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144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142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144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142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144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144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142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144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144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144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144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144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143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142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144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142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144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144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143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142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144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142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144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142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142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144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144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142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142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142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144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144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144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142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144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144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144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143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142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144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142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144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142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144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144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144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143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144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144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144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144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142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144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142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144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144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142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142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144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142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142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144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144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144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144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142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142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142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144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144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142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142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144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144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142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142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142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142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144</v>
      </c>
      <c r="D4817" s="14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142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142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144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143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144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142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144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142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144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142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144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144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142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144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144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144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144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144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144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144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144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144</v>
      </c>
      <c r="D4839" s="14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142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142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144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142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144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143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142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144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144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142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144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144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142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142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143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142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144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142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142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144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144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142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142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144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142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144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142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142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144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142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144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144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144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142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144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144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142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142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142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142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142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142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144</v>
      </c>
      <c r="D4882" s="14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142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144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144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144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144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144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144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143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142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144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144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142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142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142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142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144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142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144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144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142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142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142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144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142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144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142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144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142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144</v>
      </c>
      <c r="D4911" s="14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142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144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144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142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144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144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142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144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144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144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144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142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142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144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142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144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144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142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142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144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142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144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142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143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144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144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142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142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142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144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144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144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144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143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144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144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142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143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144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142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142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142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144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144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142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144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144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144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142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144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144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144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144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144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144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144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142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144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142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142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144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142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144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144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144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144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144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143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144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144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142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144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142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142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144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144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142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142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142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144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142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143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144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144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144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144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144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144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144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144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142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144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142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144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142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142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143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144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144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144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142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142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142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144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144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144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144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142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142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142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144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144</v>
      </c>
      <c r="D5023" s="14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144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144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142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144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142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144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144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144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142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144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144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142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144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142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143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144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143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144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142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142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142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144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144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144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142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144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144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142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144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142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144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142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144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144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142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142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142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144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144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143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144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142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144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144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144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143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142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144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144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144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142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142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144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142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144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144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142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144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142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144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144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144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142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144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144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144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144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144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144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142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142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144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144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144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144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142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142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142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142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142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142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143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142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144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144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142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142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144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142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144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143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144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142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143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143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143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144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142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144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144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144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142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144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142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144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144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142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144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144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142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144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144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144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144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144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144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144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143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144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143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144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143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142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142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142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142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144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144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144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144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144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142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142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142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142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144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142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144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144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144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144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144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142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142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142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142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144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142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144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142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144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143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142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142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144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142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142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142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142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144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144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144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142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142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144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142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144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144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144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142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142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142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144</v>
      </c>
      <c r="D5196" s="14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144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144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144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144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144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142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143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144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142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144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144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142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144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142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144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144</v>
      </c>
      <c r="D5212" s="14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144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142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144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142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144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144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144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142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142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144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142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143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142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142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142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142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144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144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142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142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144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142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144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144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144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142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142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144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144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144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144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142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144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144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142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144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142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142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142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144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142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142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144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144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144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144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142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142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142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142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144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142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144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144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144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144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142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144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142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144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144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142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144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142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144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144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144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144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142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144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144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144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143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143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144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144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144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142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144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143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142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144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144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144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142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144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144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142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142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142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142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142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144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144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142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144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142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142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144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142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144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142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142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142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144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142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144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144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142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142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142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142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144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144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144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144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144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142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142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144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143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142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144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144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144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142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144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144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144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142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144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142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144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144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144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144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144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144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142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144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142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144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144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144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142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144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142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144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144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144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142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142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144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142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144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142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144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144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144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144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142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144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144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144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142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144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144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144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142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144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144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144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142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142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142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144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142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144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142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144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143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142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142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142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144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142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144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144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144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144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142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142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144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142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144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144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142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144</v>
      </c>
      <c r="D5410" s="14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144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144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142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144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143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144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142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142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142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142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144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144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144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144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144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144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144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142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144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144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144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144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142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144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144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144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142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142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144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144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144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143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142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144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142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142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144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142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142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142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142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144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144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144</v>
      </c>
      <c r="D5454" s="1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142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144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142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144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144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142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143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144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144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144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144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142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142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142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144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142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144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142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143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144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143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142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143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142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144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142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142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142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142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144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144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142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142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142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142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144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144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144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144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144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144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144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142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144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142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144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144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143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142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144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142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142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144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142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144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144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144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144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144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142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142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142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144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144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142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144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144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144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144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144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144</v>
      </c>
      <c r="D5525" s="14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144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144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144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144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142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144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142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142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144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144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143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144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142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144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144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144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143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144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144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144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142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144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142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144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143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142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144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142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142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142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144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144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144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144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142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144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142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144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142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144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144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144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143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144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142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142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144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144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142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144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142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142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142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144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142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142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144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144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142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144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144</v>
      </c>
      <c r="D5586" s="14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143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142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144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142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142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142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142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142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143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143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142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142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144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144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142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144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144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144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142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144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144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142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144</v>
      </c>
      <c r="D5609" s="14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144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142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142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144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142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142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144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144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142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144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144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142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144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142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144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144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142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144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142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144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142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144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144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142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142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142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142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144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144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142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142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142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144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142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142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144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144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144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144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143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144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142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144</v>
      </c>
      <c r="D5652" s="14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142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144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144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142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144</v>
      </c>
      <c r="D5657" s="14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144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142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142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142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143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144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142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144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144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142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144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142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144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144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144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144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144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144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142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142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144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142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144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144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144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142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142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144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142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142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142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144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142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142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144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144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142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144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142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144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145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142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144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144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142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142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142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144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144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144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142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144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142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142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144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142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142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145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144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144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143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142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144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144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142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142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142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142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144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143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144</v>
      </c>
      <c r="D5728" s="14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142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144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142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144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142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144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144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144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144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142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144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144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144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142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142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142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143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142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142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142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144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142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144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144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143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144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144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142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144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142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144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142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142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144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144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144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144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142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142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142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145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145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142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142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142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144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142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142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144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144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142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144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144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144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144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142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142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142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144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144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142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144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144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142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144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142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142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144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144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142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143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142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142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142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144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144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144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142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142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144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142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143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144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144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143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144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144</v>
      </c>
      <c r="D5815" s="14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142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144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142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144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142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142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142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142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144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144</v>
      </c>
      <c r="D5825" s="14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142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144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143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142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142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144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144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143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142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144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144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143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142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144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144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143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144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143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142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142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144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144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144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142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144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142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144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144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142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142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143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142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143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142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142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142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142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142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142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142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144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144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143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144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142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144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144</v>
      </c>
      <c r="D5872" s="14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142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144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144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144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142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142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144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144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144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142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144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143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144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142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144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142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144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144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142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144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142</v>
      </c>
      <c r="D5893" s="14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142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142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144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144</v>
      </c>
      <c r="D5897" s="14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142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142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143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142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144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144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142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142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143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144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142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142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142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142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144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144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142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142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144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144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144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143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142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144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142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144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142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142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144</v>
      </c>
      <c r="D5926" s="14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142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144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142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144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142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143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144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142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142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142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142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142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144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142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144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144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142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142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142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144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144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144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144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143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144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144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144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144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144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144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144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142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144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143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144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144</v>
      </c>
      <c r="D5962" s="14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144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142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144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142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144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142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144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143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143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144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142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142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142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142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144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143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144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144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144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142</v>
      </c>
      <c r="D5982" s="14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144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144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144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142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144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142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142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142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144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142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144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142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143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142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144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142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142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144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144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142</v>
      </c>
      <c r="D6002" s="14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142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144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144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143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144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144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142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142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142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144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144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144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143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142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144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142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142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142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144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142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142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142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142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142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142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142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142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144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144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144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142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144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142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142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144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142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144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142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142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144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144</v>
      </c>
      <c r="D6043" s="14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144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142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142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142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142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143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143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142</v>
      </c>
      <c r="D6051" s="14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144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144</v>
      </c>
      <c r="D6053" s="14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144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144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144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144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142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142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142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142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142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142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142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144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142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144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144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142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142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144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144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144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143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144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144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142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142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144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142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143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144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142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144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142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144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144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142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143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144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142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144</v>
      </c>
      <c r="D6092" s="14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142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144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142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142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144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144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144</v>
      </c>
      <c r="D6099" s="14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142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144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142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144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142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142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142</v>
      </c>
      <c r="D6106" s="14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142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144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142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142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144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142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142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144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142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142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144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144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144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142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144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144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142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142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144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144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144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142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142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144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142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143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142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143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142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142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144</v>
      </c>
      <c r="D6137" s="14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144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144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142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142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142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144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144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142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142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142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142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144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142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143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142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144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142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142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144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144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144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142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144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144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142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143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142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142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144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142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142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144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144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142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144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142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144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142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144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144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144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143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142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144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144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143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142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143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144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142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144</v>
      </c>
      <c r="D6188" s="14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142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144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142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144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144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144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144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142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143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144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144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144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142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144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144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142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144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142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144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143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142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142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142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144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144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144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144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142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142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144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142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142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144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142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144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142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144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142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142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144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144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142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142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142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144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144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144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142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144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142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142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142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144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144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143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144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144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144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143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144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143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144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142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142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142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142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144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142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143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144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143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144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142</v>
      </c>
      <c r="D6261" s="14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142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142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144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144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142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144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144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142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144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142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142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142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142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144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144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144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144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142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142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144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142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144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142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142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144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144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144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142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142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144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144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142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144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142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144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144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144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142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142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142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142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143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143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142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142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142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142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144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144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144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143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142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142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142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144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142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142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143</v>
      </c>
      <c r="D6319" s="14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142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144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144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142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144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144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144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142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142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142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144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142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144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144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142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142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144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143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142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144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144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144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144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142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142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144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144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142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142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144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144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144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144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144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144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143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144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144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142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142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144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142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144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144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144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144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142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144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142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142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142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142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142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142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143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142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144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142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142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142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144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144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143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142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142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142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143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144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142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144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142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142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142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143</v>
      </c>
      <c r="D6393" s="14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142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142</v>
      </c>
      <c r="D6395" s="14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142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142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144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143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144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144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144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142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144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142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144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142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144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142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142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144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142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144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144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144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142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144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142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144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143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142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142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142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144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144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143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142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144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144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142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144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142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144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144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144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144</v>
      </c>
      <c r="D6436" s="14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142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144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142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142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144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142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144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142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144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143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144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142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143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144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144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144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142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144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144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144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142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144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143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142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144</v>
      </c>
      <c r="D6461" s="14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142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142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142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142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144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144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142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144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142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144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142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144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142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144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144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144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142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144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144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142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144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143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144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142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142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144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142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144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142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142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144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144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142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144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143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142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144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144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142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144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144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142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142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143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142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142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142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142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143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143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144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142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143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142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144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144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142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142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144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142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144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142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143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142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143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144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144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144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144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143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142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144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142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142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142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144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142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142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144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144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142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144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143</v>
      </c>
      <c r="D6544" s="1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143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142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142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143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142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144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142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144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142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142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142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142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144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144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143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142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144</v>
      </c>
      <c r="D6561" s="14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142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144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144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144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144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144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142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144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144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142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142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144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144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142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142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144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143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144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142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144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142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142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142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142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144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144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144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142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144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143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142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142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144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144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142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142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144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142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144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144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144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144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142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142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144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144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144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142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144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144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143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142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142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142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144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142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142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142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144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142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143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142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144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144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144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144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143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144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142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142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142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142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144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144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144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144</v>
      </c>
      <c r="D6637" s="14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142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142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142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143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144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144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142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144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142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144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142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144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142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144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144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144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142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142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142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142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144</v>
      </c>
      <c r="D6658" s="14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143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144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144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144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142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143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142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142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144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142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142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144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142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144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144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142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144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143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144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142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144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144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142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142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142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142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142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144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144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144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142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142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143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142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142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142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143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142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142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142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143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143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142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142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144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144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144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143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144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144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144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144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142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142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144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142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144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144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144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144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143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144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142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142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142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144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142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144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143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142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142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142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142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142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142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144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142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144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144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142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143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144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144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144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142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144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142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142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144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142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142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143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142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142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142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142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142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143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144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142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142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142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142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144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142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144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142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142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142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144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142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142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144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144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142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144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144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144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142</v>
      </c>
      <c r="D6777" s="14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144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144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144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142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142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144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142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142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144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144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144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142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144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142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144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142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144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142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144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144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144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144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142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144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142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143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142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142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142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142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144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144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144</v>
      </c>
      <c r="D6810" s="14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144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144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142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142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144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142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142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142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142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144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144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144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142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142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144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143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142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142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144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143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144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142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144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142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143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142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144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143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144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142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142</v>
      </c>
      <c r="D6841" s="14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144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144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144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144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142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142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142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144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142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142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144</v>
      </c>
      <c r="D6852" s="14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142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142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144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144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144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144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142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142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144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142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144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144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142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142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143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144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142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142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142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144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144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142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142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142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142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142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142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143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144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142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142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142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144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144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142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142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143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143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144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142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144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144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142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142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142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144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144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142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142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142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142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142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142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142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144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144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142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143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142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144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143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142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142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142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143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144</v>
      </c>
      <c r="D6918" s="14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142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144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144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144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142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144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144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142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144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142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142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142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144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144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142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142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144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142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144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143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142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144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142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144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144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144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144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142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144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144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143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142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144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144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142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142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144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144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142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142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144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144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142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144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144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144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144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144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142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142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142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142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143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144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144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142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143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144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143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142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144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142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144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143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143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142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142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144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144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143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142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144</v>
      </c>
      <c r="D6990" s="14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142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144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144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142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143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144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144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144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142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144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144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144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144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143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144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144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144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142</v>
      </c>
      <c r="D7008" s="14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144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144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142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142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142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144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144</v>
      </c>
      <c r="D7015" s="14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142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144</v>
      </c>
      <c r="D7017" s="14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144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144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143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144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142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144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143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144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144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142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144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142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144</v>
      </c>
      <c r="D7030" s="14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142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144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144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142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144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142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142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144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142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144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142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144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142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142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142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144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144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144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144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144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144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142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144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144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142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144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142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144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143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142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144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144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144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142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144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144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144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142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142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144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144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142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142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142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144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143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142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142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142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142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142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144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144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144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142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142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142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144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142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142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144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144</v>
      </c>
      <c r="D7092" s="14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142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144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144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144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144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142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144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142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142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142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144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142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144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142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144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144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142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144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144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144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142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144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142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142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143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144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144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142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144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144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144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142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144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142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144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144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144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142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144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142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142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142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144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144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142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143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144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144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142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144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142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144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143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143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142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144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144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144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142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144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142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142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142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144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144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142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142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144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142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144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144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144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144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142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143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142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143</v>
      </c>
      <c r="D7169" s="14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142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144</v>
      </c>
      <c r="D7171" s="14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142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142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144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142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144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142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142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144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142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142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142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142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143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142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144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144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143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142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142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144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144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144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144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142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142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144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144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144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142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142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142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143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144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144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142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142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144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142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142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142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144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143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144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142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143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142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142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144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144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142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144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142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142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144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142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142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144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142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144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142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142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142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144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144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143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144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142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144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142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142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142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142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142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142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142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142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142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144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142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144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144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142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144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144</v>
      </c>
      <c r="D7255" s="14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142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142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142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142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144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142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144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144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142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142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142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144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144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142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142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144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142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144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144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142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142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142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142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142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144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144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142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142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144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144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142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142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144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144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144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144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144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144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144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142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142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144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144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142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144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144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144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142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144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144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144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144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142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142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144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142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144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144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144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144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144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142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144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144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142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144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144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144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142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144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144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143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142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144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144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142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144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143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142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142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143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144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142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144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143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143</v>
      </c>
      <c r="D7341" s="14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144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142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142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144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142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144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142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142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144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142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142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142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144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142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144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144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142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142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142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144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144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144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142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144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142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144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142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144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143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142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144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142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142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144</v>
      </c>
      <c r="D7375" s="14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143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142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142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142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144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144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143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144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144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142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142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142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142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144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142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144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144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142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142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144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142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142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142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142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142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143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142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144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144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142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142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142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144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142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142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142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144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142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144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144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142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142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143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142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142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142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144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142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142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142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144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142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144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144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142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144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143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142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142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143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144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144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142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142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142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144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144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144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142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142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142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144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144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142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144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144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142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144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142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142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142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142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142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143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143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144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142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144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142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144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142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142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144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142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144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143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142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143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142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142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142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144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142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144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142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144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142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142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142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144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142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144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142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144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144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144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142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144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144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142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144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144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142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144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142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142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142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142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142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142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142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142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144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142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144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142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142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142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143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144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142</v>
      </c>
      <c r="D7516" s="14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144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144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144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142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142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142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142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142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142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144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142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142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144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144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144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142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144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142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144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142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144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143</v>
      </c>
      <c r="D7538" s="14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143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144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144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142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144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142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142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144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142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142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142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144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144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144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144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144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142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142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142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144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142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144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144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142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142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142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143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142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144</v>
      </c>
      <c r="D7567" s="14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142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142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144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144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143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143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144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142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142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142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142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143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144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144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142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144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142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144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142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144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142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144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142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142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142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142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142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142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144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143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144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142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142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142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144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142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142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142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144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142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143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142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143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142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144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144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142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142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142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144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144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142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144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144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142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144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142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142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144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143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142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142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142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142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144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142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142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142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144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143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142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142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142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142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142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142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142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144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144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142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142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142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142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144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142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142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142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143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142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142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142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142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142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144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142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144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144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142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142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144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144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144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142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144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142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144</v>
      </c>
      <c r="D7673" s="14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144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144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142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144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142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142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144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143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144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142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142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142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144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142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144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144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142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144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144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143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144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142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144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144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142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142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142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142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142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142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142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144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144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144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143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143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144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143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144</v>
      </c>
      <c r="D7712" s="14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142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144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144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142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142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142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144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144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142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142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144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144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142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142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144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144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144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142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144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144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142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142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142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142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144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142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144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144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143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142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142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144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144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142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144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143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144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144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144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144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144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143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143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144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142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144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143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142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144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143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142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144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142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143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142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144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144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143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143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143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142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144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142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144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144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144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142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142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142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142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142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144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144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142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144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144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144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144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142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144</v>
      </c>
      <c r="D7792" s="14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142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142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144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144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142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142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144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142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142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142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144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142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142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144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144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142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144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144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142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142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144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144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144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144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142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144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143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144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144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144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144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142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144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144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142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144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144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143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142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143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144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143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142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144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143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142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142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144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142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144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144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144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144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144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144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142</v>
      </c>
      <c r="D7848" s="14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142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144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144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143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143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142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144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142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142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142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144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142</v>
      </c>
      <c r="D7860" s="14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142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144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144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144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144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142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144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144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144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144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144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144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142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142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143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144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142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142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144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143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144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142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142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144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143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144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144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143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142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144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142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142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144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144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144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142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144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144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144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142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144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142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142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144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142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144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144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144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142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142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144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144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144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144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142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144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143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144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142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142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144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144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144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144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142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142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144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142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144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142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142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144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144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144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144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142</v>
      </c>
      <c r="D7936" s="14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142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144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142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142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144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144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144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142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143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142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144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143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144</v>
      </c>
      <c r="D7949" s="14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142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144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142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144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144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142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144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144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142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144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143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144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142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144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144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142</v>
      </c>
      <c r="D7965" s="14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144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144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142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143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144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144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144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144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144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144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144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142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142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144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144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142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144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142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144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142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144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142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142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144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143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144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144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144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144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144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144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144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144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143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144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143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144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143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144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142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142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142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142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144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144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144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142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144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144</v>
      </c>
      <c r="D8014" s="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142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142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144</v>
      </c>
      <c r="D8017" s="14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143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144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144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144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142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142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144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144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142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143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143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144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144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144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142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143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144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142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144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142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144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144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143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144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142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144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144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142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144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144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144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142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144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142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144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144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144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144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142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142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144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142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144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144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144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144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144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143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144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142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144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144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144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143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144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142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143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144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144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142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142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144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142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144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143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142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144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142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144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142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144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144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144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144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144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144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144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142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142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144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142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142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144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142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144</v>
      </c>
      <c r="D8102" s="14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142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142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144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144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143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144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142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144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144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142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143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142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142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142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144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142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144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143</v>
      </c>
      <c r="D8120" s="14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142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144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142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144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144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144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144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144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142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142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144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144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142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142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144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144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144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144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144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142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144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144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142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144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142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143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143</v>
      </c>
      <c r="D8147" s="14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142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143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142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144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144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144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144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144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144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144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144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142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144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144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144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144</v>
      </c>
      <c r="D8163" s="14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144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144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142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144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144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144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144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144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142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143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144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143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144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142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143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142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144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144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144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144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142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144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142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144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144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143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144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142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144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142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144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144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144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143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142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142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142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142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142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144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143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142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142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142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144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144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142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144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144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144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144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144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142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142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142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144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144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142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142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142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142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144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142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144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144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142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142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142</v>
      </c>
      <c r="D8231" s="14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142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142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143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142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144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142</v>
      </c>
      <c r="D8237" s="14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144</v>
      </c>
      <c r="D8238" s="14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144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144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142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144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144</v>
      </c>
      <c r="D8243" s="14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144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142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144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143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143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144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144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142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142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144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144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144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142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142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144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144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142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142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143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142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142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144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143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143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142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144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143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144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143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143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142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144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142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144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142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143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144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142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142</v>
      </c>
      <c r="D8282" s="14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142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144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142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143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142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142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143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144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142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142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144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144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144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142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144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142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142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142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144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142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142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143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144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144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144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144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143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144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143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144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144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143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144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144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143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144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144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144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144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143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142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144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144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144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144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144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144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144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142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144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144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142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142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144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144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142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144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142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142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142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143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144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144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144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143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143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144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142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142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142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144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142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144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144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144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142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142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144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144</v>
      </c>
      <c r="D8361" s="14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144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142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143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144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144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144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144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142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144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142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144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142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144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142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143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144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144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144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144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142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143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142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144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144</v>
      </c>
      <c r="D8385" s="14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144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143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142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142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144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142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142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142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144</v>
      </c>
      <c r="D8394" s="1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144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144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142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144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142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142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143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142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142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144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144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142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144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142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144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144</v>
      </c>
      <c r="D8410" s="14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144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142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144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144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142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144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144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144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144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142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142</v>
      </c>
      <c r="D8421" s="14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144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142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142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142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144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142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144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144</v>
      </c>
      <c r="D8429" s="14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144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144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142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144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144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143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144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142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142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142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142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142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144</v>
      </c>
      <c r="D8442" s="14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142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142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144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144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144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143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143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144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144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142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142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142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144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142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142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142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144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144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142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142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144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142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142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143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142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142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144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144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143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144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142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142</v>
      </c>
      <c r="D8474" s="1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144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144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142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144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142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144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144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142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144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142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144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144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142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144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144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142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144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143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144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143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143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143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144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143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142</v>
      </c>
      <c r="D8499" s="14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142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144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142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144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144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144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142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142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142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142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144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142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144</v>
      </c>
      <c r="D8512" s="14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142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143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144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142</v>
      </c>
      <c r="D8516" s="14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144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143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144</v>
      </c>
      <c r="D8519" s="14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142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144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144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144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144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142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142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144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142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142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144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143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144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142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142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142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144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144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142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142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144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144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144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142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142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143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144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144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142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142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144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142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142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144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142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142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142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144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143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144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144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144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144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144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144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142</v>
      </c>
      <c r="D8565" s="14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144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142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144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142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142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142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144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144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142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144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142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144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144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142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144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142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142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144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142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142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142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144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143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144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142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142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143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144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144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142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144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144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144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142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143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144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142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144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142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144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144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144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142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144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142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144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144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142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144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142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142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142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144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144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144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144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142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142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144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144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144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142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142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142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143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142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142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142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142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142</v>
      </c>
      <c r="D8635" s="14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142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144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144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144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144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143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143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144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144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144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142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144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144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144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142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142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143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144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144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142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142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144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142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144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142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144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142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143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142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144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144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142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142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144</v>
      </c>
      <c r="D8669" s="14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144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142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143</v>
      </c>
      <c r="D8672" s="14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144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142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144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144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142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144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142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142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144</v>
      </c>
      <c r="D8681" s="14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142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144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142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142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142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143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144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142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142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144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142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144</v>
      </c>
      <c r="D8693" s="14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142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142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142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143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144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144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144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144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142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144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142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142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143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143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144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142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143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144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142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144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144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144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143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142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144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144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142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142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142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143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144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144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144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144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144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142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143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143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142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142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143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142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142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144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142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144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142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142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142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142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142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144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144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142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142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144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142</v>
      </c>
      <c r="D8750" s="14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142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142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144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143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144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144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144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142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144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144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142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144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144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144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142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142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144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144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142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142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144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144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142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144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142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142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142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143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144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144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142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142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144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142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144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144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142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142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144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144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142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144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144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144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142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142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142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142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144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142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144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143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144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144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144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144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142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144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142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144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144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144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144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142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144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142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144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143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142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142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142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142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144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142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144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144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144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144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142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142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142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144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144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144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144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142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142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144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144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142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144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144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142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144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144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144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144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144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144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142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144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144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142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142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144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143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144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142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143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142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142</v>
      </c>
      <c r="D8861" s="14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144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144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142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144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142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142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143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144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144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144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143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144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144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142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144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144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142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142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142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142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142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144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144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142</v>
      </c>
      <c r="D8885" s="14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142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142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142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142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144</v>
      </c>
      <c r="D8890" s="14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142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144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142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142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142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144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142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142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144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144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144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144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142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144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144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144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142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143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142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144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143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142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142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144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144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144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143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144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144</v>
      </c>
      <c r="D8919" s="14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142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144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142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144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144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144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144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144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144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142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144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142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142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142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142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144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144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142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142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142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142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142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144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142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142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144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144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144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142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144</v>
      </c>
      <c r="D8949" s="14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142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144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142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144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142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144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144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144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144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142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144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144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142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144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142</v>
      </c>
      <c r="D8964" s="1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144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144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144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144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144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144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144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144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142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144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142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144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144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144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143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142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142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142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143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142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142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142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144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143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144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142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144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144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142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142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144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144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144</v>
      </c>
      <c r="D8997" s="14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142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144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142</v>
      </c>
      <c r="D9000" s="14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142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142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143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142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142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143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143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144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142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144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144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144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142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144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144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142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144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144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142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143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144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142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144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142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142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142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144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142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144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142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142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144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144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144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143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142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144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144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144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144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142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142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144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144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142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143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143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142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144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142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142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142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142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142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142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144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144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144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142</v>
      </c>
      <c r="D9059" s="14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143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144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142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144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143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142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142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144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144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144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142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142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142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142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142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144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142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144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144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142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144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144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144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142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142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144</v>
      </c>
      <c r="D9085" s="14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144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142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144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144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143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144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144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142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144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144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144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144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144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142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143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144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144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144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144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144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142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142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142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142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142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142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142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142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143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142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142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142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144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142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144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144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142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142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142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143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144</v>
      </c>
      <c r="D9126" s="14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142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144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142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144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142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142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144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144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144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144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142</v>
      </c>
      <c r="D9137" s="14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144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144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144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142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144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144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144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143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142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144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144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143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144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144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144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144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142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142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144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142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144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144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142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144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143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144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144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144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144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144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142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142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142</v>
      </c>
      <c r="D9170" s="14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142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142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144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142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144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144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142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144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144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142</v>
      </c>
      <c r="D9180" s="14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142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142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144</v>
      </c>
      <c r="D9183" s="14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144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144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142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144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144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142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142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142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142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144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142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144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142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144</v>
      </c>
      <c r="D9197" s="14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142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142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144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144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144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144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142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144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144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144</v>
      </c>
      <c r="D9207" s="14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144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144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144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142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144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144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142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144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142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144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144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142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144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143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142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144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142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142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144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143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144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142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144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142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143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144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144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144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142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144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144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143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144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144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144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143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144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144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142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144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142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142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142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142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142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144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144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142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142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144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142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144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142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143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144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144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144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143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142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144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142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143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142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142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142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143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144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142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142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142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144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142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144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142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142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142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144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144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142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144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144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142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144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142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144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144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144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144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144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143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144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144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142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142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142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144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142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142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142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142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142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142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144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144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142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144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144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142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144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142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144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142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143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142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144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142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142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143</v>
      </c>
      <c r="D9325" s="14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142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144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143</v>
      </c>
      <c r="D9328" s="14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142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144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142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142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144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144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144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144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144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143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142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144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142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142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142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142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144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142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142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142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142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142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144</v>
      </c>
      <c r="D9351" s="14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144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144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142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142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142</v>
      </c>
      <c r="D9356" s="14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143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144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144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144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144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144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143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142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144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142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142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144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143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144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142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144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142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144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142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144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142</v>
      </c>
      <c r="D9377" s="14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144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144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142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144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142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144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144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144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142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142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142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144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144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144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142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144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142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144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144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144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144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144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142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142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143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144</v>
      </c>
      <c r="D9403" s="14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142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143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144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144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142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142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143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142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144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142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144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142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144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142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142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142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142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142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142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142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142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144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144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142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144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144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142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142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144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142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142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144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144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144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142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142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144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142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142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143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142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144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143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142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143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143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144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142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142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144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142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142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142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142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144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144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144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142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143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144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144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142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144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142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142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144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142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144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144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142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142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144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142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144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144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142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144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144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144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143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144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144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142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142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142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144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144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144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144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144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144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144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142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144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142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144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142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143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144</v>
      </c>
      <c r="D9502" s="14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144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142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144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144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142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142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144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144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144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144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143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142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144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144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142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144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142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142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144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144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142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144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143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144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142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144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144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144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144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143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142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144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144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142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142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144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144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142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142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143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142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144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144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142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142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144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144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144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142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144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144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144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142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142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142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142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143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142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144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144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142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142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144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142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144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144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144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142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144</v>
      </c>
      <c r="D9571" s="14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142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142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144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143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144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144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144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144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144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144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142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142</v>
      </c>
      <c r="D9583" s="14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143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142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144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142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144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144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144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142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143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142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142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142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144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142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144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144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144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144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144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142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142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142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144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142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142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144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144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144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142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144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144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144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142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143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144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142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144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144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142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142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142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144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144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142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142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144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144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144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142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144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144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144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144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144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142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143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144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142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144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142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142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144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142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144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144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144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142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142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142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142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142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144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144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142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142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144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142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143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143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142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144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142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144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142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144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144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142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144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143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142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144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142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143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144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144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144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142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142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144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144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142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144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142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142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144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144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144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144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142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144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143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142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144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144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143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144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143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143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144</v>
      </c>
      <c r="D9702" s="14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143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142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143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144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144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143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142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144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142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142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144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144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142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142</v>
      </c>
      <c r="D9716" s="14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144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144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144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144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142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144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144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142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144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142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144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144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144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144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142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144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144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142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142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144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144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144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144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144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142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142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142</v>
      </c>
      <c r="D9743" s="14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144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144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142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144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144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142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144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142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144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144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144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144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144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144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142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142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144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143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144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142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142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144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144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142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142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142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144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144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144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142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142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144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142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142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142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142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142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142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142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144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144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142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142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144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142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144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144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144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142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143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142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144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144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142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144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144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142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144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144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144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142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144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142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144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142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144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144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144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142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144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144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142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144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144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142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144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142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143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144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143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143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144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144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142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142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142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144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142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144</v>
      </c>
      <c r="D9832" s="14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142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144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144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142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143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144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142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142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144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142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144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144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142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144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144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142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142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144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144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143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144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142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143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142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142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144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144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142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142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144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142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144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144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144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142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144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144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144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143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144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142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144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142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142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144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144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142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144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142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144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144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144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144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144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142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144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143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144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144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144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142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144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144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144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144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144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142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142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143</v>
      </c>
      <c r="D9901" s="14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142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144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144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142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143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142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142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144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144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144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142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142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144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144</v>
      </c>
      <c r="D9915" s="14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143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142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142</v>
      </c>
      <c r="D9918" s="14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144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143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144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144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143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143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144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143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144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144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144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142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142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144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142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143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143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144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144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144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142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143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144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142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144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144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144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142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142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144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144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142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142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144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142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144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144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144</v>
      </c>
      <c r="D9956" s="14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144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142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144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144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142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142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144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144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144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144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142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144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142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142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144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144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142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142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144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144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144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144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143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144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142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144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144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142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142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144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144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143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142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142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144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144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144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144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144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142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144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142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144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143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142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144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142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142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144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142</v>
      </c>
      <c r="D10006" s="14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144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142</v>
      </c>
      <c r="D10008" s="14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143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144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144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144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142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144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142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143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144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144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142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144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144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144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142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142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144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142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144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144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142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144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144</v>
      </c>
      <c r="D10031" s="14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142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142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144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142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144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144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143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144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142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142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143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144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142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144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144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142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142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142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144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143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142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144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142</v>
      </c>
      <c r="D10054" s="1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143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143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142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144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144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144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144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142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144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142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143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144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144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144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144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142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144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142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142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143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142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142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144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142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144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144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144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144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142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144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142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142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142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144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144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144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142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143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144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144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144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142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144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144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144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144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144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143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142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142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142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142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142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142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144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144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142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144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144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142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144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142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144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142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142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144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144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142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144</v>
      </c>
      <c r="D10123" s="14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142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144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142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144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144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144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142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143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142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143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142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144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142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144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142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144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143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144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144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142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143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143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144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142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144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143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144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144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144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144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144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142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144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142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144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142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144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144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144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144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144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144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144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144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144</v>
      </c>
      <c r="D10168" s="14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142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144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142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144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142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142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144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143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144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144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143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144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144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142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142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144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142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144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142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142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142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143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144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144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144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142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143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144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144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144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144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142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144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142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144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142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142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144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144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142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144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144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142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144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144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142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142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142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144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144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143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144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143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144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142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142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143</v>
      </c>
      <c r="D10225" s="14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144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142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144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144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144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144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142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144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142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144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142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142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144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144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142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142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143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142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144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143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142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144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144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144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144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144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143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143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144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144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142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142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142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144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144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142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144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142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142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144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144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142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142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142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143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144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142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144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142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143</v>
      </c>
      <c r="D10275" s="14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142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143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143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142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144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144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144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144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144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142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144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144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144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142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144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144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142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142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144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142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144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144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144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142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144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144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142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144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142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143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144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144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142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142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142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142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142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144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144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142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142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144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144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142</v>
      </c>
      <c r="D10319" s="14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143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142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144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144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142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142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144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142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144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144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142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144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142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144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142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142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142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144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142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142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142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142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144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142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144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144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144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144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142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143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144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142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143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144</v>
      </c>
      <c r="D10353" s="14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144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142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142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144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144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142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144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142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144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144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142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144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142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144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144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144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144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142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142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144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142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142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144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142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142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144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142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144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142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144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142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142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142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142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142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142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144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144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144</v>
      </c>
      <c r="D10392" s="14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142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144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144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144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142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143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142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142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144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142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142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142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142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144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144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144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144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143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144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142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144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142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144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142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142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144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144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144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144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143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142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144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142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142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142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142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142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142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142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142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144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144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144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143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142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142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144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142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142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142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142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142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144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143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144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142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142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144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142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144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144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142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142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144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144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144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142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144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143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144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142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143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144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142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144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142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142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142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143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144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144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144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144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144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142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142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142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144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143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142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144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142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144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144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144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142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144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142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144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144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142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144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144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144</v>
      </c>
      <c r="D10496" s="14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143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144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143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142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144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142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144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144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144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142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144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144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144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142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144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144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143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142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144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144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142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142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143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144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142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142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144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143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142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142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144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144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144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144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144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142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142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144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142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143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142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144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144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144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144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142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142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142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142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144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144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144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142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142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144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143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144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144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144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144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142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144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144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144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144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142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144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144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144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144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143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142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144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144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144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144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144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144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144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143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144</v>
      </c>
      <c r="D10577" s="14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144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144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143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142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144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144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142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144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142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144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142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142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144</v>
      </c>
      <c r="D10590" s="14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144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144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144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144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144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144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144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144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144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144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144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142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143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144</v>
      </c>
      <c r="D10604" s="1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142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144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142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144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142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144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143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142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143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142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144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144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144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143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142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142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144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144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144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144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144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142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142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142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144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144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144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144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142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144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142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142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144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144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142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142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142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142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142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144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144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144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144</v>
      </c>
      <c r="D10647" s="14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142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142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144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142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142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142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144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142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144</v>
      </c>
      <c r="D10656" s="14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142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142</v>
      </c>
      <c r="D10658" s="14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144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144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142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142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144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144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142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144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144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144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143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144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144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144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142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144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144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144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144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144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142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144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144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144</v>
      </c>
      <c r="D10682" s="14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142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142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143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144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142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144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142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142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144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144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142</v>
      </c>
      <c r="D10693" s="14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144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144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144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144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144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144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142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144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144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142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142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142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144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144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144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144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143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144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142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144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144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143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144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142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142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144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144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142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144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144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144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142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142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144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144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143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144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142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142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142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144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144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144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142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144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144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144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142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144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142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144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143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142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142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144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144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144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144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144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144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143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144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142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143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142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144</v>
      </c>
      <c r="D10759" s="14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144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142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144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142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144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142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144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144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142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144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142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144</v>
      </c>
      <c r="D10771" s="14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143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142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142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142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144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144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144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144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144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142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144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144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144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142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143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144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142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142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142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142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142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142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142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144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144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144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144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144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142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143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144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144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144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142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142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142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142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142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144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144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142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144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144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144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142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144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144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144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144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144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144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144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142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144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142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142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142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144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144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143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142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142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144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144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144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144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144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142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142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144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144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144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144</v>
      </c>
      <c r="D10844" s="1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144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143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142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142</v>
      </c>
      <c r="D10848" s="14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142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144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144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144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142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142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144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144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142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142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142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144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142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143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142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144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142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143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142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144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144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144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143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143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143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142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142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142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144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142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142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144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142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144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144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144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144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144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142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142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144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142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142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142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144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144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144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142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144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144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142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142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144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144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144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144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144</v>
      </c>
      <c r="D10905" s="14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142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142</v>
      </c>
      <c r="D10907" s="14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144</v>
      </c>
      <c r="D10908" s="14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144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144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144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142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144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144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144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144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144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144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144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144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142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144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142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142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144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144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142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143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142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144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144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142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142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142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144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144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144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144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144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144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143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142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144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144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142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144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142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142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144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143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144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142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142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144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144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144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142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142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142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144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142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144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142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142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143</v>
      </c>
      <c r="D10965" s="14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143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142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143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144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144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144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142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144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143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144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142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142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142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144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142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144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144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143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142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144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144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143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144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144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144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142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142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144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144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143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144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142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142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142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144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142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144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144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144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144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144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144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144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142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144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142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142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144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143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144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143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142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144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142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143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143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142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144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143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142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144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143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142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143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142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144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144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142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142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144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142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142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144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144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144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142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144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143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142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144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144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144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142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144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144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144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142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144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142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142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144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144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144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144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144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144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144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144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144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142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143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144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143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143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142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142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144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144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144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144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144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142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142</v>
      </c>
      <c r="D11078" s="14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142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144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144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144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144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142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142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144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142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144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144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142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144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144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144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144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144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142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144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142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142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142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144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142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142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144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144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142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142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142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142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144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142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142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143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142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142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144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144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144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142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142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144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142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144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144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144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142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142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143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142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143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142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142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144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142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143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142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144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144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144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144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143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144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142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143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142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142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142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144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144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144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144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144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142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142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144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144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144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142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142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144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144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144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144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142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144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144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144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142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142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142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144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144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144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144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144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142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144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143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143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144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144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144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142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142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143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142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142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144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144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144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144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143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144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144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142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144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144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142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144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144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142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142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144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144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144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144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142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144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142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143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142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142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142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142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142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142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142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142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142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142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142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144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144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144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144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142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142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142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143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144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142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144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144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142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143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142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142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142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142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144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144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144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144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142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142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144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142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144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142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142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142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144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142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142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144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143</v>
      </c>
      <c r="D11256" s="14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143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142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144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144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143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144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142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144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144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144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142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142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144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144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142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144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143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142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144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143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144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142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142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142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142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144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144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144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142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142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143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144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143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142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142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142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144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143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142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142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144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144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144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142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143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144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142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144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144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144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144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144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144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144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142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144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144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142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142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144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143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144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144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142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142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143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142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142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142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142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144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144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144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142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142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144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143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144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142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142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144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144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144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144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144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144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143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142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144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144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144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143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142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142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142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142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144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142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144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142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142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142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143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144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144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144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142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142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142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144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144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144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144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142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142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144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142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142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142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142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142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142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144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144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142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142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144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142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144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144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143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144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144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144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144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144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144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144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144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144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144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144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144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142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144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142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144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142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144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142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142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144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144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144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142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143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142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143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142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142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142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142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142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142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144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142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144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144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144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144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142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144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142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144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144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142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144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144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144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142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142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144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142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144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142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144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144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144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144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142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144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144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142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144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142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144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142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143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144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142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142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142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144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142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144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144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144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144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142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142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144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144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144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144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143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142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142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142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142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144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142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144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142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144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144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144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142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142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142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142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142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144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144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144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143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144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142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144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142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144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142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142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143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144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144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144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144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144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142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144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144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142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142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144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143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142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144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142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144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144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144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142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144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142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144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143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142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144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144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144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142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142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143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142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143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144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144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142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144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142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144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144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144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142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142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144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142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142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142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142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144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144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142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142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143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142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144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142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143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143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144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142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144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142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144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142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144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144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144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144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144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144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144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144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143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144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144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144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144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144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142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144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144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142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142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142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142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144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142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144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144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142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142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142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144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143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142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142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144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144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142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144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142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144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144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142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142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144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144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144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143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142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144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144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142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144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142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144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144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142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142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144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142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144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142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144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143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142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144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143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144</v>
      </c>
      <c r="D11627" s="14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144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143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142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144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142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142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144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142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144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143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144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144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142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144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142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142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142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144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142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142</v>
      </c>
      <c r="D11647" s="14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143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142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142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144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142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144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142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144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142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142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142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144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144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144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142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144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144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144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144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143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144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144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144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144</v>
      </c>
      <c r="D11671" s="14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142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142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144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143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143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142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142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144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144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144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142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144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143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144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144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144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142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142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144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142</v>
      </c>
      <c r="D11691" s="14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142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142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144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144</v>
      </c>
      <c r="D11695" s="14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143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143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144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144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144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142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143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143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144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142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144</v>
      </c>
      <c r="D11706" s="14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142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143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142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142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144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144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142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142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144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144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144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144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144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144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144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142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142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144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144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142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144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144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144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142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144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142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142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142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143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142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142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144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144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142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144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144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142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144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144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144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144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142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143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142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143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144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144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142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144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144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142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142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142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144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144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144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144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143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142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142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144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142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142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144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142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144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142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142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144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144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142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142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142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142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142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144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142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144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142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144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142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144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142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144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144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144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144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144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143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142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144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143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144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144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144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144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142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143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142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144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143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144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142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142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142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142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144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142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142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144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142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142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142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142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144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142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144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142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142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144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144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144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142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143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144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142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142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144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144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144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144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144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142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144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143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144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144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144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142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144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144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144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142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142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144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144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144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144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143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144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143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142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144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142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142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144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143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143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142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142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142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144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144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142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144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142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143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144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144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142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142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143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144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142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144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144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144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144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142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142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144</v>
      </c>
      <c r="D11887" s="14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144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142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144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142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142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143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142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144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142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144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144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142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144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143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142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144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143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142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142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144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142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142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144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144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144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142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142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142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143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144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144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144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142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142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144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143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144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144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142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144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142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144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144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144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142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144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142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142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142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142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144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143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144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142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143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144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142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144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142</v>
      </c>
      <c r="D11946" s="14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144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144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142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144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144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144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142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143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144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144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142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142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144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142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144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142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142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142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144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142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144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142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142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144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144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142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144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144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144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144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144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143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142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144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142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142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142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144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144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142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144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142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144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144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142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142</v>
      </c>
      <c r="D11992" s="14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144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142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142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144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142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142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144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144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142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142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142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144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144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144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142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144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143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142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142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142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144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144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144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142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142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144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142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142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142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142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144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144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144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142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144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142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142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142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142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144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144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142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144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144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144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142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142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144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142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142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144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144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142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144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144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144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142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142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144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144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142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144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144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142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142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142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144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142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144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144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143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142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144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142</v>
      </c>
      <c r="D12066" s="14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144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142</v>
      </c>
      <c r="D12068" s="14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142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142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144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144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144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143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142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144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144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142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144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143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142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144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144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142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142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142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142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144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144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144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144</v>
      </c>
      <c r="D12091" s="14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142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144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144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144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142</v>
      </c>
      <c r="D12096" s="14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143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144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142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144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144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143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142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142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143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144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144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144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143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144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144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143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144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144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144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142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142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144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144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142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142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142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144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143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142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144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143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144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143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144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144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143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142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142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144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144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142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144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142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142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142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144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142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144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144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142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142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142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144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144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144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144</v>
      </c>
      <c r="D12152" s="14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144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144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144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144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142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144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144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144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142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142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142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142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143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144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144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143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142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142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144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144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142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142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144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143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142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144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142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142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143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142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144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142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142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144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144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142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144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144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144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142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142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144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144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142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142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144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144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144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142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144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143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144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142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144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144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143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144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144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142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142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144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144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142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142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144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144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144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142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142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144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142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142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142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142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143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142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144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144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142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142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144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142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144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142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142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144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143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144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142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142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144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144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144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144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142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144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142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142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142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143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144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144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143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142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142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144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144</v>
      </c>
      <c r="D12259" s="14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143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143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142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 codeName="Sheet14"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177</v>
      </c>
      <c r="B1" t="s">
        <v>176</v>
      </c>
      <c r="C1" t="s">
        <v>175</v>
      </c>
      <c r="D1" t="s">
        <v>174</v>
      </c>
      <c r="E1" t="s">
        <v>173</v>
      </c>
      <c r="F1" t="s">
        <v>172</v>
      </c>
      <c r="G1" t="s">
        <v>171</v>
      </c>
      <c r="H1" t="s">
        <v>170</v>
      </c>
      <c r="I1" t="s">
        <v>169</v>
      </c>
      <c r="J1" t="s">
        <v>168</v>
      </c>
      <c r="K1" t="s">
        <v>167</v>
      </c>
      <c r="L1" t="s">
        <v>166</v>
      </c>
      <c r="M1" t="s">
        <v>165</v>
      </c>
      <c r="N1" t="s">
        <v>164</v>
      </c>
      <c r="O1" t="s">
        <v>163</v>
      </c>
      <c r="P1" t="s">
        <v>162</v>
      </c>
      <c r="Q1" t="s">
        <v>161</v>
      </c>
      <c r="R1" t="s">
        <v>160</v>
      </c>
      <c r="S1" t="s">
        <v>159</v>
      </c>
      <c r="T1" t="s">
        <v>158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153</v>
      </c>
      <c r="O2" t="s">
        <v>155</v>
      </c>
      <c r="P2">
        <v>446</v>
      </c>
      <c r="Q2">
        <v>33</v>
      </c>
      <c r="R2">
        <v>20</v>
      </c>
      <c r="S2" t="s">
        <v>157</v>
      </c>
      <c r="T2" t="s">
        <v>153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156</v>
      </c>
      <c r="O3" t="s">
        <v>154</v>
      </c>
      <c r="P3">
        <v>632</v>
      </c>
      <c r="Q3">
        <v>43</v>
      </c>
      <c r="R3">
        <v>10</v>
      </c>
      <c r="S3">
        <v>475</v>
      </c>
      <c r="T3" t="s">
        <v>156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153</v>
      </c>
      <c r="O4" t="s">
        <v>154</v>
      </c>
      <c r="P4">
        <v>880</v>
      </c>
      <c r="Q4">
        <v>82</v>
      </c>
      <c r="R4">
        <v>14</v>
      </c>
      <c r="S4">
        <v>480</v>
      </c>
      <c r="T4" t="s">
        <v>153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156</v>
      </c>
      <c r="O5" t="s">
        <v>155</v>
      </c>
      <c r="P5">
        <v>200</v>
      </c>
      <c r="Q5">
        <v>11</v>
      </c>
      <c r="R5">
        <v>3</v>
      </c>
      <c r="S5">
        <v>500</v>
      </c>
      <c r="T5" t="s">
        <v>156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156</v>
      </c>
      <c r="O6" t="s">
        <v>155</v>
      </c>
      <c r="P6">
        <v>805</v>
      </c>
      <c r="Q6">
        <v>40</v>
      </c>
      <c r="R6">
        <v>4</v>
      </c>
      <c r="S6">
        <v>91.5</v>
      </c>
      <c r="T6" t="s">
        <v>156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153</v>
      </c>
      <c r="O7" t="s">
        <v>154</v>
      </c>
      <c r="P7">
        <v>282</v>
      </c>
      <c r="Q7">
        <v>421</v>
      </c>
      <c r="R7">
        <v>25</v>
      </c>
      <c r="S7">
        <v>750</v>
      </c>
      <c r="T7" t="s">
        <v>153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156</v>
      </c>
      <c r="O8" t="s">
        <v>155</v>
      </c>
      <c r="P8">
        <v>76</v>
      </c>
      <c r="Q8">
        <v>127</v>
      </c>
      <c r="R8">
        <v>7</v>
      </c>
      <c r="S8">
        <v>70</v>
      </c>
      <c r="T8" t="s">
        <v>153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153</v>
      </c>
      <c r="O9" t="s">
        <v>154</v>
      </c>
      <c r="P9">
        <v>121</v>
      </c>
      <c r="Q9">
        <v>283</v>
      </c>
      <c r="R9">
        <v>9</v>
      </c>
      <c r="S9">
        <v>100</v>
      </c>
      <c r="T9" t="s">
        <v>153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156</v>
      </c>
      <c r="O10" t="s">
        <v>154</v>
      </c>
      <c r="P10">
        <v>143</v>
      </c>
      <c r="Q10">
        <v>290</v>
      </c>
      <c r="R10">
        <v>19</v>
      </c>
      <c r="S10">
        <v>75</v>
      </c>
      <c r="T10" t="s">
        <v>156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153</v>
      </c>
      <c r="O11" t="s">
        <v>155</v>
      </c>
      <c r="P11">
        <v>0</v>
      </c>
      <c r="Q11">
        <v>0</v>
      </c>
      <c r="R11">
        <v>0</v>
      </c>
      <c r="S11">
        <v>1100</v>
      </c>
      <c r="T11" t="s">
        <v>153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153</v>
      </c>
      <c r="O12" t="s">
        <v>155</v>
      </c>
      <c r="P12">
        <v>238</v>
      </c>
      <c r="Q12">
        <v>445</v>
      </c>
      <c r="R12">
        <v>22</v>
      </c>
      <c r="S12">
        <v>517.14300000000003</v>
      </c>
      <c r="T12" t="s">
        <v>153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156</v>
      </c>
      <c r="O13" t="s">
        <v>154</v>
      </c>
      <c r="P13">
        <v>304</v>
      </c>
      <c r="Q13">
        <v>45</v>
      </c>
      <c r="R13">
        <v>11</v>
      </c>
      <c r="S13">
        <v>512.5</v>
      </c>
      <c r="T13" t="s">
        <v>156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156</v>
      </c>
      <c r="O14" t="s">
        <v>155</v>
      </c>
      <c r="P14">
        <v>211</v>
      </c>
      <c r="Q14">
        <v>11</v>
      </c>
      <c r="R14">
        <v>7</v>
      </c>
      <c r="S14">
        <v>550</v>
      </c>
      <c r="T14" t="s">
        <v>156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153</v>
      </c>
      <c r="O15" t="s">
        <v>155</v>
      </c>
      <c r="P15">
        <v>121</v>
      </c>
      <c r="Q15">
        <v>151</v>
      </c>
      <c r="R15">
        <v>6</v>
      </c>
      <c r="S15">
        <v>700</v>
      </c>
      <c r="T15" t="s">
        <v>153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156</v>
      </c>
      <c r="O16" t="s">
        <v>155</v>
      </c>
      <c r="P16">
        <v>80</v>
      </c>
      <c r="Q16">
        <v>45</v>
      </c>
      <c r="R16">
        <v>8</v>
      </c>
      <c r="S16">
        <v>240</v>
      </c>
      <c r="T16" t="s">
        <v>156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153</v>
      </c>
      <c r="O17" t="s">
        <v>154</v>
      </c>
      <c r="P17">
        <v>118</v>
      </c>
      <c r="Q17">
        <v>0</v>
      </c>
      <c r="R17">
        <v>0</v>
      </c>
      <c r="S17" t="s">
        <v>157</v>
      </c>
      <c r="T17" t="s">
        <v>153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156</v>
      </c>
      <c r="O18" t="s">
        <v>154</v>
      </c>
      <c r="P18">
        <v>105</v>
      </c>
      <c r="Q18">
        <v>290</v>
      </c>
      <c r="R18">
        <v>10</v>
      </c>
      <c r="S18">
        <v>775</v>
      </c>
      <c r="T18" t="s">
        <v>156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153</v>
      </c>
      <c r="O19" t="s">
        <v>154</v>
      </c>
      <c r="P19">
        <v>102</v>
      </c>
      <c r="Q19">
        <v>177</v>
      </c>
      <c r="R19">
        <v>16</v>
      </c>
      <c r="S19">
        <v>175</v>
      </c>
      <c r="T19" t="s">
        <v>153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153</v>
      </c>
      <c r="O20" t="s">
        <v>154</v>
      </c>
      <c r="P20">
        <v>912</v>
      </c>
      <c r="Q20">
        <v>88</v>
      </c>
      <c r="R20">
        <v>9</v>
      </c>
      <c r="S20" t="s">
        <v>157</v>
      </c>
      <c r="T20" t="s">
        <v>153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156</v>
      </c>
      <c r="O21" t="s">
        <v>154</v>
      </c>
      <c r="P21">
        <v>202</v>
      </c>
      <c r="Q21">
        <v>22</v>
      </c>
      <c r="R21">
        <v>2</v>
      </c>
      <c r="S21">
        <v>135</v>
      </c>
      <c r="T21" t="s">
        <v>156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156</v>
      </c>
      <c r="O22" t="s">
        <v>155</v>
      </c>
      <c r="P22">
        <v>280</v>
      </c>
      <c r="Q22">
        <v>9</v>
      </c>
      <c r="R22">
        <v>5</v>
      </c>
      <c r="S22">
        <v>100</v>
      </c>
      <c r="T22" t="s">
        <v>156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153</v>
      </c>
      <c r="O23" t="s">
        <v>154</v>
      </c>
      <c r="P23">
        <v>361</v>
      </c>
      <c r="Q23">
        <v>22</v>
      </c>
      <c r="R23">
        <v>2</v>
      </c>
      <c r="S23">
        <v>115</v>
      </c>
      <c r="T23" t="s">
        <v>156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153</v>
      </c>
      <c r="O24" t="s">
        <v>154</v>
      </c>
      <c r="P24">
        <v>812</v>
      </c>
      <c r="Q24">
        <v>84</v>
      </c>
      <c r="R24">
        <v>11</v>
      </c>
      <c r="S24" t="s">
        <v>157</v>
      </c>
      <c r="T24" t="s">
        <v>153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156</v>
      </c>
      <c r="O25" t="s">
        <v>154</v>
      </c>
      <c r="P25">
        <v>518</v>
      </c>
      <c r="Q25">
        <v>55</v>
      </c>
      <c r="R25">
        <v>3</v>
      </c>
      <c r="S25">
        <v>600</v>
      </c>
      <c r="T25" t="s">
        <v>156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153</v>
      </c>
      <c r="O26" t="s">
        <v>155</v>
      </c>
      <c r="P26">
        <v>1067</v>
      </c>
      <c r="Q26">
        <v>157</v>
      </c>
      <c r="R26">
        <v>14</v>
      </c>
      <c r="S26">
        <v>776.66700000000003</v>
      </c>
      <c r="T26" t="s">
        <v>153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153</v>
      </c>
      <c r="O27" t="s">
        <v>155</v>
      </c>
      <c r="P27">
        <v>434</v>
      </c>
      <c r="Q27">
        <v>9</v>
      </c>
      <c r="R27">
        <v>3</v>
      </c>
      <c r="S27">
        <v>765</v>
      </c>
      <c r="T27" t="s">
        <v>153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156</v>
      </c>
      <c r="O28" t="s">
        <v>155</v>
      </c>
      <c r="P28">
        <v>222</v>
      </c>
      <c r="Q28">
        <v>3</v>
      </c>
      <c r="R28">
        <v>3</v>
      </c>
      <c r="S28">
        <v>708.33299999999997</v>
      </c>
      <c r="T28" t="s">
        <v>156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156</v>
      </c>
      <c r="O29" t="s">
        <v>154</v>
      </c>
      <c r="P29">
        <v>732</v>
      </c>
      <c r="Q29">
        <v>83</v>
      </c>
      <c r="R29">
        <v>13</v>
      </c>
      <c r="S29">
        <v>750</v>
      </c>
      <c r="T29" t="s">
        <v>156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156</v>
      </c>
      <c r="O30" t="s">
        <v>154</v>
      </c>
      <c r="P30">
        <v>262</v>
      </c>
      <c r="Q30">
        <v>329</v>
      </c>
      <c r="R30">
        <v>16</v>
      </c>
      <c r="S30">
        <v>625</v>
      </c>
      <c r="T30" t="s">
        <v>156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153</v>
      </c>
      <c r="O31" t="s">
        <v>154</v>
      </c>
      <c r="P31">
        <v>267</v>
      </c>
      <c r="Q31">
        <v>5</v>
      </c>
      <c r="R31">
        <v>3</v>
      </c>
      <c r="S31">
        <v>900</v>
      </c>
      <c r="T31" t="s">
        <v>153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153</v>
      </c>
      <c r="O32" t="s">
        <v>154</v>
      </c>
      <c r="P32">
        <v>127</v>
      </c>
      <c r="Q32">
        <v>221</v>
      </c>
      <c r="R32">
        <v>7</v>
      </c>
      <c r="S32" t="s">
        <v>157</v>
      </c>
      <c r="T32" t="s">
        <v>153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156</v>
      </c>
      <c r="O33" t="s">
        <v>154</v>
      </c>
      <c r="P33">
        <v>226</v>
      </c>
      <c r="Q33">
        <v>7</v>
      </c>
      <c r="R33">
        <v>4</v>
      </c>
      <c r="S33">
        <v>110</v>
      </c>
      <c r="T33" t="s">
        <v>156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156</v>
      </c>
      <c r="O34" t="s">
        <v>154</v>
      </c>
      <c r="P34">
        <v>1378</v>
      </c>
      <c r="Q34">
        <v>102</v>
      </c>
      <c r="R34">
        <v>8</v>
      </c>
      <c r="S34" t="s">
        <v>157</v>
      </c>
      <c r="T34" t="s">
        <v>156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153</v>
      </c>
      <c r="O35" t="s">
        <v>155</v>
      </c>
      <c r="P35">
        <v>109</v>
      </c>
      <c r="Q35">
        <v>292</v>
      </c>
      <c r="R35">
        <v>25</v>
      </c>
      <c r="S35">
        <v>612.5</v>
      </c>
      <c r="T35" t="s">
        <v>153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153</v>
      </c>
      <c r="O36" t="s">
        <v>154</v>
      </c>
      <c r="P36">
        <v>419</v>
      </c>
      <c r="Q36">
        <v>46</v>
      </c>
      <c r="R36">
        <v>5</v>
      </c>
      <c r="S36">
        <v>300</v>
      </c>
      <c r="T36" t="s">
        <v>153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156</v>
      </c>
      <c r="O37" t="s">
        <v>154</v>
      </c>
      <c r="P37">
        <v>72</v>
      </c>
      <c r="Q37">
        <v>170</v>
      </c>
      <c r="R37">
        <v>24</v>
      </c>
      <c r="S37">
        <v>850</v>
      </c>
      <c r="T37" t="s">
        <v>156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153</v>
      </c>
      <c r="O38" t="s">
        <v>155</v>
      </c>
      <c r="P38">
        <v>70</v>
      </c>
      <c r="Q38">
        <v>149</v>
      </c>
      <c r="R38">
        <v>12</v>
      </c>
      <c r="S38" t="s">
        <v>157</v>
      </c>
      <c r="T38" t="s">
        <v>153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156</v>
      </c>
      <c r="O39" t="s">
        <v>154</v>
      </c>
      <c r="P39">
        <v>442</v>
      </c>
      <c r="Q39">
        <v>59</v>
      </c>
      <c r="R39">
        <v>6</v>
      </c>
      <c r="S39">
        <v>90</v>
      </c>
      <c r="T39" t="s">
        <v>156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153</v>
      </c>
      <c r="O40" t="s">
        <v>155</v>
      </c>
      <c r="P40">
        <v>0</v>
      </c>
      <c r="Q40">
        <v>0</v>
      </c>
      <c r="R40">
        <v>0</v>
      </c>
      <c r="S40" t="s">
        <v>157</v>
      </c>
      <c r="T40" t="s">
        <v>153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156</v>
      </c>
      <c r="O41" t="s">
        <v>154</v>
      </c>
      <c r="P41">
        <v>166</v>
      </c>
      <c r="Q41">
        <v>172</v>
      </c>
      <c r="R41">
        <v>10</v>
      </c>
      <c r="S41" t="s">
        <v>157</v>
      </c>
      <c r="T41" t="s">
        <v>156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153</v>
      </c>
      <c r="O42" t="s">
        <v>155</v>
      </c>
      <c r="P42">
        <v>326</v>
      </c>
      <c r="Q42">
        <v>29</v>
      </c>
      <c r="R42">
        <v>5</v>
      </c>
      <c r="S42">
        <v>67.5</v>
      </c>
      <c r="T42" t="s">
        <v>153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156</v>
      </c>
      <c r="O43" t="s">
        <v>154</v>
      </c>
      <c r="P43">
        <v>103</v>
      </c>
      <c r="Q43">
        <v>84</v>
      </c>
      <c r="R43">
        <v>5</v>
      </c>
      <c r="S43" t="s">
        <v>157</v>
      </c>
      <c r="T43" t="s">
        <v>156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156</v>
      </c>
      <c r="O44" t="s">
        <v>154</v>
      </c>
      <c r="P44">
        <v>69</v>
      </c>
      <c r="Q44">
        <v>1</v>
      </c>
      <c r="R44">
        <v>1</v>
      </c>
      <c r="S44" t="s">
        <v>157</v>
      </c>
      <c r="T44" t="s">
        <v>156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153</v>
      </c>
      <c r="O45" t="s">
        <v>155</v>
      </c>
      <c r="P45">
        <v>307</v>
      </c>
      <c r="Q45">
        <v>25</v>
      </c>
      <c r="R45">
        <v>1</v>
      </c>
      <c r="S45">
        <v>180</v>
      </c>
      <c r="T45" t="s">
        <v>153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153</v>
      </c>
      <c r="O46" t="s">
        <v>155</v>
      </c>
      <c r="P46">
        <v>325</v>
      </c>
      <c r="Q46">
        <v>22</v>
      </c>
      <c r="R46">
        <v>2</v>
      </c>
      <c r="S46" t="s">
        <v>157</v>
      </c>
      <c r="T46" t="s">
        <v>153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153</v>
      </c>
      <c r="O47" t="s">
        <v>155</v>
      </c>
      <c r="P47">
        <v>359</v>
      </c>
      <c r="Q47">
        <v>30</v>
      </c>
      <c r="R47">
        <v>4</v>
      </c>
      <c r="S47">
        <v>305</v>
      </c>
      <c r="T47" t="s">
        <v>153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156</v>
      </c>
      <c r="O48" t="s">
        <v>154</v>
      </c>
      <c r="P48">
        <v>73</v>
      </c>
      <c r="Q48">
        <v>177</v>
      </c>
      <c r="R48">
        <v>18</v>
      </c>
      <c r="S48">
        <v>215</v>
      </c>
      <c r="T48" t="s">
        <v>156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153</v>
      </c>
      <c r="O49" t="s">
        <v>155</v>
      </c>
      <c r="P49">
        <v>58</v>
      </c>
      <c r="Q49">
        <v>4</v>
      </c>
      <c r="R49">
        <v>4</v>
      </c>
      <c r="S49">
        <v>247.5</v>
      </c>
      <c r="T49" t="s">
        <v>153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153</v>
      </c>
      <c r="O50" t="s">
        <v>155</v>
      </c>
      <c r="P50">
        <v>697</v>
      </c>
      <c r="Q50">
        <v>61</v>
      </c>
      <c r="R50">
        <v>9</v>
      </c>
      <c r="S50" t="s">
        <v>157</v>
      </c>
      <c r="T50" t="s">
        <v>153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156</v>
      </c>
      <c r="O51" t="s">
        <v>154</v>
      </c>
      <c r="P51">
        <v>303</v>
      </c>
      <c r="Q51">
        <v>9</v>
      </c>
      <c r="R51">
        <v>9</v>
      </c>
      <c r="S51">
        <v>815</v>
      </c>
      <c r="T51" t="s">
        <v>156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153</v>
      </c>
      <c r="O52" t="s">
        <v>154</v>
      </c>
      <c r="P52">
        <v>389</v>
      </c>
      <c r="Q52">
        <v>39</v>
      </c>
      <c r="R52">
        <v>4</v>
      </c>
      <c r="S52">
        <v>875</v>
      </c>
      <c r="T52" t="s">
        <v>153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156</v>
      </c>
      <c r="O53" t="s">
        <v>155</v>
      </c>
      <c r="P53">
        <v>109</v>
      </c>
      <c r="Q53">
        <v>7</v>
      </c>
      <c r="R53">
        <v>3</v>
      </c>
      <c r="S53">
        <v>70</v>
      </c>
      <c r="T53" t="s">
        <v>156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153</v>
      </c>
      <c r="O54" t="s">
        <v>155</v>
      </c>
      <c r="P54">
        <v>0</v>
      </c>
      <c r="Q54">
        <v>0</v>
      </c>
      <c r="R54">
        <v>0</v>
      </c>
      <c r="S54" t="s">
        <v>157</v>
      </c>
      <c r="T54" t="s">
        <v>153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153</v>
      </c>
      <c r="O55" t="s">
        <v>154</v>
      </c>
      <c r="P55">
        <v>67</v>
      </c>
      <c r="Q55">
        <v>147</v>
      </c>
      <c r="R55">
        <v>4</v>
      </c>
      <c r="S55">
        <v>1200</v>
      </c>
      <c r="T55" t="s">
        <v>153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153</v>
      </c>
      <c r="O56" t="s">
        <v>155</v>
      </c>
      <c r="P56">
        <v>316</v>
      </c>
      <c r="Q56">
        <v>6</v>
      </c>
      <c r="R56">
        <v>5</v>
      </c>
      <c r="S56">
        <v>675</v>
      </c>
      <c r="T56" t="s">
        <v>153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156</v>
      </c>
      <c r="O57" t="s">
        <v>154</v>
      </c>
      <c r="P57">
        <v>161</v>
      </c>
      <c r="Q57">
        <v>10</v>
      </c>
      <c r="R57">
        <v>3</v>
      </c>
      <c r="S57">
        <v>415</v>
      </c>
      <c r="T57" t="s">
        <v>156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156</v>
      </c>
      <c r="O58" t="s">
        <v>154</v>
      </c>
      <c r="P58">
        <v>142</v>
      </c>
      <c r="Q58">
        <v>14</v>
      </c>
      <c r="R58">
        <v>2</v>
      </c>
      <c r="S58">
        <v>340</v>
      </c>
      <c r="T58" t="s">
        <v>156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153</v>
      </c>
      <c r="O59" t="s">
        <v>155</v>
      </c>
      <c r="P59">
        <v>425</v>
      </c>
      <c r="Q59">
        <v>43</v>
      </c>
      <c r="R59">
        <v>4</v>
      </c>
      <c r="S59" t="s">
        <v>157</v>
      </c>
      <c r="T59" t="s">
        <v>153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156</v>
      </c>
      <c r="O60" t="s">
        <v>154</v>
      </c>
      <c r="P60">
        <v>106</v>
      </c>
      <c r="Q60">
        <v>206</v>
      </c>
      <c r="R60">
        <v>7</v>
      </c>
      <c r="S60">
        <v>416.66699999999997</v>
      </c>
      <c r="T60" t="s">
        <v>156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153</v>
      </c>
      <c r="O61" t="s">
        <v>155</v>
      </c>
      <c r="P61">
        <v>240</v>
      </c>
      <c r="Q61">
        <v>482</v>
      </c>
      <c r="R61">
        <v>13</v>
      </c>
      <c r="S61">
        <v>1350</v>
      </c>
      <c r="T61" t="s">
        <v>153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153</v>
      </c>
      <c r="O62" t="s">
        <v>155</v>
      </c>
      <c r="P62">
        <v>203</v>
      </c>
      <c r="Q62">
        <v>70</v>
      </c>
      <c r="R62">
        <v>10</v>
      </c>
      <c r="S62">
        <v>90</v>
      </c>
      <c r="T62" t="s">
        <v>153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156</v>
      </c>
      <c r="O63" t="s">
        <v>155</v>
      </c>
      <c r="P63">
        <v>53</v>
      </c>
      <c r="Q63">
        <v>88</v>
      </c>
      <c r="R63">
        <v>3</v>
      </c>
      <c r="S63">
        <v>275</v>
      </c>
      <c r="T63" t="s">
        <v>156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153</v>
      </c>
      <c r="O64" t="s">
        <v>154</v>
      </c>
      <c r="P64">
        <v>125</v>
      </c>
      <c r="Q64">
        <v>199</v>
      </c>
      <c r="R64">
        <v>13</v>
      </c>
      <c r="S64">
        <v>230</v>
      </c>
      <c r="T64" t="s">
        <v>153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156</v>
      </c>
      <c r="O65" t="s">
        <v>154</v>
      </c>
      <c r="P65">
        <v>73</v>
      </c>
      <c r="Q65">
        <v>152</v>
      </c>
      <c r="R65">
        <v>11</v>
      </c>
      <c r="S65">
        <v>225</v>
      </c>
      <c r="T65" t="s">
        <v>156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153</v>
      </c>
      <c r="O66" t="s">
        <v>154</v>
      </c>
      <c r="P66">
        <v>80</v>
      </c>
      <c r="Q66">
        <v>4</v>
      </c>
      <c r="R66">
        <v>0</v>
      </c>
      <c r="S66" t="s">
        <v>157</v>
      </c>
      <c r="T66" t="s">
        <v>153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153</v>
      </c>
      <c r="O67" t="s">
        <v>155</v>
      </c>
      <c r="P67">
        <v>0</v>
      </c>
      <c r="Q67">
        <v>0</v>
      </c>
      <c r="R67">
        <v>0</v>
      </c>
      <c r="S67">
        <v>950</v>
      </c>
      <c r="T67" t="s">
        <v>153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156</v>
      </c>
      <c r="O68" t="s">
        <v>155</v>
      </c>
      <c r="P68">
        <v>391</v>
      </c>
      <c r="Q68">
        <v>38</v>
      </c>
      <c r="R68">
        <v>8</v>
      </c>
      <c r="S68" t="s">
        <v>157</v>
      </c>
      <c r="T68" t="s">
        <v>156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153</v>
      </c>
      <c r="O69" t="s">
        <v>154</v>
      </c>
      <c r="P69">
        <v>152</v>
      </c>
      <c r="Q69">
        <v>3</v>
      </c>
      <c r="R69">
        <v>5</v>
      </c>
      <c r="S69">
        <v>75</v>
      </c>
      <c r="T69" t="s">
        <v>153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153</v>
      </c>
      <c r="O70" t="s">
        <v>155</v>
      </c>
      <c r="P70">
        <v>107</v>
      </c>
      <c r="Q70">
        <v>242</v>
      </c>
      <c r="R70">
        <v>23</v>
      </c>
      <c r="S70">
        <v>105</v>
      </c>
      <c r="T70" t="s">
        <v>153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153</v>
      </c>
      <c r="O71" t="s">
        <v>155</v>
      </c>
      <c r="P71">
        <v>211</v>
      </c>
      <c r="Q71">
        <v>2</v>
      </c>
      <c r="R71">
        <v>1</v>
      </c>
      <c r="S71" t="s">
        <v>157</v>
      </c>
      <c r="T71" t="s">
        <v>153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156</v>
      </c>
      <c r="O72" t="s">
        <v>154</v>
      </c>
      <c r="P72">
        <v>153</v>
      </c>
      <c r="Q72">
        <v>223</v>
      </c>
      <c r="R72">
        <v>10</v>
      </c>
      <c r="S72">
        <v>320</v>
      </c>
      <c r="T72" t="s">
        <v>156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156</v>
      </c>
      <c r="O73" t="s">
        <v>155</v>
      </c>
      <c r="P73">
        <v>244</v>
      </c>
      <c r="Q73">
        <v>21</v>
      </c>
      <c r="R73">
        <v>4</v>
      </c>
      <c r="S73" t="s">
        <v>157</v>
      </c>
      <c r="T73" t="s">
        <v>156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153</v>
      </c>
      <c r="O74" t="s">
        <v>154</v>
      </c>
      <c r="P74">
        <v>119</v>
      </c>
      <c r="Q74">
        <v>216</v>
      </c>
      <c r="R74">
        <v>12</v>
      </c>
      <c r="S74">
        <v>850</v>
      </c>
      <c r="T74" t="s">
        <v>153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153</v>
      </c>
      <c r="O75" t="s">
        <v>155</v>
      </c>
      <c r="P75">
        <v>808</v>
      </c>
      <c r="Q75">
        <v>108</v>
      </c>
      <c r="R75">
        <v>2</v>
      </c>
      <c r="S75">
        <v>535</v>
      </c>
      <c r="T75" t="s">
        <v>153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153</v>
      </c>
      <c r="O76" t="s">
        <v>155</v>
      </c>
      <c r="P76">
        <v>280</v>
      </c>
      <c r="Q76">
        <v>10</v>
      </c>
      <c r="R76">
        <v>5</v>
      </c>
      <c r="S76">
        <v>933.33299999999997</v>
      </c>
      <c r="T76" t="s">
        <v>153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153</v>
      </c>
      <c r="O77" t="s">
        <v>155</v>
      </c>
      <c r="P77">
        <v>224</v>
      </c>
      <c r="Q77">
        <v>286</v>
      </c>
      <c r="R77">
        <v>8</v>
      </c>
      <c r="S77">
        <v>850</v>
      </c>
      <c r="T77" t="s">
        <v>156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156</v>
      </c>
      <c r="O78" t="s">
        <v>154</v>
      </c>
      <c r="P78">
        <v>226</v>
      </c>
      <c r="Q78">
        <v>7</v>
      </c>
      <c r="R78">
        <v>3</v>
      </c>
      <c r="S78">
        <v>210</v>
      </c>
      <c r="T78" t="s">
        <v>153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156</v>
      </c>
      <c r="O79" t="s">
        <v>155</v>
      </c>
      <c r="P79">
        <v>83</v>
      </c>
      <c r="Q79">
        <v>2</v>
      </c>
      <c r="R79">
        <v>1</v>
      </c>
      <c r="S79" t="s">
        <v>157</v>
      </c>
      <c r="T79" t="s">
        <v>156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153</v>
      </c>
      <c r="O80" t="s">
        <v>154</v>
      </c>
      <c r="P80">
        <v>182</v>
      </c>
      <c r="Q80">
        <v>9</v>
      </c>
      <c r="R80">
        <v>4</v>
      </c>
      <c r="S80">
        <v>325</v>
      </c>
      <c r="T80" t="s">
        <v>153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153</v>
      </c>
      <c r="O81" t="s">
        <v>154</v>
      </c>
      <c r="P81">
        <v>104</v>
      </c>
      <c r="Q81">
        <v>213</v>
      </c>
      <c r="R81">
        <v>9</v>
      </c>
      <c r="S81">
        <v>275</v>
      </c>
      <c r="T81" t="s">
        <v>153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153</v>
      </c>
      <c r="O82" t="s">
        <v>154</v>
      </c>
      <c r="P82">
        <v>463</v>
      </c>
      <c r="Q82">
        <v>32</v>
      </c>
      <c r="R82">
        <v>8</v>
      </c>
      <c r="S82" t="s">
        <v>157</v>
      </c>
      <c r="T82" t="s">
        <v>153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156</v>
      </c>
      <c r="O83" t="s">
        <v>155</v>
      </c>
      <c r="P83">
        <v>51</v>
      </c>
      <c r="Q83">
        <v>54</v>
      </c>
      <c r="R83">
        <v>8</v>
      </c>
      <c r="S83">
        <v>450</v>
      </c>
      <c r="T83" t="s">
        <v>156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153</v>
      </c>
      <c r="O84" t="s">
        <v>155</v>
      </c>
      <c r="P84">
        <v>1377</v>
      </c>
      <c r="Q84">
        <v>100</v>
      </c>
      <c r="R84">
        <v>6</v>
      </c>
      <c r="S84">
        <v>1975</v>
      </c>
      <c r="T84" t="s">
        <v>153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153</v>
      </c>
      <c r="O85" t="s">
        <v>154</v>
      </c>
      <c r="P85">
        <v>92</v>
      </c>
      <c r="Q85">
        <v>2</v>
      </c>
      <c r="R85">
        <v>2</v>
      </c>
      <c r="S85" t="s">
        <v>157</v>
      </c>
      <c r="T85" t="s">
        <v>153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156</v>
      </c>
      <c r="O86" t="s">
        <v>154</v>
      </c>
      <c r="P86">
        <v>303</v>
      </c>
      <c r="Q86">
        <v>6</v>
      </c>
      <c r="R86">
        <v>6</v>
      </c>
      <c r="S86">
        <v>1900</v>
      </c>
      <c r="T86" t="s">
        <v>156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153</v>
      </c>
      <c r="O87" t="s">
        <v>154</v>
      </c>
      <c r="P87">
        <v>276</v>
      </c>
      <c r="Q87">
        <v>6</v>
      </c>
      <c r="R87">
        <v>2</v>
      </c>
      <c r="S87">
        <v>600</v>
      </c>
      <c r="T87" t="s">
        <v>153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156</v>
      </c>
      <c r="O88" t="s">
        <v>154</v>
      </c>
      <c r="P88">
        <v>278</v>
      </c>
      <c r="Q88">
        <v>9</v>
      </c>
      <c r="R88">
        <v>9</v>
      </c>
      <c r="S88">
        <v>1041.6669999999999</v>
      </c>
      <c r="T88" t="s">
        <v>156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153</v>
      </c>
      <c r="O89" t="s">
        <v>155</v>
      </c>
      <c r="P89">
        <v>148</v>
      </c>
      <c r="Q89">
        <v>4</v>
      </c>
      <c r="R89">
        <v>2</v>
      </c>
      <c r="S89">
        <v>110</v>
      </c>
      <c r="T89" t="s">
        <v>153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153</v>
      </c>
      <c r="O90" t="s">
        <v>154</v>
      </c>
      <c r="P90">
        <v>165</v>
      </c>
      <c r="Q90">
        <v>9</v>
      </c>
      <c r="R90">
        <v>1</v>
      </c>
      <c r="S90">
        <v>260</v>
      </c>
      <c r="T90" t="s">
        <v>153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153</v>
      </c>
      <c r="O91" t="s">
        <v>154</v>
      </c>
      <c r="P91">
        <v>246</v>
      </c>
      <c r="Q91">
        <v>389</v>
      </c>
      <c r="R91">
        <v>18</v>
      </c>
      <c r="S91">
        <v>475</v>
      </c>
      <c r="T91" t="s">
        <v>153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153</v>
      </c>
      <c r="O92" t="s">
        <v>154</v>
      </c>
      <c r="P92">
        <v>533</v>
      </c>
      <c r="Q92">
        <v>40</v>
      </c>
      <c r="R92">
        <v>4</v>
      </c>
      <c r="S92">
        <v>431.5</v>
      </c>
      <c r="T92" t="s">
        <v>153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156</v>
      </c>
      <c r="O93" t="s">
        <v>155</v>
      </c>
      <c r="P93">
        <v>226</v>
      </c>
      <c r="Q93">
        <v>10</v>
      </c>
      <c r="R93">
        <v>6</v>
      </c>
      <c r="S93">
        <v>1220</v>
      </c>
      <c r="T93" t="s">
        <v>156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153</v>
      </c>
      <c r="O94" t="s">
        <v>155</v>
      </c>
      <c r="P94">
        <v>45</v>
      </c>
      <c r="Q94">
        <v>122</v>
      </c>
      <c r="R94">
        <v>26</v>
      </c>
      <c r="S94">
        <v>70</v>
      </c>
      <c r="T94" t="s">
        <v>153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153</v>
      </c>
      <c r="O95" t="s">
        <v>154</v>
      </c>
      <c r="P95">
        <v>157</v>
      </c>
      <c r="Q95">
        <v>7</v>
      </c>
      <c r="R95">
        <v>8</v>
      </c>
      <c r="S95">
        <v>145</v>
      </c>
      <c r="T95" t="s">
        <v>153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156</v>
      </c>
      <c r="O96" t="s">
        <v>154</v>
      </c>
      <c r="P96">
        <v>142</v>
      </c>
      <c r="Q96">
        <v>210</v>
      </c>
      <c r="R96">
        <v>10</v>
      </c>
      <c r="S96" t="s">
        <v>157</v>
      </c>
      <c r="T96" t="s">
        <v>156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156</v>
      </c>
      <c r="O97" t="s">
        <v>154</v>
      </c>
      <c r="P97">
        <v>59</v>
      </c>
      <c r="Q97">
        <v>156</v>
      </c>
      <c r="R97">
        <v>9</v>
      </c>
      <c r="S97">
        <v>595</v>
      </c>
      <c r="T97" t="s">
        <v>156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153</v>
      </c>
      <c r="O98" t="s">
        <v>155</v>
      </c>
      <c r="P98">
        <v>292</v>
      </c>
      <c r="Q98">
        <v>9</v>
      </c>
      <c r="R98">
        <v>5</v>
      </c>
      <c r="S98">
        <v>1861.46</v>
      </c>
      <c r="T98" t="s">
        <v>153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156</v>
      </c>
      <c r="O99" t="s">
        <v>154</v>
      </c>
      <c r="P99">
        <v>360</v>
      </c>
      <c r="Q99">
        <v>32</v>
      </c>
      <c r="R99">
        <v>5</v>
      </c>
      <c r="S99" t="s">
        <v>157</v>
      </c>
      <c r="T99" t="s">
        <v>156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156</v>
      </c>
      <c r="O100" t="s">
        <v>154</v>
      </c>
      <c r="P100">
        <v>274</v>
      </c>
      <c r="Q100">
        <v>2</v>
      </c>
      <c r="R100">
        <v>7</v>
      </c>
      <c r="S100">
        <v>300</v>
      </c>
      <c r="T100" t="s">
        <v>156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156</v>
      </c>
      <c r="O101" t="s">
        <v>154</v>
      </c>
      <c r="P101">
        <v>292</v>
      </c>
      <c r="Q101">
        <v>6</v>
      </c>
      <c r="R101">
        <v>3</v>
      </c>
      <c r="S101">
        <v>490</v>
      </c>
      <c r="T101" t="s">
        <v>156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153</v>
      </c>
      <c r="O102" t="s">
        <v>155</v>
      </c>
      <c r="P102">
        <v>1045</v>
      </c>
      <c r="Q102">
        <v>88</v>
      </c>
      <c r="R102">
        <v>13</v>
      </c>
      <c r="S102">
        <v>2460</v>
      </c>
      <c r="T102" t="s">
        <v>153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153</v>
      </c>
      <c r="O103" t="s">
        <v>155</v>
      </c>
      <c r="P103">
        <v>212</v>
      </c>
      <c r="Q103">
        <v>327</v>
      </c>
      <c r="R103">
        <v>20</v>
      </c>
      <c r="S103" t="s">
        <v>157</v>
      </c>
      <c r="T103" t="s">
        <v>153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153</v>
      </c>
      <c r="O104" t="s">
        <v>155</v>
      </c>
      <c r="P104">
        <v>102</v>
      </c>
      <c r="Q104">
        <v>132</v>
      </c>
      <c r="R104">
        <v>10</v>
      </c>
      <c r="S104">
        <v>375</v>
      </c>
      <c r="T104" t="s">
        <v>153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153</v>
      </c>
      <c r="O105" t="s">
        <v>155</v>
      </c>
      <c r="P105">
        <v>709</v>
      </c>
      <c r="Q105">
        <v>41</v>
      </c>
      <c r="R105">
        <v>7</v>
      </c>
      <c r="S105" t="s">
        <v>157</v>
      </c>
      <c r="T105" t="s">
        <v>153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153</v>
      </c>
      <c r="O106" t="s">
        <v>155</v>
      </c>
      <c r="P106">
        <v>244</v>
      </c>
      <c r="Q106">
        <v>2</v>
      </c>
      <c r="R106">
        <v>4</v>
      </c>
      <c r="S106" t="s">
        <v>157</v>
      </c>
      <c r="T106" t="s">
        <v>153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153</v>
      </c>
      <c r="O107" t="s">
        <v>155</v>
      </c>
      <c r="P107">
        <v>40</v>
      </c>
      <c r="Q107">
        <v>115</v>
      </c>
      <c r="R107">
        <v>15</v>
      </c>
      <c r="S107" t="s">
        <v>157</v>
      </c>
      <c r="T107" t="s">
        <v>153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156</v>
      </c>
      <c r="O108" t="s">
        <v>154</v>
      </c>
      <c r="P108">
        <v>206</v>
      </c>
      <c r="Q108">
        <v>10</v>
      </c>
      <c r="R108">
        <v>7</v>
      </c>
      <c r="S108" t="s">
        <v>157</v>
      </c>
      <c r="T108" t="s">
        <v>156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153</v>
      </c>
      <c r="O109" t="s">
        <v>154</v>
      </c>
      <c r="P109">
        <v>316</v>
      </c>
      <c r="Q109">
        <v>439</v>
      </c>
      <c r="R109">
        <v>10</v>
      </c>
      <c r="S109">
        <v>750</v>
      </c>
      <c r="T109" t="s">
        <v>153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153</v>
      </c>
      <c r="O110" t="s">
        <v>155</v>
      </c>
      <c r="P110">
        <v>269</v>
      </c>
      <c r="Q110">
        <v>17</v>
      </c>
      <c r="R110">
        <v>10</v>
      </c>
      <c r="S110">
        <v>1175</v>
      </c>
      <c r="T110" t="s">
        <v>153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153</v>
      </c>
      <c r="O111" t="s">
        <v>155</v>
      </c>
      <c r="P111">
        <v>116</v>
      </c>
      <c r="Q111">
        <v>5</v>
      </c>
      <c r="R111">
        <v>12</v>
      </c>
      <c r="S111">
        <v>70</v>
      </c>
      <c r="T111" t="s">
        <v>153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153</v>
      </c>
      <c r="O112" t="s">
        <v>154</v>
      </c>
      <c r="P112">
        <v>97</v>
      </c>
      <c r="Q112">
        <v>218</v>
      </c>
      <c r="R112">
        <v>16</v>
      </c>
      <c r="S112">
        <v>1500</v>
      </c>
      <c r="T112" t="s">
        <v>153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156</v>
      </c>
      <c r="O113" t="s">
        <v>154</v>
      </c>
      <c r="P113">
        <v>726</v>
      </c>
      <c r="Q113">
        <v>87</v>
      </c>
      <c r="R113">
        <v>3</v>
      </c>
      <c r="S113">
        <v>385</v>
      </c>
      <c r="T113" t="s">
        <v>153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156</v>
      </c>
      <c r="O114" t="s">
        <v>155</v>
      </c>
      <c r="P114">
        <v>869</v>
      </c>
      <c r="Q114">
        <v>62</v>
      </c>
      <c r="R114">
        <v>8</v>
      </c>
      <c r="S114">
        <v>1925.5709999999999</v>
      </c>
      <c r="T114" t="s">
        <v>156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156</v>
      </c>
      <c r="O115" t="s">
        <v>154</v>
      </c>
      <c r="P115">
        <v>1253</v>
      </c>
      <c r="Q115">
        <v>111</v>
      </c>
      <c r="R115">
        <v>11</v>
      </c>
      <c r="S115">
        <v>215</v>
      </c>
      <c r="T115" t="s">
        <v>156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156</v>
      </c>
      <c r="O116" t="s">
        <v>155</v>
      </c>
      <c r="P116">
        <v>96</v>
      </c>
      <c r="Q116">
        <v>4</v>
      </c>
      <c r="R116">
        <v>4</v>
      </c>
      <c r="S116" t="s">
        <v>157</v>
      </c>
      <c r="T116" t="s">
        <v>156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153</v>
      </c>
      <c r="O117" t="s">
        <v>154</v>
      </c>
      <c r="P117">
        <v>118</v>
      </c>
      <c r="Q117">
        <v>334</v>
      </c>
      <c r="R117">
        <v>21</v>
      </c>
      <c r="S117">
        <v>900</v>
      </c>
      <c r="T117" t="s">
        <v>153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153</v>
      </c>
      <c r="O118" t="s">
        <v>154</v>
      </c>
      <c r="P118">
        <v>228</v>
      </c>
      <c r="Q118">
        <v>377</v>
      </c>
      <c r="R118">
        <v>26</v>
      </c>
      <c r="S118">
        <v>155</v>
      </c>
      <c r="T118" t="s">
        <v>153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153</v>
      </c>
      <c r="O119" t="s">
        <v>154</v>
      </c>
      <c r="P119">
        <v>144</v>
      </c>
      <c r="Q119">
        <v>6</v>
      </c>
      <c r="R119">
        <v>5</v>
      </c>
      <c r="S119">
        <v>700</v>
      </c>
      <c r="T119" t="s">
        <v>153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156</v>
      </c>
      <c r="O120" t="s">
        <v>154</v>
      </c>
      <c r="P120">
        <v>282</v>
      </c>
      <c r="Q120">
        <v>487</v>
      </c>
      <c r="R120">
        <v>19</v>
      </c>
      <c r="S120">
        <v>535</v>
      </c>
      <c r="T120" t="s">
        <v>156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153</v>
      </c>
      <c r="O121" t="s">
        <v>155</v>
      </c>
      <c r="P121">
        <v>91</v>
      </c>
      <c r="Q121">
        <v>185</v>
      </c>
      <c r="R121">
        <v>12</v>
      </c>
      <c r="S121">
        <v>362.5</v>
      </c>
      <c r="T121" t="s">
        <v>153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156</v>
      </c>
      <c r="O122" t="s">
        <v>155</v>
      </c>
      <c r="P122">
        <v>137</v>
      </c>
      <c r="Q122">
        <v>5</v>
      </c>
      <c r="R122">
        <v>9</v>
      </c>
      <c r="S122">
        <v>733.33299999999997</v>
      </c>
      <c r="T122" t="s">
        <v>156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156</v>
      </c>
      <c r="O123" t="s">
        <v>154</v>
      </c>
      <c r="P123">
        <v>83</v>
      </c>
      <c r="Q123">
        <v>174</v>
      </c>
      <c r="R123">
        <v>16</v>
      </c>
      <c r="S123">
        <v>200</v>
      </c>
      <c r="T123" t="s">
        <v>156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153</v>
      </c>
      <c r="O124" t="s">
        <v>154</v>
      </c>
      <c r="P124">
        <v>462</v>
      </c>
      <c r="Q124">
        <v>9</v>
      </c>
      <c r="R124">
        <v>7</v>
      </c>
      <c r="S124">
        <v>400</v>
      </c>
      <c r="T124" t="s">
        <v>153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156</v>
      </c>
      <c r="O125" t="s">
        <v>155</v>
      </c>
      <c r="P125">
        <v>185</v>
      </c>
      <c r="Q125">
        <v>8</v>
      </c>
      <c r="R125">
        <v>4</v>
      </c>
      <c r="S125">
        <v>400</v>
      </c>
      <c r="T125" t="s">
        <v>153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156</v>
      </c>
      <c r="O126" t="s">
        <v>154</v>
      </c>
      <c r="P126">
        <v>207</v>
      </c>
      <c r="Q126">
        <v>358</v>
      </c>
      <c r="R126">
        <v>20</v>
      </c>
      <c r="S126">
        <v>737.5</v>
      </c>
      <c r="T126" t="s">
        <v>156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153</v>
      </c>
      <c r="O127" t="s">
        <v>154</v>
      </c>
      <c r="P127">
        <v>0</v>
      </c>
      <c r="Q127">
        <v>0</v>
      </c>
      <c r="R127">
        <v>0</v>
      </c>
      <c r="S127" t="s">
        <v>157</v>
      </c>
      <c r="T127" t="s">
        <v>153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153</v>
      </c>
      <c r="O128" t="s">
        <v>154</v>
      </c>
      <c r="P128">
        <v>670</v>
      </c>
      <c r="Q128">
        <v>57</v>
      </c>
      <c r="R128">
        <v>5</v>
      </c>
      <c r="S128">
        <v>500</v>
      </c>
      <c r="T128" t="s">
        <v>153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153</v>
      </c>
      <c r="O129" t="s">
        <v>154</v>
      </c>
      <c r="P129">
        <v>237</v>
      </c>
      <c r="Q129">
        <v>8</v>
      </c>
      <c r="R129">
        <v>1</v>
      </c>
      <c r="S129">
        <v>600</v>
      </c>
      <c r="T129" t="s">
        <v>153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156</v>
      </c>
      <c r="O130" t="s">
        <v>155</v>
      </c>
      <c r="P130">
        <v>331</v>
      </c>
      <c r="Q130">
        <v>20</v>
      </c>
      <c r="R130">
        <v>4</v>
      </c>
      <c r="S130">
        <v>662.5</v>
      </c>
      <c r="T130" t="s">
        <v>156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153</v>
      </c>
      <c r="O131" t="s">
        <v>154</v>
      </c>
      <c r="P131">
        <v>295</v>
      </c>
      <c r="Q131">
        <v>15</v>
      </c>
      <c r="R131">
        <v>5</v>
      </c>
      <c r="S131">
        <v>950</v>
      </c>
      <c r="T131" t="s">
        <v>153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156</v>
      </c>
      <c r="O132" t="s">
        <v>155</v>
      </c>
      <c r="P132">
        <v>116</v>
      </c>
      <c r="Q132">
        <v>222</v>
      </c>
      <c r="R132">
        <v>15</v>
      </c>
      <c r="S132">
        <v>750</v>
      </c>
      <c r="T132" t="s">
        <v>156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156</v>
      </c>
      <c r="O133" t="s">
        <v>155</v>
      </c>
      <c r="P133">
        <v>50</v>
      </c>
      <c r="Q133">
        <v>136</v>
      </c>
      <c r="R133">
        <v>20</v>
      </c>
      <c r="S133">
        <v>297.5</v>
      </c>
      <c r="T133" t="s">
        <v>156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153</v>
      </c>
      <c r="O134" t="s">
        <v>154</v>
      </c>
      <c r="P134">
        <v>0</v>
      </c>
      <c r="Q134">
        <v>0</v>
      </c>
      <c r="R134">
        <v>0</v>
      </c>
      <c r="S134">
        <v>325</v>
      </c>
      <c r="T134" t="s">
        <v>153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153</v>
      </c>
      <c r="O135" t="s">
        <v>154</v>
      </c>
      <c r="P135">
        <v>278</v>
      </c>
      <c r="Q135">
        <v>415</v>
      </c>
      <c r="R135">
        <v>16</v>
      </c>
      <c r="S135">
        <v>87.5</v>
      </c>
      <c r="T135" t="s">
        <v>153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156</v>
      </c>
      <c r="O136" t="s">
        <v>154</v>
      </c>
      <c r="P136">
        <v>138</v>
      </c>
      <c r="Q136">
        <v>15</v>
      </c>
      <c r="R136">
        <v>1</v>
      </c>
      <c r="S136">
        <v>175</v>
      </c>
      <c r="T136" t="s">
        <v>156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156</v>
      </c>
      <c r="O137" t="s">
        <v>155</v>
      </c>
      <c r="P137">
        <v>97</v>
      </c>
      <c r="Q137">
        <v>2</v>
      </c>
      <c r="R137">
        <v>2</v>
      </c>
      <c r="S137">
        <v>90</v>
      </c>
      <c r="T137" t="s">
        <v>156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153</v>
      </c>
      <c r="O138" t="s">
        <v>155</v>
      </c>
      <c r="P138">
        <v>368</v>
      </c>
      <c r="Q138">
        <v>20</v>
      </c>
      <c r="R138">
        <v>3</v>
      </c>
      <c r="S138">
        <v>1237.5</v>
      </c>
      <c r="T138" t="s">
        <v>153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153</v>
      </c>
      <c r="O139" t="s">
        <v>155</v>
      </c>
      <c r="P139">
        <v>211</v>
      </c>
      <c r="Q139">
        <v>56</v>
      </c>
      <c r="R139">
        <v>13</v>
      </c>
      <c r="S139">
        <v>430</v>
      </c>
      <c r="T139" t="s">
        <v>153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153</v>
      </c>
      <c r="O140" t="s">
        <v>155</v>
      </c>
      <c r="P140">
        <v>122</v>
      </c>
      <c r="Q140">
        <v>140</v>
      </c>
      <c r="R140">
        <v>5</v>
      </c>
      <c r="S140" t="s">
        <v>157</v>
      </c>
      <c r="T140" t="s">
        <v>156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153</v>
      </c>
      <c r="O141" t="s">
        <v>154</v>
      </c>
      <c r="P141">
        <v>276</v>
      </c>
      <c r="Q141">
        <v>7</v>
      </c>
      <c r="R141">
        <v>9</v>
      </c>
      <c r="S141">
        <v>100</v>
      </c>
      <c r="T141" t="s">
        <v>156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153</v>
      </c>
      <c r="O142" t="s">
        <v>154</v>
      </c>
      <c r="P142">
        <v>319</v>
      </c>
      <c r="Q142">
        <v>4</v>
      </c>
      <c r="R142">
        <v>14</v>
      </c>
      <c r="S142">
        <v>165</v>
      </c>
      <c r="T142" t="s">
        <v>153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153</v>
      </c>
      <c r="O143" t="s">
        <v>155</v>
      </c>
      <c r="P143">
        <v>241</v>
      </c>
      <c r="Q143">
        <v>8</v>
      </c>
      <c r="R143">
        <v>6</v>
      </c>
      <c r="S143">
        <v>250</v>
      </c>
      <c r="T143" t="s">
        <v>153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156</v>
      </c>
      <c r="O144" t="s">
        <v>155</v>
      </c>
      <c r="P144">
        <v>623</v>
      </c>
      <c r="Q144">
        <v>35</v>
      </c>
      <c r="R144">
        <v>3</v>
      </c>
      <c r="S144">
        <v>1300</v>
      </c>
      <c r="T144" t="s">
        <v>156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156</v>
      </c>
      <c r="O145" t="s">
        <v>154</v>
      </c>
      <c r="P145">
        <v>237</v>
      </c>
      <c r="Q145">
        <v>5</v>
      </c>
      <c r="R145">
        <v>4</v>
      </c>
      <c r="S145">
        <v>773.33299999999997</v>
      </c>
      <c r="T145" t="s">
        <v>156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153</v>
      </c>
      <c r="O146" t="s">
        <v>154</v>
      </c>
      <c r="P146">
        <v>132</v>
      </c>
      <c r="Q146">
        <v>205</v>
      </c>
      <c r="R146">
        <v>5</v>
      </c>
      <c r="S146" t="s">
        <v>157</v>
      </c>
      <c r="T146" t="s">
        <v>153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156</v>
      </c>
      <c r="O147" t="s">
        <v>155</v>
      </c>
      <c r="P147">
        <v>885</v>
      </c>
      <c r="Q147">
        <v>105</v>
      </c>
      <c r="R147">
        <v>8</v>
      </c>
      <c r="S147">
        <v>1008.333</v>
      </c>
      <c r="T147" t="s">
        <v>156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153</v>
      </c>
      <c r="O148" t="s">
        <v>155</v>
      </c>
      <c r="P148">
        <v>33</v>
      </c>
      <c r="Q148">
        <v>3</v>
      </c>
      <c r="R148">
        <v>0</v>
      </c>
      <c r="S148">
        <v>275</v>
      </c>
      <c r="T148" t="s">
        <v>153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153</v>
      </c>
      <c r="O149" t="s">
        <v>155</v>
      </c>
      <c r="P149">
        <v>231</v>
      </c>
      <c r="Q149">
        <v>374</v>
      </c>
      <c r="R149">
        <v>18</v>
      </c>
      <c r="S149">
        <v>775</v>
      </c>
      <c r="T149" t="s">
        <v>153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153</v>
      </c>
      <c r="O150" t="s">
        <v>155</v>
      </c>
      <c r="P150">
        <v>304</v>
      </c>
      <c r="Q150">
        <v>347</v>
      </c>
      <c r="R150">
        <v>10</v>
      </c>
      <c r="S150">
        <v>850</v>
      </c>
      <c r="T150" t="s">
        <v>153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153</v>
      </c>
      <c r="O151" t="s">
        <v>155</v>
      </c>
      <c r="P151">
        <v>0</v>
      </c>
      <c r="Q151">
        <v>0</v>
      </c>
      <c r="R151">
        <v>0</v>
      </c>
      <c r="S151">
        <v>365</v>
      </c>
      <c r="T151" t="s">
        <v>153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153</v>
      </c>
      <c r="O152" t="s">
        <v>154</v>
      </c>
      <c r="P152">
        <v>132</v>
      </c>
      <c r="Q152">
        <v>9</v>
      </c>
      <c r="R152">
        <v>0</v>
      </c>
      <c r="S152" t="s">
        <v>157</v>
      </c>
      <c r="T152" t="s">
        <v>153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153</v>
      </c>
      <c r="O153" t="s">
        <v>154</v>
      </c>
      <c r="P153">
        <v>28</v>
      </c>
      <c r="Q153">
        <v>56</v>
      </c>
      <c r="R153">
        <v>2</v>
      </c>
      <c r="S153">
        <v>95</v>
      </c>
      <c r="T153" t="s">
        <v>153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156</v>
      </c>
      <c r="O154" t="s">
        <v>154</v>
      </c>
      <c r="P154">
        <v>102</v>
      </c>
      <c r="Q154">
        <v>4</v>
      </c>
      <c r="R154">
        <v>2</v>
      </c>
      <c r="S154">
        <v>110</v>
      </c>
      <c r="T154" t="s">
        <v>156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156</v>
      </c>
      <c r="O155" t="s">
        <v>154</v>
      </c>
      <c r="P155">
        <v>158</v>
      </c>
      <c r="Q155">
        <v>4</v>
      </c>
      <c r="R155">
        <v>5</v>
      </c>
      <c r="S155">
        <v>100</v>
      </c>
      <c r="T155" t="s">
        <v>156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156</v>
      </c>
      <c r="O156" t="s">
        <v>155</v>
      </c>
      <c r="P156">
        <v>92</v>
      </c>
      <c r="Q156">
        <v>257</v>
      </c>
      <c r="R156">
        <v>20</v>
      </c>
      <c r="S156">
        <v>277.5</v>
      </c>
      <c r="T156" t="s">
        <v>156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153</v>
      </c>
      <c r="O157" t="s">
        <v>154</v>
      </c>
      <c r="P157">
        <v>211</v>
      </c>
      <c r="Q157">
        <v>9</v>
      </c>
      <c r="R157">
        <v>3</v>
      </c>
      <c r="S157">
        <v>80</v>
      </c>
      <c r="T157" t="s">
        <v>153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156</v>
      </c>
      <c r="O158" t="s">
        <v>155</v>
      </c>
      <c r="P158">
        <v>161</v>
      </c>
      <c r="Q158">
        <v>3</v>
      </c>
      <c r="R158">
        <v>3</v>
      </c>
      <c r="S158">
        <v>600</v>
      </c>
      <c r="T158" t="s">
        <v>156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156</v>
      </c>
      <c r="O159" t="s">
        <v>155</v>
      </c>
      <c r="P159">
        <v>193</v>
      </c>
      <c r="Q159">
        <v>11</v>
      </c>
      <c r="R159">
        <v>4</v>
      </c>
      <c r="S159" t="s">
        <v>157</v>
      </c>
      <c r="T159" t="s">
        <v>156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153</v>
      </c>
      <c r="O160" t="s">
        <v>154</v>
      </c>
      <c r="P160">
        <v>0</v>
      </c>
      <c r="Q160">
        <v>0</v>
      </c>
      <c r="R160">
        <v>0</v>
      </c>
      <c r="S160" t="s">
        <v>157</v>
      </c>
      <c r="T160" t="s">
        <v>153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153</v>
      </c>
      <c r="O161" t="s">
        <v>154</v>
      </c>
      <c r="P161">
        <v>110</v>
      </c>
      <c r="Q161">
        <v>308</v>
      </c>
      <c r="R161">
        <v>15</v>
      </c>
      <c r="S161">
        <v>200</v>
      </c>
      <c r="T161" t="s">
        <v>153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153</v>
      </c>
      <c r="O162" t="s">
        <v>154</v>
      </c>
      <c r="P162">
        <v>260</v>
      </c>
      <c r="Q162">
        <v>58</v>
      </c>
      <c r="R162">
        <v>4</v>
      </c>
      <c r="S162" t="s">
        <v>157</v>
      </c>
      <c r="T162" t="s">
        <v>153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156</v>
      </c>
      <c r="O163" t="s">
        <v>155</v>
      </c>
      <c r="P163">
        <v>280</v>
      </c>
      <c r="Q163">
        <v>479</v>
      </c>
      <c r="R163">
        <v>5</v>
      </c>
      <c r="S163">
        <v>657</v>
      </c>
      <c r="T163" t="s">
        <v>156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153</v>
      </c>
      <c r="O164" t="s">
        <v>154</v>
      </c>
      <c r="P164">
        <v>332</v>
      </c>
      <c r="Q164">
        <v>19</v>
      </c>
      <c r="R164">
        <v>2</v>
      </c>
      <c r="S164">
        <v>75</v>
      </c>
      <c r="T164" t="s">
        <v>156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153</v>
      </c>
      <c r="O165" t="s">
        <v>155</v>
      </c>
      <c r="P165">
        <v>330</v>
      </c>
      <c r="Q165">
        <v>16</v>
      </c>
      <c r="R165">
        <v>8</v>
      </c>
      <c r="S165">
        <v>2412.5</v>
      </c>
      <c r="T165" t="s">
        <v>153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156</v>
      </c>
      <c r="O166" t="s">
        <v>154</v>
      </c>
      <c r="P166">
        <v>87</v>
      </c>
      <c r="Q166">
        <v>166</v>
      </c>
      <c r="R166">
        <v>14</v>
      </c>
      <c r="S166">
        <v>250</v>
      </c>
      <c r="T166" t="s">
        <v>153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156</v>
      </c>
      <c r="O167" t="s">
        <v>155</v>
      </c>
      <c r="P167">
        <v>498</v>
      </c>
      <c r="Q167">
        <v>39</v>
      </c>
      <c r="R167">
        <v>13</v>
      </c>
      <c r="S167">
        <v>155</v>
      </c>
      <c r="T167" t="s">
        <v>156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156</v>
      </c>
      <c r="O168" t="s">
        <v>155</v>
      </c>
      <c r="P168">
        <v>290</v>
      </c>
      <c r="Q168">
        <v>440</v>
      </c>
      <c r="R168">
        <v>25</v>
      </c>
      <c r="S168">
        <v>640</v>
      </c>
      <c r="T168" t="s">
        <v>156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153</v>
      </c>
      <c r="O169" t="s">
        <v>155</v>
      </c>
      <c r="P169">
        <v>222</v>
      </c>
      <c r="Q169">
        <v>5</v>
      </c>
      <c r="R169">
        <v>5</v>
      </c>
      <c r="S169">
        <v>300</v>
      </c>
      <c r="T169" t="s">
        <v>153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153</v>
      </c>
      <c r="O170" t="s">
        <v>154</v>
      </c>
      <c r="P170">
        <v>227</v>
      </c>
      <c r="Q170">
        <v>15</v>
      </c>
      <c r="R170">
        <v>3</v>
      </c>
      <c r="S170">
        <v>110</v>
      </c>
      <c r="T170" t="s">
        <v>153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156</v>
      </c>
      <c r="O171" t="s">
        <v>155</v>
      </c>
      <c r="P171">
        <v>103</v>
      </c>
      <c r="Q171">
        <v>8</v>
      </c>
      <c r="R171">
        <v>2</v>
      </c>
      <c r="S171" t="s">
        <v>157</v>
      </c>
      <c r="T171" t="s">
        <v>156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153</v>
      </c>
      <c r="O172" t="s">
        <v>154</v>
      </c>
      <c r="P172">
        <v>686</v>
      </c>
      <c r="Q172">
        <v>46</v>
      </c>
      <c r="R172">
        <v>4</v>
      </c>
      <c r="S172">
        <v>825</v>
      </c>
      <c r="T172" t="s">
        <v>156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153</v>
      </c>
      <c r="O173" t="s">
        <v>155</v>
      </c>
      <c r="P173">
        <v>243</v>
      </c>
      <c r="Q173">
        <v>23</v>
      </c>
      <c r="R173">
        <v>5</v>
      </c>
      <c r="S173" t="s">
        <v>157</v>
      </c>
      <c r="T173" t="s">
        <v>153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156</v>
      </c>
      <c r="O174" t="s">
        <v>154</v>
      </c>
      <c r="P174">
        <v>249</v>
      </c>
      <c r="Q174">
        <v>444</v>
      </c>
      <c r="R174">
        <v>16</v>
      </c>
      <c r="S174">
        <v>195</v>
      </c>
      <c r="T174" t="s">
        <v>156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153</v>
      </c>
      <c r="O175" t="s">
        <v>154</v>
      </c>
      <c r="P175">
        <v>300</v>
      </c>
      <c r="Q175">
        <v>12</v>
      </c>
      <c r="R175">
        <v>2</v>
      </c>
      <c r="S175" t="s">
        <v>157</v>
      </c>
      <c r="T175" t="s">
        <v>153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156</v>
      </c>
      <c r="O176" t="s">
        <v>154</v>
      </c>
      <c r="P176">
        <v>49</v>
      </c>
      <c r="Q176">
        <v>2</v>
      </c>
      <c r="R176">
        <v>0</v>
      </c>
      <c r="S176">
        <v>450</v>
      </c>
      <c r="T176" t="s">
        <v>156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156</v>
      </c>
      <c r="O177" t="s">
        <v>154</v>
      </c>
      <c r="P177">
        <v>303</v>
      </c>
      <c r="Q177">
        <v>12</v>
      </c>
      <c r="R177">
        <v>5</v>
      </c>
      <c r="S177">
        <v>630</v>
      </c>
      <c r="T177" t="s">
        <v>156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156</v>
      </c>
      <c r="O178" t="s">
        <v>154</v>
      </c>
      <c r="P178">
        <v>88</v>
      </c>
      <c r="Q178">
        <v>0</v>
      </c>
      <c r="R178">
        <v>3</v>
      </c>
      <c r="S178">
        <v>86.5</v>
      </c>
      <c r="T178" t="s">
        <v>156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153</v>
      </c>
      <c r="O179" t="s">
        <v>155</v>
      </c>
      <c r="P179">
        <v>190</v>
      </c>
      <c r="Q179">
        <v>2</v>
      </c>
      <c r="R179">
        <v>2</v>
      </c>
      <c r="S179">
        <v>1300</v>
      </c>
      <c r="T179" t="s">
        <v>153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153</v>
      </c>
      <c r="O180" t="s">
        <v>155</v>
      </c>
      <c r="P180">
        <v>96</v>
      </c>
      <c r="Q180">
        <v>5</v>
      </c>
      <c r="R180">
        <v>3</v>
      </c>
      <c r="S180">
        <v>1000</v>
      </c>
      <c r="T180" t="s">
        <v>156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156</v>
      </c>
      <c r="O181" t="s">
        <v>155</v>
      </c>
      <c r="P181">
        <v>1199</v>
      </c>
      <c r="Q181">
        <v>149</v>
      </c>
      <c r="R181">
        <v>5</v>
      </c>
      <c r="S181">
        <v>1800</v>
      </c>
      <c r="T181" t="s">
        <v>156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153</v>
      </c>
      <c r="O182" t="s">
        <v>154</v>
      </c>
      <c r="P182">
        <v>1218</v>
      </c>
      <c r="Q182">
        <v>104</v>
      </c>
      <c r="R182">
        <v>10</v>
      </c>
      <c r="S182">
        <v>1310</v>
      </c>
      <c r="T182" t="s">
        <v>153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156</v>
      </c>
      <c r="O183" t="s">
        <v>154</v>
      </c>
      <c r="P183">
        <v>145</v>
      </c>
      <c r="Q183">
        <v>5</v>
      </c>
      <c r="R183">
        <v>7</v>
      </c>
      <c r="S183">
        <v>737.5</v>
      </c>
      <c r="T183" t="s">
        <v>156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156</v>
      </c>
      <c r="O184" t="s">
        <v>154</v>
      </c>
      <c r="P184">
        <v>332</v>
      </c>
      <c r="Q184">
        <v>9</v>
      </c>
      <c r="R184">
        <v>8</v>
      </c>
      <c r="S184">
        <v>625</v>
      </c>
      <c r="T184" t="s">
        <v>156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156</v>
      </c>
      <c r="O185" t="s">
        <v>155</v>
      </c>
      <c r="P185">
        <v>145</v>
      </c>
      <c r="Q185">
        <v>59</v>
      </c>
      <c r="R185">
        <v>8</v>
      </c>
      <c r="S185">
        <v>125</v>
      </c>
      <c r="T185" t="s">
        <v>156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156</v>
      </c>
      <c r="O186" t="s">
        <v>155</v>
      </c>
      <c r="P186">
        <v>181</v>
      </c>
      <c r="Q186">
        <v>13</v>
      </c>
      <c r="R186">
        <v>4</v>
      </c>
      <c r="S186">
        <v>1043.3330000000001</v>
      </c>
      <c r="T186" t="s">
        <v>156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156</v>
      </c>
      <c r="O187" t="s">
        <v>154</v>
      </c>
      <c r="P187">
        <v>65</v>
      </c>
      <c r="Q187">
        <v>258</v>
      </c>
      <c r="R187">
        <v>8</v>
      </c>
      <c r="S187">
        <v>725</v>
      </c>
      <c r="T187" t="s">
        <v>156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153</v>
      </c>
      <c r="O188" t="s">
        <v>154</v>
      </c>
      <c r="P188">
        <v>0</v>
      </c>
      <c r="Q188">
        <v>0</v>
      </c>
      <c r="R188">
        <v>0</v>
      </c>
      <c r="S188">
        <v>300</v>
      </c>
      <c r="T188" t="s">
        <v>153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153</v>
      </c>
      <c r="O189" t="s">
        <v>154</v>
      </c>
      <c r="P189">
        <v>429</v>
      </c>
      <c r="Q189">
        <v>8</v>
      </c>
      <c r="R189">
        <v>6</v>
      </c>
      <c r="S189">
        <v>365</v>
      </c>
      <c r="T189" t="s">
        <v>153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156</v>
      </c>
      <c r="O190" t="s">
        <v>154</v>
      </c>
      <c r="P190">
        <v>107</v>
      </c>
      <c r="Q190">
        <v>205</v>
      </c>
      <c r="R190">
        <v>16</v>
      </c>
      <c r="S190">
        <v>75</v>
      </c>
      <c r="T190" t="s">
        <v>156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156</v>
      </c>
      <c r="O191" t="s">
        <v>155</v>
      </c>
      <c r="P191">
        <v>1231</v>
      </c>
      <c r="Q191">
        <v>80</v>
      </c>
      <c r="R191">
        <v>7</v>
      </c>
      <c r="S191">
        <v>1183.3330000000001</v>
      </c>
      <c r="T191" t="s">
        <v>156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156</v>
      </c>
      <c r="O192" t="s">
        <v>155</v>
      </c>
      <c r="P192">
        <v>283</v>
      </c>
      <c r="Q192">
        <v>8</v>
      </c>
      <c r="R192">
        <v>3</v>
      </c>
      <c r="S192">
        <v>202.5</v>
      </c>
      <c r="T192" t="s">
        <v>156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153</v>
      </c>
      <c r="O193" t="s">
        <v>155</v>
      </c>
      <c r="P193">
        <v>156</v>
      </c>
      <c r="Q193">
        <v>2</v>
      </c>
      <c r="R193">
        <v>2</v>
      </c>
      <c r="S193">
        <v>225</v>
      </c>
      <c r="T193" t="s">
        <v>153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153</v>
      </c>
      <c r="O194" t="s">
        <v>155</v>
      </c>
      <c r="P194">
        <v>239</v>
      </c>
      <c r="Q194">
        <v>8</v>
      </c>
      <c r="R194">
        <v>2</v>
      </c>
      <c r="S194">
        <v>525</v>
      </c>
      <c r="T194" t="s">
        <v>153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156</v>
      </c>
      <c r="O195" t="s">
        <v>154</v>
      </c>
      <c r="P195">
        <v>235</v>
      </c>
      <c r="Q195">
        <v>22</v>
      </c>
      <c r="R195">
        <v>5</v>
      </c>
      <c r="S195">
        <v>265</v>
      </c>
      <c r="T195" t="s">
        <v>156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153</v>
      </c>
      <c r="O196" t="s">
        <v>155</v>
      </c>
      <c r="P196">
        <v>371</v>
      </c>
      <c r="Q196">
        <v>6</v>
      </c>
      <c r="R196">
        <v>6</v>
      </c>
      <c r="S196">
        <v>787.5</v>
      </c>
      <c r="T196" t="s">
        <v>153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153</v>
      </c>
      <c r="O197" t="s">
        <v>155</v>
      </c>
      <c r="P197">
        <v>483</v>
      </c>
      <c r="Q197">
        <v>48</v>
      </c>
      <c r="R197">
        <v>6</v>
      </c>
      <c r="S197">
        <v>800</v>
      </c>
      <c r="T197" t="s">
        <v>156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153</v>
      </c>
      <c r="O198" t="s">
        <v>154</v>
      </c>
      <c r="P198">
        <v>0</v>
      </c>
      <c r="Q198">
        <v>0</v>
      </c>
      <c r="R198">
        <v>0</v>
      </c>
      <c r="S198">
        <v>587.5</v>
      </c>
      <c r="T198" t="s">
        <v>153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156</v>
      </c>
      <c r="O199" t="s">
        <v>155</v>
      </c>
      <c r="P199">
        <v>64</v>
      </c>
      <c r="Q199">
        <v>119</v>
      </c>
      <c r="R199">
        <v>9</v>
      </c>
      <c r="S199" t="s">
        <v>157</v>
      </c>
      <c r="T199" t="s">
        <v>156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153</v>
      </c>
      <c r="O200" t="s">
        <v>155</v>
      </c>
      <c r="P200">
        <v>0</v>
      </c>
      <c r="Q200">
        <v>0</v>
      </c>
      <c r="R200">
        <v>0</v>
      </c>
      <c r="S200">
        <v>145</v>
      </c>
      <c r="T200" t="s">
        <v>153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153</v>
      </c>
      <c r="O201" t="s">
        <v>154</v>
      </c>
      <c r="P201">
        <v>245</v>
      </c>
      <c r="Q201">
        <v>5</v>
      </c>
      <c r="R201">
        <v>9</v>
      </c>
      <c r="S201" t="s">
        <v>157</v>
      </c>
      <c r="T201" t="s">
        <v>153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153</v>
      </c>
      <c r="O202" t="s">
        <v>155</v>
      </c>
      <c r="P202">
        <v>276</v>
      </c>
      <c r="Q202">
        <v>421</v>
      </c>
      <c r="R202">
        <v>11</v>
      </c>
      <c r="S202">
        <v>420</v>
      </c>
      <c r="T202" t="s">
        <v>153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156</v>
      </c>
      <c r="O203" t="s">
        <v>154</v>
      </c>
      <c r="P203">
        <v>317</v>
      </c>
      <c r="Q203">
        <v>36</v>
      </c>
      <c r="R203">
        <v>1</v>
      </c>
      <c r="S203">
        <v>75</v>
      </c>
      <c r="T203" t="s">
        <v>156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153</v>
      </c>
      <c r="O204" t="s">
        <v>155</v>
      </c>
      <c r="P204">
        <v>303</v>
      </c>
      <c r="Q204">
        <v>450</v>
      </c>
      <c r="R204">
        <v>14</v>
      </c>
      <c r="S204">
        <v>575</v>
      </c>
      <c r="T204" t="s">
        <v>153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156</v>
      </c>
      <c r="O205" t="s">
        <v>155</v>
      </c>
      <c r="P205">
        <v>107</v>
      </c>
      <c r="Q205">
        <v>3</v>
      </c>
      <c r="R205">
        <v>3</v>
      </c>
      <c r="S205" t="s">
        <v>157</v>
      </c>
      <c r="T205" t="s">
        <v>156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153</v>
      </c>
      <c r="O206" t="s">
        <v>154</v>
      </c>
      <c r="P206">
        <v>310</v>
      </c>
      <c r="Q206">
        <v>9</v>
      </c>
      <c r="R206">
        <v>9</v>
      </c>
      <c r="S206">
        <v>780</v>
      </c>
      <c r="T206" t="s">
        <v>153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156</v>
      </c>
      <c r="O207" t="s">
        <v>155</v>
      </c>
      <c r="P207">
        <v>201</v>
      </c>
      <c r="Q207">
        <v>6</v>
      </c>
      <c r="R207">
        <v>3</v>
      </c>
      <c r="S207">
        <v>90</v>
      </c>
      <c r="T207" t="s">
        <v>156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156</v>
      </c>
      <c r="O208" t="s">
        <v>154</v>
      </c>
      <c r="P208">
        <v>172</v>
      </c>
      <c r="Q208">
        <v>317</v>
      </c>
      <c r="R208">
        <v>25</v>
      </c>
      <c r="S208">
        <v>150</v>
      </c>
      <c r="T208" t="s">
        <v>156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153</v>
      </c>
      <c r="O209" t="s">
        <v>155</v>
      </c>
      <c r="P209">
        <v>0</v>
      </c>
      <c r="Q209">
        <v>0</v>
      </c>
      <c r="R209">
        <v>0</v>
      </c>
      <c r="S209">
        <v>700</v>
      </c>
      <c r="T209" t="s">
        <v>156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156</v>
      </c>
      <c r="O210" t="s">
        <v>155</v>
      </c>
      <c r="P210">
        <v>415</v>
      </c>
      <c r="Q210">
        <v>35</v>
      </c>
      <c r="R210">
        <v>3</v>
      </c>
      <c r="S210" t="s">
        <v>157</v>
      </c>
      <c r="T210" t="s">
        <v>156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153</v>
      </c>
      <c r="O211" t="s">
        <v>155</v>
      </c>
      <c r="P211">
        <v>233</v>
      </c>
      <c r="Q211">
        <v>7</v>
      </c>
      <c r="R211">
        <v>7</v>
      </c>
      <c r="S211">
        <v>550</v>
      </c>
      <c r="T211" t="s">
        <v>153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153</v>
      </c>
      <c r="O212" t="s">
        <v>154</v>
      </c>
      <c r="P212">
        <v>220</v>
      </c>
      <c r="Q212">
        <v>16</v>
      </c>
      <c r="R212">
        <v>4</v>
      </c>
      <c r="S212" t="s">
        <v>157</v>
      </c>
      <c r="T212" t="s">
        <v>153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156</v>
      </c>
      <c r="O213" t="s">
        <v>155</v>
      </c>
      <c r="P213">
        <v>259</v>
      </c>
      <c r="Q213">
        <v>30</v>
      </c>
      <c r="R213">
        <v>10</v>
      </c>
      <c r="S213">
        <v>650</v>
      </c>
      <c r="T213" t="s">
        <v>153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153</v>
      </c>
      <c r="O214" t="s">
        <v>154</v>
      </c>
      <c r="P214">
        <v>102</v>
      </c>
      <c r="Q214">
        <v>6</v>
      </c>
      <c r="R214">
        <v>3</v>
      </c>
      <c r="S214">
        <v>68</v>
      </c>
      <c r="T214" t="s">
        <v>153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156</v>
      </c>
      <c r="O215" t="s">
        <v>155</v>
      </c>
      <c r="P215">
        <v>468</v>
      </c>
      <c r="Q215">
        <v>47</v>
      </c>
      <c r="R215">
        <v>6</v>
      </c>
      <c r="S215">
        <v>100</v>
      </c>
      <c r="T215" t="s">
        <v>156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156</v>
      </c>
      <c r="O216" t="s">
        <v>154</v>
      </c>
      <c r="P216">
        <v>149</v>
      </c>
      <c r="Q216">
        <v>8</v>
      </c>
      <c r="R216">
        <v>6</v>
      </c>
      <c r="S216">
        <v>670</v>
      </c>
      <c r="T216" t="s">
        <v>156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153</v>
      </c>
      <c r="O217" t="s">
        <v>155</v>
      </c>
      <c r="P217">
        <v>103</v>
      </c>
      <c r="Q217">
        <v>283</v>
      </c>
      <c r="R217">
        <v>19</v>
      </c>
      <c r="S217">
        <v>175</v>
      </c>
      <c r="T217" t="s">
        <v>153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153</v>
      </c>
      <c r="O218" t="s">
        <v>154</v>
      </c>
      <c r="P218">
        <v>358</v>
      </c>
      <c r="Q218">
        <v>32</v>
      </c>
      <c r="R218">
        <v>8</v>
      </c>
      <c r="S218">
        <v>137</v>
      </c>
      <c r="T218" t="s">
        <v>153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156</v>
      </c>
      <c r="O219" t="s">
        <v>155</v>
      </c>
      <c r="P219">
        <v>78</v>
      </c>
      <c r="Q219">
        <v>220</v>
      </c>
      <c r="R219">
        <v>6</v>
      </c>
      <c r="S219">
        <v>2127.3330000000001</v>
      </c>
      <c r="T219" t="s">
        <v>156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156</v>
      </c>
      <c r="O220" t="s">
        <v>154</v>
      </c>
      <c r="P220">
        <v>756</v>
      </c>
      <c r="Q220">
        <v>64</v>
      </c>
      <c r="R220">
        <v>15</v>
      </c>
      <c r="S220">
        <v>875</v>
      </c>
      <c r="T220" t="s">
        <v>156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153</v>
      </c>
      <c r="O221" t="s">
        <v>154</v>
      </c>
      <c r="P221">
        <v>463</v>
      </c>
      <c r="Q221">
        <v>32</v>
      </c>
      <c r="R221">
        <v>8</v>
      </c>
      <c r="S221">
        <v>120</v>
      </c>
      <c r="T221" t="s">
        <v>153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156</v>
      </c>
      <c r="O222" t="s">
        <v>155</v>
      </c>
      <c r="P222">
        <v>212</v>
      </c>
      <c r="Q222">
        <v>1</v>
      </c>
      <c r="R222">
        <v>2</v>
      </c>
      <c r="S222">
        <v>140</v>
      </c>
      <c r="T222" t="s">
        <v>156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156</v>
      </c>
      <c r="O223" t="s">
        <v>155</v>
      </c>
      <c r="P223">
        <v>325</v>
      </c>
      <c r="Q223">
        <v>12</v>
      </c>
      <c r="R223">
        <v>8</v>
      </c>
      <c r="S223">
        <v>210</v>
      </c>
      <c r="T223" t="s">
        <v>156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156</v>
      </c>
      <c r="O224" t="s">
        <v>155</v>
      </c>
      <c r="P224">
        <v>228</v>
      </c>
      <c r="Q224">
        <v>7</v>
      </c>
      <c r="R224">
        <v>5</v>
      </c>
      <c r="S224">
        <v>800</v>
      </c>
      <c r="T224" t="s">
        <v>156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156</v>
      </c>
      <c r="O225" t="s">
        <v>154</v>
      </c>
      <c r="P225">
        <v>203</v>
      </c>
      <c r="Q225">
        <v>3</v>
      </c>
      <c r="R225">
        <v>3</v>
      </c>
      <c r="S225">
        <v>240</v>
      </c>
      <c r="T225" t="s">
        <v>156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153</v>
      </c>
      <c r="O226" t="s">
        <v>155</v>
      </c>
      <c r="P226">
        <v>149</v>
      </c>
      <c r="Q226">
        <v>1</v>
      </c>
      <c r="R226">
        <v>6</v>
      </c>
      <c r="S226">
        <v>350</v>
      </c>
      <c r="T226" t="s">
        <v>153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156</v>
      </c>
      <c r="O227" t="s">
        <v>154</v>
      </c>
      <c r="P227">
        <v>512</v>
      </c>
      <c r="Q227">
        <v>30</v>
      </c>
      <c r="R227">
        <v>5</v>
      </c>
      <c r="S227" t="s">
        <v>157</v>
      </c>
      <c r="T227" t="s">
        <v>156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153</v>
      </c>
      <c r="O228" t="s">
        <v>154</v>
      </c>
      <c r="P228">
        <v>261</v>
      </c>
      <c r="Q228">
        <v>459</v>
      </c>
      <c r="R228">
        <v>22</v>
      </c>
      <c r="S228">
        <v>175</v>
      </c>
      <c r="T228" t="s">
        <v>153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153</v>
      </c>
      <c r="O229" t="s">
        <v>154</v>
      </c>
      <c r="P229">
        <v>325</v>
      </c>
      <c r="Q229">
        <v>13</v>
      </c>
      <c r="R229">
        <v>3</v>
      </c>
      <c r="S229">
        <v>200</v>
      </c>
      <c r="T229" t="s">
        <v>153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156</v>
      </c>
      <c r="O230" t="s">
        <v>154</v>
      </c>
      <c r="P230">
        <v>151</v>
      </c>
      <c r="Q230">
        <v>8</v>
      </c>
      <c r="R230">
        <v>5</v>
      </c>
      <c r="S230" t="s">
        <v>157</v>
      </c>
      <c r="T230" t="s">
        <v>156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156</v>
      </c>
      <c r="O231" t="s">
        <v>155</v>
      </c>
      <c r="P231">
        <v>229</v>
      </c>
      <c r="Q231">
        <v>453</v>
      </c>
      <c r="R231">
        <v>15</v>
      </c>
      <c r="S231">
        <v>1940</v>
      </c>
      <c r="T231" t="s">
        <v>156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156</v>
      </c>
      <c r="O232" t="s">
        <v>154</v>
      </c>
      <c r="P232">
        <v>682</v>
      </c>
      <c r="Q232">
        <v>93</v>
      </c>
      <c r="R232">
        <v>13</v>
      </c>
      <c r="S232">
        <v>700</v>
      </c>
      <c r="T232" t="s">
        <v>156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153</v>
      </c>
      <c r="O233" t="s">
        <v>154</v>
      </c>
      <c r="P233">
        <v>250</v>
      </c>
      <c r="Q233">
        <v>11</v>
      </c>
      <c r="R233">
        <v>1</v>
      </c>
      <c r="S233">
        <v>750</v>
      </c>
      <c r="T233" t="s">
        <v>153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156</v>
      </c>
      <c r="O234" t="s">
        <v>154</v>
      </c>
      <c r="P234">
        <v>58</v>
      </c>
      <c r="Q234">
        <v>141</v>
      </c>
      <c r="R234">
        <v>23</v>
      </c>
      <c r="S234">
        <v>450</v>
      </c>
      <c r="T234" t="s">
        <v>156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153</v>
      </c>
      <c r="O235" t="s">
        <v>154</v>
      </c>
      <c r="P235">
        <v>157</v>
      </c>
      <c r="Q235">
        <v>6</v>
      </c>
      <c r="R235">
        <v>14</v>
      </c>
      <c r="S235">
        <v>172</v>
      </c>
      <c r="T235" t="s">
        <v>153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153</v>
      </c>
      <c r="O236" t="s">
        <v>155</v>
      </c>
      <c r="P236">
        <v>82</v>
      </c>
      <c r="Q236">
        <v>170</v>
      </c>
      <c r="R236">
        <v>15</v>
      </c>
      <c r="S236">
        <v>1260</v>
      </c>
      <c r="T236" t="s">
        <v>153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153</v>
      </c>
      <c r="O237" t="s">
        <v>154</v>
      </c>
      <c r="P237">
        <v>1224</v>
      </c>
      <c r="Q237">
        <v>115</v>
      </c>
      <c r="R237">
        <v>11</v>
      </c>
      <c r="S237" t="s">
        <v>157</v>
      </c>
      <c r="T237" t="s">
        <v>153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156</v>
      </c>
      <c r="O238" t="s">
        <v>154</v>
      </c>
      <c r="P238">
        <v>523</v>
      </c>
      <c r="Q238">
        <v>43</v>
      </c>
      <c r="R238">
        <v>6</v>
      </c>
      <c r="S238">
        <v>750</v>
      </c>
      <c r="T238" t="s">
        <v>156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153</v>
      </c>
      <c r="O239" t="s">
        <v>155</v>
      </c>
      <c r="P239">
        <v>172</v>
      </c>
      <c r="Q239">
        <v>1</v>
      </c>
      <c r="R239">
        <v>4</v>
      </c>
      <c r="S239">
        <v>190</v>
      </c>
      <c r="T239" t="s">
        <v>153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153</v>
      </c>
      <c r="O240" t="s">
        <v>155</v>
      </c>
      <c r="P240">
        <v>846</v>
      </c>
      <c r="Q240">
        <v>84</v>
      </c>
      <c r="R240">
        <v>9</v>
      </c>
      <c r="S240">
        <v>580</v>
      </c>
      <c r="T240" t="s">
        <v>153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156</v>
      </c>
      <c r="O241" t="s">
        <v>155</v>
      </c>
      <c r="P241">
        <v>117</v>
      </c>
      <c r="Q241">
        <v>269</v>
      </c>
      <c r="R241">
        <v>12</v>
      </c>
      <c r="S241">
        <v>130</v>
      </c>
      <c r="T241" t="s">
        <v>156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153</v>
      </c>
      <c r="O242" t="s">
        <v>154</v>
      </c>
      <c r="P242">
        <v>62</v>
      </c>
      <c r="Q242">
        <v>90</v>
      </c>
      <c r="R242">
        <v>3</v>
      </c>
      <c r="S242">
        <v>450</v>
      </c>
      <c r="T242" t="s">
        <v>153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153</v>
      </c>
      <c r="O243" t="s">
        <v>154</v>
      </c>
      <c r="P243">
        <v>167</v>
      </c>
      <c r="Q243">
        <v>2</v>
      </c>
      <c r="R243">
        <v>4</v>
      </c>
      <c r="S243">
        <v>300</v>
      </c>
      <c r="T243" t="s">
        <v>153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153</v>
      </c>
      <c r="O244" t="s">
        <v>155</v>
      </c>
      <c r="P244">
        <v>391</v>
      </c>
      <c r="Q244">
        <v>44</v>
      </c>
      <c r="R244">
        <v>4</v>
      </c>
      <c r="S244">
        <v>250</v>
      </c>
      <c r="T244" t="s">
        <v>153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156</v>
      </c>
      <c r="O245" t="s">
        <v>155</v>
      </c>
      <c r="P245">
        <v>41</v>
      </c>
      <c r="Q245">
        <v>118</v>
      </c>
      <c r="R245">
        <v>8</v>
      </c>
      <c r="S245">
        <v>1050</v>
      </c>
      <c r="T245" t="s">
        <v>153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153</v>
      </c>
      <c r="O246" t="s">
        <v>155</v>
      </c>
      <c r="P246">
        <v>286</v>
      </c>
      <c r="Q246">
        <v>8</v>
      </c>
      <c r="R246">
        <v>8</v>
      </c>
      <c r="S246">
        <v>215</v>
      </c>
      <c r="T246" t="s">
        <v>153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153</v>
      </c>
      <c r="O247" t="s">
        <v>155</v>
      </c>
      <c r="P247">
        <v>659</v>
      </c>
      <c r="Q247">
        <v>53</v>
      </c>
      <c r="R247">
        <v>7</v>
      </c>
      <c r="S247">
        <v>400</v>
      </c>
      <c r="T247" t="s">
        <v>153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153</v>
      </c>
      <c r="O248" t="s">
        <v>155</v>
      </c>
      <c r="P248">
        <v>866</v>
      </c>
      <c r="Q248">
        <v>65</v>
      </c>
      <c r="R248">
        <v>6</v>
      </c>
      <c r="S248" t="s">
        <v>157</v>
      </c>
      <c r="T248" t="s">
        <v>153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153</v>
      </c>
      <c r="O249" t="s">
        <v>155</v>
      </c>
      <c r="P249">
        <v>251</v>
      </c>
      <c r="Q249">
        <v>9</v>
      </c>
      <c r="R249">
        <v>4</v>
      </c>
      <c r="S249">
        <v>560</v>
      </c>
      <c r="T249" t="s">
        <v>153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153</v>
      </c>
      <c r="O250" t="s">
        <v>155</v>
      </c>
      <c r="P250">
        <v>426</v>
      </c>
      <c r="Q250">
        <v>4</v>
      </c>
      <c r="R250">
        <v>6</v>
      </c>
      <c r="S250">
        <v>1670</v>
      </c>
      <c r="T250" t="s">
        <v>153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153</v>
      </c>
      <c r="O251" t="s">
        <v>154</v>
      </c>
      <c r="P251">
        <v>0</v>
      </c>
      <c r="Q251">
        <v>0</v>
      </c>
      <c r="R251">
        <v>0</v>
      </c>
      <c r="S251">
        <v>487.5</v>
      </c>
      <c r="T251" t="s">
        <v>153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153</v>
      </c>
      <c r="O252" t="s">
        <v>154</v>
      </c>
      <c r="P252">
        <v>205</v>
      </c>
      <c r="Q252">
        <v>5</v>
      </c>
      <c r="R252">
        <v>4</v>
      </c>
      <c r="S252" t="s">
        <v>157</v>
      </c>
      <c r="T252" t="s">
        <v>153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153</v>
      </c>
      <c r="O253" t="s">
        <v>154</v>
      </c>
      <c r="P253">
        <v>0</v>
      </c>
      <c r="Q253">
        <v>0</v>
      </c>
      <c r="R253">
        <v>0</v>
      </c>
      <c r="S253">
        <v>425</v>
      </c>
      <c r="T253" t="s">
        <v>153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156</v>
      </c>
      <c r="O254" t="s">
        <v>155</v>
      </c>
      <c r="P254">
        <v>88</v>
      </c>
      <c r="Q254">
        <v>204</v>
      </c>
      <c r="R254">
        <v>16</v>
      </c>
      <c r="S254">
        <v>500</v>
      </c>
      <c r="T254" t="s">
        <v>153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156</v>
      </c>
      <c r="O255" t="s">
        <v>154</v>
      </c>
      <c r="P255">
        <v>99</v>
      </c>
      <c r="Q255">
        <v>3</v>
      </c>
      <c r="R255">
        <v>1</v>
      </c>
      <c r="S255" t="s">
        <v>157</v>
      </c>
      <c r="T255" t="s">
        <v>156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153</v>
      </c>
      <c r="O256" t="s">
        <v>154</v>
      </c>
      <c r="P256">
        <v>145</v>
      </c>
      <c r="Q256">
        <v>2</v>
      </c>
      <c r="R256">
        <v>2</v>
      </c>
      <c r="S256" t="s">
        <v>157</v>
      </c>
      <c r="T256" t="s">
        <v>153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153</v>
      </c>
      <c r="O257" t="s">
        <v>155</v>
      </c>
      <c r="P257">
        <v>44</v>
      </c>
      <c r="Q257">
        <v>0</v>
      </c>
      <c r="R257">
        <v>1</v>
      </c>
      <c r="S257">
        <v>250</v>
      </c>
      <c r="T257" t="s">
        <v>153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153</v>
      </c>
      <c r="O258" t="s">
        <v>155</v>
      </c>
      <c r="P258">
        <v>155</v>
      </c>
      <c r="Q258">
        <v>3</v>
      </c>
      <c r="R258">
        <v>2</v>
      </c>
      <c r="S258">
        <v>400</v>
      </c>
      <c r="T258" t="s">
        <v>153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153</v>
      </c>
      <c r="O259" t="s">
        <v>155</v>
      </c>
      <c r="P259">
        <v>60</v>
      </c>
      <c r="Q259">
        <v>176</v>
      </c>
      <c r="R259">
        <v>6</v>
      </c>
      <c r="S259">
        <v>450</v>
      </c>
      <c r="T259" t="s">
        <v>153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156</v>
      </c>
      <c r="O260" t="s">
        <v>154</v>
      </c>
      <c r="P260">
        <v>367</v>
      </c>
      <c r="Q260">
        <v>475</v>
      </c>
      <c r="R260">
        <v>19</v>
      </c>
      <c r="S260">
        <v>750</v>
      </c>
      <c r="T260" t="s">
        <v>156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153</v>
      </c>
      <c r="O261" t="s">
        <v>155</v>
      </c>
      <c r="P261">
        <v>86</v>
      </c>
      <c r="Q261">
        <v>150</v>
      </c>
      <c r="R261">
        <v>15</v>
      </c>
      <c r="S261">
        <v>70</v>
      </c>
      <c r="T261" t="s">
        <v>153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156</v>
      </c>
      <c r="O262" t="s">
        <v>154</v>
      </c>
      <c r="P262">
        <v>155</v>
      </c>
      <c r="Q262">
        <v>371</v>
      </c>
      <c r="R262">
        <v>29</v>
      </c>
      <c r="S262">
        <v>875</v>
      </c>
      <c r="T262" t="s">
        <v>156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156</v>
      </c>
      <c r="O263" t="s">
        <v>155</v>
      </c>
      <c r="P263">
        <v>190</v>
      </c>
      <c r="Q263">
        <v>2</v>
      </c>
      <c r="R263">
        <v>9</v>
      </c>
      <c r="S263">
        <v>190</v>
      </c>
      <c r="T263" t="s">
        <v>156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156</v>
      </c>
      <c r="O264" t="s">
        <v>155</v>
      </c>
      <c r="P264">
        <v>181</v>
      </c>
      <c r="Q264">
        <v>3</v>
      </c>
      <c r="R264">
        <v>2</v>
      </c>
      <c r="S264">
        <v>191</v>
      </c>
      <c r="T264" t="s">
        <v>156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156</v>
      </c>
      <c r="O265" t="s">
        <v>155</v>
      </c>
      <c r="P265">
        <v>309</v>
      </c>
      <c r="Q265">
        <v>492</v>
      </c>
      <c r="R265">
        <v>5</v>
      </c>
      <c r="S265">
        <v>740</v>
      </c>
      <c r="T265" t="s">
        <v>156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156</v>
      </c>
      <c r="O266" t="s">
        <v>155</v>
      </c>
      <c r="P266">
        <v>203</v>
      </c>
      <c r="Q266">
        <v>369</v>
      </c>
      <c r="R266">
        <v>16</v>
      </c>
      <c r="S266">
        <v>250</v>
      </c>
      <c r="T266" t="s">
        <v>156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156</v>
      </c>
      <c r="O267" t="s">
        <v>155</v>
      </c>
      <c r="P267">
        <v>42</v>
      </c>
      <c r="Q267">
        <v>94</v>
      </c>
      <c r="R267">
        <v>13</v>
      </c>
      <c r="S267">
        <v>140</v>
      </c>
      <c r="T267" t="s">
        <v>156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153</v>
      </c>
      <c r="O268" t="s">
        <v>154</v>
      </c>
      <c r="P268">
        <v>200</v>
      </c>
      <c r="Q268">
        <v>7</v>
      </c>
      <c r="R268">
        <v>6</v>
      </c>
      <c r="S268">
        <v>97.5</v>
      </c>
      <c r="T268" t="s">
        <v>153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153</v>
      </c>
      <c r="O269" t="s">
        <v>154</v>
      </c>
      <c r="P269">
        <v>0</v>
      </c>
      <c r="Q269">
        <v>0</v>
      </c>
      <c r="R269">
        <v>0</v>
      </c>
      <c r="S269">
        <v>740</v>
      </c>
      <c r="T269" t="s">
        <v>153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156</v>
      </c>
      <c r="O270" t="s">
        <v>154</v>
      </c>
      <c r="P270">
        <v>255</v>
      </c>
      <c r="Q270">
        <v>450</v>
      </c>
      <c r="R270">
        <v>17</v>
      </c>
      <c r="S270">
        <v>140</v>
      </c>
      <c r="T270" t="s">
        <v>156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153</v>
      </c>
      <c r="O271" t="s">
        <v>154</v>
      </c>
      <c r="P271">
        <v>135</v>
      </c>
      <c r="Q271">
        <v>257</v>
      </c>
      <c r="R271">
        <v>7</v>
      </c>
      <c r="S271">
        <v>341.66699999999997</v>
      </c>
      <c r="T271" t="s">
        <v>153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156</v>
      </c>
      <c r="O272" t="s">
        <v>154</v>
      </c>
      <c r="P272">
        <v>179</v>
      </c>
      <c r="Q272">
        <v>5</v>
      </c>
      <c r="R272">
        <v>3</v>
      </c>
      <c r="S272" t="s">
        <v>157</v>
      </c>
      <c r="T272" t="s">
        <v>156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153</v>
      </c>
      <c r="O273" t="s">
        <v>155</v>
      </c>
      <c r="P273">
        <v>352</v>
      </c>
      <c r="Q273">
        <v>9</v>
      </c>
      <c r="R273">
        <v>1</v>
      </c>
      <c r="S273">
        <v>1000</v>
      </c>
      <c r="T273" t="s">
        <v>153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153</v>
      </c>
      <c r="O274" t="s">
        <v>154</v>
      </c>
      <c r="P274">
        <v>1236</v>
      </c>
      <c r="Q274">
        <v>98</v>
      </c>
      <c r="R274">
        <v>18</v>
      </c>
      <c r="S274">
        <v>100</v>
      </c>
      <c r="T274" t="s">
        <v>153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153</v>
      </c>
      <c r="O275" t="s">
        <v>154</v>
      </c>
      <c r="P275">
        <v>281</v>
      </c>
      <c r="Q275">
        <v>21</v>
      </c>
      <c r="R275">
        <v>3</v>
      </c>
      <c r="S275">
        <v>90</v>
      </c>
      <c r="T275" t="s">
        <v>153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156</v>
      </c>
      <c r="O276" t="s">
        <v>155</v>
      </c>
      <c r="P276">
        <v>1320</v>
      </c>
      <c r="Q276">
        <v>166</v>
      </c>
      <c r="R276">
        <v>17</v>
      </c>
      <c r="S276">
        <v>200</v>
      </c>
      <c r="T276" t="s">
        <v>156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153</v>
      </c>
      <c r="O277" t="s">
        <v>154</v>
      </c>
      <c r="P277">
        <v>111</v>
      </c>
      <c r="Q277">
        <v>226</v>
      </c>
      <c r="R277">
        <v>11</v>
      </c>
      <c r="S277">
        <v>135</v>
      </c>
      <c r="T277" t="s">
        <v>153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156</v>
      </c>
      <c r="O278" t="s">
        <v>155</v>
      </c>
      <c r="P278">
        <v>320</v>
      </c>
      <c r="Q278">
        <v>465</v>
      </c>
      <c r="R278">
        <v>32</v>
      </c>
      <c r="S278">
        <v>155</v>
      </c>
      <c r="T278" t="s">
        <v>156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153</v>
      </c>
      <c r="O279" t="s">
        <v>154</v>
      </c>
      <c r="P279">
        <v>196</v>
      </c>
      <c r="Q279">
        <v>354</v>
      </c>
      <c r="R279">
        <v>15</v>
      </c>
      <c r="S279">
        <v>475</v>
      </c>
      <c r="T279" t="s">
        <v>153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156</v>
      </c>
      <c r="O280" t="s">
        <v>154</v>
      </c>
      <c r="P280">
        <v>1160</v>
      </c>
      <c r="Q280">
        <v>53</v>
      </c>
      <c r="R280">
        <v>7</v>
      </c>
      <c r="S280">
        <v>1450</v>
      </c>
      <c r="T280" t="s">
        <v>156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156</v>
      </c>
      <c r="O281" t="s">
        <v>155</v>
      </c>
      <c r="P281">
        <v>229</v>
      </c>
      <c r="Q281">
        <v>406</v>
      </c>
      <c r="R281">
        <v>22</v>
      </c>
      <c r="S281">
        <v>150</v>
      </c>
      <c r="T281" t="s">
        <v>156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153</v>
      </c>
      <c r="O282" t="s">
        <v>154</v>
      </c>
      <c r="P282">
        <v>289</v>
      </c>
      <c r="Q282">
        <v>407</v>
      </c>
      <c r="R282">
        <v>6</v>
      </c>
      <c r="S282">
        <v>105</v>
      </c>
      <c r="T282" t="s">
        <v>153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153</v>
      </c>
      <c r="O283" t="s">
        <v>154</v>
      </c>
      <c r="P283">
        <v>209</v>
      </c>
      <c r="Q283">
        <v>372</v>
      </c>
      <c r="R283">
        <v>17</v>
      </c>
      <c r="S283">
        <v>350</v>
      </c>
      <c r="T283" t="s">
        <v>153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156</v>
      </c>
      <c r="O284" t="s">
        <v>154</v>
      </c>
      <c r="P284">
        <v>367</v>
      </c>
      <c r="Q284">
        <v>432</v>
      </c>
      <c r="R284">
        <v>16</v>
      </c>
      <c r="S284">
        <v>90</v>
      </c>
      <c r="T284" t="s">
        <v>156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153</v>
      </c>
      <c r="O285" t="s">
        <v>155</v>
      </c>
      <c r="P285">
        <v>247</v>
      </c>
      <c r="Q285">
        <v>4</v>
      </c>
      <c r="R285">
        <v>8</v>
      </c>
      <c r="S285" t="s">
        <v>157</v>
      </c>
      <c r="T285" t="s">
        <v>153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153</v>
      </c>
      <c r="O286" t="s">
        <v>155</v>
      </c>
      <c r="P286">
        <v>351</v>
      </c>
      <c r="Q286">
        <v>442</v>
      </c>
      <c r="R286">
        <v>17</v>
      </c>
      <c r="S286">
        <v>530</v>
      </c>
      <c r="T286" t="s">
        <v>153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153</v>
      </c>
      <c r="O287" t="s">
        <v>155</v>
      </c>
      <c r="P287">
        <v>106</v>
      </c>
      <c r="Q287">
        <v>144</v>
      </c>
      <c r="R287">
        <v>7</v>
      </c>
      <c r="S287">
        <v>341.66699999999997</v>
      </c>
      <c r="T287" t="s">
        <v>153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153</v>
      </c>
      <c r="O288" t="s">
        <v>154</v>
      </c>
      <c r="P288">
        <v>315</v>
      </c>
      <c r="Q288">
        <v>10</v>
      </c>
      <c r="R288">
        <v>6</v>
      </c>
      <c r="S288">
        <v>940</v>
      </c>
      <c r="T288" t="s">
        <v>153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153</v>
      </c>
      <c r="O289" t="s">
        <v>155</v>
      </c>
      <c r="P289">
        <v>294</v>
      </c>
      <c r="Q289">
        <v>445</v>
      </c>
      <c r="R289">
        <v>13</v>
      </c>
      <c r="S289">
        <v>350</v>
      </c>
      <c r="T289" t="s">
        <v>153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156</v>
      </c>
      <c r="O290" t="s">
        <v>154</v>
      </c>
      <c r="P290">
        <v>209</v>
      </c>
      <c r="Q290">
        <v>246</v>
      </c>
      <c r="R290">
        <v>3</v>
      </c>
      <c r="S290">
        <v>326.66699999999997</v>
      </c>
      <c r="T290" t="s">
        <v>156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156</v>
      </c>
      <c r="O291" t="s">
        <v>155</v>
      </c>
      <c r="P291">
        <v>81</v>
      </c>
      <c r="Q291">
        <v>147</v>
      </c>
      <c r="R291">
        <v>4</v>
      </c>
      <c r="S291">
        <v>250</v>
      </c>
      <c r="T291" t="s">
        <v>156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156</v>
      </c>
      <c r="O292" t="s">
        <v>154</v>
      </c>
      <c r="P292">
        <v>337</v>
      </c>
      <c r="Q292">
        <v>19</v>
      </c>
      <c r="R292">
        <v>4</v>
      </c>
      <c r="S292">
        <v>740</v>
      </c>
      <c r="T292" t="s">
        <v>156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156</v>
      </c>
      <c r="O293" t="s">
        <v>154</v>
      </c>
      <c r="P293">
        <v>92</v>
      </c>
      <c r="Q293">
        <v>5</v>
      </c>
      <c r="R293">
        <v>3</v>
      </c>
      <c r="S293">
        <v>425</v>
      </c>
      <c r="T293" t="s">
        <v>153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153</v>
      </c>
      <c r="O294" t="s">
        <v>154</v>
      </c>
      <c r="P294">
        <v>166</v>
      </c>
      <c r="Q294">
        <v>211</v>
      </c>
      <c r="R294">
        <v>7</v>
      </c>
      <c r="S294" t="s">
        <v>157</v>
      </c>
      <c r="T294" t="s">
        <v>153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156</v>
      </c>
      <c r="O295" t="s">
        <v>155</v>
      </c>
      <c r="P295">
        <v>352</v>
      </c>
      <c r="Q295">
        <v>414</v>
      </c>
      <c r="R295">
        <v>9</v>
      </c>
      <c r="S295">
        <v>925</v>
      </c>
      <c r="T295" t="s">
        <v>156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153</v>
      </c>
      <c r="O296" t="s">
        <v>154</v>
      </c>
      <c r="P296">
        <v>70</v>
      </c>
      <c r="Q296">
        <v>144</v>
      </c>
      <c r="R296">
        <v>11</v>
      </c>
      <c r="S296">
        <v>185</v>
      </c>
      <c r="T296" t="s">
        <v>153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156</v>
      </c>
      <c r="O297" t="s">
        <v>154</v>
      </c>
      <c r="P297">
        <v>692</v>
      </c>
      <c r="Q297">
        <v>70</v>
      </c>
      <c r="R297">
        <v>8</v>
      </c>
      <c r="S297">
        <v>920</v>
      </c>
      <c r="T297" t="s">
        <v>153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156</v>
      </c>
      <c r="O298" t="s">
        <v>155</v>
      </c>
      <c r="P298">
        <v>131</v>
      </c>
      <c r="Q298">
        <v>6</v>
      </c>
      <c r="R298">
        <v>1</v>
      </c>
      <c r="S298">
        <v>286.66699999999997</v>
      </c>
      <c r="T298" t="s">
        <v>156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153</v>
      </c>
      <c r="O299" t="s">
        <v>154</v>
      </c>
      <c r="P299">
        <v>299</v>
      </c>
      <c r="Q299">
        <v>13</v>
      </c>
      <c r="R299">
        <v>5</v>
      </c>
      <c r="S299">
        <v>245</v>
      </c>
      <c r="T299" t="s">
        <v>153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153</v>
      </c>
      <c r="O300" t="s">
        <v>155</v>
      </c>
      <c r="P300">
        <v>37</v>
      </c>
      <c r="Q300">
        <v>98</v>
      </c>
      <c r="R300">
        <v>9</v>
      </c>
      <c r="S300" t="s">
        <v>157</v>
      </c>
      <c r="T300" t="s">
        <v>153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153</v>
      </c>
      <c r="O301" t="s">
        <v>154</v>
      </c>
      <c r="P301">
        <v>178</v>
      </c>
      <c r="Q301">
        <v>45</v>
      </c>
      <c r="R301">
        <v>4</v>
      </c>
      <c r="S301">
        <v>235</v>
      </c>
      <c r="T301" t="s">
        <v>153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156</v>
      </c>
      <c r="O302" t="s">
        <v>155</v>
      </c>
      <c r="P302">
        <v>810</v>
      </c>
      <c r="Q302">
        <v>99</v>
      </c>
      <c r="R302">
        <v>18</v>
      </c>
      <c r="S302">
        <v>1150</v>
      </c>
      <c r="T302" t="s">
        <v>156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156</v>
      </c>
      <c r="O303" t="s">
        <v>155</v>
      </c>
      <c r="P303">
        <v>133</v>
      </c>
      <c r="Q303">
        <v>371</v>
      </c>
      <c r="R303">
        <v>20</v>
      </c>
      <c r="S303">
        <v>160</v>
      </c>
      <c r="T303" t="s">
        <v>156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156</v>
      </c>
      <c r="O304" t="s">
        <v>154</v>
      </c>
      <c r="P304">
        <v>398</v>
      </c>
      <c r="Q304">
        <v>29</v>
      </c>
      <c r="R304">
        <v>7</v>
      </c>
      <c r="S304" t="s">
        <v>157</v>
      </c>
      <c r="T304" t="s">
        <v>156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153</v>
      </c>
      <c r="O305" t="s">
        <v>154</v>
      </c>
      <c r="P305">
        <v>160</v>
      </c>
      <c r="Q305">
        <v>290</v>
      </c>
      <c r="R305">
        <v>11</v>
      </c>
      <c r="S305">
        <v>425</v>
      </c>
      <c r="T305" t="s">
        <v>153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156</v>
      </c>
      <c r="O306" t="s">
        <v>154</v>
      </c>
      <c r="P306">
        <v>65</v>
      </c>
      <c r="Q306">
        <v>0</v>
      </c>
      <c r="R306">
        <v>0</v>
      </c>
      <c r="S306">
        <v>900</v>
      </c>
      <c r="T306" t="s">
        <v>156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156</v>
      </c>
      <c r="O307" t="s">
        <v>155</v>
      </c>
      <c r="P307">
        <v>270</v>
      </c>
      <c r="Q307">
        <v>13</v>
      </c>
      <c r="R307">
        <v>6</v>
      </c>
      <c r="S307" t="s">
        <v>157</v>
      </c>
      <c r="T307" t="s">
        <v>156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156</v>
      </c>
      <c r="O308" t="s">
        <v>154</v>
      </c>
      <c r="P308">
        <v>167</v>
      </c>
      <c r="Q308">
        <v>18</v>
      </c>
      <c r="R308">
        <v>6</v>
      </c>
      <c r="S308">
        <v>500</v>
      </c>
      <c r="T308" t="s">
        <v>156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156</v>
      </c>
      <c r="O309" t="s">
        <v>155</v>
      </c>
      <c r="P309">
        <v>133</v>
      </c>
      <c r="Q309">
        <v>173</v>
      </c>
      <c r="R309">
        <v>9</v>
      </c>
      <c r="S309">
        <v>277.5</v>
      </c>
      <c r="T309" t="s">
        <v>156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156</v>
      </c>
      <c r="O310" t="s">
        <v>155</v>
      </c>
      <c r="P310">
        <v>94</v>
      </c>
      <c r="Q310">
        <v>270</v>
      </c>
      <c r="R310">
        <v>16</v>
      </c>
      <c r="S310">
        <v>750</v>
      </c>
      <c r="T310" t="s">
        <v>156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156</v>
      </c>
      <c r="O311" t="s">
        <v>155</v>
      </c>
      <c r="P311">
        <v>300</v>
      </c>
      <c r="Q311">
        <v>12</v>
      </c>
      <c r="R311">
        <v>9</v>
      </c>
      <c r="S311">
        <v>160</v>
      </c>
      <c r="T311" t="s">
        <v>156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156</v>
      </c>
      <c r="O312" t="s">
        <v>155</v>
      </c>
      <c r="P312">
        <v>1182</v>
      </c>
      <c r="Q312">
        <v>96</v>
      </c>
      <c r="R312">
        <v>13</v>
      </c>
      <c r="S312">
        <v>1300</v>
      </c>
      <c r="T312" t="s">
        <v>156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156</v>
      </c>
      <c r="O313" t="s">
        <v>155</v>
      </c>
      <c r="P313">
        <v>170</v>
      </c>
      <c r="Q313">
        <v>284</v>
      </c>
      <c r="R313">
        <v>3</v>
      </c>
      <c r="S313">
        <v>525</v>
      </c>
      <c r="T313" t="s">
        <v>156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156</v>
      </c>
      <c r="O314" t="s">
        <v>155</v>
      </c>
      <c r="P314">
        <v>186</v>
      </c>
      <c r="Q314">
        <v>290</v>
      </c>
      <c r="R314">
        <v>17</v>
      </c>
      <c r="S314">
        <v>550</v>
      </c>
      <c r="T314" t="s">
        <v>156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153</v>
      </c>
      <c r="O315" t="s">
        <v>155</v>
      </c>
      <c r="P315">
        <v>121</v>
      </c>
      <c r="Q315">
        <v>267</v>
      </c>
      <c r="R315">
        <v>19</v>
      </c>
      <c r="S315">
        <v>1600</v>
      </c>
      <c r="T315" t="s">
        <v>153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156</v>
      </c>
      <c r="O316" t="s">
        <v>154</v>
      </c>
      <c r="P316">
        <v>942</v>
      </c>
      <c r="Q316">
        <v>72</v>
      </c>
      <c r="R316">
        <v>11</v>
      </c>
      <c r="S316">
        <v>120</v>
      </c>
      <c r="T316" t="s">
        <v>156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153</v>
      </c>
      <c r="O317" t="s">
        <v>154</v>
      </c>
      <c r="P317">
        <v>1222</v>
      </c>
      <c r="Q317">
        <v>139</v>
      </c>
      <c r="R317">
        <v>15</v>
      </c>
      <c r="S317">
        <v>165</v>
      </c>
      <c r="T317" t="s">
        <v>153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156</v>
      </c>
      <c r="O318" t="s">
        <v>155</v>
      </c>
      <c r="P318">
        <v>325</v>
      </c>
      <c r="Q318">
        <v>58</v>
      </c>
      <c r="R318">
        <v>6</v>
      </c>
      <c r="S318" t="s">
        <v>157</v>
      </c>
      <c r="T318" t="s">
        <v>156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156</v>
      </c>
      <c r="O319" t="s">
        <v>155</v>
      </c>
      <c r="P319">
        <v>325</v>
      </c>
      <c r="Q319">
        <v>9</v>
      </c>
      <c r="R319">
        <v>3</v>
      </c>
      <c r="S319">
        <v>700</v>
      </c>
      <c r="T319" t="s">
        <v>156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153</v>
      </c>
      <c r="O320" t="s">
        <v>155</v>
      </c>
      <c r="P320">
        <v>313</v>
      </c>
      <c r="Q320">
        <v>381</v>
      </c>
      <c r="R320">
        <v>20</v>
      </c>
      <c r="S320">
        <v>875</v>
      </c>
      <c r="T320" t="s">
        <v>153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153</v>
      </c>
      <c r="O321" t="s">
        <v>154</v>
      </c>
      <c r="P321">
        <v>37</v>
      </c>
      <c r="Q321">
        <v>113</v>
      </c>
      <c r="R321">
        <v>7</v>
      </c>
      <c r="S321">
        <v>385</v>
      </c>
      <c r="T321" t="s">
        <v>153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153</v>
      </c>
      <c r="O322" t="s">
        <v>155</v>
      </c>
      <c r="P322">
        <v>1314</v>
      </c>
      <c r="Q322">
        <v>131</v>
      </c>
      <c r="R322">
        <v>12</v>
      </c>
      <c r="S322">
        <v>960</v>
      </c>
      <c r="T322" t="s">
        <v>153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153</v>
      </c>
      <c r="O323" t="s">
        <v>154</v>
      </c>
      <c r="P323">
        <v>408</v>
      </c>
      <c r="Q323">
        <v>4</v>
      </c>
      <c r="R323">
        <v>3</v>
      </c>
      <c r="S323">
        <v>1000</v>
      </c>
      <c r="T323" t="s">
        <v>153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 codeName="Sheet15"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176</v>
      </c>
      <c r="B1" t="s">
        <v>175</v>
      </c>
      <c r="C1" t="s">
        <v>174</v>
      </c>
      <c r="D1" t="s">
        <v>173</v>
      </c>
      <c r="E1" t="s">
        <v>171</v>
      </c>
      <c r="F1" t="s">
        <v>159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20</vt:i4>
      </vt:variant>
    </vt:vector>
  </HeadingPairs>
  <TitlesOfParts>
    <vt:vector size="34" baseType="lpstr">
      <vt:lpstr>Today</vt:lpstr>
      <vt:lpstr>Themes</vt:lpstr>
      <vt:lpstr>OutOfSampleTesting</vt:lpstr>
      <vt:lpstr>AIC</vt:lpstr>
      <vt:lpstr>IndicatorVariables</vt:lpstr>
      <vt:lpstr>Diagnostics</vt:lpstr>
      <vt:lpstr>PreWork4NextClass</vt:lpstr>
      <vt:lpstr>InClassProjects</vt:lpstr>
      <vt:lpstr>Q_OOS</vt:lpstr>
      <vt:lpstr>Q_AIC</vt:lpstr>
      <vt:lpstr>Q_Diagnostics</vt:lpstr>
      <vt:lpstr>LendingClubData</vt:lpstr>
      <vt:lpstr>Hitters</vt:lpstr>
      <vt:lpstr>Hitters_Simple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class</vt:lpstr>
      <vt:lpstr>cty</vt:lpstr>
      <vt:lpstr>cyl</vt:lpstr>
      <vt:lpstr>displ</vt:lpstr>
      <vt:lpstr>drv</vt:lpstr>
      <vt:lpstr>fl</vt:lpstr>
      <vt:lpstr>hwy</vt:lpstr>
      <vt:lpstr>manufacturer</vt:lpstr>
      <vt:lpstr>model</vt:lpstr>
      <vt:lpstr>DiffB0_Diff_B1!t</vt:lpstr>
      <vt:lpstr>DiffB0_SameB1!t</vt:lpstr>
      <vt:lpstr>SameB0_DiffB1!t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2022-06-15T22:38:05Z</dcterms:modified>
</cp:coreProperties>
</file>