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github/ML4RM_Dev/"/>
    </mc:Choice>
  </mc:AlternateContent>
  <xr:revisionPtr revIDLastSave="0" documentId="13_ncr:1_{9E909F04-DB3F-B740-8681-B43F52A1ABAE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6" r:id="rId1"/>
    <sheet name="Themes" sheetId="13" r:id="rId2"/>
    <sheet name="OutOfSampleTesting" sheetId="36" r:id="rId3"/>
    <sheet name="Setup_" sheetId="39" state="veryHidden" r:id="rId4"/>
    <sheet name="Explore" sheetId="40" state="veryHidden" r:id="rId5"/>
    <sheet name="Tools" sheetId="41" state="veryHidden" r:id="rId6"/>
    <sheet name="LM_InAndOut" sheetId="42" state="veryHidden" r:id="rId7"/>
    <sheet name="Optim_InAndOut" sheetId="43" state="veryHidden" r:id="rId8"/>
    <sheet name="Optim_Shrinkage" sheetId="44" state="veryHidden" r:id="rId9"/>
    <sheet name="Optim_LSearch" sheetId="81" state="veryHidden" r:id="rId10"/>
    <sheet name="AIC" sheetId="64" r:id="rId11"/>
    <sheet name="MLR_Step" sheetId="51" state="veryHidden" r:id="rId12"/>
    <sheet name="Data" sheetId="53" state="veryHidden" r:id="rId13"/>
    <sheet name="AIC_0" sheetId="62" state="veryHidden" r:id="rId14"/>
    <sheet name="AIC_1" sheetId="63" state="veryHidden" r:id="rId15"/>
    <sheet name="IndicatorVariables" sheetId="85" r:id="rId16"/>
    <sheet name="DiffB0_SameB1" sheetId="86" state="veryHidden" r:id="rId17"/>
    <sheet name="SameB0_DiffB1" sheetId="87" state="veryHidden" r:id="rId18"/>
    <sheet name="DiffB0_Diff_B1" sheetId="88" state="veryHidden" r:id="rId19"/>
    <sheet name="Character_Factor" sheetId="89" state="veryHidden" r:id="rId20"/>
    <sheet name="Indicators" sheetId="90" state="veryHidden" r:id="rId21"/>
    <sheet name="Interaction1" sheetId="91" state="veryHidden" r:id="rId22"/>
    <sheet name="Interaction2" sheetId="92" state="veryHidden" r:id="rId23"/>
    <sheet name="Diagnostics" sheetId="93" r:id="rId24"/>
    <sheet name="Sensitivity" sheetId="94" state="veryHidden" r:id="rId25"/>
    <sheet name="Specificity" sheetId="95" state="veryHidden" r:id="rId26"/>
    <sheet name="PPF_0" sheetId="96" state="veryHidden" r:id="rId27"/>
    <sheet name="PPF_1" sheetId="97" state="veryHidden" r:id="rId28"/>
    <sheet name="ROC_Curve" sheetId="98" state="veryHidden" r:id="rId29"/>
    <sheet name="ROC_Generator" sheetId="99" state="veryHidden" r:id="rId30"/>
    <sheet name="PreWork4NextClass" sheetId="27" r:id="rId31"/>
    <sheet name="InClassProjects" sheetId="26" r:id="rId32"/>
    <sheet name="Q_OOS" sheetId="33" r:id="rId33"/>
    <sheet name="Q_AIC" sheetId="65" r:id="rId34"/>
    <sheet name="Q_Diagnostics" sheetId="102" r:id="rId35"/>
    <sheet name="LendingClubData" sheetId="70" r:id="rId36"/>
    <sheet name="Hitters" sheetId="75" r:id="rId37"/>
    <sheet name="Hitters_Simple" sheetId="78" r:id="rId38"/>
  </sheets>
  <externalReferences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</externalReferences>
  <definedNames>
    <definedName name="_r2" localSheetId="23">#REF!</definedName>
    <definedName name="_r2" localSheetId="24">#REF!</definedName>
    <definedName name="_r2">#REF!</definedName>
    <definedName name="_R2_orig">[1]RSquareAdj!$C$6</definedName>
    <definedName name="a" localSheetId="18">DiffB0_Diff_B1!$C$3:$G$3</definedName>
    <definedName name="a" localSheetId="16">DiffB0_SameB1!$C$3:$G$3</definedName>
    <definedName name="a" localSheetId="17">SameB0_DiffB1!$C$3:$G$3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 localSheetId="18">DiffB0_Diff_B1!$C$2:$G$2</definedName>
    <definedName name="b" localSheetId="16">DiffB0_SameB1!$C$2:$G$2</definedName>
    <definedName name="b" localSheetId="17">SameB0_DiffB1!$C$2:$G$2</definedName>
    <definedName name="B">[2]NextClass1_MeanVar!#REF!</definedName>
    <definedName name="b0">#REF!</definedName>
    <definedName name="b1_">#REF!</definedName>
    <definedName name="b2_">#REF!</definedName>
    <definedName name="beta" localSheetId="23">#REF!</definedName>
    <definedName name="beta" localSheetId="24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23">[8]Options2!#REF!</definedName>
    <definedName name="Cd" localSheetId="24">[8]Options2!#REF!</definedName>
    <definedName name="Cd">[8]Options2!#REF!</definedName>
    <definedName name="Change" localSheetId="23">[5]VaR0!#REF!</definedName>
    <definedName name="Change" localSheetId="24">[5]VaR0!#REF!</definedName>
    <definedName name="Change">[5]VaR0!#REF!</definedName>
    <definedName name="change1" localSheetId="23">#REF!</definedName>
    <definedName name="change1" localSheetId="24">#REF!</definedName>
    <definedName name="change1">#REF!</definedName>
    <definedName name="change2" localSheetId="23">#REF!</definedName>
    <definedName name="change2" localSheetId="24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cyl_Permute">#REF!</definedName>
    <definedName name="cyl_RandPermute">#REF!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ispl_Permute">#REF!</definedName>
    <definedName name="displ_RandPermute">#REF!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 localSheetId="23">#REF!</definedName>
    <definedName name="Frequency" localSheetId="24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hwy_Permute">#REF!</definedName>
    <definedName name="hwy_RandPermute">#REF!</definedName>
    <definedName name="i">#REF!</definedName>
    <definedName name="idx" localSheetId="23">#REF!</definedName>
    <definedName name="idx" localSheetId="24">#REF!</definedName>
    <definedName name="idx">#REF!</definedName>
    <definedName name="Inflator">[1]RSquareAdj!$C$10</definedName>
    <definedName name="k" localSheetId="13">[2]Binomial!$C$14</definedName>
    <definedName name="k" localSheetId="14">[2]Binomial!$C$14</definedName>
    <definedName name="k" localSheetId="12">[2]Binomial!$C$14</definedName>
    <definedName name="k" localSheetId="23">[15]KNN_Vote!$AA$3</definedName>
    <definedName name="k" localSheetId="11">[2]Binomial!$C$14</definedName>
    <definedName name="k" localSheetId="24">[15]KNN_Vote!$AA$3</definedName>
    <definedName name="k">#REF!</definedName>
    <definedName name="L">#REF!</definedName>
    <definedName name="LL">#REF!</definedName>
    <definedName name="LN_Sim" localSheetId="23">#REF!</definedName>
    <definedName name="LN_Sim" localSheetId="24">#REF!</definedName>
    <definedName name="LN_Sim">#REF!</definedName>
    <definedName name="loss" localSheetId="23">#REF!</definedName>
    <definedName name="loss" localSheetId="24">#REF!</definedName>
    <definedName name="loss">#REF!</definedName>
    <definedName name="loss_30" localSheetId="23">#REF!</definedName>
    <definedName name="loss_30" localSheetId="24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SE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#REF!</definedName>
    <definedName name="n_" localSheetId="23">#REF!</definedName>
    <definedName name="n_" localSheetId="24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13">[2]Binomial!$C$13</definedName>
    <definedName name="p" localSheetId="14">[2]Binomial!$C$13</definedName>
    <definedName name="p" localSheetId="12">[2]Binomial!$C$13</definedName>
    <definedName name="p" localSheetId="23">[15]DurbinWatson!$B$3</definedName>
    <definedName name="p" localSheetId="11">[2]Binomial!$C$13</definedName>
    <definedName name="p" localSheetId="24">[15]DurbinWatson!$B$3</definedName>
    <definedName name="p">#REF!</definedName>
    <definedName name="PD">[4]CDS!$C$21:$C$25</definedName>
    <definedName name="PDF">[14]Calcs_Mean2!$K$10:$K$30</definedName>
    <definedName name="Period" localSheetId="23">#REF!</definedName>
    <definedName name="Period" localSheetId="24">#REF!</definedName>
    <definedName name="Period">#REF!</definedName>
    <definedName name="peso_rate">[12]FX_Intro!$C$66</definedName>
    <definedName name="Pij" localSheetId="23">#REF!</definedName>
    <definedName name="Pij" localSheetId="24">#REF!</definedName>
    <definedName name="Pij">#REF!</definedName>
    <definedName name="pmt" localSheetId="23">#REF!</definedName>
    <definedName name="pmt" localSheetId="24">#REF!</definedName>
    <definedName name="pmt">#REF!</definedName>
    <definedName name="pmt_" localSheetId="23">#REF!</definedName>
    <definedName name="pmt_" localSheetId="24">#REF!</definedName>
    <definedName name="pmt_">#REF!</definedName>
    <definedName name="pmtperyear">[17]Bond!$C$6</definedName>
    <definedName name="pmts">[17]Bond!$E$12:$E$25</definedName>
    <definedName name="price1" localSheetId="23">#REF!</definedName>
    <definedName name="price1" localSheetId="24">#REF!</definedName>
    <definedName name="price1">#REF!</definedName>
    <definedName name="price2" localSheetId="23">#REF!</definedName>
    <definedName name="price2" localSheetId="24">#REF!</definedName>
    <definedName name="price2">#REF!</definedName>
    <definedName name="price3" localSheetId="23">#REF!</definedName>
    <definedName name="price3" localSheetId="24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3">#REF!</definedName>
    <definedName name="risk1" localSheetId="24">#REF!</definedName>
    <definedName name="risk1">#REF!</definedName>
    <definedName name="risk2" localSheetId="23">#REF!</definedName>
    <definedName name="risk2" localSheetId="24">#REF!</definedName>
    <definedName name="risk2">#REF!</definedName>
    <definedName name="risk3" localSheetId="23">#REF!</definedName>
    <definedName name="risk3" localSheetId="24">#REF!</definedName>
    <definedName name="risk3">#REF!</definedName>
    <definedName name="RSE">#REF!</definedName>
    <definedName name="RSS">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3">#REF!</definedName>
    <definedName name="SD" localSheetId="24">#REF!</definedName>
    <definedName name="SD">#REF!</definedName>
    <definedName name="sd_x">[1]MaximumLikelihood!$C$3</definedName>
    <definedName name="SD_xbar">[14]Calcs_Mean2!$O$28</definedName>
    <definedName name="SE0" localSheetId="23">#REF!</definedName>
    <definedName name="SE0" localSheetId="24">#REF!</definedName>
    <definedName name="SE0">#REF!</definedName>
    <definedName name="SE1_" localSheetId="23">#REF!</definedName>
    <definedName name="SE1_" localSheetId="24">#REF!</definedName>
    <definedName name="SE1_">#REF!</definedName>
    <definedName name="SE2_" localSheetId="23">#REF!</definedName>
    <definedName name="SE2_" localSheetId="24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3">#REF!</definedName>
    <definedName name="stdev" localSheetId="24">#REF!</definedName>
    <definedName name="stdev">#REF!</definedName>
    <definedName name="Sum">[13]CentralLimitTheorem!$C$7:$C$106</definedName>
    <definedName name="t" localSheetId="23">#REF!</definedName>
    <definedName name="t" localSheetId="18">DiffB0_Diff_B1!$B$5:$B$34</definedName>
    <definedName name="t" localSheetId="16">DiffB0_SameB1!$B$5:$B$34</definedName>
    <definedName name="t" localSheetId="17">SameB0_DiffB1!$B$5:$B$34</definedName>
    <definedName name="t" localSheetId="24">#REF!</definedName>
    <definedName name="t">#REF!</definedName>
    <definedName name="t_">[4]CDS!$B$21:$B$25</definedName>
    <definedName name="table_asf">[19]ASF!$C$31:$D$34</definedName>
    <definedName name="Time" localSheetId="23">#REF!</definedName>
    <definedName name="Time" localSheetId="24">#REF!</definedName>
    <definedName name="Time">#REF!</definedName>
    <definedName name="Time_">[4]Spread2PD!$B$40:$B$44</definedName>
    <definedName name="tmat">[4]ExporeInf!$C$3:$H$8</definedName>
    <definedName name="tmat12" localSheetId="23">#REF!</definedName>
    <definedName name="tmat12" localSheetId="24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>[11]VaR3!$D$50:$H$50</definedName>
    <definedName name="value_01">[17]Dur2!$I$12</definedName>
    <definedName name="value_lo" localSheetId="23">#REF!</definedName>
    <definedName name="value_lo" localSheetId="24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#REF!</definedName>
    <definedName name="x_draw">#REF!</definedName>
    <definedName name="X_e_rt">[7]OptionsHW!$C$18:$E$18</definedName>
    <definedName name="X_orig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#REF!</definedName>
    <definedName name="y_draw" localSheetId="23">#REF!</definedName>
    <definedName name="y_draw" localSheetId="24">#REF!</definedName>
    <definedName name="y_draw">#REF!</definedName>
    <definedName name="y_orig">#REF!</definedName>
    <definedName name="ybar" localSheetId="23">#REF!</definedName>
    <definedName name="ybar" localSheetId="24">#REF!</definedName>
    <definedName name="ybar">#REF!</definedName>
    <definedName name="year">Data!$D$2:$D$235</definedName>
    <definedName name="year_Permute">#REF!</definedName>
    <definedName name="year_RandPermute">#REF!</definedName>
    <definedName name="years">[17]Bond!$C$7</definedName>
    <definedName name="yhat" localSheetId="23">#REF!</definedName>
    <definedName name="yhat" localSheetId="24">#REF!</definedName>
    <definedName name="yhat">#REF!</definedName>
    <definedName name="yhat_i">#REF!</definedName>
    <definedName name="ytm">[10]qFunctions!$C$7</definedName>
    <definedName name="YTM_rf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99" l="1"/>
  <c r="B3" i="99" s="1"/>
  <c r="C3" i="98"/>
  <c r="B3" i="98" s="1"/>
  <c r="B4" i="98"/>
  <c r="B5" i="98"/>
  <c r="B6" i="98"/>
  <c r="B7" i="98"/>
  <c r="B8" i="98"/>
  <c r="B9" i="98"/>
  <c r="B10" i="98"/>
  <c r="B11" i="98"/>
  <c r="B12" i="98"/>
  <c r="B13" i="98"/>
  <c r="B14" i="98"/>
  <c r="B15" i="98"/>
  <c r="B16" i="98"/>
  <c r="B17" i="98"/>
  <c r="B18" i="98"/>
  <c r="B19" i="98"/>
  <c r="B20" i="98"/>
  <c r="B21" i="98"/>
  <c r="B22" i="98"/>
  <c r="B23" i="98"/>
  <c r="B24" i="98"/>
  <c r="B25" i="98"/>
  <c r="B26" i="98"/>
  <c r="B27" i="98"/>
  <c r="B28" i="98"/>
  <c r="B29" i="98"/>
  <c r="B30" i="98"/>
  <c r="B31" i="98"/>
  <c r="B32" i="98"/>
  <c r="B33" i="98"/>
  <c r="B34" i="98"/>
  <c r="B35" i="98"/>
  <c r="B36" i="98"/>
  <c r="B37" i="98"/>
  <c r="B38" i="98"/>
  <c r="B39" i="98"/>
  <c r="B40" i="98"/>
  <c r="B41" i="98"/>
  <c r="B42" i="98"/>
  <c r="B43" i="98"/>
  <c r="B44" i="98"/>
  <c r="B45" i="98"/>
  <c r="B46" i="98"/>
  <c r="B47" i="98"/>
  <c r="B48" i="98"/>
  <c r="B49" i="98"/>
  <c r="B50" i="98"/>
  <c r="B51" i="98"/>
  <c r="B52" i="98"/>
  <c r="B53" i="98"/>
  <c r="B54" i="98"/>
  <c r="B55" i="98"/>
  <c r="B56" i="98"/>
  <c r="B57" i="98"/>
  <c r="B58" i="98"/>
  <c r="B59" i="98"/>
  <c r="B60" i="98"/>
  <c r="B61" i="98"/>
  <c r="B62" i="98"/>
  <c r="B63" i="98"/>
  <c r="B64" i="98"/>
  <c r="B65" i="98"/>
  <c r="B66" i="98"/>
  <c r="B67" i="98"/>
  <c r="B68" i="98"/>
  <c r="B69" i="98"/>
  <c r="B70" i="98"/>
  <c r="B71" i="98"/>
  <c r="B72" i="98"/>
  <c r="B73" i="98"/>
  <c r="B74" i="98"/>
  <c r="B75" i="98"/>
  <c r="B76" i="98"/>
  <c r="B77" i="98"/>
  <c r="B78" i="98"/>
  <c r="B79" i="98"/>
  <c r="B80" i="98"/>
  <c r="B81" i="98"/>
  <c r="B82" i="98"/>
  <c r="B83" i="98"/>
  <c r="B84" i="98"/>
  <c r="B85" i="98"/>
  <c r="B86" i="98"/>
  <c r="B87" i="98"/>
  <c r="B88" i="98"/>
  <c r="B89" i="98"/>
  <c r="B90" i="98"/>
  <c r="B91" i="98"/>
  <c r="B92" i="98"/>
  <c r="B93" i="98"/>
  <c r="B94" i="98"/>
  <c r="B95" i="98"/>
  <c r="B96" i="98"/>
  <c r="B97" i="98"/>
  <c r="B98" i="98"/>
  <c r="B99" i="98"/>
  <c r="B100" i="98"/>
  <c r="B101" i="98"/>
  <c r="B102" i="98"/>
  <c r="B103" i="98"/>
  <c r="B104" i="98"/>
  <c r="B105" i="98"/>
  <c r="B106" i="98"/>
  <c r="B107" i="98"/>
  <c r="B108" i="98"/>
  <c r="B109" i="98"/>
  <c r="B110" i="98"/>
  <c r="B111" i="98"/>
  <c r="B112" i="98"/>
  <c r="B113" i="98"/>
  <c r="B114" i="98"/>
  <c r="B115" i="98"/>
  <c r="B116" i="98"/>
  <c r="B117" i="98"/>
  <c r="B118" i="98"/>
  <c r="B119" i="98"/>
  <c r="B120" i="98"/>
  <c r="B121" i="98"/>
  <c r="B122" i="98"/>
  <c r="B123" i="98"/>
  <c r="B124" i="98"/>
  <c r="B125" i="98"/>
  <c r="B126" i="98"/>
  <c r="B127" i="98"/>
  <c r="B128" i="98"/>
  <c r="B129" i="98"/>
  <c r="B130" i="98"/>
  <c r="B131" i="98"/>
  <c r="B132" i="98"/>
  <c r="B133" i="98"/>
  <c r="B134" i="98"/>
  <c r="B135" i="98"/>
  <c r="B136" i="98"/>
  <c r="B137" i="98"/>
  <c r="B138" i="98"/>
  <c r="B139" i="98"/>
  <c r="B140" i="98"/>
  <c r="B141" i="98"/>
  <c r="B142" i="98"/>
  <c r="B143" i="98"/>
  <c r="B144" i="98"/>
  <c r="B145" i="98"/>
  <c r="B146" i="98"/>
  <c r="B147" i="98"/>
  <c r="B148" i="98"/>
  <c r="B149" i="98"/>
  <c r="B150" i="98"/>
  <c r="B151" i="98"/>
  <c r="B152" i="98"/>
  <c r="B153" i="98"/>
  <c r="B154" i="98"/>
  <c r="B155" i="98"/>
  <c r="B156" i="98"/>
  <c r="B157" i="98"/>
  <c r="B158" i="98"/>
  <c r="B159" i="98"/>
  <c r="B160" i="98"/>
  <c r="B161" i="98"/>
  <c r="B162" i="98"/>
  <c r="B163" i="98"/>
  <c r="B164" i="98"/>
  <c r="B165" i="98"/>
  <c r="B166" i="98"/>
  <c r="B167" i="98"/>
  <c r="B168" i="98"/>
  <c r="B169" i="98"/>
  <c r="B170" i="98"/>
  <c r="B171" i="98"/>
  <c r="B172" i="98"/>
  <c r="B173" i="98"/>
  <c r="B174" i="98"/>
  <c r="B175" i="98"/>
  <c r="B176" i="98"/>
  <c r="B177" i="98"/>
  <c r="B178" i="98"/>
  <c r="B179" i="98"/>
  <c r="B180" i="98"/>
  <c r="B181" i="98"/>
  <c r="B182" i="98"/>
  <c r="B183" i="98"/>
  <c r="B184" i="98"/>
  <c r="B185" i="98"/>
  <c r="B186" i="98"/>
  <c r="B187" i="98"/>
  <c r="B188" i="98"/>
  <c r="B189" i="98"/>
  <c r="B190" i="98"/>
  <c r="B191" i="98"/>
  <c r="B192" i="98"/>
  <c r="B193" i="98"/>
  <c r="B194" i="98"/>
  <c r="B195" i="98"/>
  <c r="B196" i="98"/>
  <c r="B197" i="98"/>
  <c r="B198" i="98"/>
  <c r="B199" i="98"/>
  <c r="B200" i="98"/>
  <c r="B201" i="98"/>
  <c r="B202" i="98"/>
  <c r="B203" i="98"/>
  <c r="B204" i="98"/>
  <c r="B205" i="98"/>
  <c r="B206" i="98"/>
  <c r="B207" i="98"/>
  <c r="B208" i="98"/>
  <c r="B209" i="98"/>
  <c r="B210" i="98"/>
  <c r="B211" i="98"/>
  <c r="B212" i="98"/>
  <c r="B213" i="98"/>
  <c r="B214" i="98"/>
  <c r="B215" i="98"/>
  <c r="B216" i="98"/>
  <c r="B217" i="98"/>
  <c r="B218" i="98"/>
  <c r="B219" i="98"/>
  <c r="B220" i="98"/>
  <c r="B221" i="98"/>
  <c r="B222" i="98"/>
  <c r="B223" i="98"/>
  <c r="B224" i="98"/>
  <c r="B225" i="98"/>
  <c r="B226" i="98"/>
  <c r="B227" i="98"/>
  <c r="B228" i="98"/>
  <c r="B229" i="98"/>
  <c r="B230" i="98"/>
  <c r="B231" i="98"/>
  <c r="B232" i="98"/>
  <c r="B233" i="98"/>
  <c r="B234" i="98"/>
  <c r="B235" i="98"/>
  <c r="B236" i="98"/>
  <c r="B237" i="98"/>
  <c r="B238" i="98"/>
  <c r="B239" i="98"/>
  <c r="B240" i="98"/>
  <c r="B241" i="98"/>
  <c r="B242" i="98"/>
  <c r="B243" i="98"/>
  <c r="B244" i="98"/>
  <c r="B245" i="98"/>
  <c r="B246" i="98"/>
  <c r="B247" i="98"/>
  <c r="B248" i="98"/>
  <c r="B249" i="98"/>
  <c r="B250" i="98"/>
  <c r="B251" i="98"/>
  <c r="B252" i="98"/>
  <c r="B253" i="98"/>
  <c r="B254" i="98"/>
  <c r="B255" i="98"/>
  <c r="B256" i="98"/>
  <c r="B257" i="98"/>
  <c r="B258" i="98"/>
  <c r="B259" i="98"/>
  <c r="B260" i="98"/>
  <c r="B261" i="98"/>
  <c r="B262" i="98"/>
  <c r="B263" i="98"/>
  <c r="B264" i="98"/>
  <c r="B265" i="98"/>
  <c r="B266" i="98"/>
  <c r="B267" i="98"/>
  <c r="B268" i="98"/>
  <c r="B269" i="98"/>
  <c r="B270" i="98"/>
  <c r="B271" i="98"/>
  <c r="B272" i="98"/>
  <c r="B273" i="98"/>
  <c r="B274" i="98"/>
  <c r="B275" i="98"/>
  <c r="B276" i="98"/>
  <c r="B277" i="98"/>
  <c r="B278" i="98"/>
  <c r="B279" i="98"/>
  <c r="B280" i="98"/>
  <c r="B281" i="98"/>
  <c r="B282" i="98"/>
  <c r="B283" i="98"/>
  <c r="B284" i="98"/>
  <c r="B285" i="98"/>
  <c r="B286" i="98"/>
  <c r="B287" i="98"/>
  <c r="B288" i="98"/>
  <c r="B289" i="98"/>
  <c r="B290" i="98"/>
  <c r="B291" i="98"/>
  <c r="B292" i="98"/>
  <c r="B293" i="98"/>
  <c r="B294" i="98"/>
  <c r="B295" i="98"/>
  <c r="B296" i="98"/>
  <c r="B297" i="98"/>
  <c r="B298" i="98"/>
  <c r="B299" i="98"/>
  <c r="B300" i="98"/>
  <c r="B301" i="98"/>
  <c r="B302" i="98"/>
  <c r="B303" i="98"/>
  <c r="B304" i="98"/>
  <c r="B305" i="98"/>
  <c r="B306" i="98"/>
  <c r="B307" i="98"/>
  <c r="B308" i="98"/>
  <c r="B309" i="98"/>
  <c r="B310" i="98"/>
  <c r="B311" i="98"/>
  <c r="B312" i="98"/>
  <c r="B313" i="98"/>
  <c r="B314" i="98"/>
  <c r="B315" i="98"/>
  <c r="B316" i="98"/>
  <c r="B317" i="98"/>
  <c r="B318" i="98"/>
  <c r="B319" i="98"/>
  <c r="B320" i="98"/>
  <c r="B321" i="98"/>
  <c r="B322" i="98"/>
  <c r="B323" i="98"/>
  <c r="B324" i="98"/>
  <c r="B325" i="98"/>
  <c r="B326" i="98"/>
  <c r="B327" i="98"/>
  <c r="B328" i="98"/>
  <c r="B329" i="98"/>
  <c r="B330" i="98"/>
  <c r="B331" i="98"/>
  <c r="B332" i="98"/>
  <c r="B333" i="98"/>
  <c r="B334" i="98"/>
  <c r="B335" i="98"/>
  <c r="B336" i="98"/>
  <c r="B337" i="98"/>
  <c r="B338" i="98"/>
  <c r="B339" i="98"/>
  <c r="B340" i="98"/>
  <c r="B341" i="98"/>
  <c r="B342" i="98"/>
  <c r="B343" i="98"/>
  <c r="B344" i="98"/>
  <c r="B345" i="98"/>
  <c r="B346" i="98"/>
  <c r="B347" i="98"/>
  <c r="B348" i="98"/>
  <c r="B349" i="98"/>
  <c r="B350" i="98"/>
  <c r="B351" i="98"/>
  <c r="B352" i="98"/>
  <c r="B353" i="98"/>
  <c r="B354" i="98"/>
  <c r="B355" i="98"/>
  <c r="B356" i="98"/>
  <c r="B357" i="98"/>
  <c r="B358" i="98"/>
  <c r="B359" i="98"/>
  <c r="B360" i="98"/>
  <c r="B361" i="98"/>
  <c r="B362" i="98"/>
  <c r="B363" i="98"/>
  <c r="B364" i="98"/>
  <c r="B365" i="98"/>
  <c r="B366" i="98"/>
  <c r="B367" i="98"/>
  <c r="B368" i="98"/>
  <c r="B369" i="98"/>
  <c r="B370" i="98"/>
  <c r="B371" i="98"/>
  <c r="B372" i="98"/>
  <c r="B373" i="98"/>
  <c r="B374" i="98"/>
  <c r="B375" i="98"/>
  <c r="B376" i="98"/>
  <c r="B377" i="98"/>
  <c r="B378" i="98"/>
  <c r="B379" i="98"/>
  <c r="B380" i="98"/>
  <c r="B381" i="98"/>
  <c r="B382" i="98"/>
  <c r="B383" i="98"/>
  <c r="B384" i="98"/>
  <c r="B385" i="98"/>
  <c r="B386" i="98"/>
  <c r="B387" i="98"/>
  <c r="B388" i="98"/>
  <c r="B389" i="98"/>
  <c r="B390" i="98"/>
  <c r="B391" i="98"/>
  <c r="B392" i="98"/>
  <c r="B393" i="98"/>
  <c r="B394" i="98"/>
  <c r="B395" i="98"/>
  <c r="B396" i="98"/>
  <c r="B397" i="98"/>
  <c r="B398" i="98"/>
  <c r="B399" i="98"/>
  <c r="B400" i="98"/>
  <c r="B401" i="98"/>
  <c r="B402" i="98"/>
  <c r="B403" i="98"/>
  <c r="B404" i="98"/>
  <c r="B405" i="98"/>
  <c r="B406" i="98"/>
  <c r="B407" i="98"/>
  <c r="B408" i="98"/>
  <c r="B409" i="98"/>
  <c r="B410" i="98"/>
  <c r="B411" i="98"/>
  <c r="B412" i="98"/>
  <c r="B413" i="98"/>
  <c r="B414" i="98"/>
  <c r="B415" i="98"/>
  <c r="B416" i="98"/>
  <c r="B417" i="98"/>
  <c r="B418" i="98"/>
  <c r="B419" i="98"/>
  <c r="B420" i="98"/>
  <c r="B421" i="98"/>
  <c r="B422" i="98"/>
  <c r="B423" i="98"/>
  <c r="B424" i="98"/>
  <c r="B425" i="98"/>
  <c r="B426" i="98"/>
  <c r="B427" i="98"/>
  <c r="B428" i="98"/>
  <c r="B429" i="98"/>
  <c r="B430" i="98"/>
  <c r="B431" i="98"/>
  <c r="B432" i="98"/>
  <c r="B433" i="98"/>
  <c r="B434" i="98"/>
  <c r="B435" i="98"/>
  <c r="B436" i="98"/>
  <c r="B437" i="98"/>
  <c r="B438" i="98"/>
  <c r="B439" i="98"/>
  <c r="B440" i="98"/>
  <c r="B441" i="98"/>
  <c r="B442" i="98"/>
  <c r="B443" i="98"/>
  <c r="B444" i="98"/>
  <c r="B445" i="98"/>
  <c r="B446" i="98"/>
  <c r="B447" i="98"/>
  <c r="B448" i="98"/>
  <c r="B449" i="98"/>
  <c r="B450" i="98"/>
  <c r="B451" i="98"/>
  <c r="B452" i="98"/>
  <c r="B453" i="98"/>
  <c r="B454" i="98"/>
  <c r="B455" i="98"/>
  <c r="B456" i="98"/>
  <c r="B457" i="98"/>
  <c r="B458" i="98"/>
  <c r="B459" i="98"/>
  <c r="B460" i="98"/>
  <c r="B461" i="98"/>
  <c r="B462" i="98"/>
  <c r="B463" i="98"/>
  <c r="B464" i="98"/>
  <c r="B465" i="98"/>
  <c r="B466" i="98"/>
  <c r="B467" i="98"/>
  <c r="B468" i="98"/>
  <c r="B469" i="98"/>
  <c r="B470" i="98"/>
  <c r="B471" i="98"/>
  <c r="B472" i="98"/>
  <c r="B473" i="98"/>
  <c r="B474" i="98"/>
  <c r="B475" i="98"/>
  <c r="B476" i="98"/>
  <c r="B477" i="98"/>
  <c r="B478" i="98"/>
  <c r="B479" i="98"/>
  <c r="B480" i="98"/>
  <c r="B481" i="98"/>
  <c r="B482" i="98"/>
  <c r="B483" i="98"/>
  <c r="B484" i="98"/>
  <c r="B485" i="98"/>
  <c r="B486" i="98"/>
  <c r="B487" i="98"/>
  <c r="B488" i="98"/>
  <c r="B489" i="98"/>
  <c r="B490" i="98"/>
  <c r="B491" i="98"/>
  <c r="B492" i="98"/>
  <c r="B493" i="98"/>
  <c r="B494" i="98"/>
  <c r="B495" i="98"/>
  <c r="B496" i="98"/>
  <c r="B497" i="98"/>
  <c r="B498" i="98"/>
  <c r="B499" i="98"/>
  <c r="B500" i="98"/>
  <c r="B501" i="98"/>
  <c r="B502" i="98"/>
  <c r="B503" i="98"/>
  <c r="B504" i="98"/>
  <c r="B505" i="98"/>
  <c r="B506" i="98"/>
  <c r="B507" i="98"/>
  <c r="B508" i="98"/>
  <c r="B509" i="98"/>
  <c r="B510" i="98"/>
  <c r="B511" i="98"/>
  <c r="B512" i="98"/>
  <c r="B513" i="98"/>
  <c r="B514" i="98"/>
  <c r="B515" i="98"/>
  <c r="B516" i="98"/>
  <c r="B517" i="98"/>
  <c r="B518" i="98"/>
  <c r="B519" i="98"/>
  <c r="B520" i="98"/>
  <c r="B521" i="98"/>
  <c r="B522" i="98"/>
  <c r="B523" i="98"/>
  <c r="B524" i="98"/>
  <c r="B525" i="98"/>
  <c r="B526" i="98"/>
  <c r="B527" i="98"/>
  <c r="B528" i="98"/>
  <c r="B529" i="98"/>
  <c r="B530" i="98"/>
  <c r="B531" i="98"/>
  <c r="B532" i="98"/>
  <c r="B533" i="98"/>
  <c r="B534" i="98"/>
  <c r="B535" i="98"/>
  <c r="B536" i="98"/>
  <c r="B537" i="98"/>
  <c r="B538" i="98"/>
  <c r="B539" i="98"/>
  <c r="B540" i="98"/>
  <c r="B541" i="98"/>
  <c r="B542" i="98"/>
  <c r="B543" i="98"/>
  <c r="B544" i="98"/>
  <c r="B545" i="98"/>
  <c r="B546" i="98"/>
  <c r="B547" i="98"/>
  <c r="B548" i="98"/>
  <c r="B549" i="98"/>
  <c r="B550" i="98"/>
  <c r="B551" i="98"/>
  <c r="B552" i="98"/>
  <c r="B553" i="98"/>
  <c r="B554" i="98"/>
  <c r="B555" i="98"/>
  <c r="B556" i="98"/>
  <c r="B557" i="98"/>
  <c r="B558" i="98"/>
  <c r="B559" i="98"/>
  <c r="B560" i="98"/>
  <c r="B561" i="98"/>
  <c r="B562" i="98"/>
  <c r="B563" i="98"/>
  <c r="B564" i="98"/>
  <c r="B565" i="98"/>
  <c r="B566" i="98"/>
  <c r="B567" i="98"/>
  <c r="B568" i="98"/>
  <c r="B569" i="98"/>
  <c r="B570" i="98"/>
  <c r="B571" i="98"/>
  <c r="B572" i="98"/>
  <c r="B573" i="98"/>
  <c r="B574" i="98"/>
  <c r="B575" i="98"/>
  <c r="B576" i="98"/>
  <c r="B577" i="98"/>
  <c r="B578" i="98"/>
  <c r="B579" i="98"/>
  <c r="B580" i="98"/>
  <c r="B581" i="98"/>
  <c r="B582" i="98"/>
  <c r="B583" i="98"/>
  <c r="B584" i="98"/>
  <c r="B585" i="98"/>
  <c r="B586" i="98"/>
  <c r="B587" i="98"/>
  <c r="B588" i="98"/>
  <c r="B589" i="98"/>
  <c r="B590" i="98"/>
  <c r="B591" i="98"/>
  <c r="B592" i="98"/>
  <c r="B593" i="98"/>
  <c r="B594" i="98"/>
  <c r="B595" i="98"/>
  <c r="B596" i="98"/>
  <c r="B597" i="98"/>
  <c r="B598" i="98"/>
  <c r="B599" i="98"/>
  <c r="B600" i="98"/>
  <c r="B601" i="98"/>
  <c r="B602" i="98"/>
  <c r="B603" i="98"/>
  <c r="B604" i="98"/>
  <c r="B605" i="98"/>
  <c r="B606" i="98"/>
  <c r="B607" i="98"/>
  <c r="B608" i="98"/>
  <c r="B609" i="98"/>
  <c r="B610" i="98"/>
  <c r="B611" i="98"/>
  <c r="B612" i="98"/>
  <c r="B613" i="98"/>
  <c r="B614" i="98"/>
  <c r="B615" i="98"/>
  <c r="B616" i="98"/>
  <c r="B617" i="98"/>
  <c r="B618" i="98"/>
  <c r="B619" i="98"/>
  <c r="B620" i="98"/>
  <c r="B621" i="98"/>
  <c r="B622" i="98"/>
  <c r="B623" i="98"/>
  <c r="B624" i="98"/>
  <c r="B625" i="98"/>
  <c r="B626" i="98"/>
  <c r="B627" i="98"/>
  <c r="B628" i="98"/>
  <c r="B629" i="98"/>
  <c r="B630" i="98"/>
  <c r="B631" i="98"/>
  <c r="B632" i="98"/>
  <c r="B633" i="98"/>
  <c r="B634" i="98"/>
  <c r="B635" i="98"/>
  <c r="B636" i="98"/>
  <c r="B637" i="98"/>
  <c r="B638" i="98"/>
  <c r="B639" i="98"/>
  <c r="B640" i="98"/>
  <c r="B641" i="98"/>
  <c r="B642" i="98"/>
  <c r="B643" i="98"/>
  <c r="B644" i="98"/>
  <c r="B645" i="98"/>
  <c r="B646" i="98"/>
  <c r="B647" i="98"/>
  <c r="B648" i="98"/>
  <c r="B649" i="98"/>
  <c r="B650" i="98"/>
  <c r="B651" i="98"/>
  <c r="B652" i="98"/>
  <c r="B653" i="98"/>
  <c r="B654" i="98"/>
  <c r="B655" i="98"/>
  <c r="B656" i="98"/>
  <c r="B657" i="98"/>
  <c r="B658" i="98"/>
  <c r="B659" i="98"/>
  <c r="B660" i="98"/>
  <c r="B661" i="98"/>
  <c r="B662" i="98"/>
  <c r="B663" i="98"/>
  <c r="B664" i="98"/>
  <c r="B665" i="98"/>
  <c r="B666" i="98"/>
  <c r="B667" i="98"/>
  <c r="B668" i="98"/>
  <c r="B669" i="98"/>
  <c r="B670" i="98"/>
  <c r="B671" i="98"/>
  <c r="B672" i="98"/>
  <c r="B673" i="98"/>
  <c r="B674" i="98"/>
  <c r="B675" i="98"/>
  <c r="B676" i="98"/>
  <c r="B677" i="98"/>
  <c r="B678" i="98"/>
  <c r="B679" i="98"/>
  <c r="B680" i="98"/>
  <c r="B681" i="98"/>
  <c r="B682" i="98"/>
  <c r="B683" i="98"/>
  <c r="B684" i="98"/>
  <c r="B685" i="98"/>
  <c r="B686" i="98"/>
  <c r="B687" i="98"/>
  <c r="B688" i="98"/>
  <c r="B689" i="98"/>
  <c r="B690" i="98"/>
  <c r="B691" i="98"/>
  <c r="B692" i="98"/>
  <c r="B693" i="98"/>
  <c r="B694" i="98"/>
  <c r="B695" i="98"/>
  <c r="B696" i="98"/>
  <c r="B697" i="98"/>
  <c r="B698" i="98"/>
  <c r="B699" i="98"/>
  <c r="B700" i="98"/>
  <c r="B701" i="98"/>
  <c r="B702" i="98"/>
  <c r="B703" i="98"/>
  <c r="B704" i="98"/>
  <c r="B705" i="98"/>
  <c r="B706" i="98"/>
  <c r="B707" i="98"/>
  <c r="B708" i="98"/>
  <c r="B709" i="98"/>
  <c r="B710" i="98"/>
  <c r="B711" i="98"/>
  <c r="B712" i="98"/>
  <c r="B713" i="98"/>
  <c r="B714" i="98"/>
  <c r="B715" i="98"/>
  <c r="B716" i="98"/>
  <c r="B717" i="98"/>
  <c r="B718" i="98"/>
  <c r="B719" i="98"/>
  <c r="B720" i="98"/>
  <c r="B721" i="98"/>
  <c r="B722" i="98"/>
  <c r="B723" i="98"/>
  <c r="B724" i="98"/>
  <c r="B725" i="98"/>
  <c r="B726" i="98"/>
  <c r="B727" i="98"/>
  <c r="B728" i="98"/>
  <c r="B729" i="98"/>
  <c r="B730" i="98"/>
  <c r="B731" i="98"/>
  <c r="B732" i="98"/>
  <c r="B733" i="98"/>
  <c r="B734" i="98"/>
  <c r="B735" i="98"/>
  <c r="B736" i="98"/>
  <c r="B737" i="98"/>
  <c r="B738" i="98"/>
  <c r="B739" i="98"/>
  <c r="B740" i="98"/>
  <c r="B741" i="98"/>
  <c r="B742" i="98"/>
  <c r="B743" i="98"/>
  <c r="B744" i="98"/>
  <c r="B745" i="98"/>
  <c r="B746" i="98"/>
  <c r="B747" i="98"/>
  <c r="B748" i="98"/>
  <c r="B749" i="98"/>
  <c r="B750" i="98"/>
  <c r="B751" i="98"/>
  <c r="B752" i="98"/>
  <c r="B753" i="98"/>
  <c r="B754" i="98"/>
  <c r="B755" i="98"/>
  <c r="B756" i="98"/>
  <c r="B757" i="98"/>
  <c r="B758" i="98"/>
  <c r="B759" i="98"/>
  <c r="B760" i="98"/>
  <c r="B761" i="98"/>
  <c r="B762" i="98"/>
  <c r="B763" i="98"/>
  <c r="B764" i="98"/>
  <c r="B765" i="98"/>
  <c r="B766" i="98"/>
  <c r="B767" i="98"/>
  <c r="B768" i="98"/>
  <c r="B769" i="98"/>
  <c r="B770" i="98"/>
  <c r="B771" i="98"/>
  <c r="B772" i="98"/>
  <c r="B773" i="98"/>
  <c r="B774" i="98"/>
  <c r="B775" i="98"/>
  <c r="B776" i="98"/>
  <c r="B777" i="98"/>
  <c r="B778" i="98"/>
  <c r="B779" i="98"/>
  <c r="B780" i="98"/>
  <c r="B781" i="98"/>
  <c r="B782" i="98"/>
  <c r="B783" i="98"/>
  <c r="B784" i="98"/>
  <c r="B785" i="98"/>
  <c r="B786" i="98"/>
  <c r="B787" i="98"/>
  <c r="B788" i="98"/>
  <c r="B789" i="98"/>
  <c r="B790" i="98"/>
  <c r="B791" i="98"/>
  <c r="B792" i="98"/>
  <c r="B793" i="98"/>
  <c r="B794" i="98"/>
  <c r="B795" i="98"/>
  <c r="B796" i="98"/>
  <c r="B797" i="98"/>
  <c r="B798" i="98"/>
  <c r="B799" i="98"/>
  <c r="B800" i="98"/>
  <c r="B801" i="98"/>
  <c r="B802" i="98"/>
  <c r="B803" i="98"/>
  <c r="B804" i="98"/>
  <c r="B805" i="98"/>
  <c r="B806" i="98"/>
  <c r="B807" i="98"/>
  <c r="B808" i="98"/>
  <c r="B809" i="98"/>
  <c r="B810" i="98"/>
  <c r="B811" i="98"/>
  <c r="B812" i="98"/>
  <c r="B813" i="98"/>
  <c r="B814" i="98"/>
  <c r="B815" i="98"/>
  <c r="B816" i="98"/>
  <c r="B817" i="98"/>
  <c r="B818" i="98"/>
  <c r="B819" i="98"/>
  <c r="B820" i="98"/>
  <c r="B821" i="98"/>
  <c r="B822" i="98"/>
  <c r="B823" i="98"/>
  <c r="B824" i="98"/>
  <c r="B825" i="98"/>
  <c r="B826" i="98"/>
  <c r="B827" i="98"/>
  <c r="B828" i="98"/>
  <c r="B829" i="98"/>
  <c r="B830" i="98"/>
  <c r="B831" i="98"/>
  <c r="B832" i="98"/>
  <c r="B833" i="98"/>
  <c r="B834" i="98"/>
  <c r="B835" i="98"/>
  <c r="B836" i="98"/>
  <c r="B837" i="98"/>
  <c r="B838" i="98"/>
  <c r="B839" i="98"/>
  <c r="B840" i="98"/>
  <c r="B841" i="98"/>
  <c r="B842" i="98"/>
  <c r="B843" i="98"/>
  <c r="B844" i="98"/>
  <c r="B845" i="98"/>
  <c r="B846" i="98"/>
  <c r="B847" i="98"/>
  <c r="B848" i="98"/>
  <c r="B849" i="98"/>
  <c r="B850" i="98"/>
  <c r="B851" i="98"/>
  <c r="B852" i="98"/>
  <c r="B853" i="98"/>
  <c r="B854" i="98"/>
  <c r="B855" i="98"/>
  <c r="B856" i="98"/>
  <c r="B857" i="98"/>
  <c r="B858" i="98"/>
  <c r="B859" i="98"/>
  <c r="B860" i="98"/>
  <c r="B861" i="98"/>
  <c r="B862" i="98"/>
  <c r="B863" i="98"/>
  <c r="B864" i="98"/>
  <c r="B865" i="98"/>
  <c r="B866" i="98"/>
  <c r="B867" i="98"/>
  <c r="B868" i="98"/>
  <c r="B869" i="98"/>
  <c r="B870" i="98"/>
  <c r="B871" i="98"/>
  <c r="B872" i="98"/>
  <c r="B873" i="98"/>
  <c r="B874" i="98"/>
  <c r="B875" i="98"/>
  <c r="B876" i="98"/>
  <c r="B877" i="98"/>
  <c r="B878" i="98"/>
  <c r="B879" i="98"/>
  <c r="B880" i="98"/>
  <c r="B881" i="98"/>
  <c r="B882" i="98"/>
  <c r="B883" i="98"/>
  <c r="B884" i="98"/>
  <c r="B885" i="98"/>
  <c r="B886" i="98"/>
  <c r="B887" i="98"/>
  <c r="B888" i="98"/>
  <c r="B889" i="98"/>
  <c r="B890" i="98"/>
  <c r="B891" i="98"/>
  <c r="B892" i="98"/>
  <c r="B893" i="98"/>
  <c r="B894" i="98"/>
  <c r="B895" i="98"/>
  <c r="B896" i="98"/>
  <c r="B897" i="98"/>
  <c r="B898" i="98"/>
  <c r="B899" i="98"/>
  <c r="B900" i="98"/>
  <c r="B901" i="98"/>
  <c r="B902" i="98"/>
  <c r="B903" i="98"/>
  <c r="B904" i="98"/>
  <c r="B905" i="98"/>
  <c r="B906" i="98"/>
  <c r="B907" i="98"/>
  <c r="B908" i="98"/>
  <c r="B909" i="98"/>
  <c r="B910" i="98"/>
  <c r="B911" i="98"/>
  <c r="B912" i="98"/>
  <c r="B913" i="98"/>
  <c r="B914" i="98"/>
  <c r="B915" i="98"/>
  <c r="B916" i="98"/>
  <c r="B917" i="98"/>
  <c r="B918" i="98"/>
  <c r="B919" i="98"/>
  <c r="B920" i="98"/>
  <c r="B921" i="98"/>
  <c r="B922" i="98"/>
  <c r="B923" i="98"/>
  <c r="B924" i="98"/>
  <c r="B925" i="98"/>
  <c r="B926" i="98"/>
  <c r="B927" i="98"/>
  <c r="B928" i="98"/>
  <c r="B929" i="98"/>
  <c r="B930" i="98"/>
  <c r="B931" i="98"/>
  <c r="B932" i="98"/>
  <c r="B933" i="98"/>
  <c r="B934" i="98"/>
  <c r="B935" i="98"/>
  <c r="B936" i="98"/>
  <c r="B937" i="98"/>
  <c r="B938" i="98"/>
  <c r="B939" i="98"/>
  <c r="B940" i="98"/>
  <c r="B941" i="98"/>
  <c r="B942" i="98"/>
  <c r="B943" i="98"/>
  <c r="B944" i="98"/>
  <c r="B945" i="98"/>
  <c r="B946" i="98"/>
  <c r="B947" i="98"/>
  <c r="B948" i="98"/>
  <c r="B949" i="98"/>
  <c r="B950" i="98"/>
  <c r="B951" i="98"/>
  <c r="B952" i="98"/>
  <c r="B953" i="98"/>
  <c r="B954" i="98"/>
  <c r="B955" i="98"/>
  <c r="B956" i="98"/>
  <c r="B957" i="98"/>
  <c r="B958" i="98"/>
  <c r="B959" i="98"/>
  <c r="B960" i="98"/>
  <c r="B961" i="98"/>
  <c r="B962" i="98"/>
  <c r="B963" i="98"/>
  <c r="B964" i="98"/>
  <c r="B965" i="98"/>
  <c r="B966" i="98"/>
  <c r="B967" i="98"/>
  <c r="B968" i="98"/>
  <c r="B969" i="98"/>
  <c r="B970" i="98"/>
  <c r="B971" i="98"/>
  <c r="B972" i="98"/>
  <c r="B973" i="98"/>
  <c r="B974" i="98"/>
  <c r="B975" i="98"/>
  <c r="B976" i="98"/>
  <c r="B977" i="98"/>
  <c r="B978" i="98"/>
  <c r="B979" i="98"/>
  <c r="B980" i="98"/>
  <c r="B981" i="98"/>
  <c r="B982" i="98"/>
  <c r="B983" i="98"/>
  <c r="B984" i="98"/>
  <c r="B985" i="98"/>
  <c r="B986" i="98"/>
  <c r="B987" i="98"/>
  <c r="B988" i="98"/>
  <c r="B989" i="98"/>
  <c r="B990" i="98"/>
  <c r="B991" i="98"/>
  <c r="B992" i="98"/>
  <c r="B993" i="98"/>
  <c r="B994" i="98"/>
  <c r="B995" i="98"/>
  <c r="B996" i="98"/>
  <c r="B997" i="98"/>
  <c r="B998" i="98"/>
  <c r="B999" i="98"/>
  <c r="B1000" i="98"/>
  <c r="B1001" i="98"/>
  <c r="B1002" i="98"/>
  <c r="C3" i="97"/>
  <c r="B3" i="97" s="1"/>
  <c r="B4" i="97"/>
  <c r="B5" i="97"/>
  <c r="B6" i="97"/>
  <c r="B7" i="97"/>
  <c r="B8" i="97"/>
  <c r="B9" i="97"/>
  <c r="B10" i="97"/>
  <c r="B11" i="97"/>
  <c r="B12" i="97"/>
  <c r="B13" i="97"/>
  <c r="B14" i="97"/>
  <c r="B15" i="97"/>
  <c r="B16" i="97"/>
  <c r="B17" i="97"/>
  <c r="B18" i="97"/>
  <c r="B19" i="97"/>
  <c r="B20" i="97"/>
  <c r="B21" i="97"/>
  <c r="B22" i="97"/>
  <c r="B23" i="97"/>
  <c r="B24" i="97"/>
  <c r="B25" i="97"/>
  <c r="B26" i="97"/>
  <c r="B27" i="97"/>
  <c r="B28" i="97"/>
  <c r="B29" i="97"/>
  <c r="B30" i="97"/>
  <c r="B31" i="97"/>
  <c r="B32" i="97"/>
  <c r="B33" i="97"/>
  <c r="B34" i="97"/>
  <c r="B35" i="97"/>
  <c r="B36" i="97"/>
  <c r="B37" i="97"/>
  <c r="B38" i="97"/>
  <c r="B39" i="97"/>
  <c r="B40" i="97"/>
  <c r="B41" i="97"/>
  <c r="B42" i="97"/>
  <c r="B43" i="97"/>
  <c r="B44" i="97"/>
  <c r="B45" i="97"/>
  <c r="B46" i="97"/>
  <c r="B47" i="97"/>
  <c r="B48" i="97"/>
  <c r="B49" i="97"/>
  <c r="B50" i="97"/>
  <c r="B51" i="97"/>
  <c r="B52" i="97"/>
  <c r="B53" i="97"/>
  <c r="B54" i="97"/>
  <c r="B55" i="97"/>
  <c r="B56" i="97"/>
  <c r="B57" i="97"/>
  <c r="B58" i="97"/>
  <c r="B59" i="97"/>
  <c r="B60" i="97"/>
  <c r="B61" i="97"/>
  <c r="B62" i="97"/>
  <c r="B63" i="97"/>
  <c r="B64" i="97"/>
  <c r="B65" i="97"/>
  <c r="B66" i="97"/>
  <c r="B67" i="97"/>
  <c r="B68" i="97"/>
  <c r="B69" i="97"/>
  <c r="B70" i="97"/>
  <c r="B71" i="97"/>
  <c r="B72" i="97"/>
  <c r="B73" i="97"/>
  <c r="B74" i="97"/>
  <c r="B75" i="97"/>
  <c r="B76" i="97"/>
  <c r="B77" i="97"/>
  <c r="B78" i="97"/>
  <c r="B79" i="97"/>
  <c r="B80" i="97"/>
  <c r="B81" i="97"/>
  <c r="B82" i="97"/>
  <c r="B83" i="97"/>
  <c r="B84" i="97"/>
  <c r="B85" i="97"/>
  <c r="B86" i="97"/>
  <c r="B87" i="97"/>
  <c r="B88" i="97"/>
  <c r="B89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155" i="97"/>
  <c r="B156" i="97"/>
  <c r="B157" i="97"/>
  <c r="B158" i="97"/>
  <c r="B159" i="97"/>
  <c r="B160" i="97"/>
  <c r="B161" i="97"/>
  <c r="B162" i="97"/>
  <c r="B163" i="97"/>
  <c r="B164" i="97"/>
  <c r="B165" i="97"/>
  <c r="B166" i="97"/>
  <c r="B167" i="97"/>
  <c r="B168" i="97"/>
  <c r="B169" i="97"/>
  <c r="B170" i="97"/>
  <c r="B171" i="97"/>
  <c r="B172" i="97"/>
  <c r="B173" i="97"/>
  <c r="B174" i="97"/>
  <c r="B175" i="97"/>
  <c r="B176" i="97"/>
  <c r="B177" i="97"/>
  <c r="B178" i="97"/>
  <c r="B179" i="97"/>
  <c r="B180" i="97"/>
  <c r="B181" i="97"/>
  <c r="B182" i="97"/>
  <c r="B183" i="97"/>
  <c r="B184" i="97"/>
  <c r="B185" i="97"/>
  <c r="B186" i="97"/>
  <c r="B187" i="97"/>
  <c r="B188" i="97"/>
  <c r="B189" i="97"/>
  <c r="B190" i="97"/>
  <c r="B191" i="97"/>
  <c r="B192" i="97"/>
  <c r="B193" i="97"/>
  <c r="B194" i="97"/>
  <c r="B195" i="97"/>
  <c r="B196" i="97"/>
  <c r="B197" i="97"/>
  <c r="B198" i="97"/>
  <c r="B199" i="97"/>
  <c r="B200" i="97"/>
  <c r="B201" i="97"/>
  <c r="B202" i="97"/>
  <c r="B203" i="97"/>
  <c r="B204" i="97"/>
  <c r="B205" i="97"/>
  <c r="B206" i="97"/>
  <c r="B207" i="97"/>
  <c r="B208" i="97"/>
  <c r="B209" i="97"/>
  <c r="B210" i="97"/>
  <c r="B211" i="97"/>
  <c r="B212" i="97"/>
  <c r="B213" i="97"/>
  <c r="B214" i="97"/>
  <c r="B215" i="97"/>
  <c r="B216" i="97"/>
  <c r="B217" i="97"/>
  <c r="B218" i="97"/>
  <c r="B219" i="97"/>
  <c r="B220" i="97"/>
  <c r="B221" i="97"/>
  <c r="B222" i="97"/>
  <c r="B223" i="97"/>
  <c r="B224" i="97"/>
  <c r="B225" i="97"/>
  <c r="B226" i="97"/>
  <c r="B227" i="97"/>
  <c r="B228" i="97"/>
  <c r="B229" i="97"/>
  <c r="B230" i="97"/>
  <c r="B231" i="97"/>
  <c r="B232" i="97"/>
  <c r="B233" i="97"/>
  <c r="B234" i="97"/>
  <c r="B235" i="97"/>
  <c r="B236" i="97"/>
  <c r="B237" i="97"/>
  <c r="B238" i="97"/>
  <c r="B239" i="97"/>
  <c r="B240" i="97"/>
  <c r="B241" i="97"/>
  <c r="B242" i="97"/>
  <c r="B243" i="97"/>
  <c r="B244" i="97"/>
  <c r="B245" i="97"/>
  <c r="B246" i="97"/>
  <c r="B247" i="97"/>
  <c r="B248" i="97"/>
  <c r="B249" i="97"/>
  <c r="B250" i="97"/>
  <c r="B251" i="97"/>
  <c r="B252" i="97"/>
  <c r="B253" i="97"/>
  <c r="B254" i="97"/>
  <c r="B255" i="97"/>
  <c r="B256" i="97"/>
  <c r="B257" i="97"/>
  <c r="B258" i="97"/>
  <c r="B259" i="97"/>
  <c r="B260" i="97"/>
  <c r="B261" i="97"/>
  <c r="B262" i="97"/>
  <c r="B263" i="97"/>
  <c r="B264" i="97"/>
  <c r="B265" i="97"/>
  <c r="B266" i="97"/>
  <c r="B267" i="97"/>
  <c r="B268" i="97"/>
  <c r="B269" i="97"/>
  <c r="B270" i="97"/>
  <c r="B271" i="97"/>
  <c r="B272" i="97"/>
  <c r="B273" i="97"/>
  <c r="B274" i="97"/>
  <c r="B275" i="97"/>
  <c r="B276" i="97"/>
  <c r="B277" i="97"/>
  <c r="B278" i="97"/>
  <c r="B279" i="97"/>
  <c r="B280" i="97"/>
  <c r="B281" i="97"/>
  <c r="B282" i="97"/>
  <c r="B283" i="97"/>
  <c r="B284" i="97"/>
  <c r="B285" i="97"/>
  <c r="B286" i="97"/>
  <c r="B287" i="97"/>
  <c r="B288" i="97"/>
  <c r="B289" i="97"/>
  <c r="B290" i="97"/>
  <c r="B291" i="97"/>
  <c r="B292" i="97"/>
  <c r="B293" i="97"/>
  <c r="B294" i="97"/>
  <c r="B295" i="97"/>
  <c r="B296" i="97"/>
  <c r="B297" i="97"/>
  <c r="B298" i="97"/>
  <c r="B299" i="97"/>
  <c r="B300" i="97"/>
  <c r="B301" i="97"/>
  <c r="B302" i="97"/>
  <c r="B303" i="97"/>
  <c r="B304" i="97"/>
  <c r="B305" i="97"/>
  <c r="B306" i="97"/>
  <c r="B307" i="97"/>
  <c r="B308" i="97"/>
  <c r="B309" i="97"/>
  <c r="B310" i="97"/>
  <c r="B311" i="97"/>
  <c r="B312" i="97"/>
  <c r="B313" i="97"/>
  <c r="B314" i="97"/>
  <c r="B315" i="97"/>
  <c r="B316" i="97"/>
  <c r="B317" i="97"/>
  <c r="B318" i="97"/>
  <c r="B319" i="97"/>
  <c r="B320" i="97"/>
  <c r="B321" i="97"/>
  <c r="B322" i="97"/>
  <c r="B323" i="97"/>
  <c r="B324" i="97"/>
  <c r="B325" i="97"/>
  <c r="B326" i="97"/>
  <c r="B327" i="97"/>
  <c r="B328" i="97"/>
  <c r="B329" i="97"/>
  <c r="B330" i="97"/>
  <c r="B331" i="97"/>
  <c r="B332" i="97"/>
  <c r="B333" i="97"/>
  <c r="B334" i="97"/>
  <c r="B335" i="97"/>
  <c r="B336" i="97"/>
  <c r="B337" i="97"/>
  <c r="B338" i="97"/>
  <c r="B339" i="97"/>
  <c r="B340" i="97"/>
  <c r="B341" i="97"/>
  <c r="B342" i="97"/>
  <c r="B343" i="97"/>
  <c r="B344" i="97"/>
  <c r="B345" i="97"/>
  <c r="B346" i="97"/>
  <c r="B347" i="97"/>
  <c r="B348" i="97"/>
  <c r="B349" i="97"/>
  <c r="B350" i="97"/>
  <c r="B351" i="97"/>
  <c r="B352" i="97"/>
  <c r="B353" i="97"/>
  <c r="B354" i="97"/>
  <c r="B355" i="97"/>
  <c r="B356" i="97"/>
  <c r="B357" i="97"/>
  <c r="B358" i="97"/>
  <c r="B359" i="97"/>
  <c r="B360" i="97"/>
  <c r="B361" i="97"/>
  <c r="B362" i="97"/>
  <c r="B363" i="97"/>
  <c r="B364" i="97"/>
  <c r="B365" i="97"/>
  <c r="B366" i="97"/>
  <c r="B367" i="97"/>
  <c r="B368" i="97"/>
  <c r="B369" i="97"/>
  <c r="B370" i="97"/>
  <c r="B371" i="97"/>
  <c r="B372" i="97"/>
  <c r="B373" i="97"/>
  <c r="B374" i="97"/>
  <c r="B375" i="97"/>
  <c r="B376" i="97"/>
  <c r="B377" i="97"/>
  <c r="B378" i="97"/>
  <c r="B379" i="97"/>
  <c r="B380" i="97"/>
  <c r="B381" i="97"/>
  <c r="B382" i="97"/>
  <c r="B383" i="97"/>
  <c r="B384" i="97"/>
  <c r="B385" i="97"/>
  <c r="B386" i="97"/>
  <c r="B387" i="97"/>
  <c r="B388" i="97"/>
  <c r="B389" i="97"/>
  <c r="B390" i="97"/>
  <c r="B391" i="97"/>
  <c r="B392" i="97"/>
  <c r="B393" i="97"/>
  <c r="B394" i="97"/>
  <c r="B395" i="97"/>
  <c r="B396" i="97"/>
  <c r="B397" i="97"/>
  <c r="B398" i="97"/>
  <c r="B399" i="97"/>
  <c r="B400" i="97"/>
  <c r="B401" i="97"/>
  <c r="B402" i="97"/>
  <c r="B403" i="97"/>
  <c r="B404" i="97"/>
  <c r="B405" i="97"/>
  <c r="B406" i="97"/>
  <c r="B407" i="97"/>
  <c r="B408" i="97"/>
  <c r="B409" i="97"/>
  <c r="B410" i="97"/>
  <c r="B411" i="97"/>
  <c r="B412" i="97"/>
  <c r="B413" i="97"/>
  <c r="B414" i="97"/>
  <c r="B415" i="97"/>
  <c r="B416" i="97"/>
  <c r="B417" i="97"/>
  <c r="B418" i="97"/>
  <c r="B419" i="97"/>
  <c r="B420" i="97"/>
  <c r="B421" i="97"/>
  <c r="B422" i="97"/>
  <c r="B423" i="97"/>
  <c r="B424" i="97"/>
  <c r="B425" i="97"/>
  <c r="B426" i="97"/>
  <c r="B427" i="97"/>
  <c r="B428" i="97"/>
  <c r="B429" i="97"/>
  <c r="B430" i="97"/>
  <c r="B431" i="97"/>
  <c r="B432" i="97"/>
  <c r="B433" i="97"/>
  <c r="B434" i="97"/>
  <c r="B435" i="97"/>
  <c r="B436" i="97"/>
  <c r="B437" i="97"/>
  <c r="B438" i="97"/>
  <c r="B439" i="97"/>
  <c r="B440" i="97"/>
  <c r="B441" i="97"/>
  <c r="B442" i="97"/>
  <c r="B443" i="97"/>
  <c r="B444" i="97"/>
  <c r="B445" i="97"/>
  <c r="B446" i="97"/>
  <c r="B447" i="97"/>
  <c r="B448" i="97"/>
  <c r="B449" i="97"/>
  <c r="B450" i="97"/>
  <c r="B451" i="97"/>
  <c r="B452" i="97"/>
  <c r="B453" i="97"/>
  <c r="B454" i="97"/>
  <c r="B455" i="97"/>
  <c r="B456" i="97"/>
  <c r="B457" i="97"/>
  <c r="B458" i="97"/>
  <c r="B459" i="97"/>
  <c r="B460" i="97"/>
  <c r="B461" i="97"/>
  <c r="B462" i="97"/>
  <c r="B463" i="97"/>
  <c r="B464" i="97"/>
  <c r="B465" i="97"/>
  <c r="B466" i="97"/>
  <c r="B467" i="97"/>
  <c r="B468" i="97"/>
  <c r="B469" i="97"/>
  <c r="B470" i="97"/>
  <c r="B471" i="97"/>
  <c r="B472" i="97"/>
  <c r="B473" i="97"/>
  <c r="B474" i="97"/>
  <c r="B475" i="97"/>
  <c r="B476" i="97"/>
  <c r="B477" i="97"/>
  <c r="B478" i="97"/>
  <c r="B479" i="97"/>
  <c r="B480" i="97"/>
  <c r="B481" i="97"/>
  <c r="B482" i="97"/>
  <c r="B483" i="97"/>
  <c r="B484" i="97"/>
  <c r="B485" i="97"/>
  <c r="B486" i="97"/>
  <c r="B487" i="97"/>
  <c r="B488" i="97"/>
  <c r="B489" i="97"/>
  <c r="B490" i="97"/>
  <c r="B491" i="97"/>
  <c r="B492" i="97"/>
  <c r="B493" i="97"/>
  <c r="B494" i="97"/>
  <c r="B495" i="97"/>
  <c r="B496" i="97"/>
  <c r="B497" i="97"/>
  <c r="B498" i="97"/>
  <c r="B499" i="97"/>
  <c r="B500" i="97"/>
  <c r="B501" i="97"/>
  <c r="B502" i="97"/>
  <c r="B503" i="97"/>
  <c r="B504" i="97"/>
  <c r="B505" i="97"/>
  <c r="B506" i="97"/>
  <c r="B507" i="97"/>
  <c r="B508" i="97"/>
  <c r="B509" i="97"/>
  <c r="B510" i="97"/>
  <c r="B511" i="97"/>
  <c r="B512" i="97"/>
  <c r="B513" i="97"/>
  <c r="B514" i="97"/>
  <c r="B515" i="97"/>
  <c r="B516" i="97"/>
  <c r="B517" i="97"/>
  <c r="B518" i="97"/>
  <c r="B519" i="97"/>
  <c r="B520" i="97"/>
  <c r="B521" i="97"/>
  <c r="B522" i="97"/>
  <c r="B523" i="97"/>
  <c r="B524" i="97"/>
  <c r="B525" i="97"/>
  <c r="B526" i="97"/>
  <c r="B527" i="97"/>
  <c r="B528" i="97"/>
  <c r="B529" i="97"/>
  <c r="B530" i="97"/>
  <c r="B531" i="97"/>
  <c r="B532" i="97"/>
  <c r="B533" i="97"/>
  <c r="B534" i="97"/>
  <c r="B535" i="97"/>
  <c r="B536" i="97"/>
  <c r="B537" i="97"/>
  <c r="B538" i="97"/>
  <c r="B539" i="97"/>
  <c r="B540" i="97"/>
  <c r="B541" i="97"/>
  <c r="B542" i="97"/>
  <c r="B543" i="97"/>
  <c r="B544" i="97"/>
  <c r="B545" i="97"/>
  <c r="B546" i="97"/>
  <c r="B547" i="97"/>
  <c r="B548" i="97"/>
  <c r="B549" i="97"/>
  <c r="B550" i="97"/>
  <c r="B551" i="97"/>
  <c r="B552" i="97"/>
  <c r="B553" i="97"/>
  <c r="B554" i="97"/>
  <c r="B555" i="97"/>
  <c r="B556" i="97"/>
  <c r="B557" i="97"/>
  <c r="B558" i="97"/>
  <c r="B559" i="97"/>
  <c r="B560" i="97"/>
  <c r="B561" i="97"/>
  <c r="B562" i="97"/>
  <c r="B563" i="97"/>
  <c r="B564" i="97"/>
  <c r="B565" i="97"/>
  <c r="B566" i="97"/>
  <c r="B567" i="97"/>
  <c r="B568" i="97"/>
  <c r="B569" i="97"/>
  <c r="B570" i="97"/>
  <c r="B571" i="97"/>
  <c r="B572" i="97"/>
  <c r="B573" i="97"/>
  <c r="B574" i="97"/>
  <c r="B575" i="97"/>
  <c r="B576" i="97"/>
  <c r="B577" i="97"/>
  <c r="B578" i="97"/>
  <c r="B579" i="97"/>
  <c r="B580" i="97"/>
  <c r="B581" i="97"/>
  <c r="B582" i="97"/>
  <c r="B583" i="97"/>
  <c r="B584" i="97"/>
  <c r="B585" i="97"/>
  <c r="B586" i="97"/>
  <c r="B587" i="97"/>
  <c r="B588" i="97"/>
  <c r="B589" i="97"/>
  <c r="B590" i="97"/>
  <c r="B591" i="97"/>
  <c r="B592" i="97"/>
  <c r="B593" i="97"/>
  <c r="B594" i="97"/>
  <c r="B595" i="97"/>
  <c r="B596" i="97"/>
  <c r="B597" i="97"/>
  <c r="B598" i="97"/>
  <c r="B599" i="97"/>
  <c r="B600" i="97"/>
  <c r="B601" i="97"/>
  <c r="B602" i="97"/>
  <c r="B603" i="97"/>
  <c r="B604" i="97"/>
  <c r="B605" i="97"/>
  <c r="B606" i="97"/>
  <c r="B607" i="97"/>
  <c r="B608" i="97"/>
  <c r="B609" i="97"/>
  <c r="B610" i="97"/>
  <c r="B611" i="97"/>
  <c r="B612" i="97"/>
  <c r="B613" i="97"/>
  <c r="B614" i="97"/>
  <c r="B615" i="97"/>
  <c r="B616" i="97"/>
  <c r="B617" i="97"/>
  <c r="B618" i="97"/>
  <c r="B619" i="97"/>
  <c r="B620" i="97"/>
  <c r="B621" i="97"/>
  <c r="B622" i="97"/>
  <c r="B623" i="97"/>
  <c r="B624" i="97"/>
  <c r="B625" i="97"/>
  <c r="B626" i="97"/>
  <c r="B627" i="97"/>
  <c r="B628" i="97"/>
  <c r="B629" i="97"/>
  <c r="B630" i="97"/>
  <c r="B631" i="97"/>
  <c r="B632" i="97"/>
  <c r="B633" i="97"/>
  <c r="B634" i="97"/>
  <c r="B635" i="97"/>
  <c r="B636" i="97"/>
  <c r="B637" i="97"/>
  <c r="B638" i="97"/>
  <c r="B639" i="97"/>
  <c r="B640" i="97"/>
  <c r="B641" i="97"/>
  <c r="B642" i="97"/>
  <c r="B643" i="97"/>
  <c r="B644" i="97"/>
  <c r="B645" i="97"/>
  <c r="B646" i="97"/>
  <c r="B647" i="97"/>
  <c r="B648" i="97"/>
  <c r="B649" i="97"/>
  <c r="B650" i="97"/>
  <c r="B651" i="97"/>
  <c r="B652" i="97"/>
  <c r="B653" i="97"/>
  <c r="B654" i="97"/>
  <c r="B655" i="97"/>
  <c r="B656" i="97"/>
  <c r="B657" i="97"/>
  <c r="B658" i="97"/>
  <c r="B659" i="97"/>
  <c r="B660" i="97"/>
  <c r="B661" i="97"/>
  <c r="B662" i="97"/>
  <c r="B663" i="97"/>
  <c r="B664" i="97"/>
  <c r="B665" i="97"/>
  <c r="B666" i="97"/>
  <c r="B667" i="97"/>
  <c r="B668" i="97"/>
  <c r="B669" i="97"/>
  <c r="B670" i="97"/>
  <c r="B671" i="97"/>
  <c r="B672" i="97"/>
  <c r="B673" i="97"/>
  <c r="B674" i="97"/>
  <c r="B675" i="97"/>
  <c r="B676" i="97"/>
  <c r="B677" i="97"/>
  <c r="B678" i="97"/>
  <c r="B679" i="97"/>
  <c r="B680" i="97"/>
  <c r="B681" i="97"/>
  <c r="B682" i="97"/>
  <c r="B683" i="97"/>
  <c r="B684" i="97"/>
  <c r="B685" i="97"/>
  <c r="B686" i="97"/>
  <c r="B687" i="97"/>
  <c r="B688" i="97"/>
  <c r="B689" i="97"/>
  <c r="B690" i="97"/>
  <c r="B691" i="97"/>
  <c r="B692" i="97"/>
  <c r="B693" i="97"/>
  <c r="B694" i="97"/>
  <c r="B695" i="97"/>
  <c r="B696" i="97"/>
  <c r="B697" i="97"/>
  <c r="B698" i="97"/>
  <c r="B699" i="97"/>
  <c r="B700" i="97"/>
  <c r="B701" i="97"/>
  <c r="B702" i="97"/>
  <c r="B703" i="97"/>
  <c r="B704" i="97"/>
  <c r="B705" i="97"/>
  <c r="B706" i="97"/>
  <c r="B707" i="97"/>
  <c r="B708" i="97"/>
  <c r="B709" i="97"/>
  <c r="B710" i="97"/>
  <c r="B711" i="97"/>
  <c r="B712" i="97"/>
  <c r="B713" i="97"/>
  <c r="B714" i="97"/>
  <c r="B715" i="97"/>
  <c r="B716" i="97"/>
  <c r="B717" i="97"/>
  <c r="B718" i="97"/>
  <c r="B719" i="97"/>
  <c r="B720" i="97"/>
  <c r="B721" i="97"/>
  <c r="B722" i="97"/>
  <c r="B723" i="97"/>
  <c r="B724" i="97"/>
  <c r="B725" i="97"/>
  <c r="B726" i="97"/>
  <c r="B727" i="97"/>
  <c r="B728" i="97"/>
  <c r="B729" i="97"/>
  <c r="B730" i="97"/>
  <c r="B731" i="97"/>
  <c r="B732" i="97"/>
  <c r="B733" i="97"/>
  <c r="B734" i="97"/>
  <c r="B735" i="97"/>
  <c r="B736" i="97"/>
  <c r="B737" i="97"/>
  <c r="B738" i="97"/>
  <c r="B739" i="97"/>
  <c r="B740" i="97"/>
  <c r="B741" i="97"/>
  <c r="B742" i="97"/>
  <c r="B743" i="97"/>
  <c r="B744" i="97"/>
  <c r="B745" i="97"/>
  <c r="B746" i="97"/>
  <c r="B747" i="97"/>
  <c r="B748" i="97"/>
  <c r="B749" i="97"/>
  <c r="B750" i="97"/>
  <c r="B751" i="97"/>
  <c r="B752" i="97"/>
  <c r="B753" i="97"/>
  <c r="B754" i="97"/>
  <c r="B755" i="97"/>
  <c r="B756" i="97"/>
  <c r="B757" i="97"/>
  <c r="B758" i="97"/>
  <c r="B759" i="97"/>
  <c r="B760" i="97"/>
  <c r="B761" i="97"/>
  <c r="B762" i="97"/>
  <c r="B763" i="97"/>
  <c r="B764" i="97"/>
  <c r="B765" i="97"/>
  <c r="B766" i="97"/>
  <c r="B767" i="97"/>
  <c r="B768" i="97"/>
  <c r="B769" i="97"/>
  <c r="B770" i="97"/>
  <c r="B771" i="97"/>
  <c r="B772" i="97"/>
  <c r="B773" i="97"/>
  <c r="B774" i="97"/>
  <c r="B775" i="97"/>
  <c r="B776" i="97"/>
  <c r="B777" i="97"/>
  <c r="B778" i="97"/>
  <c r="B779" i="97"/>
  <c r="B780" i="97"/>
  <c r="B781" i="97"/>
  <c r="B782" i="97"/>
  <c r="B783" i="97"/>
  <c r="B784" i="97"/>
  <c r="B785" i="97"/>
  <c r="B786" i="97"/>
  <c r="B787" i="97"/>
  <c r="B788" i="97"/>
  <c r="B789" i="97"/>
  <c r="B790" i="97"/>
  <c r="B791" i="97"/>
  <c r="B792" i="97"/>
  <c r="B793" i="97"/>
  <c r="B794" i="97"/>
  <c r="B795" i="97"/>
  <c r="B796" i="97"/>
  <c r="B797" i="97"/>
  <c r="B798" i="97"/>
  <c r="B799" i="97"/>
  <c r="B800" i="97"/>
  <c r="B801" i="97"/>
  <c r="B802" i="97"/>
  <c r="B803" i="97"/>
  <c r="B804" i="97"/>
  <c r="B805" i="97"/>
  <c r="B806" i="97"/>
  <c r="B807" i="97"/>
  <c r="B808" i="97"/>
  <c r="B809" i="97"/>
  <c r="B810" i="97"/>
  <c r="B811" i="97"/>
  <c r="B812" i="97"/>
  <c r="B813" i="97"/>
  <c r="B814" i="97"/>
  <c r="B815" i="97"/>
  <c r="B816" i="97"/>
  <c r="B817" i="97"/>
  <c r="B818" i="97"/>
  <c r="B819" i="97"/>
  <c r="B820" i="97"/>
  <c r="B821" i="97"/>
  <c r="B822" i="97"/>
  <c r="B823" i="97"/>
  <c r="B824" i="97"/>
  <c r="B825" i="97"/>
  <c r="B826" i="97"/>
  <c r="B827" i="97"/>
  <c r="B828" i="97"/>
  <c r="B829" i="97"/>
  <c r="B830" i="97"/>
  <c r="B831" i="97"/>
  <c r="B832" i="97"/>
  <c r="B833" i="97"/>
  <c r="B834" i="97"/>
  <c r="B835" i="97"/>
  <c r="B836" i="97"/>
  <c r="B837" i="97"/>
  <c r="B838" i="97"/>
  <c r="B839" i="97"/>
  <c r="B840" i="97"/>
  <c r="B841" i="97"/>
  <c r="B842" i="97"/>
  <c r="B843" i="97"/>
  <c r="B844" i="97"/>
  <c r="B845" i="97"/>
  <c r="B846" i="97"/>
  <c r="B847" i="97"/>
  <c r="B848" i="97"/>
  <c r="B849" i="97"/>
  <c r="B850" i="97"/>
  <c r="B851" i="97"/>
  <c r="B852" i="97"/>
  <c r="B853" i="97"/>
  <c r="B854" i="97"/>
  <c r="B855" i="97"/>
  <c r="B856" i="97"/>
  <c r="B857" i="97"/>
  <c r="B858" i="97"/>
  <c r="B859" i="97"/>
  <c r="B860" i="97"/>
  <c r="B861" i="97"/>
  <c r="B862" i="97"/>
  <c r="B863" i="97"/>
  <c r="B864" i="97"/>
  <c r="B865" i="97"/>
  <c r="B866" i="97"/>
  <c r="B867" i="97"/>
  <c r="B868" i="97"/>
  <c r="B869" i="97"/>
  <c r="B870" i="97"/>
  <c r="B871" i="97"/>
  <c r="B872" i="97"/>
  <c r="B873" i="97"/>
  <c r="B874" i="97"/>
  <c r="B875" i="97"/>
  <c r="B876" i="97"/>
  <c r="B877" i="97"/>
  <c r="B878" i="97"/>
  <c r="B879" i="97"/>
  <c r="B880" i="97"/>
  <c r="B881" i="97"/>
  <c r="B882" i="97"/>
  <c r="B883" i="97"/>
  <c r="B884" i="97"/>
  <c r="B885" i="97"/>
  <c r="B886" i="97"/>
  <c r="B887" i="97"/>
  <c r="B888" i="97"/>
  <c r="B889" i="97"/>
  <c r="B890" i="97"/>
  <c r="B891" i="97"/>
  <c r="B892" i="97"/>
  <c r="B893" i="97"/>
  <c r="B894" i="97"/>
  <c r="B895" i="97"/>
  <c r="B896" i="97"/>
  <c r="B897" i="97"/>
  <c r="B898" i="97"/>
  <c r="B899" i="97"/>
  <c r="B900" i="97"/>
  <c r="B901" i="97"/>
  <c r="B902" i="97"/>
  <c r="B903" i="97"/>
  <c r="B904" i="97"/>
  <c r="B905" i="97"/>
  <c r="B906" i="97"/>
  <c r="B907" i="97"/>
  <c r="B908" i="97"/>
  <c r="B909" i="97"/>
  <c r="B910" i="97"/>
  <c r="B911" i="97"/>
  <c r="B912" i="97"/>
  <c r="B913" i="97"/>
  <c r="B914" i="97"/>
  <c r="B915" i="97"/>
  <c r="B916" i="97"/>
  <c r="B917" i="97"/>
  <c r="B918" i="97"/>
  <c r="B919" i="97"/>
  <c r="B920" i="97"/>
  <c r="B921" i="97"/>
  <c r="B922" i="97"/>
  <c r="B923" i="97"/>
  <c r="B924" i="97"/>
  <c r="B925" i="97"/>
  <c r="B926" i="97"/>
  <c r="B927" i="97"/>
  <c r="B928" i="97"/>
  <c r="B929" i="97"/>
  <c r="B930" i="97"/>
  <c r="B931" i="97"/>
  <c r="B932" i="97"/>
  <c r="B933" i="97"/>
  <c r="B934" i="97"/>
  <c r="B935" i="97"/>
  <c r="B936" i="97"/>
  <c r="B937" i="97"/>
  <c r="B938" i="97"/>
  <c r="B939" i="97"/>
  <c r="B940" i="97"/>
  <c r="B941" i="97"/>
  <c r="B942" i="97"/>
  <c r="B943" i="97"/>
  <c r="B944" i="97"/>
  <c r="B945" i="97"/>
  <c r="B946" i="97"/>
  <c r="B947" i="97"/>
  <c r="B948" i="97"/>
  <c r="B949" i="97"/>
  <c r="B950" i="97"/>
  <c r="B951" i="97"/>
  <c r="B952" i="97"/>
  <c r="B953" i="97"/>
  <c r="B954" i="97"/>
  <c r="B955" i="97"/>
  <c r="B956" i="97"/>
  <c r="B957" i="97"/>
  <c r="B958" i="97"/>
  <c r="B959" i="97"/>
  <c r="B960" i="97"/>
  <c r="B961" i="97"/>
  <c r="B962" i="97"/>
  <c r="B963" i="97"/>
  <c r="B964" i="97"/>
  <c r="B965" i="97"/>
  <c r="B966" i="97"/>
  <c r="B967" i="97"/>
  <c r="B968" i="97"/>
  <c r="B969" i="97"/>
  <c r="B970" i="97"/>
  <c r="B971" i="97"/>
  <c r="B972" i="97"/>
  <c r="B973" i="97"/>
  <c r="B974" i="97"/>
  <c r="B975" i="97"/>
  <c r="B976" i="97"/>
  <c r="B977" i="97"/>
  <c r="B978" i="97"/>
  <c r="B979" i="97"/>
  <c r="B980" i="97"/>
  <c r="B981" i="97"/>
  <c r="B982" i="97"/>
  <c r="B983" i="97"/>
  <c r="B984" i="97"/>
  <c r="B985" i="97"/>
  <c r="B986" i="97"/>
  <c r="B987" i="97"/>
  <c r="B988" i="97"/>
  <c r="B989" i="97"/>
  <c r="B990" i="97"/>
  <c r="B991" i="97"/>
  <c r="B992" i="97"/>
  <c r="B993" i="97"/>
  <c r="B994" i="97"/>
  <c r="B995" i="97"/>
  <c r="B996" i="97"/>
  <c r="B997" i="97"/>
  <c r="B998" i="97"/>
  <c r="B999" i="97"/>
  <c r="B1000" i="97"/>
  <c r="B1001" i="97"/>
  <c r="B1002" i="97"/>
  <c r="C3" i="96"/>
  <c r="B3" i="96" s="1"/>
  <c r="B4" i="96"/>
  <c r="B5" i="96"/>
  <c r="B6" i="96"/>
  <c r="B7" i="96"/>
  <c r="B8" i="96"/>
  <c r="B9" i="96"/>
  <c r="B10" i="96"/>
  <c r="B11" i="96"/>
  <c r="B12" i="96"/>
  <c r="B13" i="96"/>
  <c r="B14" i="96"/>
  <c r="B15" i="96"/>
  <c r="B16" i="96"/>
  <c r="B17" i="96"/>
  <c r="B18" i="96"/>
  <c r="B19" i="96"/>
  <c r="B20" i="96"/>
  <c r="B21" i="96"/>
  <c r="B22" i="96"/>
  <c r="B23" i="96"/>
  <c r="B24" i="96"/>
  <c r="B25" i="96"/>
  <c r="B26" i="96"/>
  <c r="B27" i="96"/>
  <c r="B28" i="96"/>
  <c r="B29" i="96"/>
  <c r="B30" i="96"/>
  <c r="B31" i="96"/>
  <c r="B32" i="96"/>
  <c r="B33" i="96"/>
  <c r="B34" i="96"/>
  <c r="B35" i="96"/>
  <c r="B36" i="96"/>
  <c r="B37" i="96"/>
  <c r="B38" i="96"/>
  <c r="B39" i="96"/>
  <c r="B40" i="96"/>
  <c r="B41" i="96"/>
  <c r="B42" i="96"/>
  <c r="B43" i="96"/>
  <c r="B44" i="96"/>
  <c r="B45" i="96"/>
  <c r="B46" i="96"/>
  <c r="B47" i="96"/>
  <c r="B48" i="96"/>
  <c r="B49" i="96"/>
  <c r="B50" i="96"/>
  <c r="B51" i="96"/>
  <c r="B52" i="96"/>
  <c r="B53" i="96"/>
  <c r="B54" i="96"/>
  <c r="B55" i="96"/>
  <c r="B56" i="96"/>
  <c r="B57" i="96"/>
  <c r="B58" i="96"/>
  <c r="B59" i="96"/>
  <c r="B60" i="96"/>
  <c r="B61" i="96"/>
  <c r="B62" i="96"/>
  <c r="B63" i="96"/>
  <c r="B64" i="96"/>
  <c r="B65" i="96"/>
  <c r="B66" i="96"/>
  <c r="B67" i="96"/>
  <c r="B68" i="96"/>
  <c r="B69" i="96"/>
  <c r="B70" i="96"/>
  <c r="B71" i="96"/>
  <c r="B72" i="96"/>
  <c r="B73" i="96"/>
  <c r="B74" i="96"/>
  <c r="B75" i="96"/>
  <c r="B76" i="96"/>
  <c r="B77" i="96"/>
  <c r="B78" i="96"/>
  <c r="B79" i="96"/>
  <c r="B80" i="96"/>
  <c r="B81" i="96"/>
  <c r="B82" i="96"/>
  <c r="B83" i="96"/>
  <c r="B84" i="96"/>
  <c r="B85" i="96"/>
  <c r="B86" i="96"/>
  <c r="B87" i="96"/>
  <c r="B88" i="96"/>
  <c r="B89" i="96"/>
  <c r="B90" i="96"/>
  <c r="B91" i="96"/>
  <c r="B92" i="96"/>
  <c r="B93" i="96"/>
  <c r="B94" i="96"/>
  <c r="B95" i="96"/>
  <c r="B96" i="96"/>
  <c r="B97" i="96"/>
  <c r="B98" i="96"/>
  <c r="B99" i="96"/>
  <c r="B100" i="96"/>
  <c r="B101" i="96"/>
  <c r="B102" i="96"/>
  <c r="B103" i="96"/>
  <c r="B104" i="96"/>
  <c r="B105" i="96"/>
  <c r="B106" i="96"/>
  <c r="B107" i="96"/>
  <c r="B108" i="96"/>
  <c r="B109" i="96"/>
  <c r="B110" i="96"/>
  <c r="B111" i="96"/>
  <c r="B112" i="96"/>
  <c r="B113" i="96"/>
  <c r="B114" i="96"/>
  <c r="B115" i="96"/>
  <c r="B116" i="96"/>
  <c r="B117" i="96"/>
  <c r="B118" i="96"/>
  <c r="B119" i="96"/>
  <c r="B120" i="96"/>
  <c r="B121" i="96"/>
  <c r="B122" i="96"/>
  <c r="B123" i="96"/>
  <c r="B124" i="96"/>
  <c r="B125" i="96"/>
  <c r="B126" i="96"/>
  <c r="B127" i="96"/>
  <c r="B128" i="96"/>
  <c r="B129" i="96"/>
  <c r="B130" i="96"/>
  <c r="B131" i="96"/>
  <c r="B132" i="96"/>
  <c r="B133" i="96"/>
  <c r="B134" i="96"/>
  <c r="B135" i="96"/>
  <c r="B136" i="96"/>
  <c r="B137" i="96"/>
  <c r="B138" i="96"/>
  <c r="B139" i="96"/>
  <c r="B140" i="96"/>
  <c r="B141" i="96"/>
  <c r="B142" i="96"/>
  <c r="B143" i="96"/>
  <c r="B144" i="96"/>
  <c r="B145" i="96"/>
  <c r="B146" i="96"/>
  <c r="B147" i="96"/>
  <c r="B148" i="96"/>
  <c r="B149" i="96"/>
  <c r="B150" i="96"/>
  <c r="B151" i="96"/>
  <c r="B152" i="96"/>
  <c r="B153" i="96"/>
  <c r="B154" i="96"/>
  <c r="B155" i="96"/>
  <c r="B156" i="96"/>
  <c r="B157" i="96"/>
  <c r="B158" i="96"/>
  <c r="B159" i="96"/>
  <c r="B160" i="96"/>
  <c r="B161" i="96"/>
  <c r="B162" i="96"/>
  <c r="B163" i="96"/>
  <c r="B164" i="96"/>
  <c r="B165" i="96"/>
  <c r="B166" i="96"/>
  <c r="B167" i="96"/>
  <c r="B168" i="96"/>
  <c r="B169" i="96"/>
  <c r="B170" i="96"/>
  <c r="B171" i="96"/>
  <c r="B172" i="96"/>
  <c r="B173" i="96"/>
  <c r="B174" i="96"/>
  <c r="B175" i="96"/>
  <c r="B176" i="96"/>
  <c r="B177" i="96"/>
  <c r="B178" i="96"/>
  <c r="B179" i="96"/>
  <c r="B180" i="96"/>
  <c r="B181" i="96"/>
  <c r="B182" i="96"/>
  <c r="B183" i="96"/>
  <c r="B184" i="96"/>
  <c r="B185" i="96"/>
  <c r="B186" i="96"/>
  <c r="B187" i="96"/>
  <c r="B188" i="96"/>
  <c r="B189" i="96"/>
  <c r="B190" i="96"/>
  <c r="B191" i="96"/>
  <c r="B192" i="96"/>
  <c r="B193" i="96"/>
  <c r="B194" i="96"/>
  <c r="B195" i="96"/>
  <c r="B196" i="96"/>
  <c r="B197" i="96"/>
  <c r="B198" i="96"/>
  <c r="B199" i="96"/>
  <c r="B200" i="96"/>
  <c r="B201" i="96"/>
  <c r="B202" i="96"/>
  <c r="B203" i="96"/>
  <c r="B204" i="96"/>
  <c r="B205" i="96"/>
  <c r="B206" i="96"/>
  <c r="B207" i="96"/>
  <c r="B208" i="96"/>
  <c r="B209" i="96"/>
  <c r="B210" i="96"/>
  <c r="B211" i="96"/>
  <c r="B212" i="96"/>
  <c r="B213" i="96"/>
  <c r="B214" i="96"/>
  <c r="B215" i="96"/>
  <c r="B216" i="96"/>
  <c r="B217" i="96"/>
  <c r="B218" i="96"/>
  <c r="B219" i="96"/>
  <c r="B220" i="96"/>
  <c r="B221" i="96"/>
  <c r="B222" i="96"/>
  <c r="B223" i="96"/>
  <c r="B224" i="96"/>
  <c r="B225" i="96"/>
  <c r="B226" i="96"/>
  <c r="B227" i="96"/>
  <c r="B228" i="96"/>
  <c r="B229" i="96"/>
  <c r="B230" i="96"/>
  <c r="B231" i="96"/>
  <c r="B232" i="96"/>
  <c r="B233" i="96"/>
  <c r="B234" i="96"/>
  <c r="B235" i="96"/>
  <c r="B236" i="96"/>
  <c r="B237" i="96"/>
  <c r="B238" i="96"/>
  <c r="B239" i="96"/>
  <c r="B240" i="96"/>
  <c r="B241" i="96"/>
  <c r="B242" i="96"/>
  <c r="B243" i="96"/>
  <c r="B244" i="96"/>
  <c r="B245" i="96"/>
  <c r="B246" i="96"/>
  <c r="B247" i="96"/>
  <c r="B248" i="96"/>
  <c r="B249" i="96"/>
  <c r="B250" i="96"/>
  <c r="B251" i="96"/>
  <c r="B252" i="96"/>
  <c r="B253" i="96"/>
  <c r="B254" i="96"/>
  <c r="B255" i="96"/>
  <c r="B256" i="96"/>
  <c r="B257" i="96"/>
  <c r="B258" i="96"/>
  <c r="B259" i="96"/>
  <c r="B260" i="96"/>
  <c r="B261" i="96"/>
  <c r="B262" i="96"/>
  <c r="B263" i="96"/>
  <c r="B264" i="96"/>
  <c r="B265" i="96"/>
  <c r="B266" i="96"/>
  <c r="B267" i="96"/>
  <c r="B268" i="96"/>
  <c r="B269" i="96"/>
  <c r="B270" i="96"/>
  <c r="B271" i="96"/>
  <c r="B272" i="96"/>
  <c r="B273" i="96"/>
  <c r="B274" i="96"/>
  <c r="B275" i="96"/>
  <c r="B276" i="96"/>
  <c r="B277" i="96"/>
  <c r="B278" i="96"/>
  <c r="B279" i="96"/>
  <c r="B280" i="96"/>
  <c r="B281" i="96"/>
  <c r="B282" i="96"/>
  <c r="B283" i="96"/>
  <c r="B284" i="96"/>
  <c r="B285" i="96"/>
  <c r="B286" i="96"/>
  <c r="B287" i="96"/>
  <c r="B288" i="96"/>
  <c r="B289" i="96"/>
  <c r="B290" i="96"/>
  <c r="B291" i="96"/>
  <c r="B292" i="96"/>
  <c r="B293" i="96"/>
  <c r="B294" i="96"/>
  <c r="B295" i="96"/>
  <c r="B296" i="96"/>
  <c r="B297" i="96"/>
  <c r="B298" i="96"/>
  <c r="B299" i="96"/>
  <c r="B300" i="96"/>
  <c r="B301" i="96"/>
  <c r="B302" i="96"/>
  <c r="B303" i="96"/>
  <c r="B304" i="96"/>
  <c r="B305" i="96"/>
  <c r="B306" i="96"/>
  <c r="B307" i="96"/>
  <c r="B308" i="96"/>
  <c r="B309" i="96"/>
  <c r="B310" i="96"/>
  <c r="B311" i="96"/>
  <c r="B312" i="96"/>
  <c r="B313" i="96"/>
  <c r="B314" i="96"/>
  <c r="B315" i="96"/>
  <c r="B316" i="96"/>
  <c r="B317" i="96"/>
  <c r="B318" i="96"/>
  <c r="B319" i="96"/>
  <c r="B320" i="96"/>
  <c r="B321" i="96"/>
  <c r="B322" i="96"/>
  <c r="B323" i="96"/>
  <c r="B324" i="96"/>
  <c r="B325" i="96"/>
  <c r="B326" i="96"/>
  <c r="B327" i="96"/>
  <c r="B328" i="96"/>
  <c r="B329" i="96"/>
  <c r="B330" i="96"/>
  <c r="B331" i="96"/>
  <c r="B332" i="96"/>
  <c r="B333" i="96"/>
  <c r="B334" i="96"/>
  <c r="B335" i="96"/>
  <c r="B336" i="96"/>
  <c r="B337" i="96"/>
  <c r="B338" i="96"/>
  <c r="B339" i="96"/>
  <c r="B340" i="96"/>
  <c r="B341" i="96"/>
  <c r="B342" i="96"/>
  <c r="B343" i="96"/>
  <c r="B344" i="96"/>
  <c r="B345" i="96"/>
  <c r="B346" i="96"/>
  <c r="B347" i="96"/>
  <c r="B348" i="96"/>
  <c r="B349" i="96"/>
  <c r="B350" i="96"/>
  <c r="B351" i="96"/>
  <c r="B352" i="96"/>
  <c r="B353" i="96"/>
  <c r="B354" i="96"/>
  <c r="B355" i="96"/>
  <c r="B356" i="96"/>
  <c r="B357" i="96"/>
  <c r="B358" i="96"/>
  <c r="B359" i="96"/>
  <c r="B360" i="96"/>
  <c r="B361" i="96"/>
  <c r="B362" i="96"/>
  <c r="B363" i="96"/>
  <c r="B364" i="96"/>
  <c r="B365" i="96"/>
  <c r="B366" i="96"/>
  <c r="B367" i="96"/>
  <c r="B368" i="96"/>
  <c r="B369" i="96"/>
  <c r="B370" i="96"/>
  <c r="B371" i="96"/>
  <c r="B372" i="96"/>
  <c r="B373" i="96"/>
  <c r="B374" i="96"/>
  <c r="B375" i="96"/>
  <c r="B376" i="96"/>
  <c r="B377" i="96"/>
  <c r="B378" i="96"/>
  <c r="B379" i="96"/>
  <c r="B380" i="96"/>
  <c r="B381" i="96"/>
  <c r="B382" i="96"/>
  <c r="B383" i="96"/>
  <c r="B384" i="96"/>
  <c r="B385" i="96"/>
  <c r="B386" i="96"/>
  <c r="B387" i="96"/>
  <c r="B388" i="96"/>
  <c r="B389" i="96"/>
  <c r="B390" i="96"/>
  <c r="B391" i="96"/>
  <c r="B392" i="96"/>
  <c r="B393" i="96"/>
  <c r="B394" i="96"/>
  <c r="B395" i="96"/>
  <c r="B396" i="96"/>
  <c r="B397" i="96"/>
  <c r="B398" i="96"/>
  <c r="B399" i="96"/>
  <c r="B400" i="96"/>
  <c r="B401" i="96"/>
  <c r="B402" i="96"/>
  <c r="B403" i="96"/>
  <c r="B404" i="96"/>
  <c r="B405" i="96"/>
  <c r="B406" i="96"/>
  <c r="B407" i="96"/>
  <c r="B408" i="96"/>
  <c r="B409" i="96"/>
  <c r="B410" i="96"/>
  <c r="B411" i="96"/>
  <c r="B412" i="96"/>
  <c r="B413" i="96"/>
  <c r="B414" i="96"/>
  <c r="B415" i="96"/>
  <c r="B416" i="96"/>
  <c r="B417" i="96"/>
  <c r="B418" i="96"/>
  <c r="B419" i="96"/>
  <c r="B420" i="96"/>
  <c r="B421" i="96"/>
  <c r="B422" i="96"/>
  <c r="B423" i="96"/>
  <c r="B424" i="96"/>
  <c r="B425" i="96"/>
  <c r="B426" i="96"/>
  <c r="B427" i="96"/>
  <c r="B428" i="96"/>
  <c r="B429" i="96"/>
  <c r="B430" i="96"/>
  <c r="B431" i="96"/>
  <c r="B432" i="96"/>
  <c r="B433" i="96"/>
  <c r="B434" i="96"/>
  <c r="B435" i="96"/>
  <c r="B436" i="96"/>
  <c r="B437" i="96"/>
  <c r="B438" i="96"/>
  <c r="B439" i="96"/>
  <c r="B440" i="96"/>
  <c r="B441" i="96"/>
  <c r="B442" i="96"/>
  <c r="B443" i="96"/>
  <c r="B444" i="96"/>
  <c r="B445" i="96"/>
  <c r="B446" i="96"/>
  <c r="B447" i="96"/>
  <c r="B448" i="96"/>
  <c r="B449" i="96"/>
  <c r="B450" i="96"/>
  <c r="B451" i="96"/>
  <c r="B452" i="96"/>
  <c r="B453" i="96"/>
  <c r="B454" i="96"/>
  <c r="B455" i="96"/>
  <c r="B456" i="96"/>
  <c r="B457" i="96"/>
  <c r="B458" i="96"/>
  <c r="B459" i="96"/>
  <c r="B460" i="96"/>
  <c r="B461" i="96"/>
  <c r="B462" i="96"/>
  <c r="B463" i="96"/>
  <c r="B464" i="96"/>
  <c r="B465" i="96"/>
  <c r="B466" i="96"/>
  <c r="B467" i="96"/>
  <c r="B468" i="96"/>
  <c r="B469" i="96"/>
  <c r="B470" i="96"/>
  <c r="B471" i="96"/>
  <c r="B472" i="96"/>
  <c r="B473" i="96"/>
  <c r="B474" i="96"/>
  <c r="B475" i="96"/>
  <c r="B476" i="96"/>
  <c r="B477" i="96"/>
  <c r="B478" i="96"/>
  <c r="B479" i="96"/>
  <c r="B480" i="96"/>
  <c r="B481" i="96"/>
  <c r="B482" i="96"/>
  <c r="B483" i="96"/>
  <c r="B484" i="96"/>
  <c r="B485" i="96"/>
  <c r="B486" i="96"/>
  <c r="B487" i="96"/>
  <c r="B488" i="96"/>
  <c r="B489" i="96"/>
  <c r="B490" i="96"/>
  <c r="B491" i="96"/>
  <c r="B492" i="96"/>
  <c r="B493" i="96"/>
  <c r="B494" i="96"/>
  <c r="B495" i="96"/>
  <c r="B496" i="96"/>
  <c r="B497" i="96"/>
  <c r="B498" i="96"/>
  <c r="B499" i="96"/>
  <c r="B500" i="96"/>
  <c r="B501" i="96"/>
  <c r="B502" i="96"/>
  <c r="B503" i="96"/>
  <c r="B504" i="96"/>
  <c r="B505" i="96"/>
  <c r="B506" i="96"/>
  <c r="B507" i="96"/>
  <c r="B508" i="96"/>
  <c r="B509" i="96"/>
  <c r="B510" i="96"/>
  <c r="B511" i="96"/>
  <c r="B512" i="96"/>
  <c r="B513" i="96"/>
  <c r="B514" i="96"/>
  <c r="B515" i="96"/>
  <c r="B516" i="96"/>
  <c r="B517" i="96"/>
  <c r="B518" i="96"/>
  <c r="B519" i="96"/>
  <c r="B520" i="96"/>
  <c r="B521" i="96"/>
  <c r="B522" i="96"/>
  <c r="B523" i="96"/>
  <c r="B524" i="96"/>
  <c r="B525" i="96"/>
  <c r="B526" i="96"/>
  <c r="B527" i="96"/>
  <c r="B528" i="96"/>
  <c r="B529" i="96"/>
  <c r="B530" i="96"/>
  <c r="B531" i="96"/>
  <c r="B532" i="96"/>
  <c r="B533" i="96"/>
  <c r="B534" i="96"/>
  <c r="B535" i="96"/>
  <c r="B536" i="96"/>
  <c r="B537" i="96"/>
  <c r="B538" i="96"/>
  <c r="B539" i="96"/>
  <c r="B540" i="96"/>
  <c r="B541" i="96"/>
  <c r="B542" i="96"/>
  <c r="B543" i="96"/>
  <c r="B544" i="96"/>
  <c r="B545" i="96"/>
  <c r="B546" i="96"/>
  <c r="B547" i="96"/>
  <c r="B548" i="96"/>
  <c r="B549" i="96"/>
  <c r="B550" i="96"/>
  <c r="B551" i="96"/>
  <c r="B552" i="96"/>
  <c r="B553" i="96"/>
  <c r="B554" i="96"/>
  <c r="B555" i="96"/>
  <c r="B556" i="96"/>
  <c r="B557" i="96"/>
  <c r="B558" i="96"/>
  <c r="B559" i="96"/>
  <c r="B560" i="96"/>
  <c r="B561" i="96"/>
  <c r="B562" i="96"/>
  <c r="B563" i="96"/>
  <c r="B564" i="96"/>
  <c r="B565" i="96"/>
  <c r="B566" i="96"/>
  <c r="B567" i="96"/>
  <c r="B568" i="96"/>
  <c r="B569" i="96"/>
  <c r="B570" i="96"/>
  <c r="B571" i="96"/>
  <c r="B572" i="96"/>
  <c r="B573" i="96"/>
  <c r="B574" i="96"/>
  <c r="B575" i="96"/>
  <c r="B576" i="96"/>
  <c r="B577" i="96"/>
  <c r="B578" i="96"/>
  <c r="B579" i="96"/>
  <c r="B580" i="96"/>
  <c r="B581" i="96"/>
  <c r="B582" i="96"/>
  <c r="B583" i="96"/>
  <c r="B584" i="96"/>
  <c r="B585" i="96"/>
  <c r="B586" i="96"/>
  <c r="B587" i="96"/>
  <c r="B588" i="96"/>
  <c r="B589" i="96"/>
  <c r="B590" i="96"/>
  <c r="B591" i="96"/>
  <c r="B592" i="96"/>
  <c r="B593" i="96"/>
  <c r="B594" i="96"/>
  <c r="B595" i="96"/>
  <c r="B596" i="96"/>
  <c r="B597" i="96"/>
  <c r="B598" i="96"/>
  <c r="B599" i="96"/>
  <c r="B600" i="96"/>
  <c r="B601" i="96"/>
  <c r="B602" i="96"/>
  <c r="B603" i="96"/>
  <c r="B604" i="96"/>
  <c r="B605" i="96"/>
  <c r="B606" i="96"/>
  <c r="B607" i="96"/>
  <c r="B608" i="96"/>
  <c r="B609" i="96"/>
  <c r="B610" i="96"/>
  <c r="B611" i="96"/>
  <c r="B612" i="96"/>
  <c r="B613" i="96"/>
  <c r="B614" i="96"/>
  <c r="B615" i="96"/>
  <c r="B616" i="96"/>
  <c r="B617" i="96"/>
  <c r="B618" i="96"/>
  <c r="B619" i="96"/>
  <c r="B620" i="96"/>
  <c r="B621" i="96"/>
  <c r="B622" i="96"/>
  <c r="B623" i="96"/>
  <c r="B624" i="96"/>
  <c r="B625" i="96"/>
  <c r="B626" i="96"/>
  <c r="B627" i="96"/>
  <c r="B628" i="96"/>
  <c r="B629" i="96"/>
  <c r="B630" i="96"/>
  <c r="B631" i="96"/>
  <c r="B632" i="96"/>
  <c r="B633" i="96"/>
  <c r="B634" i="96"/>
  <c r="B635" i="96"/>
  <c r="B636" i="96"/>
  <c r="B637" i="96"/>
  <c r="B638" i="96"/>
  <c r="B639" i="96"/>
  <c r="B640" i="96"/>
  <c r="B641" i="96"/>
  <c r="B642" i="96"/>
  <c r="B643" i="96"/>
  <c r="B644" i="96"/>
  <c r="B645" i="96"/>
  <c r="B646" i="96"/>
  <c r="B647" i="96"/>
  <c r="B648" i="96"/>
  <c r="B649" i="96"/>
  <c r="B650" i="96"/>
  <c r="B651" i="96"/>
  <c r="B652" i="96"/>
  <c r="B653" i="96"/>
  <c r="B654" i="96"/>
  <c r="B655" i="96"/>
  <c r="B656" i="96"/>
  <c r="B657" i="96"/>
  <c r="B658" i="96"/>
  <c r="B659" i="96"/>
  <c r="B660" i="96"/>
  <c r="B661" i="96"/>
  <c r="B662" i="96"/>
  <c r="B663" i="96"/>
  <c r="B664" i="96"/>
  <c r="B665" i="96"/>
  <c r="B666" i="96"/>
  <c r="B667" i="96"/>
  <c r="B668" i="96"/>
  <c r="B669" i="96"/>
  <c r="B670" i="96"/>
  <c r="B671" i="96"/>
  <c r="B672" i="96"/>
  <c r="B673" i="96"/>
  <c r="B674" i="96"/>
  <c r="B675" i="96"/>
  <c r="B676" i="96"/>
  <c r="B677" i="96"/>
  <c r="B678" i="96"/>
  <c r="B679" i="96"/>
  <c r="B680" i="96"/>
  <c r="B681" i="96"/>
  <c r="B682" i="96"/>
  <c r="B683" i="96"/>
  <c r="B684" i="96"/>
  <c r="B685" i="96"/>
  <c r="B686" i="96"/>
  <c r="B687" i="96"/>
  <c r="B688" i="96"/>
  <c r="B689" i="96"/>
  <c r="B690" i="96"/>
  <c r="B691" i="96"/>
  <c r="B692" i="96"/>
  <c r="B693" i="96"/>
  <c r="B694" i="96"/>
  <c r="B695" i="96"/>
  <c r="B696" i="96"/>
  <c r="B697" i="96"/>
  <c r="B698" i="96"/>
  <c r="B699" i="96"/>
  <c r="B700" i="96"/>
  <c r="B701" i="96"/>
  <c r="B702" i="96"/>
  <c r="B703" i="96"/>
  <c r="B704" i="96"/>
  <c r="B705" i="96"/>
  <c r="B706" i="96"/>
  <c r="B707" i="96"/>
  <c r="B708" i="96"/>
  <c r="B709" i="96"/>
  <c r="B710" i="96"/>
  <c r="B711" i="96"/>
  <c r="B712" i="96"/>
  <c r="B713" i="96"/>
  <c r="B714" i="96"/>
  <c r="B715" i="96"/>
  <c r="B716" i="96"/>
  <c r="B717" i="96"/>
  <c r="B718" i="96"/>
  <c r="B719" i="96"/>
  <c r="B720" i="96"/>
  <c r="B721" i="96"/>
  <c r="B722" i="96"/>
  <c r="B723" i="96"/>
  <c r="B724" i="96"/>
  <c r="B725" i="96"/>
  <c r="B726" i="96"/>
  <c r="B727" i="96"/>
  <c r="B728" i="96"/>
  <c r="B729" i="96"/>
  <c r="B730" i="96"/>
  <c r="B731" i="96"/>
  <c r="B732" i="96"/>
  <c r="B733" i="96"/>
  <c r="B734" i="96"/>
  <c r="B735" i="96"/>
  <c r="B736" i="96"/>
  <c r="B737" i="96"/>
  <c r="B738" i="96"/>
  <c r="B739" i="96"/>
  <c r="B740" i="96"/>
  <c r="B741" i="96"/>
  <c r="B742" i="96"/>
  <c r="B743" i="96"/>
  <c r="B744" i="96"/>
  <c r="B745" i="96"/>
  <c r="B746" i="96"/>
  <c r="B747" i="96"/>
  <c r="B748" i="96"/>
  <c r="B749" i="96"/>
  <c r="B750" i="96"/>
  <c r="B751" i="96"/>
  <c r="B752" i="96"/>
  <c r="B753" i="96"/>
  <c r="B754" i="96"/>
  <c r="B755" i="96"/>
  <c r="B756" i="96"/>
  <c r="B757" i="96"/>
  <c r="B758" i="96"/>
  <c r="B759" i="96"/>
  <c r="B760" i="96"/>
  <c r="B761" i="96"/>
  <c r="B762" i="96"/>
  <c r="B763" i="96"/>
  <c r="B764" i="96"/>
  <c r="B765" i="96"/>
  <c r="B766" i="96"/>
  <c r="B767" i="96"/>
  <c r="B768" i="96"/>
  <c r="B769" i="96"/>
  <c r="B770" i="96"/>
  <c r="B771" i="96"/>
  <c r="B772" i="96"/>
  <c r="B773" i="96"/>
  <c r="B774" i="96"/>
  <c r="B775" i="96"/>
  <c r="B776" i="96"/>
  <c r="B777" i="96"/>
  <c r="B778" i="96"/>
  <c r="B779" i="96"/>
  <c r="B780" i="96"/>
  <c r="B781" i="96"/>
  <c r="B782" i="96"/>
  <c r="B783" i="96"/>
  <c r="B784" i="96"/>
  <c r="B785" i="96"/>
  <c r="B786" i="96"/>
  <c r="B787" i="96"/>
  <c r="B788" i="96"/>
  <c r="B789" i="96"/>
  <c r="B790" i="96"/>
  <c r="B791" i="96"/>
  <c r="B792" i="96"/>
  <c r="B793" i="96"/>
  <c r="B794" i="96"/>
  <c r="B795" i="96"/>
  <c r="B796" i="96"/>
  <c r="B797" i="96"/>
  <c r="B798" i="96"/>
  <c r="B799" i="96"/>
  <c r="B800" i="96"/>
  <c r="B801" i="96"/>
  <c r="B802" i="96"/>
  <c r="B803" i="96"/>
  <c r="B804" i="96"/>
  <c r="B805" i="96"/>
  <c r="B806" i="96"/>
  <c r="B807" i="96"/>
  <c r="B808" i="96"/>
  <c r="B809" i="96"/>
  <c r="B810" i="96"/>
  <c r="B811" i="96"/>
  <c r="B812" i="96"/>
  <c r="B813" i="96"/>
  <c r="B814" i="96"/>
  <c r="B815" i="96"/>
  <c r="B816" i="96"/>
  <c r="B817" i="96"/>
  <c r="B818" i="96"/>
  <c r="B819" i="96"/>
  <c r="B820" i="96"/>
  <c r="B821" i="96"/>
  <c r="B822" i="96"/>
  <c r="B823" i="96"/>
  <c r="B824" i="96"/>
  <c r="B825" i="96"/>
  <c r="B826" i="96"/>
  <c r="B827" i="96"/>
  <c r="B828" i="96"/>
  <c r="B829" i="96"/>
  <c r="B830" i="96"/>
  <c r="B831" i="96"/>
  <c r="B832" i="96"/>
  <c r="B833" i="96"/>
  <c r="B834" i="96"/>
  <c r="B835" i="96"/>
  <c r="B836" i="96"/>
  <c r="B837" i="96"/>
  <c r="B838" i="96"/>
  <c r="B839" i="96"/>
  <c r="B840" i="96"/>
  <c r="B841" i="96"/>
  <c r="B842" i="96"/>
  <c r="B843" i="96"/>
  <c r="B844" i="96"/>
  <c r="B845" i="96"/>
  <c r="B846" i="96"/>
  <c r="B847" i="96"/>
  <c r="B848" i="96"/>
  <c r="B849" i="96"/>
  <c r="B850" i="96"/>
  <c r="B851" i="96"/>
  <c r="B852" i="96"/>
  <c r="B853" i="96"/>
  <c r="B854" i="96"/>
  <c r="B855" i="96"/>
  <c r="B856" i="96"/>
  <c r="B857" i="96"/>
  <c r="B858" i="96"/>
  <c r="B859" i="96"/>
  <c r="B860" i="96"/>
  <c r="B861" i="96"/>
  <c r="B862" i="96"/>
  <c r="B863" i="96"/>
  <c r="B864" i="96"/>
  <c r="B865" i="96"/>
  <c r="B866" i="96"/>
  <c r="B867" i="96"/>
  <c r="B868" i="96"/>
  <c r="B869" i="96"/>
  <c r="B870" i="96"/>
  <c r="B871" i="96"/>
  <c r="B872" i="96"/>
  <c r="B873" i="96"/>
  <c r="B874" i="96"/>
  <c r="B875" i="96"/>
  <c r="B876" i="96"/>
  <c r="B877" i="96"/>
  <c r="B878" i="96"/>
  <c r="B879" i="96"/>
  <c r="B880" i="96"/>
  <c r="B881" i="96"/>
  <c r="B882" i="96"/>
  <c r="B883" i="96"/>
  <c r="B884" i="96"/>
  <c r="B885" i="96"/>
  <c r="B886" i="96"/>
  <c r="B887" i="96"/>
  <c r="B888" i="96"/>
  <c r="B889" i="96"/>
  <c r="B890" i="96"/>
  <c r="B891" i="96"/>
  <c r="B892" i="96"/>
  <c r="B893" i="96"/>
  <c r="B894" i="96"/>
  <c r="B895" i="96"/>
  <c r="B896" i="96"/>
  <c r="B897" i="96"/>
  <c r="B898" i="96"/>
  <c r="B899" i="96"/>
  <c r="B900" i="96"/>
  <c r="B901" i="96"/>
  <c r="B902" i="96"/>
  <c r="B903" i="96"/>
  <c r="B904" i="96"/>
  <c r="B905" i="96"/>
  <c r="B906" i="96"/>
  <c r="B907" i="96"/>
  <c r="B908" i="96"/>
  <c r="B909" i="96"/>
  <c r="B910" i="96"/>
  <c r="B911" i="96"/>
  <c r="B912" i="96"/>
  <c r="B913" i="96"/>
  <c r="B914" i="96"/>
  <c r="B915" i="96"/>
  <c r="B916" i="96"/>
  <c r="B917" i="96"/>
  <c r="B918" i="96"/>
  <c r="B919" i="96"/>
  <c r="B920" i="96"/>
  <c r="B921" i="96"/>
  <c r="B922" i="96"/>
  <c r="B923" i="96"/>
  <c r="B924" i="96"/>
  <c r="B925" i="96"/>
  <c r="B926" i="96"/>
  <c r="B927" i="96"/>
  <c r="B928" i="96"/>
  <c r="B929" i="96"/>
  <c r="B930" i="96"/>
  <c r="B931" i="96"/>
  <c r="B932" i="96"/>
  <c r="B933" i="96"/>
  <c r="B934" i="96"/>
  <c r="B935" i="96"/>
  <c r="B936" i="96"/>
  <c r="B937" i="96"/>
  <c r="B938" i="96"/>
  <c r="B939" i="96"/>
  <c r="B940" i="96"/>
  <c r="B941" i="96"/>
  <c r="B942" i="96"/>
  <c r="B943" i="96"/>
  <c r="B944" i="96"/>
  <c r="B945" i="96"/>
  <c r="B946" i="96"/>
  <c r="B947" i="96"/>
  <c r="B948" i="96"/>
  <c r="B949" i="96"/>
  <c r="B950" i="96"/>
  <c r="B951" i="96"/>
  <c r="B952" i="96"/>
  <c r="B953" i="96"/>
  <c r="B954" i="96"/>
  <c r="B955" i="96"/>
  <c r="B956" i="96"/>
  <c r="B957" i="96"/>
  <c r="B958" i="96"/>
  <c r="B959" i="96"/>
  <c r="B960" i="96"/>
  <c r="B961" i="96"/>
  <c r="B962" i="96"/>
  <c r="B963" i="96"/>
  <c r="B964" i="96"/>
  <c r="B965" i="96"/>
  <c r="B966" i="96"/>
  <c r="B967" i="96"/>
  <c r="B968" i="96"/>
  <c r="B969" i="96"/>
  <c r="B970" i="96"/>
  <c r="B971" i="96"/>
  <c r="B972" i="96"/>
  <c r="B973" i="96"/>
  <c r="B974" i="96"/>
  <c r="B975" i="96"/>
  <c r="B976" i="96"/>
  <c r="B977" i="96"/>
  <c r="B978" i="96"/>
  <c r="B979" i="96"/>
  <c r="B980" i="96"/>
  <c r="B981" i="96"/>
  <c r="B982" i="96"/>
  <c r="B983" i="96"/>
  <c r="B984" i="96"/>
  <c r="B985" i="96"/>
  <c r="B986" i="96"/>
  <c r="B987" i="96"/>
  <c r="B988" i="96"/>
  <c r="B989" i="96"/>
  <c r="B990" i="96"/>
  <c r="B991" i="96"/>
  <c r="B992" i="96"/>
  <c r="B993" i="96"/>
  <c r="B994" i="96"/>
  <c r="B995" i="96"/>
  <c r="B996" i="96"/>
  <c r="B997" i="96"/>
  <c r="B998" i="96"/>
  <c r="B999" i="96"/>
  <c r="B1000" i="96"/>
  <c r="B1001" i="96"/>
  <c r="B1002" i="96"/>
  <c r="E8" i="95" a="1"/>
  <c r="E8" i="95"/>
  <c r="E8" i="94" a="1"/>
  <c r="E8" i="94" s="1"/>
  <c r="C5" i="88"/>
  <c r="D5" i="88"/>
  <c r="E5" i="88"/>
  <c r="F5" i="88"/>
  <c r="G5" i="88"/>
  <c r="C6" i="88"/>
  <c r="D6" i="88"/>
  <c r="E6" i="88"/>
  <c r="F6" i="88"/>
  <c r="G6" i="88"/>
  <c r="C7" i="88"/>
  <c r="D7" i="88"/>
  <c r="E7" i="88"/>
  <c r="F7" i="88"/>
  <c r="G7" i="88"/>
  <c r="C8" i="88"/>
  <c r="D8" i="88"/>
  <c r="E8" i="88"/>
  <c r="F8" i="88"/>
  <c r="G8" i="88"/>
  <c r="C9" i="88"/>
  <c r="D9" i="88"/>
  <c r="E9" i="88"/>
  <c r="F9" i="88"/>
  <c r="G9" i="88"/>
  <c r="C10" i="88"/>
  <c r="D10" i="88"/>
  <c r="E10" i="88"/>
  <c r="F10" i="88"/>
  <c r="G10" i="88"/>
  <c r="C11" i="88"/>
  <c r="D11" i="88"/>
  <c r="E11" i="88"/>
  <c r="F11" i="88"/>
  <c r="G11" i="88"/>
  <c r="C12" i="88"/>
  <c r="D12" i="88"/>
  <c r="E12" i="88"/>
  <c r="F12" i="88"/>
  <c r="G12" i="88"/>
  <c r="C13" i="88"/>
  <c r="D13" i="88"/>
  <c r="E13" i="88"/>
  <c r="F13" i="88"/>
  <c r="G13" i="88"/>
  <c r="C14" i="88"/>
  <c r="D14" i="88"/>
  <c r="E14" i="88"/>
  <c r="F14" i="88"/>
  <c r="G14" i="88"/>
  <c r="C15" i="88"/>
  <c r="D15" i="88"/>
  <c r="E15" i="88"/>
  <c r="F15" i="88"/>
  <c r="G15" i="88"/>
  <c r="C16" i="88"/>
  <c r="D16" i="88"/>
  <c r="E16" i="88"/>
  <c r="F16" i="88"/>
  <c r="G16" i="88"/>
  <c r="C17" i="88"/>
  <c r="D17" i="88"/>
  <c r="E17" i="88"/>
  <c r="F17" i="88"/>
  <c r="G17" i="88"/>
  <c r="C18" i="88"/>
  <c r="D18" i="88"/>
  <c r="E18" i="88"/>
  <c r="F18" i="88"/>
  <c r="G18" i="88"/>
  <c r="C19" i="88"/>
  <c r="D19" i="88"/>
  <c r="E19" i="88"/>
  <c r="F19" i="88"/>
  <c r="G19" i="88"/>
  <c r="C20" i="88"/>
  <c r="D20" i="88"/>
  <c r="E20" i="88"/>
  <c r="F20" i="88"/>
  <c r="G20" i="88"/>
  <c r="C21" i="88"/>
  <c r="D21" i="88"/>
  <c r="E21" i="88"/>
  <c r="F21" i="88"/>
  <c r="G21" i="88"/>
  <c r="C22" i="88"/>
  <c r="D22" i="88"/>
  <c r="E22" i="88"/>
  <c r="F22" i="88"/>
  <c r="G22" i="88"/>
  <c r="C23" i="88"/>
  <c r="D23" i="88"/>
  <c r="E23" i="88"/>
  <c r="F23" i="88"/>
  <c r="G23" i="88"/>
  <c r="C24" i="88"/>
  <c r="D24" i="88"/>
  <c r="E24" i="88"/>
  <c r="F24" i="88"/>
  <c r="G24" i="88"/>
  <c r="C25" i="88"/>
  <c r="D25" i="88"/>
  <c r="E25" i="88"/>
  <c r="F25" i="88"/>
  <c r="G25" i="88"/>
  <c r="C26" i="88"/>
  <c r="D26" i="88"/>
  <c r="E26" i="88"/>
  <c r="F26" i="88"/>
  <c r="G26" i="88"/>
  <c r="C27" i="88"/>
  <c r="D27" i="88"/>
  <c r="E27" i="88"/>
  <c r="F27" i="88"/>
  <c r="G27" i="88"/>
  <c r="C28" i="88"/>
  <c r="D28" i="88"/>
  <c r="E28" i="88"/>
  <c r="F28" i="88"/>
  <c r="G28" i="88"/>
  <c r="C29" i="88"/>
  <c r="D29" i="88"/>
  <c r="E29" i="88"/>
  <c r="F29" i="88"/>
  <c r="G29" i="88"/>
  <c r="C30" i="88"/>
  <c r="D30" i="88"/>
  <c r="E30" i="88"/>
  <c r="F30" i="88"/>
  <c r="G30" i="88"/>
  <c r="C31" i="88"/>
  <c r="D31" i="88"/>
  <c r="E31" i="88"/>
  <c r="F31" i="88"/>
  <c r="G31" i="88"/>
  <c r="C32" i="88"/>
  <c r="D32" i="88"/>
  <c r="E32" i="88"/>
  <c r="F32" i="88"/>
  <c r="G32" i="88"/>
  <c r="C33" i="88"/>
  <c r="D33" i="88"/>
  <c r="E33" i="88"/>
  <c r="F33" i="88"/>
  <c r="G33" i="88"/>
  <c r="C34" i="88"/>
  <c r="D34" i="88"/>
  <c r="E34" i="88"/>
  <c r="F34" i="88"/>
  <c r="G34" i="88"/>
  <c r="C5" i="87"/>
  <c r="D5" i="87"/>
  <c r="E5" i="87"/>
  <c r="F5" i="87"/>
  <c r="G5" i="87"/>
  <c r="C6" i="87"/>
  <c r="D6" i="87"/>
  <c r="E6" i="87"/>
  <c r="F6" i="87"/>
  <c r="G6" i="87"/>
  <c r="C7" i="87"/>
  <c r="D7" i="87"/>
  <c r="E7" i="87"/>
  <c r="F7" i="87"/>
  <c r="G7" i="87"/>
  <c r="C8" i="87"/>
  <c r="D8" i="87"/>
  <c r="E8" i="87"/>
  <c r="F8" i="87"/>
  <c r="G8" i="87"/>
  <c r="C9" i="87"/>
  <c r="D9" i="87"/>
  <c r="E9" i="87"/>
  <c r="F9" i="87"/>
  <c r="G9" i="87"/>
  <c r="C10" i="87"/>
  <c r="D10" i="87"/>
  <c r="E10" i="87"/>
  <c r="F10" i="87"/>
  <c r="G10" i="87"/>
  <c r="C11" i="87"/>
  <c r="D11" i="87"/>
  <c r="E11" i="87"/>
  <c r="F11" i="87"/>
  <c r="G11" i="87"/>
  <c r="C12" i="87"/>
  <c r="D12" i="87"/>
  <c r="E12" i="87"/>
  <c r="F12" i="87"/>
  <c r="G12" i="87"/>
  <c r="C13" i="87"/>
  <c r="D13" i="87"/>
  <c r="E13" i="87"/>
  <c r="F13" i="87"/>
  <c r="G13" i="87"/>
  <c r="C14" i="87"/>
  <c r="D14" i="87"/>
  <c r="E14" i="87"/>
  <c r="F14" i="87"/>
  <c r="G14" i="87"/>
  <c r="C15" i="87"/>
  <c r="D15" i="87"/>
  <c r="E15" i="87"/>
  <c r="F15" i="87"/>
  <c r="G15" i="87"/>
  <c r="C16" i="87"/>
  <c r="D16" i="87"/>
  <c r="E16" i="87"/>
  <c r="F16" i="87"/>
  <c r="G16" i="87"/>
  <c r="C17" i="87"/>
  <c r="D17" i="87"/>
  <c r="E17" i="87"/>
  <c r="F17" i="87"/>
  <c r="G17" i="87"/>
  <c r="C18" i="87"/>
  <c r="D18" i="87"/>
  <c r="E18" i="87"/>
  <c r="F18" i="87"/>
  <c r="G18" i="87"/>
  <c r="C19" i="87"/>
  <c r="D19" i="87"/>
  <c r="E19" i="87"/>
  <c r="F19" i="87"/>
  <c r="G19" i="87"/>
  <c r="C20" i="87"/>
  <c r="D20" i="87"/>
  <c r="E20" i="87"/>
  <c r="F20" i="87"/>
  <c r="G20" i="87"/>
  <c r="C21" i="87"/>
  <c r="D21" i="87"/>
  <c r="E21" i="87"/>
  <c r="F21" i="87"/>
  <c r="G21" i="87"/>
  <c r="C22" i="87"/>
  <c r="D22" i="87"/>
  <c r="E22" i="87"/>
  <c r="F22" i="87"/>
  <c r="G22" i="87"/>
  <c r="C23" i="87"/>
  <c r="D23" i="87"/>
  <c r="E23" i="87"/>
  <c r="F23" i="87"/>
  <c r="G23" i="87"/>
  <c r="C24" i="87"/>
  <c r="D24" i="87"/>
  <c r="E24" i="87"/>
  <c r="F24" i="87"/>
  <c r="G24" i="87"/>
  <c r="C25" i="87"/>
  <c r="D25" i="87"/>
  <c r="E25" i="87"/>
  <c r="F25" i="87"/>
  <c r="G25" i="87"/>
  <c r="C26" i="87"/>
  <c r="D26" i="87"/>
  <c r="E26" i="87"/>
  <c r="F26" i="87"/>
  <c r="G26" i="87"/>
  <c r="C27" i="87"/>
  <c r="D27" i="87"/>
  <c r="E27" i="87"/>
  <c r="F27" i="87"/>
  <c r="G27" i="87"/>
  <c r="C28" i="87"/>
  <c r="D28" i="87"/>
  <c r="E28" i="87"/>
  <c r="F28" i="87"/>
  <c r="G28" i="87"/>
  <c r="C29" i="87"/>
  <c r="D29" i="87"/>
  <c r="E29" i="87"/>
  <c r="F29" i="87"/>
  <c r="G29" i="87"/>
  <c r="C30" i="87"/>
  <c r="D30" i="87"/>
  <c r="E30" i="87"/>
  <c r="F30" i="87"/>
  <c r="G30" i="87"/>
  <c r="C31" i="87"/>
  <c r="D31" i="87"/>
  <c r="E31" i="87"/>
  <c r="F31" i="87"/>
  <c r="G31" i="87"/>
  <c r="C32" i="87"/>
  <c r="D32" i="87"/>
  <c r="E32" i="87"/>
  <c r="F32" i="87"/>
  <c r="G32" i="87"/>
  <c r="C33" i="87"/>
  <c r="D33" i="87"/>
  <c r="E33" i="87"/>
  <c r="F33" i="87"/>
  <c r="G33" i="87"/>
  <c r="C34" i="87"/>
  <c r="D34" i="87"/>
  <c r="E34" i="87"/>
  <c r="F34" i="87"/>
  <c r="G34" i="87"/>
  <c r="C5" i="86"/>
  <c r="D5" i="86"/>
  <c r="E5" i="86"/>
  <c r="F5" i="86"/>
  <c r="G5" i="86"/>
  <c r="C6" i="86"/>
  <c r="D6" i="86"/>
  <c r="E6" i="86"/>
  <c r="F6" i="86"/>
  <c r="G6" i="86"/>
  <c r="C7" i="86"/>
  <c r="D7" i="86"/>
  <c r="E7" i="86"/>
  <c r="F7" i="86"/>
  <c r="G7" i="86"/>
  <c r="C8" i="86"/>
  <c r="D8" i="86"/>
  <c r="E8" i="86"/>
  <c r="F8" i="86"/>
  <c r="G8" i="86"/>
  <c r="C9" i="86"/>
  <c r="D9" i="86"/>
  <c r="E9" i="86"/>
  <c r="F9" i="86"/>
  <c r="G9" i="86"/>
  <c r="C10" i="86"/>
  <c r="D10" i="86"/>
  <c r="E10" i="86"/>
  <c r="F10" i="86"/>
  <c r="G10" i="86"/>
  <c r="C11" i="86"/>
  <c r="D11" i="86"/>
  <c r="E11" i="86"/>
  <c r="F11" i="86"/>
  <c r="G11" i="86"/>
  <c r="C12" i="86"/>
  <c r="D12" i="86"/>
  <c r="E12" i="86"/>
  <c r="F12" i="86"/>
  <c r="G12" i="86"/>
  <c r="C13" i="86"/>
  <c r="D13" i="86"/>
  <c r="E13" i="86"/>
  <c r="F13" i="86"/>
  <c r="G13" i="86"/>
  <c r="C14" i="86"/>
  <c r="D14" i="86"/>
  <c r="E14" i="86"/>
  <c r="F14" i="86"/>
  <c r="G14" i="86"/>
  <c r="C15" i="86"/>
  <c r="D15" i="86"/>
  <c r="E15" i="86"/>
  <c r="F15" i="86"/>
  <c r="G15" i="86"/>
  <c r="C16" i="86"/>
  <c r="D16" i="86"/>
  <c r="E16" i="86"/>
  <c r="F16" i="86"/>
  <c r="G16" i="86"/>
  <c r="C17" i="86"/>
  <c r="D17" i="86"/>
  <c r="E17" i="86"/>
  <c r="F17" i="86"/>
  <c r="G17" i="86"/>
  <c r="C18" i="86"/>
  <c r="D18" i="86"/>
  <c r="E18" i="86"/>
  <c r="F18" i="86"/>
  <c r="G18" i="86"/>
  <c r="C19" i="86"/>
  <c r="D19" i="86"/>
  <c r="E19" i="86"/>
  <c r="F19" i="86"/>
  <c r="G19" i="86"/>
  <c r="C20" i="86"/>
  <c r="D20" i="86"/>
  <c r="E20" i="86"/>
  <c r="F20" i="86"/>
  <c r="G20" i="86"/>
  <c r="C21" i="86"/>
  <c r="D21" i="86"/>
  <c r="E21" i="86"/>
  <c r="F21" i="86"/>
  <c r="G21" i="86"/>
  <c r="C22" i="86"/>
  <c r="D22" i="86"/>
  <c r="E22" i="86"/>
  <c r="F22" i="86"/>
  <c r="G22" i="86"/>
  <c r="C23" i="86"/>
  <c r="D23" i="86"/>
  <c r="E23" i="86"/>
  <c r="F23" i="86"/>
  <c r="G23" i="86"/>
  <c r="C24" i="86"/>
  <c r="D24" i="86"/>
  <c r="E24" i="86"/>
  <c r="F24" i="86"/>
  <c r="G24" i="86"/>
  <c r="C25" i="86"/>
  <c r="D25" i="86"/>
  <c r="E25" i="86"/>
  <c r="F25" i="86"/>
  <c r="G25" i="86"/>
  <c r="C26" i="86"/>
  <c r="D26" i="86"/>
  <c r="E26" i="86"/>
  <c r="F26" i="86"/>
  <c r="G26" i="86"/>
  <c r="C27" i="86"/>
  <c r="D27" i="86"/>
  <c r="E27" i="86"/>
  <c r="F27" i="86"/>
  <c r="G27" i="86"/>
  <c r="C28" i="86"/>
  <c r="D28" i="86"/>
  <c r="E28" i="86"/>
  <c r="F28" i="86"/>
  <c r="G28" i="86"/>
  <c r="C29" i="86"/>
  <c r="D29" i="86"/>
  <c r="E29" i="86"/>
  <c r="F29" i="86"/>
  <c r="G29" i="86"/>
  <c r="C30" i="86"/>
  <c r="D30" i="86"/>
  <c r="E30" i="86"/>
  <c r="F30" i="86"/>
  <c r="G30" i="86"/>
  <c r="C31" i="86"/>
  <c r="D31" i="86"/>
  <c r="E31" i="86"/>
  <c r="F31" i="86"/>
  <c r="G31" i="86"/>
  <c r="C32" i="86"/>
  <c r="D32" i="86"/>
  <c r="E32" i="86"/>
  <c r="F32" i="86"/>
  <c r="G32" i="86"/>
  <c r="C33" i="86"/>
  <c r="D33" i="86"/>
  <c r="E33" i="86"/>
  <c r="F33" i="86"/>
  <c r="G33" i="86"/>
  <c r="C34" i="86"/>
  <c r="D34" i="86"/>
  <c r="E34" i="86"/>
  <c r="F34" i="86"/>
  <c r="G34" i="86"/>
  <c r="E7" i="96" l="1"/>
  <c r="K3" i="96" s="1"/>
  <c r="F7" i="96"/>
  <c r="J3" i="96" s="1"/>
  <c r="E7" i="97"/>
  <c r="K3" i="97" s="1"/>
  <c r="F7" i="97"/>
  <c r="J3" i="97" s="1"/>
  <c r="E7" i="98"/>
  <c r="E10" i="98" s="1"/>
  <c r="K3" i="98" s="1"/>
  <c r="F7" i="98"/>
  <c r="F10" i="98" s="1"/>
  <c r="J3" i="98" s="1"/>
  <c r="I2" i="63" l="1"/>
  <c r="H11" i="63" s="1"/>
  <c r="I2" i="62"/>
  <c r="H11" i="62" s="1"/>
  <c r="D2" i="62" a="1"/>
  <c r="D2" i="62" s="1"/>
  <c r="E2" i="62" s="1"/>
  <c r="C2" i="63" a="1"/>
  <c r="C235" i="63" l="1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F2" i="62" l="1"/>
  <c r="G57" i="62" s="1"/>
  <c r="D2" i="63" a="1"/>
  <c r="H5" i="62"/>
  <c r="I5" i="62" s="1"/>
  <c r="H8" i="62" s="1"/>
  <c r="G144" i="62" l="1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H2" i="62" l="1" a="1"/>
  <c r="H2" i="62" s="1"/>
  <c r="K2" i="62" s="1"/>
  <c r="F2" i="63"/>
  <c r="H5" i="63"/>
  <c r="I5" i="63" s="1"/>
  <c r="H8" i="63" l="1"/>
  <c r="K8" i="63" s="1"/>
  <c r="N3" i="63" s="1"/>
  <c r="H14" i="63" l="1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H2" i="63" l="1" a="1"/>
  <c r="H2" i="63" s="1"/>
  <c r="K2" i="6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<sst xmlns="http://schemas.openxmlformats.org/spreadsheetml/2006/main" count="17902" uniqueCount="242">
  <si>
    <t>p</t>
  </si>
  <si>
    <t>With a dataset of your choice and using Excel, R, Python, or Matlab …</t>
  </si>
  <si>
    <t>Code or Excel work</t>
  </si>
  <si>
    <t>K Nearest Neighbors</t>
  </si>
  <si>
    <t>Out of Sample Testing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</si>
  <si>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</si>
  <si>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</si>
  <si>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</si>
  <si>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</si>
  <si>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</si>
  <si>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</si>
  <si>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</si>
  <si>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</si>
  <si>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Diagnostics</t>
  </si>
  <si>
    <t>Fit a regression model and find the best lambda .</t>
  </si>
  <si>
    <t>Optim_Shrinkage</t>
  </si>
  <si>
    <t>Optim_InAndOut</t>
  </si>
  <si>
    <t>LM_InAndOut</t>
  </si>
  <si>
    <t>Tools</t>
  </si>
  <si>
    <t>Setup_</t>
  </si>
  <si>
    <t>Explore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</si>
  <si>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</si>
  <si>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</si>
  <si>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</si>
  <si>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</si>
  <si>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</si>
  <si>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</si>
  <si>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</si>
  <si>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</si>
  <si>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</si>
  <si>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</si>
  <si>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</si>
  <si>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</si>
  <si>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</si>
  <si>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</si>
  <si>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</si>
  <si>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</si>
  <si>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</si>
  <si>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</si>
  <si>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</si>
  <si>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</si>
  <si>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</si>
  <si>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</si>
  <si>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</si>
  <si>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</si>
  <si>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</si>
  <si>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</si>
  <si>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</si>
  <si>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</si>
  <si>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</si>
  <si>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</si>
  <si>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</si>
  <si>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</si>
  <si>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</si>
  <si>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</si>
  <si>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</si>
  <si>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</si>
  <si>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</si>
  <si>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</si>
  <si>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</si>
  <si>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</si>
  <si>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</si>
  <si>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</si>
  <si>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</si>
  <si>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</si>
  <si>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</si>
  <si>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</si>
  <si>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</si>
  <si>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</si>
  <si>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</si>
  <si>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</si>
  <si>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</si>
  <si>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</si>
  <si>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</si>
  <si>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</si>
  <si>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</si>
  <si>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</si>
  <si>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</si>
  <si>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</si>
  <si>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</si>
  <si>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</si>
  <si>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</si>
  <si>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</si>
  <si>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</si>
  <si>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</si>
  <si>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</si>
  <si>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</si>
  <si>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</si>
  <si>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</si>
  <si>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</si>
  <si>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</si>
  <si>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</si>
  <si>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</si>
  <si>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</si>
  <si>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</si>
  <si>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</si>
  <si>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</si>
  <si>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</si>
  <si>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</si>
  <si>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</si>
  <si>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</si>
  <si>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</si>
  <si>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</si>
  <si>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</si>
  <si>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</si>
  <si>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</si>
  <si>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</si>
  <si>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</si>
  <si>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</si>
  <si>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</si>
  <si>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</si>
  <si>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</si>
  <si>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</si>
  <si>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</si>
  <si>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</si>
  <si>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</si>
  <si>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</si>
  <si>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</si>
  <si>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</si>
  <si>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</si>
  <si>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</si>
  <si>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</si>
  <si>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</si>
  <si>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</si>
  <si>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</si>
  <si>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</si>
  <si>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Perform a stepwise regression.</t>
  </si>
  <si>
    <t>Take two steps from any starting place.</t>
  </si>
  <si>
    <t>Table of AICs and variables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</si>
  <si>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</si>
  <si>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</si>
  <si>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</si>
  <si>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</si>
  <si>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</si>
  <si>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</si>
  <si>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</si>
  <si>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</si>
  <si>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</si>
  <si>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</si>
  <si>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Question</t>
  </si>
  <si>
    <t>Points</t>
  </si>
  <si>
    <t>Notes: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</si>
  <si>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</si>
  <si>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</si>
  <si>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</si>
  <si>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</si>
  <si>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</si>
  <si>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</si>
  <si>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</si>
  <si>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</si>
  <si>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</si>
  <si>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</si>
  <si>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</si>
  <si>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</si>
  <si>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</si>
  <si>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</si>
  <si>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</si>
  <si>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</si>
  <si>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</si>
  <si>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</si>
  <si>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</si>
  <si>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</si>
  <si>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</si>
  <si>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</si>
  <si>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</si>
  <si>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</si>
  <si>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</si>
  <si>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</si>
  <si>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</si>
  <si>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</si>
  <si>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</si>
  <si>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</si>
  <si>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</si>
  <si>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</si>
  <si>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</si>
  <si>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</si>
  <si>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</si>
  <si>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</si>
  <si>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In R: data(Hitters, package = "ISLR")</t>
  </si>
  <si>
    <t>Your answer should display the following in this tab.</t>
  </si>
  <si>
    <t>This works best on standardized data.</t>
  </si>
  <si>
    <t>Votes</t>
  </si>
  <si>
    <t>Distance Measures</t>
  </si>
  <si>
    <t>Code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</si>
  <si>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</si>
  <si>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</si>
  <si>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</si>
  <si>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</si>
  <si>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</si>
  <si>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</si>
  <si>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</si>
  <si>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</si>
  <si>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</si>
  <si>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</si>
  <si>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</si>
  <si>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</si>
  <si>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</si>
  <si>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</si>
  <si>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</si>
  <si>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</si>
  <si>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AIC0</t>
  </si>
  <si>
    <t>Video</t>
  </si>
  <si>
    <t>AIC1</t>
  </si>
  <si>
    <t>Interaction2</t>
  </si>
  <si>
    <t>Interaction1</t>
  </si>
  <si>
    <t>Indicators</t>
  </si>
  <si>
    <t>Character_Factor</t>
  </si>
  <si>
    <t>DiffB0_Diff_B1</t>
  </si>
  <si>
    <t>SameB0_DiffB1</t>
  </si>
  <si>
    <t>DiffB0_SameB1</t>
  </si>
  <si>
    <t>X5</t>
  </si>
  <si>
    <t>X4</t>
  </si>
  <si>
    <t>X3</t>
  </si>
  <si>
    <t>X2</t>
  </si>
  <si>
    <t>X1</t>
  </si>
  <si>
    <t>t</t>
  </si>
  <si>
    <t>a</t>
  </si>
  <si>
    <t>b</t>
  </si>
  <si>
    <t>ROC_Generator</t>
  </si>
  <si>
    <t>ROC_Curve</t>
  </si>
  <si>
    <t>PPF_1</t>
  </si>
  <si>
    <t>PPF_0</t>
  </si>
  <si>
    <t>Sensitivity</t>
  </si>
  <si>
    <t>You are looking for cases of sickness.</t>
  </si>
  <si>
    <t>Can you detect what you are looking for?</t>
  </si>
  <si>
    <t>https://en.wikipedia.org/wiki/Precision_and_recall</t>
  </si>
  <si>
    <t>Bird</t>
  </si>
  <si>
    <t>Bomb</t>
  </si>
  <si>
    <t>TNR</t>
  </si>
  <si>
    <t>TPR</t>
  </si>
  <si>
    <t>Critical Value</t>
  </si>
  <si>
    <t>P</t>
  </si>
  <si>
    <t>FNR</t>
  </si>
  <si>
    <t>In economics, what is a production possibilites frontier?</t>
  </si>
  <si>
    <t>How can an ROC Curve be interpreted as a production possibilities frontier?</t>
  </si>
  <si>
    <t>Describe an ROC Curve in terms of Sensitivity and Specificity.</t>
  </si>
  <si>
    <t>Describe an ROC Curve in terms of TPR and TNR.</t>
  </si>
  <si>
    <t>OOS</t>
  </si>
  <si>
    <t xml:space="preserve"> </t>
  </si>
  <si>
    <t xml:space="preserve">  </t>
  </si>
  <si>
    <t>FPR</t>
  </si>
  <si>
    <t>How does switching from TNR to FPR help interpret the ROC in terms of risk?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</si>
</sst>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36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4" borderId="0" xfId="0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0" fillId="2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7" fillId="5" borderId="0" xfId="0" applyFont="1" applyFill="1"/>
    <xf numFmtId="11" fontId="0" fillId="0" borderId="0" xfId="0" applyNumberFormat="1"/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3" fillId="2" borderId="0" xfId="1" applyFill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9" fillId="2" borderId="0" xfId="0" applyFont="1" applyFill="1"/>
    <xf numFmtId="9" fontId="9" fillId="2" borderId="0" xfId="0" applyNumberFormat="1" applyFont="1" applyFill="1"/>
    <xf numFmtId="9" fontId="9" fillId="2" borderId="0" xfId="2" applyFont="1" applyFill="1"/>
    <xf numFmtId="0" fontId="9" fillId="2" borderId="0" xfId="0" applyFont="1" applyFill="1" applyAlignment="1">
      <alignment horizontal="right"/>
    </xf>
    <xf numFmtId="9" fontId="0" fillId="2" borderId="0" xfId="0" applyNumberFormat="1" applyFill="1"/>
    <xf numFmtId="9" fontId="0" fillId="2" borderId="0" xfId="2" applyFont="1" applyFill="1"/>
    <xf numFmtId="9" fontId="0" fillId="3" borderId="0" xfId="2" applyFont="1" applyFill="1"/>
    <xf numFmtId="9" fontId="0" fillId="4" borderId="0" xfId="0" applyNumberFormat="1" applyFill="1"/>
    <xf numFmtId="0" fontId="1" fillId="6" borderId="0" xfId="0" applyFont="1" applyFill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4.xml"/><Relationship Id="rId47" Type="http://schemas.openxmlformats.org/officeDocument/2006/relationships/externalLink" Target="externalLinks/externalLink9.xml"/><Relationship Id="rId50" Type="http://schemas.openxmlformats.org/officeDocument/2006/relationships/externalLink" Target="externalLinks/externalLink12.xml"/><Relationship Id="rId55" Type="http://schemas.openxmlformats.org/officeDocument/2006/relationships/externalLink" Target="externalLinks/externalLink17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externalLink" Target="externalLinks/externalLink7.xml"/><Relationship Id="rId53" Type="http://schemas.openxmlformats.org/officeDocument/2006/relationships/externalLink" Target="externalLinks/externalLink15.xml"/><Relationship Id="rId58" Type="http://schemas.openxmlformats.org/officeDocument/2006/relationships/externalLink" Target="externalLinks/externalLink20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5.xml"/><Relationship Id="rId48" Type="http://schemas.openxmlformats.org/officeDocument/2006/relationships/externalLink" Target="externalLinks/externalLink10.xml"/><Relationship Id="rId56" Type="http://schemas.openxmlformats.org/officeDocument/2006/relationships/externalLink" Target="externalLinks/externalLink18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8.xml"/><Relationship Id="rId59" Type="http://schemas.openxmlformats.org/officeDocument/2006/relationships/externalLink" Target="externalLinks/externalLink2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externalLink" Target="externalLinks/externalLink16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1.xml"/><Relationship Id="rId57" Type="http://schemas.openxmlformats.org/officeDocument/2006/relationships/externalLink" Target="externalLinks/externalLink19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6.xml"/><Relationship Id="rId52" Type="http://schemas.openxmlformats.org/officeDocument/2006/relationships/externalLink" Target="externalLinks/externalLink14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DiffB0_SameB1!$C$4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DiffB0_SameB1!$C$5:$C$34</c:f>
              <c:numCache>
                <c:formatCode>0.0</c:formatCode>
                <c:ptCount val="30"/>
                <c:pt idx="0">
                  <c:v>9.903915563242661</c:v>
                </c:pt>
                <c:pt idx="1">
                  <c:v>13.39792826256995</c:v>
                </c:pt>
                <c:pt idx="2">
                  <c:v>11.679697458239723</c:v>
                </c:pt>
                <c:pt idx="3">
                  <c:v>8.9477911404407209</c:v>
                </c:pt>
                <c:pt idx="4">
                  <c:v>9.8230682868099084</c:v>
                </c:pt>
                <c:pt idx="5">
                  <c:v>16.796470287812838</c:v>
                </c:pt>
                <c:pt idx="6">
                  <c:v>14.385257557650782</c:v>
                </c:pt>
                <c:pt idx="7">
                  <c:v>19.686995900504439</c:v>
                </c:pt>
                <c:pt idx="8">
                  <c:v>22.990039036291769</c:v>
                </c:pt>
                <c:pt idx="9">
                  <c:v>16.521139125862259</c:v>
                </c:pt>
                <c:pt idx="10">
                  <c:v>23.824528342769998</c:v>
                </c:pt>
                <c:pt idx="11">
                  <c:v>28.53522860856145</c:v>
                </c:pt>
                <c:pt idx="12">
                  <c:v>27.905233802459925</c:v>
                </c:pt>
                <c:pt idx="13">
                  <c:v>21.909249153307591</c:v>
                </c:pt>
                <c:pt idx="14">
                  <c:v>24.766990208322166</c:v>
                </c:pt>
                <c:pt idx="15">
                  <c:v>23.359751759715987</c:v>
                </c:pt>
                <c:pt idx="16">
                  <c:v>26.631734330110195</c:v>
                </c:pt>
                <c:pt idx="17">
                  <c:v>33.108628778773856</c:v>
                </c:pt>
                <c:pt idx="18">
                  <c:v>32.360020482841563</c:v>
                </c:pt>
                <c:pt idx="19">
                  <c:v>28.008454546315928</c:v>
                </c:pt>
                <c:pt idx="20">
                  <c:v>30.070769750810936</c:v>
                </c:pt>
                <c:pt idx="21">
                  <c:v>33.282576574640679</c:v>
                </c:pt>
                <c:pt idx="22">
                  <c:v>32.479541905801895</c:v>
                </c:pt>
                <c:pt idx="23">
                  <c:v>38.672229022815927</c:v>
                </c:pt>
                <c:pt idx="24">
                  <c:v>31.477604629328106</c:v>
                </c:pt>
                <c:pt idx="25">
                  <c:v>39.113636706682989</c:v>
                </c:pt>
                <c:pt idx="26">
                  <c:v>32.669698049459107</c:v>
                </c:pt>
                <c:pt idx="27">
                  <c:v>43.047878282193295</c:v>
                </c:pt>
                <c:pt idx="28">
                  <c:v>35.223179755425591</c:v>
                </c:pt>
                <c:pt idx="29">
                  <c:v>36.667062387517682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A-F94D-8410-A1C000950E5D}"/>
            </c:ext>
          </c:extLst>
        </c:ser>
        <c:ser>
          <c:idx val="1"/>
          <c:order val="1"/>
          <c:tx>
            <c:strRef>
              <c:f>DiffB0_SameB1!$D$4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DiffB0_SameB1!$D$5:$D$34</c:f>
              <c:numCache>
                <c:formatCode>0.0</c:formatCode>
                <c:ptCount val="30"/>
                <c:pt idx="0">
                  <c:v>21.375949661712674</c:v>
                </c:pt>
                <c:pt idx="1">
                  <c:v>18.618700700510828</c:v>
                </c:pt>
                <c:pt idx="2">
                  <c:v>19.39733039908872</c:v>
                </c:pt>
                <c:pt idx="3">
                  <c:v>24.488179332281611</c:v>
                </c:pt>
                <c:pt idx="4">
                  <c:v>21.694707150474535</c:v>
                </c:pt>
                <c:pt idx="5">
                  <c:v>25.911271540856394</c:v>
                </c:pt>
                <c:pt idx="6">
                  <c:v>27.130173874475027</c:v>
                </c:pt>
                <c:pt idx="7">
                  <c:v>32.398598625978707</c:v>
                </c:pt>
                <c:pt idx="8">
                  <c:v>37.256492544701658</c:v>
                </c:pt>
                <c:pt idx="9">
                  <c:v>24.95225242615545</c:v>
                </c:pt>
                <c:pt idx="10">
                  <c:v>31.601703822498301</c:v>
                </c:pt>
                <c:pt idx="11">
                  <c:v>31.659087539443068</c:v>
                </c:pt>
                <c:pt idx="12">
                  <c:v>34.368191521107263</c:v>
                </c:pt>
                <c:pt idx="13">
                  <c:v>32.065810818901902</c:v>
                </c:pt>
                <c:pt idx="14">
                  <c:v>38.461162598413942</c:v>
                </c:pt>
                <c:pt idx="15">
                  <c:v>39.251941818169705</c:v>
                </c:pt>
                <c:pt idx="16">
                  <c:v>38.100505050307746</c:v>
                </c:pt>
                <c:pt idx="17">
                  <c:v>36.533518980646114</c:v>
                </c:pt>
                <c:pt idx="18">
                  <c:v>36.875091652641295</c:v>
                </c:pt>
                <c:pt idx="19">
                  <c:v>41.576131701708121</c:v>
                </c:pt>
                <c:pt idx="20">
                  <c:v>44.114826103475401</c:v>
                </c:pt>
                <c:pt idx="21">
                  <c:v>46.111707905797246</c:v>
                </c:pt>
                <c:pt idx="22">
                  <c:v>42.521305181292426</c:v>
                </c:pt>
                <c:pt idx="23">
                  <c:v>34.360358835501671</c:v>
                </c:pt>
                <c:pt idx="24">
                  <c:v>50.608075908922871</c:v>
                </c:pt>
                <c:pt idx="25">
                  <c:v>49.811069172036369</c:v>
                </c:pt>
                <c:pt idx="26">
                  <c:v>47.261819484988003</c:v>
                </c:pt>
                <c:pt idx="27">
                  <c:v>50.279124926402119</c:v>
                </c:pt>
                <c:pt idx="28">
                  <c:v>47.509190704968034</c:v>
                </c:pt>
                <c:pt idx="29">
                  <c:v>47.373271526799684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CA-F94D-8410-A1C000950E5D}"/>
            </c:ext>
          </c:extLst>
        </c:ser>
        <c:ser>
          <c:idx val="2"/>
          <c:order val="2"/>
          <c:tx>
            <c:strRef>
              <c:f>DiffB0_SameB1!$E$4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DiffB0_SameB1!$E$5:$E$34</c:f>
              <c:numCache>
                <c:formatCode>0.0</c:formatCode>
                <c:ptCount val="30"/>
                <c:pt idx="0">
                  <c:v>34.164970434051263</c:v>
                </c:pt>
                <c:pt idx="1">
                  <c:v>24.823788405247083</c:v>
                </c:pt>
                <c:pt idx="2">
                  <c:v>26.996581211420693</c:v>
                </c:pt>
                <c:pt idx="3">
                  <c:v>31.540434693772497</c:v>
                </c:pt>
                <c:pt idx="4">
                  <c:v>32.600571284894187</c:v>
                </c:pt>
                <c:pt idx="5">
                  <c:v>39.228145984969466</c:v>
                </c:pt>
                <c:pt idx="6">
                  <c:v>35.160089549601835</c:v>
                </c:pt>
                <c:pt idx="7">
                  <c:v>45.383074526555177</c:v>
                </c:pt>
                <c:pt idx="8">
                  <c:v>32.332863700730087</c:v>
                </c:pt>
                <c:pt idx="9">
                  <c:v>39.174152071404478</c:v>
                </c:pt>
                <c:pt idx="10">
                  <c:v>39.918597197326207</c:v>
                </c:pt>
                <c:pt idx="11">
                  <c:v>48.329277384825879</c:v>
                </c:pt>
                <c:pt idx="12">
                  <c:v>40.067051155523153</c:v>
                </c:pt>
                <c:pt idx="13">
                  <c:v>41.773148695404686</c:v>
                </c:pt>
                <c:pt idx="14">
                  <c:v>40.068489329485246</c:v>
                </c:pt>
                <c:pt idx="15">
                  <c:v>43.426118694968899</c:v>
                </c:pt>
                <c:pt idx="16">
                  <c:v>50.415051746673349</c:v>
                </c:pt>
                <c:pt idx="17">
                  <c:v>42.992778273816398</c:v>
                </c:pt>
                <c:pt idx="18">
                  <c:v>46.085474518780224</c:v>
                </c:pt>
                <c:pt idx="19">
                  <c:v>55.501051636750894</c:v>
                </c:pt>
                <c:pt idx="20">
                  <c:v>50.857160148759561</c:v>
                </c:pt>
                <c:pt idx="21">
                  <c:v>57.457172624325523</c:v>
                </c:pt>
                <c:pt idx="22">
                  <c:v>50.725530003396869</c:v>
                </c:pt>
                <c:pt idx="23">
                  <c:v>58.591046332057068</c:v>
                </c:pt>
                <c:pt idx="24">
                  <c:v>42.543754836467187</c:v>
                </c:pt>
                <c:pt idx="25">
                  <c:v>48.331755580960632</c:v>
                </c:pt>
                <c:pt idx="26">
                  <c:v>47.673514855105864</c:v>
                </c:pt>
                <c:pt idx="27">
                  <c:v>54.465019539933621</c:v>
                </c:pt>
                <c:pt idx="28">
                  <c:v>61.604729182190816</c:v>
                </c:pt>
                <c:pt idx="29">
                  <c:v>57.857070652022728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CA-F94D-8410-A1C000950E5D}"/>
            </c:ext>
          </c:extLst>
        </c:ser>
        <c:ser>
          <c:idx val="3"/>
          <c:order val="3"/>
          <c:tx>
            <c:strRef>
              <c:f>DiffB0_SameB1!$F$4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DiffB0_SameB1!$F$5:$F$34</c:f>
              <c:numCache>
                <c:formatCode>0.0</c:formatCode>
                <c:ptCount val="30"/>
                <c:pt idx="0">
                  <c:v>47.867834051835345</c:v>
                </c:pt>
                <c:pt idx="1">
                  <c:v>42.459459931907823</c:v>
                </c:pt>
                <c:pt idx="2">
                  <c:v>41.321897529907382</c:v>
                </c:pt>
                <c:pt idx="3">
                  <c:v>45.606460765690031</c:v>
                </c:pt>
                <c:pt idx="4">
                  <c:v>41.621131425885324</c:v>
                </c:pt>
                <c:pt idx="5">
                  <c:v>45.48493651862546</c:v>
                </c:pt>
                <c:pt idx="6">
                  <c:v>45.233665175849239</c:v>
                </c:pt>
                <c:pt idx="7">
                  <c:v>56.364969317829598</c:v>
                </c:pt>
                <c:pt idx="8">
                  <c:v>53.433713817559628</c:v>
                </c:pt>
                <c:pt idx="9">
                  <c:v>52.930157423464586</c:v>
                </c:pt>
                <c:pt idx="10">
                  <c:v>47.755091380718433</c:v>
                </c:pt>
                <c:pt idx="11">
                  <c:v>49.454910446890864</c:v>
                </c:pt>
                <c:pt idx="12">
                  <c:v>49.054226386752518</c:v>
                </c:pt>
                <c:pt idx="13">
                  <c:v>51.50512491163343</c:v>
                </c:pt>
                <c:pt idx="14">
                  <c:v>48.283408581560565</c:v>
                </c:pt>
                <c:pt idx="15">
                  <c:v>50.297773023662401</c:v>
                </c:pt>
                <c:pt idx="16">
                  <c:v>58.691512423378185</c:v>
                </c:pt>
                <c:pt idx="17">
                  <c:v>58.274576833209601</c:v>
                </c:pt>
                <c:pt idx="18">
                  <c:v>58.250531457877834</c:v>
                </c:pt>
                <c:pt idx="19">
                  <c:v>62.024714472631864</c:v>
                </c:pt>
                <c:pt idx="20">
                  <c:v>66.385413674230151</c:v>
                </c:pt>
                <c:pt idx="21">
                  <c:v>60.974779757541903</c:v>
                </c:pt>
                <c:pt idx="22">
                  <c:v>67.470517536080678</c:v>
                </c:pt>
                <c:pt idx="23">
                  <c:v>66.751577852620841</c:v>
                </c:pt>
                <c:pt idx="24">
                  <c:v>61.104398020523035</c:v>
                </c:pt>
                <c:pt idx="25">
                  <c:v>68.393905089855181</c:v>
                </c:pt>
                <c:pt idx="26">
                  <c:v>68.159515800460284</c:v>
                </c:pt>
                <c:pt idx="27">
                  <c:v>68.052307786928097</c:v>
                </c:pt>
                <c:pt idx="28">
                  <c:v>69.013507944823644</c:v>
                </c:pt>
                <c:pt idx="29">
                  <c:v>73.301339962068582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CA-F94D-8410-A1C000950E5D}"/>
            </c:ext>
          </c:extLst>
        </c:ser>
        <c:ser>
          <c:idx val="4"/>
          <c:order val="4"/>
          <c:tx>
            <c:strRef>
              <c:f>DiffB0_SameB1!$G$4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DiffB0_SameB1!$G$5:$G$34</c:f>
              <c:numCache>
                <c:formatCode>0.0</c:formatCode>
                <c:ptCount val="30"/>
                <c:pt idx="0">
                  <c:v>48.488460584190591</c:v>
                </c:pt>
                <c:pt idx="1">
                  <c:v>48.179927121360365</c:v>
                </c:pt>
                <c:pt idx="2">
                  <c:v>54.531985281837486</c:v>
                </c:pt>
                <c:pt idx="3">
                  <c:v>44.280153304618757</c:v>
                </c:pt>
                <c:pt idx="4">
                  <c:v>56.953395598772154</c:v>
                </c:pt>
                <c:pt idx="5">
                  <c:v>58.149738640342697</c:v>
                </c:pt>
                <c:pt idx="6">
                  <c:v>58.128725194587076</c:v>
                </c:pt>
                <c:pt idx="7">
                  <c:v>49.867666267599098</c:v>
                </c:pt>
                <c:pt idx="8">
                  <c:v>54.399248709928273</c:v>
                </c:pt>
                <c:pt idx="9">
                  <c:v>57.334205081643255</c:v>
                </c:pt>
                <c:pt idx="10">
                  <c:v>61.766108519619799</c:v>
                </c:pt>
                <c:pt idx="11">
                  <c:v>62.749413346923291</c:v>
                </c:pt>
                <c:pt idx="12">
                  <c:v>57.71047688239527</c:v>
                </c:pt>
                <c:pt idx="13">
                  <c:v>61.191794844920125</c:v>
                </c:pt>
                <c:pt idx="14">
                  <c:v>68.264139184980323</c:v>
                </c:pt>
                <c:pt idx="15">
                  <c:v>67.256474178004467</c:v>
                </c:pt>
                <c:pt idx="16">
                  <c:v>69.056387135083256</c:v>
                </c:pt>
                <c:pt idx="17">
                  <c:v>72.974560479855029</c:v>
                </c:pt>
                <c:pt idx="18">
                  <c:v>68.778184665700181</c:v>
                </c:pt>
                <c:pt idx="19">
                  <c:v>75.993324004668281</c:v>
                </c:pt>
                <c:pt idx="20">
                  <c:v>78.456639101436366</c:v>
                </c:pt>
                <c:pt idx="21">
                  <c:v>75.861033834870497</c:v>
                </c:pt>
                <c:pt idx="22">
                  <c:v>71.732221062114348</c:v>
                </c:pt>
                <c:pt idx="23">
                  <c:v>64.940527936429021</c:v>
                </c:pt>
                <c:pt idx="24">
                  <c:v>73.814667233778465</c:v>
                </c:pt>
                <c:pt idx="25">
                  <c:v>87.600310887409449</c:v>
                </c:pt>
                <c:pt idx="26">
                  <c:v>79.645454486388275</c:v>
                </c:pt>
                <c:pt idx="27">
                  <c:v>74.951819334901629</c:v>
                </c:pt>
                <c:pt idx="28">
                  <c:v>80.226573251306149</c:v>
                </c:pt>
                <c:pt idx="29">
                  <c:v>81.824855151773079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CA-F94D-8410-A1C000950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SameB0_DiffB1!$C$4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SameB0_DiffB1!$C$5:$C$34</c:f>
              <c:numCache>
                <c:formatCode>0.0</c:formatCode>
                <c:ptCount val="30"/>
                <c:pt idx="0">
                  <c:v>0.97195874857696274</c:v>
                </c:pt>
                <c:pt idx="1">
                  <c:v>-5.0610098986906404</c:v>
                </c:pt>
                <c:pt idx="2">
                  <c:v>7.4143708583898507</c:v>
                </c:pt>
                <c:pt idx="3">
                  <c:v>10.507382587082661</c:v>
                </c:pt>
                <c:pt idx="4">
                  <c:v>10.873760945422404</c:v>
                </c:pt>
                <c:pt idx="5">
                  <c:v>1.8066547522987317</c:v>
                </c:pt>
                <c:pt idx="6">
                  <c:v>11.649373976018916</c:v>
                </c:pt>
                <c:pt idx="7">
                  <c:v>9.1865646852730052</c:v>
                </c:pt>
                <c:pt idx="8">
                  <c:v>6.2049207221362632</c:v>
                </c:pt>
                <c:pt idx="9">
                  <c:v>10.359103830413323</c:v>
                </c:pt>
                <c:pt idx="10">
                  <c:v>10.545354895423531</c:v>
                </c:pt>
                <c:pt idx="11">
                  <c:v>17.610429365474751</c:v>
                </c:pt>
                <c:pt idx="12">
                  <c:v>13.75089094846366</c:v>
                </c:pt>
                <c:pt idx="13">
                  <c:v>14.862720919969201</c:v>
                </c:pt>
                <c:pt idx="14">
                  <c:v>11.041860483985449</c:v>
                </c:pt>
                <c:pt idx="15">
                  <c:v>5.1355149881536128</c:v>
                </c:pt>
                <c:pt idx="16">
                  <c:v>15.970471329522137</c:v>
                </c:pt>
                <c:pt idx="17">
                  <c:v>13.228174666863339</c:v>
                </c:pt>
                <c:pt idx="18">
                  <c:v>16.229428846410372</c:v>
                </c:pt>
                <c:pt idx="19">
                  <c:v>19.037416441226529</c:v>
                </c:pt>
                <c:pt idx="20">
                  <c:v>11.945940589641049</c:v>
                </c:pt>
                <c:pt idx="21">
                  <c:v>24.959253233383244</c:v>
                </c:pt>
                <c:pt idx="22">
                  <c:v>26.040055335314459</c:v>
                </c:pt>
                <c:pt idx="23">
                  <c:v>31.488838024051017</c:v>
                </c:pt>
                <c:pt idx="24">
                  <c:v>33.636711266455791</c:v>
                </c:pt>
                <c:pt idx="25">
                  <c:v>16.80338798254645</c:v>
                </c:pt>
                <c:pt idx="26">
                  <c:v>27.131538605555868</c:v>
                </c:pt>
                <c:pt idx="27">
                  <c:v>29.592728235126032</c:v>
                </c:pt>
                <c:pt idx="28">
                  <c:v>38.947479355284209</c:v>
                </c:pt>
                <c:pt idx="29">
                  <c:v>29.36532376771542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82-174F-99A3-853DAB7CBDAE}"/>
            </c:ext>
          </c:extLst>
        </c:ser>
        <c:ser>
          <c:idx val="1"/>
          <c:order val="1"/>
          <c:tx>
            <c:strRef>
              <c:f>SameB0_DiffB1!$D$4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SameB0_DiffB1!$D$5:$D$34</c:f>
              <c:numCache>
                <c:formatCode>0.0</c:formatCode>
                <c:ptCount val="30"/>
                <c:pt idx="0">
                  <c:v>-5.9497965595531213</c:v>
                </c:pt>
                <c:pt idx="1">
                  <c:v>2.1147074724412369</c:v>
                </c:pt>
                <c:pt idx="2">
                  <c:v>15.743108169027325</c:v>
                </c:pt>
                <c:pt idx="3">
                  <c:v>6.5164821411940741</c:v>
                </c:pt>
                <c:pt idx="4">
                  <c:v>19.075517243100116</c:v>
                </c:pt>
                <c:pt idx="5">
                  <c:v>13.024575635061032</c:v>
                </c:pt>
                <c:pt idx="6">
                  <c:v>29.442439736900035</c:v>
                </c:pt>
                <c:pt idx="7">
                  <c:v>6.0123515881729013</c:v>
                </c:pt>
                <c:pt idx="8">
                  <c:v>15.881877230103683</c:v>
                </c:pt>
                <c:pt idx="9">
                  <c:v>23.699778396301419</c:v>
                </c:pt>
                <c:pt idx="10">
                  <c:v>27.801953564245231</c:v>
                </c:pt>
                <c:pt idx="11">
                  <c:v>17.794350361148823</c:v>
                </c:pt>
                <c:pt idx="12">
                  <c:v>21.785054059012644</c:v>
                </c:pt>
                <c:pt idx="13">
                  <c:v>40.877173969397617</c:v>
                </c:pt>
                <c:pt idx="14">
                  <c:v>32.734266404223206</c:v>
                </c:pt>
                <c:pt idx="15">
                  <c:v>35.935401504848713</c:v>
                </c:pt>
                <c:pt idx="16">
                  <c:v>29.2291040751144</c:v>
                </c:pt>
                <c:pt idx="17">
                  <c:v>29.108075107438616</c:v>
                </c:pt>
                <c:pt idx="18">
                  <c:v>37.066699690209646</c:v>
                </c:pt>
                <c:pt idx="19">
                  <c:v>34.807296709474613</c:v>
                </c:pt>
                <c:pt idx="20">
                  <c:v>45.043345289491896</c:v>
                </c:pt>
                <c:pt idx="21">
                  <c:v>42.880825098531894</c:v>
                </c:pt>
                <c:pt idx="22">
                  <c:v>52.818336502681369</c:v>
                </c:pt>
                <c:pt idx="23">
                  <c:v>45.538235545784737</c:v>
                </c:pt>
                <c:pt idx="24">
                  <c:v>62.253673465359384</c:v>
                </c:pt>
                <c:pt idx="25">
                  <c:v>53.53666896525467</c:v>
                </c:pt>
                <c:pt idx="26">
                  <c:v>54.596374277417155</c:v>
                </c:pt>
                <c:pt idx="27">
                  <c:v>62.713440969166747</c:v>
                </c:pt>
                <c:pt idx="28">
                  <c:v>58.633925509068568</c:v>
                </c:pt>
                <c:pt idx="29">
                  <c:v>66.613763419347734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82-174F-99A3-853DAB7CBDAE}"/>
            </c:ext>
          </c:extLst>
        </c:ser>
        <c:ser>
          <c:idx val="2"/>
          <c:order val="2"/>
          <c:tx>
            <c:strRef>
              <c:f>SameB0_DiffB1!$E$4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SameB0_DiffB1!$E$5:$E$34</c:f>
              <c:numCache>
                <c:formatCode>0.0</c:formatCode>
                <c:ptCount val="30"/>
                <c:pt idx="0">
                  <c:v>15.091889805674604</c:v>
                </c:pt>
                <c:pt idx="1">
                  <c:v>11.904727595553744</c:v>
                </c:pt>
                <c:pt idx="2">
                  <c:v>6.6497523969251233</c:v>
                </c:pt>
                <c:pt idx="3">
                  <c:v>9.1488089393043825</c:v>
                </c:pt>
                <c:pt idx="4">
                  <c:v>8.7735088296214627</c:v>
                </c:pt>
                <c:pt idx="5">
                  <c:v>19.399333100927773</c:v>
                </c:pt>
                <c:pt idx="6">
                  <c:v>19.051755890048671</c:v>
                </c:pt>
                <c:pt idx="7">
                  <c:v>23.648940073025585</c:v>
                </c:pt>
                <c:pt idx="8">
                  <c:v>11.688476343971928</c:v>
                </c:pt>
                <c:pt idx="9">
                  <c:v>31.915293499970844</c:v>
                </c:pt>
                <c:pt idx="10">
                  <c:v>42.518048005540685</c:v>
                </c:pt>
                <c:pt idx="11">
                  <c:v>32.827655068986388</c:v>
                </c:pt>
                <c:pt idx="12">
                  <c:v>48.338517549311334</c:v>
                </c:pt>
                <c:pt idx="13">
                  <c:v>41.368435645883494</c:v>
                </c:pt>
                <c:pt idx="14">
                  <c:v>46.680379320711445</c:v>
                </c:pt>
                <c:pt idx="15">
                  <c:v>45.613822492729192</c:v>
                </c:pt>
                <c:pt idx="16">
                  <c:v>54.882170521729378</c:v>
                </c:pt>
                <c:pt idx="17">
                  <c:v>58.533740201710756</c:v>
                </c:pt>
                <c:pt idx="18">
                  <c:v>46.683718060217863</c:v>
                </c:pt>
                <c:pt idx="19">
                  <c:v>68.967770536958028</c:v>
                </c:pt>
                <c:pt idx="20">
                  <c:v>67.283666059051441</c:v>
                </c:pt>
                <c:pt idx="21">
                  <c:v>52.656257138859459</c:v>
                </c:pt>
                <c:pt idx="22">
                  <c:v>62.158972218171449</c:v>
                </c:pt>
                <c:pt idx="23">
                  <c:v>78.42378840958942</c:v>
                </c:pt>
                <c:pt idx="24">
                  <c:v>74.975713422857837</c:v>
                </c:pt>
                <c:pt idx="25">
                  <c:v>71.585007659796076</c:v>
                </c:pt>
                <c:pt idx="26">
                  <c:v>96.881570471381764</c:v>
                </c:pt>
                <c:pt idx="27">
                  <c:v>92.031146304644807</c:v>
                </c:pt>
                <c:pt idx="28">
                  <c:v>78.638600488959952</c:v>
                </c:pt>
                <c:pt idx="29">
                  <c:v>96.948048161469799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82-174F-99A3-853DAB7CBDAE}"/>
            </c:ext>
          </c:extLst>
        </c:ser>
        <c:ser>
          <c:idx val="3"/>
          <c:order val="3"/>
          <c:tx>
            <c:strRef>
              <c:f>SameB0_DiffB1!$F$4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SameB0_DiffB1!$F$5:$F$34</c:f>
              <c:numCache>
                <c:formatCode>0.0</c:formatCode>
                <c:ptCount val="30"/>
                <c:pt idx="0">
                  <c:v>13.175574928839087</c:v>
                </c:pt>
                <c:pt idx="1">
                  <c:v>19.570301361139993</c:v>
                </c:pt>
                <c:pt idx="2">
                  <c:v>10.604818815416136</c:v>
                </c:pt>
                <c:pt idx="3">
                  <c:v>6.9151191483568191</c:v>
                </c:pt>
                <c:pt idx="4">
                  <c:v>13.794528984075271</c:v>
                </c:pt>
                <c:pt idx="5">
                  <c:v>20.378053294952224</c:v>
                </c:pt>
                <c:pt idx="6">
                  <c:v>24.682840509239817</c:v>
                </c:pt>
                <c:pt idx="7">
                  <c:v>30.853056830809539</c:v>
                </c:pt>
                <c:pt idx="8">
                  <c:v>26.058281743044908</c:v>
                </c:pt>
                <c:pt idx="9">
                  <c:v>46.163915765657023</c:v>
                </c:pt>
                <c:pt idx="10">
                  <c:v>49.41340193459888</c:v>
                </c:pt>
                <c:pt idx="11">
                  <c:v>54.634940066340135</c:v>
                </c:pt>
                <c:pt idx="12">
                  <c:v>51.763511165689522</c:v>
                </c:pt>
                <c:pt idx="13">
                  <c:v>55.799555668528782</c:v>
                </c:pt>
                <c:pt idx="14">
                  <c:v>62.006719495071387</c:v>
                </c:pt>
                <c:pt idx="15">
                  <c:v>68.984465768655383</c:v>
                </c:pt>
                <c:pt idx="16">
                  <c:v>80.269317113081257</c:v>
                </c:pt>
                <c:pt idx="17">
                  <c:v>79.819310431625368</c:v>
                </c:pt>
                <c:pt idx="18">
                  <c:v>80.318328311575442</c:v>
                </c:pt>
                <c:pt idx="19">
                  <c:v>64.874441377187239</c:v>
                </c:pt>
                <c:pt idx="20">
                  <c:v>76.778144227023304</c:v>
                </c:pt>
                <c:pt idx="21">
                  <c:v>83.986431400236299</c:v>
                </c:pt>
                <c:pt idx="22">
                  <c:v>93.521038304017964</c:v>
                </c:pt>
                <c:pt idx="23">
                  <c:v>102.54407690523128</c:v>
                </c:pt>
                <c:pt idx="24">
                  <c:v>92.208850358054832</c:v>
                </c:pt>
                <c:pt idx="25">
                  <c:v>116.41419058178057</c:v>
                </c:pt>
                <c:pt idx="26">
                  <c:v>112.31367530011502</c:v>
                </c:pt>
                <c:pt idx="27">
                  <c:v>115.25153011303371</c:v>
                </c:pt>
                <c:pt idx="28">
                  <c:v>117.59894597011561</c:v>
                </c:pt>
                <c:pt idx="29">
                  <c:v>121.88702438924234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82-174F-99A3-853DAB7CBDAE}"/>
            </c:ext>
          </c:extLst>
        </c:ser>
        <c:ser>
          <c:idx val="4"/>
          <c:order val="4"/>
          <c:tx>
            <c:strRef>
              <c:f>SameB0_DiffB1!$G$4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SameB0_DiffB1!$G$5:$G$34</c:f>
              <c:numCache>
                <c:formatCode>0.0</c:formatCode>
                <c:ptCount val="30"/>
                <c:pt idx="0">
                  <c:v>12.991476190250829</c:v>
                </c:pt>
                <c:pt idx="1">
                  <c:v>7.8531216568051683</c:v>
                </c:pt>
                <c:pt idx="2">
                  <c:v>6.455014942724123</c:v>
                </c:pt>
                <c:pt idx="3">
                  <c:v>18.502167157724436</c:v>
                </c:pt>
                <c:pt idx="4">
                  <c:v>22.139670357772488</c:v>
                </c:pt>
                <c:pt idx="5">
                  <c:v>44.522790675394702</c:v>
                </c:pt>
                <c:pt idx="6">
                  <c:v>22.546744432521276</c:v>
                </c:pt>
                <c:pt idx="7">
                  <c:v>37.961641034795555</c:v>
                </c:pt>
                <c:pt idx="8">
                  <c:v>37.147822583549925</c:v>
                </c:pt>
                <c:pt idx="9">
                  <c:v>58.702418729874545</c:v>
                </c:pt>
                <c:pt idx="10">
                  <c:v>55.745745152824227</c:v>
                </c:pt>
                <c:pt idx="11">
                  <c:v>64.38788282122816</c:v>
                </c:pt>
                <c:pt idx="12">
                  <c:v>61.11040547786375</c:v>
                </c:pt>
                <c:pt idx="13">
                  <c:v>62.861735086826229</c:v>
                </c:pt>
                <c:pt idx="14">
                  <c:v>80.883073363389073</c:v>
                </c:pt>
                <c:pt idx="15">
                  <c:v>71.707410475890896</c:v>
                </c:pt>
                <c:pt idx="16">
                  <c:v>84.440440357486196</c:v>
                </c:pt>
                <c:pt idx="17">
                  <c:v>85.300855967012183</c:v>
                </c:pt>
                <c:pt idx="18">
                  <c:v>101.31187015421229</c:v>
                </c:pt>
                <c:pt idx="19">
                  <c:v>99.011099602085864</c:v>
                </c:pt>
                <c:pt idx="20">
                  <c:v>105.69626515695828</c:v>
                </c:pt>
                <c:pt idx="21">
                  <c:v>113.85705476700049</c:v>
                </c:pt>
                <c:pt idx="22">
                  <c:v>123.40156374527085</c:v>
                </c:pt>
                <c:pt idx="23">
                  <c:v>106.95528121337735</c:v>
                </c:pt>
                <c:pt idx="24">
                  <c:v>122.86003384728329</c:v>
                </c:pt>
                <c:pt idx="25">
                  <c:v>131.46101969326963</c:v>
                </c:pt>
                <c:pt idx="26">
                  <c:v>127.16871976295504</c:v>
                </c:pt>
                <c:pt idx="27">
                  <c:v>132.20405829786313</c:v>
                </c:pt>
                <c:pt idx="28">
                  <c:v>143.90392352988937</c:v>
                </c:pt>
                <c:pt idx="29">
                  <c:v>162.41309643184289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82-174F-99A3-853DAB7CB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DiffB0_Diff_B1!$C$4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DiffB0_Diff_B1!$C$5:$C$34</c:f>
              <c:numCache>
                <c:formatCode>0.0</c:formatCode>
                <c:ptCount val="30"/>
                <c:pt idx="0">
                  <c:v>14.936170634946334</c:v>
                </c:pt>
                <c:pt idx="1">
                  <c:v>12.240391307820596</c:v>
                </c:pt>
                <c:pt idx="2">
                  <c:v>10.311017065449539</c:v>
                </c:pt>
                <c:pt idx="3">
                  <c:v>9.6694197111332301</c:v>
                </c:pt>
                <c:pt idx="4">
                  <c:v>11.709287352971772</c:v>
                </c:pt>
                <c:pt idx="5">
                  <c:v>10.864274396197164</c:v>
                </c:pt>
                <c:pt idx="6">
                  <c:v>17.329685601689437</c:v>
                </c:pt>
                <c:pt idx="7">
                  <c:v>21.022241907327071</c:v>
                </c:pt>
                <c:pt idx="8">
                  <c:v>29.707453409968878</c:v>
                </c:pt>
                <c:pt idx="9">
                  <c:v>14.071989969734149</c:v>
                </c:pt>
                <c:pt idx="10">
                  <c:v>16.953044870496061</c:v>
                </c:pt>
                <c:pt idx="11">
                  <c:v>27.198471290981118</c:v>
                </c:pt>
                <c:pt idx="12">
                  <c:v>19.367925854934111</c:v>
                </c:pt>
                <c:pt idx="13">
                  <c:v>26.387288047121633</c:v>
                </c:pt>
                <c:pt idx="14">
                  <c:v>31.811604055112724</c:v>
                </c:pt>
                <c:pt idx="15">
                  <c:v>22.325565348409523</c:v>
                </c:pt>
                <c:pt idx="16">
                  <c:v>28.384704002212267</c:v>
                </c:pt>
                <c:pt idx="17">
                  <c:v>33.189966474388804</c:v>
                </c:pt>
                <c:pt idx="18">
                  <c:v>39.31478834460286</c:v>
                </c:pt>
                <c:pt idx="19">
                  <c:v>21.553315833111974</c:v>
                </c:pt>
                <c:pt idx="20">
                  <c:v>22.727087304480364</c:v>
                </c:pt>
                <c:pt idx="21">
                  <c:v>41.249867915377898</c:v>
                </c:pt>
                <c:pt idx="22">
                  <c:v>35.379095190418447</c:v>
                </c:pt>
                <c:pt idx="23">
                  <c:v>32.452287230443673</c:v>
                </c:pt>
                <c:pt idx="24">
                  <c:v>29.899363867774337</c:v>
                </c:pt>
                <c:pt idx="25">
                  <c:v>48.611922818100311</c:v>
                </c:pt>
                <c:pt idx="26">
                  <c:v>41.747948011982878</c:v>
                </c:pt>
                <c:pt idx="27">
                  <c:v>41.874992365196945</c:v>
                </c:pt>
                <c:pt idx="28">
                  <c:v>42.311573087589032</c:v>
                </c:pt>
                <c:pt idx="29">
                  <c:v>39.441617157264204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07-1645-A60A-DA74A6C4C857}"/>
            </c:ext>
          </c:extLst>
        </c:ser>
        <c:ser>
          <c:idx val="1"/>
          <c:order val="1"/>
          <c:tx>
            <c:strRef>
              <c:f>DiffB0_Diff_B1!$D$4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DiffB0_Diff_B1!$D$5:$D$34</c:f>
              <c:numCache>
                <c:formatCode>0.0</c:formatCode>
                <c:ptCount val="30"/>
                <c:pt idx="0">
                  <c:v>16.135718087364339</c:v>
                </c:pt>
                <c:pt idx="1">
                  <c:v>23.987730319309257</c:v>
                </c:pt>
                <c:pt idx="2">
                  <c:v>20.574664229195996</c:v>
                </c:pt>
                <c:pt idx="3">
                  <c:v>21.552077251046732</c:v>
                </c:pt>
                <c:pt idx="4">
                  <c:v>18.624394969397542</c:v>
                </c:pt>
                <c:pt idx="5">
                  <c:v>30.148516119240561</c:v>
                </c:pt>
                <c:pt idx="6">
                  <c:v>30.692382840151126</c:v>
                </c:pt>
                <c:pt idx="7">
                  <c:v>28.436744286126874</c:v>
                </c:pt>
                <c:pt idx="8">
                  <c:v>47.976528840957172</c:v>
                </c:pt>
                <c:pt idx="9">
                  <c:v>45.473991211445551</c:v>
                </c:pt>
                <c:pt idx="10">
                  <c:v>41.307133660217609</c:v>
                </c:pt>
                <c:pt idx="11">
                  <c:v>51.617478100049759</c:v>
                </c:pt>
                <c:pt idx="12">
                  <c:v>56.283155622891179</c:v>
                </c:pt>
                <c:pt idx="13">
                  <c:v>56.544400763736547</c:v>
                </c:pt>
                <c:pt idx="14">
                  <c:v>48.570903834072418</c:v>
                </c:pt>
                <c:pt idx="15">
                  <c:v>35.803045212677375</c:v>
                </c:pt>
                <c:pt idx="16">
                  <c:v>41.795858807965573</c:v>
                </c:pt>
                <c:pt idx="17">
                  <c:v>48.719324955964595</c:v>
                </c:pt>
                <c:pt idx="18">
                  <c:v>49.123250960412193</c:v>
                </c:pt>
                <c:pt idx="19">
                  <c:v>63.346676976232914</c:v>
                </c:pt>
                <c:pt idx="20">
                  <c:v>59.568749254742386</c:v>
                </c:pt>
                <c:pt idx="21">
                  <c:v>69.632357168320496</c:v>
                </c:pt>
                <c:pt idx="22">
                  <c:v>68.237141650132202</c:v>
                </c:pt>
                <c:pt idx="23">
                  <c:v>70.240216506243158</c:v>
                </c:pt>
                <c:pt idx="24">
                  <c:v>78.690241618940462</c:v>
                </c:pt>
                <c:pt idx="25">
                  <c:v>75.62192150590846</c:v>
                </c:pt>
                <c:pt idx="26">
                  <c:v>64.488097212325499</c:v>
                </c:pt>
                <c:pt idx="27">
                  <c:v>84.188348043279603</c:v>
                </c:pt>
                <c:pt idx="28">
                  <c:v>86.653408296026413</c:v>
                </c:pt>
                <c:pt idx="29">
                  <c:v>86.961538284243659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07-1645-A60A-DA74A6C4C857}"/>
            </c:ext>
          </c:extLst>
        </c:ser>
        <c:ser>
          <c:idx val="2"/>
          <c:order val="2"/>
          <c:tx>
            <c:strRef>
              <c:f>DiffB0_Diff_B1!$E$4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DiffB0_Diff_B1!$E$5:$E$34</c:f>
              <c:numCache>
                <c:formatCode>0.0</c:formatCode>
                <c:ptCount val="30"/>
                <c:pt idx="0">
                  <c:v>37.662163168007439</c:v>
                </c:pt>
                <c:pt idx="1">
                  <c:v>45.351709890213328</c:v>
                </c:pt>
                <c:pt idx="2">
                  <c:v>37.900952777469399</c:v>
                </c:pt>
                <c:pt idx="3">
                  <c:v>55.410319698143496</c:v>
                </c:pt>
                <c:pt idx="4">
                  <c:v>38.661084409586898</c:v>
                </c:pt>
                <c:pt idx="5">
                  <c:v>44.934169193146985</c:v>
                </c:pt>
                <c:pt idx="6">
                  <c:v>57.872488856267466</c:v>
                </c:pt>
                <c:pt idx="7">
                  <c:v>41.358751331063978</c:v>
                </c:pt>
                <c:pt idx="8">
                  <c:v>44.113248938422295</c:v>
                </c:pt>
                <c:pt idx="9">
                  <c:v>45.720866893826582</c:v>
                </c:pt>
                <c:pt idx="10">
                  <c:v>69.286211544541558</c:v>
                </c:pt>
                <c:pt idx="11">
                  <c:v>59.278130631039716</c:v>
                </c:pt>
                <c:pt idx="12">
                  <c:v>70.301264909094471</c:v>
                </c:pt>
                <c:pt idx="13">
                  <c:v>69.928210871062845</c:v>
                </c:pt>
                <c:pt idx="14">
                  <c:v>87.354889700417502</c:v>
                </c:pt>
                <c:pt idx="15">
                  <c:v>81.057177247373517</c:v>
                </c:pt>
                <c:pt idx="16">
                  <c:v>70.620843827921433</c:v>
                </c:pt>
                <c:pt idx="17">
                  <c:v>96.566702446809899</c:v>
                </c:pt>
                <c:pt idx="18">
                  <c:v>88.358999135683433</c:v>
                </c:pt>
                <c:pt idx="19">
                  <c:v>88.804857653961193</c:v>
                </c:pt>
                <c:pt idx="20">
                  <c:v>77.739453263069379</c:v>
                </c:pt>
                <c:pt idx="21">
                  <c:v>93.634200190843231</c:v>
                </c:pt>
                <c:pt idx="22">
                  <c:v>97.754654627759379</c:v>
                </c:pt>
                <c:pt idx="23">
                  <c:v>103.94893151519449</c:v>
                </c:pt>
                <c:pt idx="24">
                  <c:v>103.05610472343376</c:v>
                </c:pt>
                <c:pt idx="25">
                  <c:v>100.42654996934526</c:v>
                </c:pt>
                <c:pt idx="26">
                  <c:v>92.227326530926234</c:v>
                </c:pt>
                <c:pt idx="27">
                  <c:v>116.82037963375721</c:v>
                </c:pt>
                <c:pt idx="28">
                  <c:v>120.06032503854102</c:v>
                </c:pt>
                <c:pt idx="29">
                  <c:v>124.6328659631392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07-1645-A60A-DA74A6C4C857}"/>
            </c:ext>
          </c:extLst>
        </c:ser>
        <c:ser>
          <c:idx val="3"/>
          <c:order val="3"/>
          <c:tx>
            <c:strRef>
              <c:f>DiffB0_Diff_B1!$F$4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DiffB0_Diff_B1!$F$5:$F$34</c:f>
              <c:numCache>
                <c:formatCode>0.0</c:formatCode>
                <c:ptCount val="30"/>
                <c:pt idx="0">
                  <c:v>31.786865582941065</c:v>
                </c:pt>
                <c:pt idx="1">
                  <c:v>50.726244615308104</c:v>
                </c:pt>
                <c:pt idx="2">
                  <c:v>60.136595782037361</c:v>
                </c:pt>
                <c:pt idx="3">
                  <c:v>57.287117946032026</c:v>
                </c:pt>
                <c:pt idx="4">
                  <c:v>52.72860799313807</c:v>
                </c:pt>
                <c:pt idx="5">
                  <c:v>53.642341101542627</c:v>
                </c:pt>
                <c:pt idx="6">
                  <c:v>72.273177114509181</c:v>
                </c:pt>
                <c:pt idx="7">
                  <c:v>65.214142208603491</c:v>
                </c:pt>
                <c:pt idx="8">
                  <c:v>80.622815674364446</c:v>
                </c:pt>
                <c:pt idx="9">
                  <c:v>81.543859317710812</c:v>
                </c:pt>
                <c:pt idx="10">
                  <c:v>79.458561525638473</c:v>
                </c:pt>
                <c:pt idx="11">
                  <c:v>78.475303646768822</c:v>
                </c:pt>
                <c:pt idx="12">
                  <c:v>98.784695026404961</c:v>
                </c:pt>
                <c:pt idx="13">
                  <c:v>95.341340041583052</c:v>
                </c:pt>
                <c:pt idx="14">
                  <c:v>99.750536136994256</c:v>
                </c:pt>
                <c:pt idx="15">
                  <c:v>96.605226843360157</c:v>
                </c:pt>
                <c:pt idx="16">
                  <c:v>111.61059142914642</c:v>
                </c:pt>
                <c:pt idx="17">
                  <c:v>112.39194777691442</c:v>
                </c:pt>
                <c:pt idx="18">
                  <c:v>113.07838611133334</c:v>
                </c:pt>
                <c:pt idx="19">
                  <c:v>121.60834619038661</c:v>
                </c:pt>
                <c:pt idx="20">
                  <c:v>114.052792985575</c:v>
                </c:pt>
                <c:pt idx="21">
                  <c:v>139.68852817152933</c:v>
                </c:pt>
                <c:pt idx="22">
                  <c:v>127.9784291892564</c:v>
                </c:pt>
                <c:pt idx="23">
                  <c:v>130.02274413580386</c:v>
                </c:pt>
                <c:pt idx="24">
                  <c:v>143.37400788966667</c:v>
                </c:pt>
                <c:pt idx="25">
                  <c:v>126.32350894828733</c:v>
                </c:pt>
                <c:pt idx="26">
                  <c:v>140.94389976134536</c:v>
                </c:pt>
                <c:pt idx="27">
                  <c:v>146.67228298159026</c:v>
                </c:pt>
                <c:pt idx="28">
                  <c:v>156.75331788979693</c:v>
                </c:pt>
                <c:pt idx="29">
                  <c:v>161.42416278991215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07-1645-A60A-DA74A6C4C857}"/>
            </c:ext>
          </c:extLst>
        </c:ser>
        <c:ser>
          <c:idx val="4"/>
          <c:order val="4"/>
          <c:tx>
            <c:strRef>
              <c:f>DiffB0_Diff_B1!$G$4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DiffB0_Diff_B1!$G$5:$G$34</c:f>
              <c:numCache>
                <c:formatCode>0.0</c:formatCode>
                <c:ptCount val="30"/>
                <c:pt idx="0">
                  <c:v>54.64088757362493</c:v>
                </c:pt>
                <c:pt idx="1">
                  <c:v>61.49844649923962</c:v>
                </c:pt>
                <c:pt idx="2">
                  <c:v>58.295714756538956</c:v>
                </c:pt>
                <c:pt idx="3">
                  <c:v>69.250395649768237</c:v>
                </c:pt>
                <c:pt idx="4">
                  <c:v>79.178403693431491</c:v>
                </c:pt>
                <c:pt idx="5">
                  <c:v>76.539153774778583</c:v>
                </c:pt>
                <c:pt idx="6">
                  <c:v>79.676229179906585</c:v>
                </c:pt>
                <c:pt idx="7">
                  <c:v>80.724293166317764</c:v>
                </c:pt>
                <c:pt idx="8">
                  <c:v>93.267147315752538</c:v>
                </c:pt>
                <c:pt idx="9">
                  <c:v>85.170645748615499</c:v>
                </c:pt>
                <c:pt idx="10">
                  <c:v>118.20689572852123</c:v>
                </c:pt>
                <c:pt idx="11">
                  <c:v>111.16069791271823</c:v>
                </c:pt>
                <c:pt idx="12">
                  <c:v>118.03518749642946</c:v>
                </c:pt>
                <c:pt idx="13">
                  <c:v>118.30887577646651</c:v>
                </c:pt>
                <c:pt idx="14">
                  <c:v>131.74842425493441</c:v>
                </c:pt>
                <c:pt idx="15">
                  <c:v>113.12995070631479</c:v>
                </c:pt>
                <c:pt idx="16">
                  <c:v>134.58549939099444</c:v>
                </c:pt>
                <c:pt idx="17">
                  <c:v>141.39709832267849</c:v>
                </c:pt>
                <c:pt idx="18">
                  <c:v>152.21067788626752</c:v>
                </c:pt>
                <c:pt idx="19">
                  <c:v>159.7726330651349</c:v>
                </c:pt>
                <c:pt idx="20">
                  <c:v>147.99752152403914</c:v>
                </c:pt>
                <c:pt idx="21">
                  <c:v>163.65666281193774</c:v>
                </c:pt>
                <c:pt idx="22">
                  <c:v>169.40259559287102</c:v>
                </c:pt>
                <c:pt idx="23">
                  <c:v>177.52292996554041</c:v>
                </c:pt>
                <c:pt idx="24">
                  <c:v>172.16921196308618</c:v>
                </c:pt>
                <c:pt idx="25">
                  <c:v>165.50218261565792</c:v>
                </c:pt>
                <c:pt idx="26">
                  <c:v>186.80209905793785</c:v>
                </c:pt>
                <c:pt idx="27">
                  <c:v>190.92741087573171</c:v>
                </c:pt>
                <c:pt idx="28">
                  <c:v>204.04116564864853</c:v>
                </c:pt>
                <c:pt idx="29">
                  <c:v>196.9701383765364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07-1645-A60A-DA74A6C4C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1.9455252918287938E-3</c:v>
                </c:pt>
                <c:pt idx="5">
                  <c:v>0</c:v>
                </c:pt>
                <c:pt idx="6">
                  <c:v>1.9455252918287938E-3</c:v>
                </c:pt>
                <c:pt idx="7">
                  <c:v>3.8986354775828458E-3</c:v>
                </c:pt>
                <c:pt idx="8">
                  <c:v>1.7543859649122806E-2</c:v>
                </c:pt>
                <c:pt idx="9">
                  <c:v>1.7509727626459144E-2</c:v>
                </c:pt>
                <c:pt idx="10">
                  <c:v>4.0935672514619881E-2</c:v>
                </c:pt>
                <c:pt idx="11">
                  <c:v>4.6692607003891051E-2</c:v>
                </c:pt>
                <c:pt idx="12">
                  <c:v>9.9221789883268477E-2</c:v>
                </c:pt>
                <c:pt idx="13">
                  <c:v>0.11673151750972763</c:v>
                </c:pt>
                <c:pt idx="14">
                  <c:v>0.15399610136452241</c:v>
                </c:pt>
                <c:pt idx="15">
                  <c:v>0.21832358674463936</c:v>
                </c:pt>
                <c:pt idx="16">
                  <c:v>0.27095516569200778</c:v>
                </c:pt>
                <c:pt idx="17">
                  <c:v>0.30739299610894943</c:v>
                </c:pt>
                <c:pt idx="18">
                  <c:v>0.40740740740740738</c:v>
                </c:pt>
                <c:pt idx="19">
                  <c:v>0.50389105058365757</c:v>
                </c:pt>
                <c:pt idx="20">
                  <c:v>0.52436647173489281</c:v>
                </c:pt>
                <c:pt idx="21">
                  <c:v>0.67056530214424948</c:v>
                </c:pt>
                <c:pt idx="22">
                  <c:v>0.75048732943469787</c:v>
                </c:pt>
                <c:pt idx="23">
                  <c:v>0.77777777777777779</c:v>
                </c:pt>
                <c:pt idx="24">
                  <c:v>0.82846003898635479</c:v>
                </c:pt>
                <c:pt idx="25">
                  <c:v>0.87354085603112841</c:v>
                </c:pt>
                <c:pt idx="26">
                  <c:v>0.9278752436647173</c:v>
                </c:pt>
                <c:pt idx="27">
                  <c:v>0.9377431906614786</c:v>
                </c:pt>
                <c:pt idx="28">
                  <c:v>0.95525291828793779</c:v>
                </c:pt>
                <c:pt idx="29">
                  <c:v>0.98443579766536971</c:v>
                </c:pt>
                <c:pt idx="30">
                  <c:v>0.98638132295719849</c:v>
                </c:pt>
                <c:pt idx="31">
                  <c:v>0.98832684824902728</c:v>
                </c:pt>
                <c:pt idx="32">
                  <c:v>0.99805068226120852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0.99794238683127567</c:v>
                </c:pt>
                <c:pt idx="12">
                  <c:v>1</c:v>
                </c:pt>
                <c:pt idx="13">
                  <c:v>0.99794238683127567</c:v>
                </c:pt>
                <c:pt idx="14">
                  <c:v>0.9958932238193019</c:v>
                </c:pt>
                <c:pt idx="15">
                  <c:v>0.98357289527720737</c:v>
                </c:pt>
                <c:pt idx="16">
                  <c:v>0.97125256673511295</c:v>
                </c:pt>
                <c:pt idx="17">
                  <c:v>0.94032921810699588</c:v>
                </c:pt>
                <c:pt idx="18">
                  <c:v>0.88911704312114992</c:v>
                </c:pt>
                <c:pt idx="19">
                  <c:v>0.86213991769547327</c:v>
                </c:pt>
                <c:pt idx="20">
                  <c:v>0.78644763860369615</c:v>
                </c:pt>
                <c:pt idx="21">
                  <c:v>0.67351129363449691</c:v>
                </c:pt>
                <c:pt idx="22">
                  <c:v>0.52156057494866526</c:v>
                </c:pt>
                <c:pt idx="23">
                  <c:v>0.4209445585215606</c:v>
                </c:pt>
                <c:pt idx="24">
                  <c:v>0.32238193018480493</c:v>
                </c:pt>
                <c:pt idx="25">
                  <c:v>0.23045267489711935</c:v>
                </c:pt>
                <c:pt idx="26">
                  <c:v>0.15605749486652978</c:v>
                </c:pt>
                <c:pt idx="27">
                  <c:v>4.9382716049382713E-2</c:v>
                </c:pt>
                <c:pt idx="28">
                  <c:v>3.9094650205761319E-2</c:v>
                </c:pt>
                <c:pt idx="29">
                  <c:v>1.8518518518518517E-2</c:v>
                </c:pt>
                <c:pt idx="30">
                  <c:v>1.2345679012345678E-2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A6-F648-9F77-44BB2F693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0BDFE60-B88D-EC4D-8548-2244B58415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B6C-B845-914C-9AF3BE267E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9DE9F1-7A99-0842-A467-3FE404921B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B6C-B845-914C-9AF3BE267E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B152C8-A164-EB40-9369-659DE057B3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6C-B845-914C-9AF3BE267E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2CD566-2734-F649-BBF0-D7275B05D7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6C-B845-914C-9AF3BE267E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9A4BAE-5EBF-614B-85F0-55595A1B25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6C-B845-914C-9AF3BE267E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BE7F5AC-2CF6-B84D-B0EC-BC7E27A0D6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6C-B845-914C-9AF3BE267E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92DD46-60B3-2B40-A1C6-9C04CC6403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6C-B845-914C-9AF3BE267E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F187D7C-686F-1E48-BEB8-736F049F68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B6C-B845-914C-9AF3BE267E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525AC1-A46E-DB47-91CC-DC25EE88F6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B6C-B845-914C-9AF3BE267E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1F6977A-16E5-E74E-A945-8EB7CDD552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B6C-B845-914C-9AF3BE267E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8C3B156-E2C2-5C40-91BD-0205656B87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B6C-B845-914C-9AF3BE267E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81CF0AC-25C6-0948-ADAD-265D56D115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B6C-B845-914C-9AF3BE267E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57CCFCF-126B-104A-BB67-622EA37DC3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B6C-B845-914C-9AF3BE267E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29A35A1-2AEE-E343-B228-3C77D8663B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6C-B845-914C-9AF3BE267E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47C8F4D-BF67-0248-B19D-4E6F4DCE84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6C-B845-914C-9AF3BE267E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53DE2D7-44FC-F740-8853-613AA608DA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B6C-B845-914C-9AF3BE267E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6BB576-0E0F-CD49-9793-75F2DFACBB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B6C-B845-914C-9AF3BE267E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B01A5C-2815-A04A-9B92-C1A94FD972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B6C-B845-914C-9AF3BE267E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271E46-5BDD-0B46-ACA1-23B9829F2D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6C-B845-914C-9AF3BE267E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0C76FA-A017-A647-8F62-10AC041A16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6C-B845-914C-9AF3BE267E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C7C182-6CC2-F643-A19C-8B37741175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B6C-B845-914C-9AF3BE267E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CE7928-248D-FB4A-96B9-C459A97684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B6C-B845-914C-9AF3BE267E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24594BC-7AD8-704B-9556-F70E76BACE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B6C-B845-914C-9AF3BE267E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186279-CE83-AD46-A3A3-808307B2BF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B6C-B845-914C-9AF3BE267E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48535CF-94B8-FA42-9B43-32D5468BFC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B6C-B845-914C-9AF3BE267E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A544132-2EF1-6F4D-91EC-909A0926BC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B6C-B845-914C-9AF3BE267E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B98F453-18CF-5E40-B527-96A4BC3715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B6C-B845-914C-9AF3BE267E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ACAD5B-0929-C64F-BF2D-7321A5CAEC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B6C-B845-914C-9AF3BE267E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4A2D9EE-2C45-234A-A997-92289081B4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B6C-B845-914C-9AF3BE267E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E1E786-3BAD-CB45-8A25-24F2984ABA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B6C-B845-914C-9AF3BE267E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130BF66-DEAE-5E42-A5E7-269DB19F37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B6C-B845-914C-9AF3BE267E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D782DD-E915-6347-B2D2-1805D3C6D7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B6C-B845-914C-9AF3BE267E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76E0641-4BF7-914F-8F02-61AEBE7EB8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B6C-B845-914C-9AF3BE267E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1.9455252918287938E-3</c:v>
                </c:pt>
                <c:pt idx="7">
                  <c:v>7.7972709551656916E-3</c:v>
                </c:pt>
                <c:pt idx="8">
                  <c:v>7.7972709551656916E-3</c:v>
                </c:pt>
                <c:pt idx="9">
                  <c:v>2.3391812865497075E-2</c:v>
                </c:pt>
                <c:pt idx="10">
                  <c:v>3.7037037037037035E-2</c:v>
                </c:pt>
                <c:pt idx="11">
                  <c:v>5.0583657587548639E-2</c:v>
                </c:pt>
                <c:pt idx="12">
                  <c:v>8.3820662768031184E-2</c:v>
                </c:pt>
                <c:pt idx="13">
                  <c:v>0.12865497076023391</c:v>
                </c:pt>
                <c:pt idx="14">
                  <c:v>0.14814814814814814</c:v>
                </c:pt>
                <c:pt idx="15">
                  <c:v>0.18323586744639375</c:v>
                </c:pt>
                <c:pt idx="16">
                  <c:v>0.26900584795321636</c:v>
                </c:pt>
                <c:pt idx="17">
                  <c:v>0.34307992202729043</c:v>
                </c:pt>
                <c:pt idx="18">
                  <c:v>0.42023346303501946</c:v>
                </c:pt>
                <c:pt idx="19">
                  <c:v>0.49902534113060426</c:v>
                </c:pt>
                <c:pt idx="20">
                  <c:v>0.61013645224171542</c:v>
                </c:pt>
                <c:pt idx="21">
                  <c:v>0.6712062256809338</c:v>
                </c:pt>
                <c:pt idx="22">
                  <c:v>0.73151750972762641</c:v>
                </c:pt>
                <c:pt idx="23">
                  <c:v>0.77777777777777779</c:v>
                </c:pt>
                <c:pt idx="24">
                  <c:v>0.83657587548638135</c:v>
                </c:pt>
                <c:pt idx="25">
                  <c:v>0.89083820662768032</c:v>
                </c:pt>
                <c:pt idx="26">
                  <c:v>0.90856031128404668</c:v>
                </c:pt>
                <c:pt idx="27">
                  <c:v>0.94736842105263153</c:v>
                </c:pt>
                <c:pt idx="28">
                  <c:v>0.96296296296296291</c:v>
                </c:pt>
                <c:pt idx="29">
                  <c:v>0.98050682261208577</c:v>
                </c:pt>
                <c:pt idx="30">
                  <c:v>0.98638132295719849</c:v>
                </c:pt>
                <c:pt idx="31">
                  <c:v>0.99027237354085607</c:v>
                </c:pt>
                <c:pt idx="32">
                  <c:v>0.99416342412451364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0.99383983572895274</c:v>
                </c:pt>
                <c:pt idx="15">
                  <c:v>0.98562628336755642</c:v>
                </c:pt>
                <c:pt idx="16">
                  <c:v>0.97741273100616022</c:v>
                </c:pt>
                <c:pt idx="17">
                  <c:v>0.95482546201232033</c:v>
                </c:pt>
                <c:pt idx="18">
                  <c:v>0.90946502057613166</c:v>
                </c:pt>
                <c:pt idx="19">
                  <c:v>0.86242299794661192</c:v>
                </c:pt>
                <c:pt idx="20">
                  <c:v>0.75975359342915816</c:v>
                </c:pt>
                <c:pt idx="21">
                  <c:v>0.66049382716049387</c:v>
                </c:pt>
                <c:pt idx="22">
                  <c:v>0.55144032921810704</c:v>
                </c:pt>
                <c:pt idx="23">
                  <c:v>0.39630390143737165</c:v>
                </c:pt>
                <c:pt idx="24">
                  <c:v>0.33539094650205764</c:v>
                </c:pt>
                <c:pt idx="25">
                  <c:v>0.20944558521560575</c:v>
                </c:pt>
                <c:pt idx="26">
                  <c:v>0.13580246913580246</c:v>
                </c:pt>
                <c:pt idx="27">
                  <c:v>8.4188911704312114E-2</c:v>
                </c:pt>
                <c:pt idx="28">
                  <c:v>3.9014373716632446E-2</c:v>
                </c:pt>
                <c:pt idx="29">
                  <c:v>1.6427104722792608E-2</c:v>
                </c:pt>
                <c:pt idx="30">
                  <c:v>8.23045267489712E-3</c:v>
                </c:pt>
                <c:pt idx="31">
                  <c:v>2.05761316872428E-3</c:v>
                </c:pt>
                <c:pt idx="32">
                  <c:v>4.11522633744856E-3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7B6C-B845-914C-9AF3BE267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8CEC675-54BC-9644-A87D-43155B79DC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964-B84F-909B-3BF8442082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D75F13-A416-784F-A308-5FF3C56A56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964-B84F-909B-3BF8442082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2C4252-4F1C-184F-8C7E-2A324E42B1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964-B84F-909B-3BF8442082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6B80E21-7E87-E24A-A1D8-A71EB44774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964-B84F-909B-3BF8442082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3BA650-296F-1742-ADBC-583EFB140B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964-B84F-909B-3BF8442082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E35898-5A6D-B84B-8119-CDFC208A95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964-B84F-909B-3BF8442082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2D611B-6C64-3E4C-A23A-43CD407DF0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964-B84F-909B-3BF8442082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FF8105-D854-104A-ABF2-4BE38809E4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964-B84F-909B-3BF8442082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FE643ED-D689-7B4B-B5EC-BFAB1D7BA4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964-B84F-909B-3BF8442082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E8D1A7-38FD-AF4C-90DC-06C195750B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964-B84F-909B-3BF8442082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503FA1-837A-B945-BD5C-0A3D5C816B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964-B84F-909B-3BF8442082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F4C2613-CF69-4545-A347-71EA4EE53A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964-B84F-909B-3BF8442082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9DBEB9-7D68-4B46-A59E-B601BE05D3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964-B84F-909B-3BF8442082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90BFF3-6381-DB4A-97F7-337C431B39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964-B84F-909B-3BF8442082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E169015-4A7F-E242-B5B0-1E6913FF6F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964-B84F-909B-3BF8442082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FD0ACB-01AA-ED4C-A6B8-0378828A18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964-B84F-909B-3BF8442082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E86B619-52F2-F541-BD30-90D1036EE7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964-B84F-909B-3BF8442082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06E49E-39D5-7243-B79C-2AC3BD6BFF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964-B84F-909B-3BF8442082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C5EB533-B991-7248-B290-F8AE16B3E2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964-B84F-909B-3BF8442082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E6C7782-39CE-7040-844C-6E1ACA6952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964-B84F-909B-3BF8442082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73CAD3E-C783-464F-BE42-A07A36AACE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964-B84F-909B-3BF8442082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E092115-A30D-9447-9B57-4BE81F58B2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964-B84F-909B-3BF8442082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2D902B-B964-204C-BC52-82232D8D4F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964-B84F-909B-3BF8442082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2BD272C-9D8F-F245-ACEC-003498D2DE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964-B84F-909B-3BF8442082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48F389-E31C-1144-8408-2E84BCD34E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964-B84F-909B-3BF8442082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0368B2C-FEFA-9D41-9639-781543CE86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964-B84F-909B-3BF8442082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3DB17A-FA0B-1143-B90C-05E8766B0E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964-B84F-909B-3BF8442082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2E2A6F6-BD3D-5B4F-977D-A252D09735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964-B84F-909B-3BF8442082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348C19E-51AB-FD42-9F39-B8BAA8F265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964-B84F-909B-3BF8442082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8DA335F-1629-634B-BC83-22D9A412EB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964-B84F-909B-3BF8442082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480E202-4C7E-9841-956A-92FFF1DA46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964-B84F-909B-3BF8442082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98DE38-90ED-5E4F-B202-C8C7B59CF6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964-B84F-909B-3BF8442082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2D27362-A901-CA4B-9E54-A30F2B4EA8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964-B84F-909B-3BF8442082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0.99805068226120852</c:v>
                </c:pt>
                <c:pt idx="2">
                  <c:v>0.99805068226120852</c:v>
                </c:pt>
                <c:pt idx="3">
                  <c:v>1</c:v>
                </c:pt>
                <c:pt idx="4">
                  <c:v>1</c:v>
                </c:pt>
                <c:pt idx="5">
                  <c:v>0.99805447470817121</c:v>
                </c:pt>
                <c:pt idx="6">
                  <c:v>0.99610136452241715</c:v>
                </c:pt>
                <c:pt idx="7">
                  <c:v>0.99220272904483431</c:v>
                </c:pt>
                <c:pt idx="8">
                  <c:v>0.98443579766536971</c:v>
                </c:pt>
                <c:pt idx="9">
                  <c:v>0.96692607003891051</c:v>
                </c:pt>
                <c:pt idx="10">
                  <c:v>0.96498054474708173</c:v>
                </c:pt>
                <c:pt idx="11">
                  <c:v>0.95906432748538006</c:v>
                </c:pt>
                <c:pt idx="12">
                  <c:v>0.92982456140350878</c:v>
                </c:pt>
                <c:pt idx="13">
                  <c:v>0.89105058365758749</c:v>
                </c:pt>
                <c:pt idx="14">
                  <c:v>0.83073929961089488</c:v>
                </c:pt>
                <c:pt idx="15">
                  <c:v>0.77237354085603116</c:v>
                </c:pt>
                <c:pt idx="16">
                  <c:v>0.73684210526315796</c:v>
                </c:pt>
                <c:pt idx="17">
                  <c:v>0.62840466926070038</c:v>
                </c:pt>
                <c:pt idx="18">
                  <c:v>0.56335282651072127</c:v>
                </c:pt>
                <c:pt idx="19">
                  <c:v>0.48054474708171202</c:v>
                </c:pt>
                <c:pt idx="20">
                  <c:v>0.44249512670565305</c:v>
                </c:pt>
                <c:pt idx="21">
                  <c:v>0.3235867446393762</c:v>
                </c:pt>
                <c:pt idx="22">
                  <c:v>0.28404669260700388</c:v>
                </c:pt>
                <c:pt idx="23">
                  <c:v>0.21789883268482491</c:v>
                </c:pt>
                <c:pt idx="24">
                  <c:v>0.13813229571984431</c:v>
                </c:pt>
                <c:pt idx="25">
                  <c:v>0.13424124513618674</c:v>
                </c:pt>
                <c:pt idx="26">
                  <c:v>0.10505836575875482</c:v>
                </c:pt>
                <c:pt idx="27">
                  <c:v>3.5087719298245612E-2</c:v>
                </c:pt>
                <c:pt idx="28">
                  <c:v>3.8986354775828458E-2</c:v>
                </c:pt>
                <c:pt idx="29">
                  <c:v>1.9493177387914229E-2</c:v>
                </c:pt>
                <c:pt idx="30">
                  <c:v>1.7509727626459193E-2</c:v>
                </c:pt>
                <c:pt idx="31">
                  <c:v>3.8910505836575737E-3</c:v>
                </c:pt>
                <c:pt idx="32">
                  <c:v>1.9493177387914784E-3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0.99382716049382713</c:v>
                </c:pt>
                <c:pt idx="14">
                  <c:v>0.99588477366255146</c:v>
                </c:pt>
                <c:pt idx="15">
                  <c:v>0.98559670781893005</c:v>
                </c:pt>
                <c:pt idx="16">
                  <c:v>0.9691991786447639</c:v>
                </c:pt>
                <c:pt idx="17">
                  <c:v>0.95884773662551437</c:v>
                </c:pt>
                <c:pt idx="18">
                  <c:v>0.91581108829568791</c:v>
                </c:pt>
                <c:pt idx="19">
                  <c:v>0.83539094650205759</c:v>
                </c:pt>
                <c:pt idx="20">
                  <c:v>0.757700205338809</c:v>
                </c:pt>
                <c:pt idx="21">
                  <c:v>0.67351129363449691</c:v>
                </c:pt>
                <c:pt idx="22">
                  <c:v>0.55555555555555558</c:v>
                </c:pt>
                <c:pt idx="23">
                  <c:v>0.41152263374485598</c:v>
                </c:pt>
                <c:pt idx="24">
                  <c:v>0.27366255144032919</c:v>
                </c:pt>
                <c:pt idx="25">
                  <c:v>0.18518518518518517</c:v>
                </c:pt>
                <c:pt idx="26">
                  <c:v>0.13580246913580246</c:v>
                </c:pt>
                <c:pt idx="27">
                  <c:v>9.4455852156057493E-2</c:v>
                </c:pt>
                <c:pt idx="28">
                  <c:v>4.7227926078028747E-2</c:v>
                </c:pt>
                <c:pt idx="29">
                  <c:v>3.9014373716632446E-2</c:v>
                </c:pt>
                <c:pt idx="30">
                  <c:v>1.2345679012345678E-2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4964-B84F-909B-3BF844208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C51659-D59B-FE45-80CD-08C055E919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EA9CC0-557A-654F-BDD3-5788FA9D6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02CAFD-1AFA-FA4F-9F7D-D268CF099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355600</xdr:colOff>
      <xdr:row>21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35F5B55-B79A-CE49-9072-6240AC0119CA}"/>
            </a:ext>
          </a:extLst>
        </xdr:cNvPr>
        <xdr:cNvSpPr txBox="1"/>
      </xdr:nvSpPr>
      <xdr:spPr>
        <a:xfrm>
          <a:off x="850900" y="228600"/>
          <a:ext cx="7759700" cy="407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Character vs Factor ####</a:t>
          </a:r>
        </a:p>
        <a:p>
          <a:r>
            <a:rPr lang="en-US" sz="2000"/>
            <a:t>d = iris</a:t>
          </a:r>
        </a:p>
        <a:p>
          <a:r>
            <a:rPr lang="en-US" sz="2000"/>
            <a:t>sapply(d,class)</a:t>
          </a:r>
        </a:p>
        <a:p>
          <a:r>
            <a:rPr lang="en-US" sz="2000"/>
            <a:t>d$Species_Character = paste(as.character(d$Species),"")</a:t>
          </a:r>
        </a:p>
        <a:p>
          <a:r>
            <a:rPr lang="en-US" sz="2000"/>
            <a:t>sapply(d,class)</a:t>
          </a:r>
        </a:p>
        <a:p>
          <a:r>
            <a:rPr lang="en-US" sz="2000"/>
            <a:t>head(d)</a:t>
          </a:r>
        </a:p>
        <a:p>
          <a:r>
            <a:rPr lang="en-US" sz="2000"/>
            <a:t>levels(d$Species)</a:t>
          </a:r>
        </a:p>
        <a:p>
          <a:r>
            <a:rPr lang="en-US" sz="2000"/>
            <a:t>levels(d$Species_Character)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856970-5D05-4549-9D55-3AABA101553D}"/>
            </a:ext>
          </a:extLst>
        </xdr:cNvPr>
        <xdr:cNvSpPr txBox="1"/>
      </xdr:nvSpPr>
      <xdr:spPr>
        <a:xfrm>
          <a:off x="825500" y="203200"/>
          <a:ext cx="7759700" cy="407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Indicator Variables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+ 1, d)</a:t>
          </a:r>
        </a:p>
        <a:p>
          <a:r>
            <a:rPr lang="en-US" sz="2000"/>
            <a:t>head(dmat)</a:t>
          </a:r>
        </a:p>
        <a:p>
          <a:r>
            <a:rPr lang="en-US" sz="2000"/>
            <a:t>dmat = model.matrix(Sepal.Length ~ Species - 1, d)</a:t>
          </a:r>
        </a:p>
        <a:p>
          <a:r>
            <a:rPr lang="en-US" sz="2000"/>
            <a:t>head(dmat)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plot(y,yhat)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F2EE9C5-8E89-2B46-B864-A249A193B3AA}"/>
            </a:ext>
          </a:extLst>
        </xdr:cNvPr>
        <xdr:cNvSpPr txBox="1"/>
      </xdr:nvSpPr>
      <xdr:spPr>
        <a:xfrm>
          <a:off x="825500" y="203200"/>
          <a:ext cx="7759700" cy="407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1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Petal.Width - 1, d)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plot(y,yhat)</a:t>
          </a:r>
        </a:p>
        <a:p>
          <a:r>
            <a:rPr lang="en-US" sz="2000"/>
            <a:t>abline(0,1)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6BD2DCF-20A6-384C-8157-8DC82FC7AAA0}"/>
            </a:ext>
          </a:extLst>
        </xdr:cNvPr>
        <xdr:cNvSpPr txBox="1"/>
      </xdr:nvSpPr>
      <xdr:spPr>
        <a:xfrm>
          <a:off x="825500" y="203200"/>
          <a:ext cx="9131300" cy="407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2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*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plot(d$Petal.Width,yhat,col = d$Species)</a:t>
          </a:r>
        </a:p>
        <a:p>
          <a:r>
            <a:rPr lang="en-US" sz="2000"/>
            <a:t>points(d$Petal.Width,y,col = d$Species,cex = .1)</a:t>
          </a:r>
        </a:p>
        <a:p>
          <a:endParaRPr lang="en-US" sz="2000"/>
        </a:p>
        <a:p>
          <a:r>
            <a:rPr lang="en-US" sz="2000"/>
            <a:t>b = fit_lm$coefficients</a:t>
          </a:r>
        </a:p>
        <a:p>
          <a:r>
            <a:rPr lang="en-US" sz="2000"/>
            <a:t>abline(b['Speciesversicolor'],b['Speciesversicolor:Petal.Width']+b['Petal.Width'])</a:t>
          </a:r>
        </a:p>
        <a:p>
          <a:r>
            <a:rPr lang="en-US" sz="2000"/>
            <a:t>abline(b['Speciesvirginica'],b['Speciesvirginica:Petal.Width']+b['Petal.Width'])</a:t>
          </a:r>
        </a:p>
        <a:p>
          <a:r>
            <a:rPr lang="en-US" sz="2000"/>
            <a:t>abline(b['Speciessetosa'],b['Petal.Width'])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800100</xdr:colOff>
      <xdr:row>9</xdr:row>
      <xdr:rowOff>190500</xdr:rowOff>
    </xdr:from>
    <xdr:ext cx="74930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265278DC-0021-BA44-97A2-3F271B4D8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20193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11</xdr:row>
      <xdr:rowOff>0</xdr:rowOff>
    </xdr:from>
    <xdr:ext cx="2324100" cy="3492500"/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1D5131AC-4DBC-414C-8F76-54AFB521E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22352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79B380-2D0A-104D-940F-CEAA30506C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C1BEC266-1CEB-1745-B192-84520A0F25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B9397C5A-BD2E-3846-A270-DCC655BE5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C0C38B-AA9A-5049-B93F-2014DEDC6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1B31E2-F250-F14D-A720-64077BEB3A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KFb259Iqbycx5GIi7An0ohUHUvoMh1EY&amp;authuser=davethemovie%40gmail.com&amp;usp=drive_fs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DWHVzjHwUwyr5gfDlQWSNJX6af-Lx3j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CNO7gwTwBj-8EpEmmW69RC9obXSilBW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en.wikipedia.org/wiki/Precision_and_recall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en.wikipedia.org/wiki/Sensitivity_and_specificity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A1:C15"/>
  <sheetViews>
    <sheetView tabSelected="1" workbookViewId="0"/>
  </sheetViews>
  <sheetFormatPr baseColWidth="10" defaultRowHeight="26" x14ac:dyDescent="0.3"/>
  <cols>
    <col min="1" max="16384" width="10.83203125" style="1"/>
  </cols>
  <sheetData>
    <row r="1" spans="1:3" x14ac:dyDescent="0.3">
      <c r="A1" s="1" t="s">
        <v>238</v>
      </c>
    </row>
    <row r="3" spans="1:3" x14ac:dyDescent="0.3">
      <c r="B3" s="1" t="s">
        <v>3</v>
      </c>
    </row>
    <row r="4" spans="1:3" x14ac:dyDescent="0.3">
      <c r="C4" s="1" t="s">
        <v>181</v>
      </c>
    </row>
    <row r="5" spans="1:3" x14ac:dyDescent="0.3">
      <c r="C5" s="1" t="s">
        <v>182</v>
      </c>
    </row>
    <row r="7" spans="1:3" x14ac:dyDescent="0.3">
      <c r="B7" s="1" t="s">
        <v>4</v>
      </c>
    </row>
    <row r="8" spans="1:3" x14ac:dyDescent="0.3">
      <c r="C8" s="1" t="s">
        <v>183</v>
      </c>
    </row>
    <row r="9" spans="1:3" x14ac:dyDescent="0.3">
      <c r="C9" s="1" t="s">
        <v>184</v>
      </c>
    </row>
    <row r="11" spans="1:3" x14ac:dyDescent="0.3">
      <c r="B11" s="1" t="s">
        <v>13</v>
      </c>
    </row>
    <row r="12" spans="1:3" x14ac:dyDescent="0.3">
      <c r="C12" s="1" t="s">
        <v>185</v>
      </c>
    </row>
    <row r="14" spans="1:3" x14ac:dyDescent="0.3">
      <c r="B14" s="1" t="s">
        <v>113</v>
      </c>
    </row>
    <row r="15" spans="1:3" x14ac:dyDescent="0.3">
      <c r="C15" s="1" t="s">
        <v>186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5</v>
      </c>
    </row>
    <row r="4" spans="2:2" x14ac:dyDescent="0.3">
      <c r="B4" s="1" t="s">
        <v>6</v>
      </c>
    </row>
    <row r="6" spans="2:2" x14ac:dyDescent="0.3">
      <c r="B6" s="1" t="s">
        <v>7</v>
      </c>
    </row>
    <row r="8" spans="2:2" x14ac:dyDescent="0.3">
      <c r="B8" s="1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19</v>
      </c>
    </row>
    <row r="2" spans="1:1" x14ac:dyDescent="0.3">
      <c r="A2" s="1" t="s">
        <v>20</v>
      </c>
    </row>
    <row r="3" spans="1:1" x14ac:dyDescent="0.3">
      <c r="A3" s="1" t="s">
        <v>18</v>
      </c>
    </row>
    <row r="4" spans="1:1" x14ac:dyDescent="0.3">
      <c r="A4" s="1" t="s">
        <v>17</v>
      </c>
    </row>
    <row r="5" spans="1:1" x14ac:dyDescent="0.3">
      <c r="A5" s="1" t="s">
        <v>16</v>
      </c>
    </row>
    <row r="6" spans="1:1" x14ac:dyDescent="0.3">
      <c r="A6" s="1" t="s">
        <v>15</v>
      </c>
    </row>
    <row r="7" spans="1:1" x14ac:dyDescent="0.3">
      <c r="A7" s="1" t="s">
        <v>194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239</v>
      </c>
    </row>
  </sheetData>
  <hyperlinks>
    <hyperlink ref="A1" r:id="rId1" display="Setup" xr:uid="{609AAADD-BF1E-3F47-B22C-C95597AC3103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18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195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196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198</v>
      </c>
    </row>
    <row r="2" spans="1:1" x14ac:dyDescent="0.3">
      <c r="A2" s="6" t="s">
        <v>199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197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122</v>
      </c>
    </row>
    <row r="2" spans="1:1" x14ac:dyDescent="0.3">
      <c r="A2" s="1" t="s">
        <v>123</v>
      </c>
    </row>
    <row r="3" spans="1:1" x14ac:dyDescent="0.3">
      <c r="A3" s="1" t="s">
        <v>124</v>
      </c>
    </row>
    <row r="4" spans="1:1" x14ac:dyDescent="0.3">
      <c r="A4" s="1" t="s">
        <v>125</v>
      </c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122</v>
      </c>
    </row>
  </sheetData>
  <hyperlinks>
    <hyperlink ref="A1" r:id="rId1" xr:uid="{0D455476-1CBE-6349-9F99-F71F539EAA56}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10"/>
    <col min="2" max="2" width="20.83203125" style="10" bestFit="1" customWidth="1"/>
    <col min="3" max="16384" width="14.5" style="10"/>
  </cols>
  <sheetData>
    <row r="1" spans="1:11" x14ac:dyDescent="0.2">
      <c r="A1" s="9" t="s">
        <v>21</v>
      </c>
      <c r="B1" s="9" t="s">
        <v>22</v>
      </c>
      <c r="C1" s="9" t="s">
        <v>23</v>
      </c>
      <c r="D1" s="9" t="s">
        <v>24</v>
      </c>
      <c r="E1" s="9" t="s">
        <v>25</v>
      </c>
      <c r="F1" s="9" t="s">
        <v>26</v>
      </c>
      <c r="G1" s="9" t="s">
        <v>27</v>
      </c>
      <c r="H1" s="9" t="s">
        <v>28</v>
      </c>
      <c r="I1" s="9" t="s">
        <v>29</v>
      </c>
      <c r="J1" s="9" t="s">
        <v>30</v>
      </c>
      <c r="K1" s="9" t="s">
        <v>31</v>
      </c>
    </row>
    <row r="2" spans="1:11" x14ac:dyDescent="0.2">
      <c r="A2" s="9" t="s">
        <v>32</v>
      </c>
      <c r="B2" s="9" t="s">
        <v>33</v>
      </c>
      <c r="C2" s="9">
        <v>1.8</v>
      </c>
      <c r="D2" s="9">
        <v>1999</v>
      </c>
      <c r="E2" s="9">
        <v>4</v>
      </c>
      <c r="F2" s="9" t="s">
        <v>34</v>
      </c>
      <c r="G2" s="9" t="s">
        <v>35</v>
      </c>
      <c r="H2" s="9">
        <v>18</v>
      </c>
      <c r="I2" s="9">
        <v>29</v>
      </c>
      <c r="J2" s="9" t="s">
        <v>0</v>
      </c>
      <c r="K2" s="9" t="s">
        <v>36</v>
      </c>
    </row>
    <row r="3" spans="1:11" x14ac:dyDescent="0.2">
      <c r="A3" s="9" t="s">
        <v>32</v>
      </c>
      <c r="B3" s="9" t="s">
        <v>33</v>
      </c>
      <c r="C3" s="9">
        <v>1.8</v>
      </c>
      <c r="D3" s="9">
        <v>1999</v>
      </c>
      <c r="E3" s="9">
        <v>4</v>
      </c>
      <c r="F3" s="9" t="s">
        <v>37</v>
      </c>
      <c r="G3" s="9" t="s">
        <v>35</v>
      </c>
      <c r="H3" s="9">
        <v>21</v>
      </c>
      <c r="I3" s="9">
        <v>29</v>
      </c>
      <c r="J3" s="9" t="s">
        <v>0</v>
      </c>
      <c r="K3" s="9" t="s">
        <v>36</v>
      </c>
    </row>
    <row r="4" spans="1:11" x14ac:dyDescent="0.2">
      <c r="A4" s="9" t="s">
        <v>32</v>
      </c>
      <c r="B4" s="9" t="s">
        <v>33</v>
      </c>
      <c r="C4" s="9">
        <v>2</v>
      </c>
      <c r="D4" s="9">
        <v>2008</v>
      </c>
      <c r="E4" s="9">
        <v>4</v>
      </c>
      <c r="F4" s="9" t="s">
        <v>38</v>
      </c>
      <c r="G4" s="9" t="s">
        <v>35</v>
      </c>
      <c r="H4" s="9">
        <v>20</v>
      </c>
      <c r="I4" s="9">
        <v>31</v>
      </c>
      <c r="J4" s="9" t="s">
        <v>0</v>
      </c>
      <c r="K4" s="9" t="s">
        <v>36</v>
      </c>
    </row>
    <row r="5" spans="1:11" x14ac:dyDescent="0.2">
      <c r="A5" s="9" t="s">
        <v>32</v>
      </c>
      <c r="B5" s="9" t="s">
        <v>33</v>
      </c>
      <c r="C5" s="9">
        <v>2</v>
      </c>
      <c r="D5" s="9">
        <v>2008</v>
      </c>
      <c r="E5" s="9">
        <v>4</v>
      </c>
      <c r="F5" s="9" t="s">
        <v>39</v>
      </c>
      <c r="G5" s="9" t="s">
        <v>35</v>
      </c>
      <c r="H5" s="9">
        <v>21</v>
      </c>
      <c r="I5" s="9">
        <v>30</v>
      </c>
      <c r="J5" s="9" t="s">
        <v>0</v>
      </c>
      <c r="K5" s="9" t="s">
        <v>36</v>
      </c>
    </row>
    <row r="6" spans="1:11" x14ac:dyDescent="0.2">
      <c r="A6" s="9" t="s">
        <v>32</v>
      </c>
      <c r="B6" s="9" t="s">
        <v>33</v>
      </c>
      <c r="C6" s="9">
        <v>2.8</v>
      </c>
      <c r="D6" s="9">
        <v>1999</v>
      </c>
      <c r="E6" s="9">
        <v>6</v>
      </c>
      <c r="F6" s="9" t="s">
        <v>34</v>
      </c>
      <c r="G6" s="9" t="s">
        <v>35</v>
      </c>
      <c r="H6" s="9">
        <v>16</v>
      </c>
      <c r="I6" s="9">
        <v>26</v>
      </c>
      <c r="J6" s="9" t="s">
        <v>0</v>
      </c>
      <c r="K6" s="9" t="s">
        <v>36</v>
      </c>
    </row>
    <row r="7" spans="1:11" x14ac:dyDescent="0.2">
      <c r="A7" s="9" t="s">
        <v>32</v>
      </c>
      <c r="B7" s="9" t="s">
        <v>33</v>
      </c>
      <c r="C7" s="9">
        <v>2.8</v>
      </c>
      <c r="D7" s="9">
        <v>1999</v>
      </c>
      <c r="E7" s="9">
        <v>6</v>
      </c>
      <c r="F7" s="9" t="s">
        <v>37</v>
      </c>
      <c r="G7" s="9" t="s">
        <v>35</v>
      </c>
      <c r="H7" s="9">
        <v>18</v>
      </c>
      <c r="I7" s="9">
        <v>26</v>
      </c>
      <c r="J7" s="9" t="s">
        <v>0</v>
      </c>
      <c r="K7" s="9" t="s">
        <v>36</v>
      </c>
    </row>
    <row r="8" spans="1:11" x14ac:dyDescent="0.2">
      <c r="A8" s="9" t="s">
        <v>32</v>
      </c>
      <c r="B8" s="9" t="s">
        <v>33</v>
      </c>
      <c r="C8" s="9">
        <v>3.1</v>
      </c>
      <c r="D8" s="9">
        <v>2008</v>
      </c>
      <c r="E8" s="9">
        <v>6</v>
      </c>
      <c r="F8" s="9" t="s">
        <v>39</v>
      </c>
      <c r="G8" s="9" t="s">
        <v>35</v>
      </c>
      <c r="H8" s="9">
        <v>18</v>
      </c>
      <c r="I8" s="9">
        <v>27</v>
      </c>
      <c r="J8" s="9" t="s">
        <v>0</v>
      </c>
      <c r="K8" s="9" t="s">
        <v>36</v>
      </c>
    </row>
    <row r="9" spans="1:11" x14ac:dyDescent="0.2">
      <c r="A9" s="9" t="s">
        <v>32</v>
      </c>
      <c r="B9" s="9" t="s">
        <v>40</v>
      </c>
      <c r="C9" s="9">
        <v>1.8</v>
      </c>
      <c r="D9" s="9">
        <v>1999</v>
      </c>
      <c r="E9" s="9">
        <v>4</v>
      </c>
      <c r="F9" s="9" t="s">
        <v>37</v>
      </c>
      <c r="G9" s="9">
        <v>4</v>
      </c>
      <c r="H9" s="9">
        <v>18</v>
      </c>
      <c r="I9" s="9">
        <v>26</v>
      </c>
      <c r="J9" s="9" t="s">
        <v>0</v>
      </c>
      <c r="K9" s="9" t="s">
        <v>36</v>
      </c>
    </row>
    <row r="10" spans="1:11" x14ac:dyDescent="0.2">
      <c r="A10" s="9" t="s">
        <v>32</v>
      </c>
      <c r="B10" s="9" t="s">
        <v>40</v>
      </c>
      <c r="C10" s="9">
        <v>1.8</v>
      </c>
      <c r="D10" s="9">
        <v>1999</v>
      </c>
      <c r="E10" s="9">
        <v>4</v>
      </c>
      <c r="F10" s="9" t="s">
        <v>34</v>
      </c>
      <c r="G10" s="9">
        <v>4</v>
      </c>
      <c r="H10" s="9">
        <v>16</v>
      </c>
      <c r="I10" s="9">
        <v>25</v>
      </c>
      <c r="J10" s="9" t="s">
        <v>0</v>
      </c>
      <c r="K10" s="9" t="s">
        <v>36</v>
      </c>
    </row>
    <row r="11" spans="1:11" x14ac:dyDescent="0.2">
      <c r="A11" s="9" t="s">
        <v>32</v>
      </c>
      <c r="B11" s="9" t="s">
        <v>40</v>
      </c>
      <c r="C11" s="9">
        <v>2</v>
      </c>
      <c r="D11" s="9">
        <v>2008</v>
      </c>
      <c r="E11" s="9">
        <v>4</v>
      </c>
      <c r="F11" s="9" t="s">
        <v>38</v>
      </c>
      <c r="G11" s="9">
        <v>4</v>
      </c>
      <c r="H11" s="9">
        <v>20</v>
      </c>
      <c r="I11" s="9">
        <v>28</v>
      </c>
      <c r="J11" s="9" t="s">
        <v>0</v>
      </c>
      <c r="K11" s="9" t="s">
        <v>36</v>
      </c>
    </row>
    <row r="12" spans="1:11" x14ac:dyDescent="0.2">
      <c r="A12" s="9" t="s">
        <v>32</v>
      </c>
      <c r="B12" s="9" t="s">
        <v>40</v>
      </c>
      <c r="C12" s="9">
        <v>2</v>
      </c>
      <c r="D12" s="9">
        <v>2008</v>
      </c>
      <c r="E12" s="9">
        <v>4</v>
      </c>
      <c r="F12" s="9" t="s">
        <v>41</v>
      </c>
      <c r="G12" s="9">
        <v>4</v>
      </c>
      <c r="H12" s="9">
        <v>19</v>
      </c>
      <c r="I12" s="9">
        <v>27</v>
      </c>
      <c r="J12" s="9" t="s">
        <v>0</v>
      </c>
      <c r="K12" s="9" t="s">
        <v>36</v>
      </c>
    </row>
    <row r="13" spans="1:11" x14ac:dyDescent="0.2">
      <c r="A13" s="9" t="s">
        <v>32</v>
      </c>
      <c r="B13" s="9" t="s">
        <v>40</v>
      </c>
      <c r="C13" s="9">
        <v>2.8</v>
      </c>
      <c r="D13" s="9">
        <v>1999</v>
      </c>
      <c r="E13" s="9">
        <v>6</v>
      </c>
      <c r="F13" s="9" t="s">
        <v>34</v>
      </c>
      <c r="G13" s="9">
        <v>4</v>
      </c>
      <c r="H13" s="9">
        <v>15</v>
      </c>
      <c r="I13" s="9">
        <v>25</v>
      </c>
      <c r="J13" s="9" t="s">
        <v>0</v>
      </c>
      <c r="K13" s="9" t="s">
        <v>36</v>
      </c>
    </row>
    <row r="14" spans="1:11" x14ac:dyDescent="0.2">
      <c r="A14" s="9" t="s">
        <v>32</v>
      </c>
      <c r="B14" s="9" t="s">
        <v>40</v>
      </c>
      <c r="C14" s="9">
        <v>2.8</v>
      </c>
      <c r="D14" s="9">
        <v>1999</v>
      </c>
      <c r="E14" s="9">
        <v>6</v>
      </c>
      <c r="F14" s="9" t="s">
        <v>37</v>
      </c>
      <c r="G14" s="9">
        <v>4</v>
      </c>
      <c r="H14" s="9">
        <v>17</v>
      </c>
      <c r="I14" s="9">
        <v>25</v>
      </c>
      <c r="J14" s="9" t="s">
        <v>0</v>
      </c>
      <c r="K14" s="9" t="s">
        <v>36</v>
      </c>
    </row>
    <row r="15" spans="1:11" x14ac:dyDescent="0.2">
      <c r="A15" s="9" t="s">
        <v>32</v>
      </c>
      <c r="B15" s="9" t="s">
        <v>40</v>
      </c>
      <c r="C15" s="9">
        <v>3.1</v>
      </c>
      <c r="D15" s="9">
        <v>2008</v>
      </c>
      <c r="E15" s="9">
        <v>6</v>
      </c>
      <c r="F15" s="9" t="s">
        <v>41</v>
      </c>
      <c r="G15" s="9">
        <v>4</v>
      </c>
      <c r="H15" s="9">
        <v>17</v>
      </c>
      <c r="I15" s="9">
        <v>25</v>
      </c>
      <c r="J15" s="9" t="s">
        <v>0</v>
      </c>
      <c r="K15" s="9" t="s">
        <v>36</v>
      </c>
    </row>
    <row r="16" spans="1:11" x14ac:dyDescent="0.2">
      <c r="A16" s="9" t="s">
        <v>32</v>
      </c>
      <c r="B16" s="9" t="s">
        <v>40</v>
      </c>
      <c r="C16" s="9">
        <v>3.1</v>
      </c>
      <c r="D16" s="9">
        <v>2008</v>
      </c>
      <c r="E16" s="9">
        <v>6</v>
      </c>
      <c r="F16" s="9" t="s">
        <v>38</v>
      </c>
      <c r="G16" s="9">
        <v>4</v>
      </c>
      <c r="H16" s="9">
        <v>15</v>
      </c>
      <c r="I16" s="9">
        <v>25</v>
      </c>
      <c r="J16" s="9" t="s">
        <v>0</v>
      </c>
      <c r="K16" s="9" t="s">
        <v>36</v>
      </c>
    </row>
    <row r="17" spans="1:11" x14ac:dyDescent="0.2">
      <c r="A17" s="9" t="s">
        <v>32</v>
      </c>
      <c r="B17" s="9" t="s">
        <v>42</v>
      </c>
      <c r="C17" s="9">
        <v>2.8</v>
      </c>
      <c r="D17" s="9">
        <v>1999</v>
      </c>
      <c r="E17" s="9">
        <v>6</v>
      </c>
      <c r="F17" s="9" t="s">
        <v>34</v>
      </c>
      <c r="G17" s="9">
        <v>4</v>
      </c>
      <c r="H17" s="9">
        <v>15</v>
      </c>
      <c r="I17" s="9">
        <v>24</v>
      </c>
      <c r="J17" s="9" t="s">
        <v>0</v>
      </c>
      <c r="K17" s="9" t="s">
        <v>43</v>
      </c>
    </row>
    <row r="18" spans="1:11" x14ac:dyDescent="0.2">
      <c r="A18" s="9" t="s">
        <v>32</v>
      </c>
      <c r="B18" s="9" t="s">
        <v>42</v>
      </c>
      <c r="C18" s="9">
        <v>3.1</v>
      </c>
      <c r="D18" s="9">
        <v>2008</v>
      </c>
      <c r="E18" s="9">
        <v>6</v>
      </c>
      <c r="F18" s="9" t="s">
        <v>41</v>
      </c>
      <c r="G18" s="9">
        <v>4</v>
      </c>
      <c r="H18" s="9">
        <v>17</v>
      </c>
      <c r="I18" s="9">
        <v>25</v>
      </c>
      <c r="J18" s="9" t="s">
        <v>0</v>
      </c>
      <c r="K18" s="9" t="s">
        <v>43</v>
      </c>
    </row>
    <row r="19" spans="1:11" x14ac:dyDescent="0.2">
      <c r="A19" s="9" t="s">
        <v>32</v>
      </c>
      <c r="B19" s="9" t="s">
        <v>42</v>
      </c>
      <c r="C19" s="9">
        <v>4.2</v>
      </c>
      <c r="D19" s="9">
        <v>2008</v>
      </c>
      <c r="E19" s="9">
        <v>8</v>
      </c>
      <c r="F19" s="9" t="s">
        <v>41</v>
      </c>
      <c r="G19" s="9">
        <v>4</v>
      </c>
      <c r="H19" s="9">
        <v>16</v>
      </c>
      <c r="I19" s="9">
        <v>23</v>
      </c>
      <c r="J19" s="9" t="s">
        <v>0</v>
      </c>
      <c r="K19" s="9" t="s">
        <v>43</v>
      </c>
    </row>
    <row r="20" spans="1:11" x14ac:dyDescent="0.2">
      <c r="A20" s="9" t="s">
        <v>44</v>
      </c>
      <c r="B20" s="9" t="s">
        <v>45</v>
      </c>
      <c r="C20" s="9">
        <v>5.3</v>
      </c>
      <c r="D20" s="9">
        <v>2008</v>
      </c>
      <c r="E20" s="9">
        <v>8</v>
      </c>
      <c r="F20" s="9" t="s">
        <v>46</v>
      </c>
      <c r="G20" s="9" t="s">
        <v>47</v>
      </c>
      <c r="H20" s="9">
        <v>14</v>
      </c>
      <c r="I20" s="9">
        <v>20</v>
      </c>
      <c r="J20" s="9" t="s">
        <v>47</v>
      </c>
      <c r="K20" s="9" t="s">
        <v>48</v>
      </c>
    </row>
    <row r="21" spans="1:11" x14ac:dyDescent="0.2">
      <c r="A21" s="9" t="s">
        <v>44</v>
      </c>
      <c r="B21" s="9" t="s">
        <v>45</v>
      </c>
      <c r="C21" s="9">
        <v>5.3</v>
      </c>
      <c r="D21" s="9">
        <v>2008</v>
      </c>
      <c r="E21" s="9">
        <v>8</v>
      </c>
      <c r="F21" s="9" t="s">
        <v>46</v>
      </c>
      <c r="G21" s="9" t="s">
        <v>47</v>
      </c>
      <c r="H21" s="9">
        <v>11</v>
      </c>
      <c r="I21" s="9">
        <v>15</v>
      </c>
      <c r="J21" s="9" t="s">
        <v>49</v>
      </c>
      <c r="K21" s="9" t="s">
        <v>48</v>
      </c>
    </row>
    <row r="22" spans="1:11" x14ac:dyDescent="0.2">
      <c r="A22" s="9" t="s">
        <v>44</v>
      </c>
      <c r="B22" s="9" t="s">
        <v>45</v>
      </c>
      <c r="C22" s="9">
        <v>5.3</v>
      </c>
      <c r="D22" s="9">
        <v>2008</v>
      </c>
      <c r="E22" s="9">
        <v>8</v>
      </c>
      <c r="F22" s="9" t="s">
        <v>46</v>
      </c>
      <c r="G22" s="9" t="s">
        <v>47</v>
      </c>
      <c r="H22" s="9">
        <v>14</v>
      </c>
      <c r="I22" s="9">
        <v>20</v>
      </c>
      <c r="J22" s="9" t="s">
        <v>47</v>
      </c>
      <c r="K22" s="9" t="s">
        <v>48</v>
      </c>
    </row>
    <row r="23" spans="1:11" x14ac:dyDescent="0.2">
      <c r="A23" s="9" t="s">
        <v>44</v>
      </c>
      <c r="B23" s="9" t="s">
        <v>45</v>
      </c>
      <c r="C23" s="9">
        <v>5.7</v>
      </c>
      <c r="D23" s="9">
        <v>1999</v>
      </c>
      <c r="E23" s="9">
        <v>8</v>
      </c>
      <c r="F23" s="9" t="s">
        <v>46</v>
      </c>
      <c r="G23" s="9" t="s">
        <v>47</v>
      </c>
      <c r="H23" s="9">
        <v>13</v>
      </c>
      <c r="I23" s="9">
        <v>17</v>
      </c>
      <c r="J23" s="9" t="s">
        <v>47</v>
      </c>
      <c r="K23" s="9" t="s">
        <v>48</v>
      </c>
    </row>
    <row r="24" spans="1:11" x14ac:dyDescent="0.2">
      <c r="A24" s="9" t="s">
        <v>44</v>
      </c>
      <c r="B24" s="9" t="s">
        <v>45</v>
      </c>
      <c r="C24" s="9">
        <v>6</v>
      </c>
      <c r="D24" s="9">
        <v>2008</v>
      </c>
      <c r="E24" s="9">
        <v>8</v>
      </c>
      <c r="F24" s="9" t="s">
        <v>46</v>
      </c>
      <c r="G24" s="9" t="s">
        <v>47</v>
      </c>
      <c r="H24" s="9">
        <v>12</v>
      </c>
      <c r="I24" s="9">
        <v>17</v>
      </c>
      <c r="J24" s="9" t="s">
        <v>47</v>
      </c>
      <c r="K24" s="9" t="s">
        <v>48</v>
      </c>
    </row>
    <row r="25" spans="1:11" x14ac:dyDescent="0.2">
      <c r="A25" s="9" t="s">
        <v>44</v>
      </c>
      <c r="B25" s="9" t="s">
        <v>50</v>
      </c>
      <c r="C25" s="9">
        <v>5.7</v>
      </c>
      <c r="D25" s="9">
        <v>1999</v>
      </c>
      <c r="E25" s="9">
        <v>8</v>
      </c>
      <c r="F25" s="9" t="s">
        <v>38</v>
      </c>
      <c r="G25" s="9" t="s">
        <v>47</v>
      </c>
      <c r="H25" s="9">
        <v>16</v>
      </c>
      <c r="I25" s="9">
        <v>26</v>
      </c>
      <c r="J25" s="9" t="s">
        <v>0</v>
      </c>
      <c r="K25" s="9" t="s">
        <v>51</v>
      </c>
    </row>
    <row r="26" spans="1:11" x14ac:dyDescent="0.2">
      <c r="A26" s="9" t="s">
        <v>44</v>
      </c>
      <c r="B26" s="9" t="s">
        <v>50</v>
      </c>
      <c r="C26" s="9">
        <v>5.7</v>
      </c>
      <c r="D26" s="9">
        <v>1999</v>
      </c>
      <c r="E26" s="9">
        <v>8</v>
      </c>
      <c r="F26" s="9" t="s">
        <v>46</v>
      </c>
      <c r="G26" s="9" t="s">
        <v>47</v>
      </c>
      <c r="H26" s="9">
        <v>15</v>
      </c>
      <c r="I26" s="9">
        <v>23</v>
      </c>
      <c r="J26" s="9" t="s">
        <v>0</v>
      </c>
      <c r="K26" s="9" t="s">
        <v>51</v>
      </c>
    </row>
    <row r="27" spans="1:11" x14ac:dyDescent="0.2">
      <c r="A27" s="9" t="s">
        <v>44</v>
      </c>
      <c r="B27" s="9" t="s">
        <v>50</v>
      </c>
      <c r="C27" s="9">
        <v>6.2</v>
      </c>
      <c r="D27" s="9">
        <v>2008</v>
      </c>
      <c r="E27" s="9">
        <v>8</v>
      </c>
      <c r="F27" s="9" t="s">
        <v>38</v>
      </c>
      <c r="G27" s="9" t="s">
        <v>47</v>
      </c>
      <c r="H27" s="9">
        <v>16</v>
      </c>
      <c r="I27" s="9">
        <v>26</v>
      </c>
      <c r="J27" s="9" t="s">
        <v>0</v>
      </c>
      <c r="K27" s="9" t="s">
        <v>51</v>
      </c>
    </row>
    <row r="28" spans="1:11" x14ac:dyDescent="0.2">
      <c r="A28" s="9" t="s">
        <v>44</v>
      </c>
      <c r="B28" s="9" t="s">
        <v>50</v>
      </c>
      <c r="C28" s="9">
        <v>6.2</v>
      </c>
      <c r="D28" s="9">
        <v>2008</v>
      </c>
      <c r="E28" s="9">
        <v>8</v>
      </c>
      <c r="F28" s="9" t="s">
        <v>41</v>
      </c>
      <c r="G28" s="9" t="s">
        <v>47</v>
      </c>
      <c r="H28" s="9">
        <v>15</v>
      </c>
      <c r="I28" s="9">
        <v>25</v>
      </c>
      <c r="J28" s="9" t="s">
        <v>0</v>
      </c>
      <c r="K28" s="9" t="s">
        <v>51</v>
      </c>
    </row>
    <row r="29" spans="1:11" x14ac:dyDescent="0.2">
      <c r="A29" s="9" t="s">
        <v>44</v>
      </c>
      <c r="B29" s="9" t="s">
        <v>50</v>
      </c>
      <c r="C29" s="9">
        <v>7</v>
      </c>
      <c r="D29" s="9">
        <v>2008</v>
      </c>
      <c r="E29" s="9">
        <v>8</v>
      </c>
      <c r="F29" s="9" t="s">
        <v>38</v>
      </c>
      <c r="G29" s="9" t="s">
        <v>47</v>
      </c>
      <c r="H29" s="9">
        <v>15</v>
      </c>
      <c r="I29" s="9">
        <v>24</v>
      </c>
      <c r="J29" s="9" t="s">
        <v>0</v>
      </c>
      <c r="K29" s="9" t="s">
        <v>51</v>
      </c>
    </row>
    <row r="30" spans="1:11" x14ac:dyDescent="0.2">
      <c r="A30" s="9" t="s">
        <v>44</v>
      </c>
      <c r="B30" s="9" t="s">
        <v>52</v>
      </c>
      <c r="C30" s="9">
        <v>5.3</v>
      </c>
      <c r="D30" s="9">
        <v>2008</v>
      </c>
      <c r="E30" s="9">
        <v>8</v>
      </c>
      <c r="F30" s="9" t="s">
        <v>46</v>
      </c>
      <c r="G30" s="9">
        <v>4</v>
      </c>
      <c r="H30" s="9">
        <v>14</v>
      </c>
      <c r="I30" s="9">
        <v>19</v>
      </c>
      <c r="J30" s="9" t="s">
        <v>47</v>
      </c>
      <c r="K30" s="9" t="s">
        <v>48</v>
      </c>
    </row>
    <row r="31" spans="1:11" x14ac:dyDescent="0.2">
      <c r="A31" s="9" t="s">
        <v>44</v>
      </c>
      <c r="B31" s="9" t="s">
        <v>52</v>
      </c>
      <c r="C31" s="9">
        <v>5.3</v>
      </c>
      <c r="D31" s="9">
        <v>2008</v>
      </c>
      <c r="E31" s="9">
        <v>8</v>
      </c>
      <c r="F31" s="9" t="s">
        <v>46</v>
      </c>
      <c r="G31" s="9">
        <v>4</v>
      </c>
      <c r="H31" s="9">
        <v>11</v>
      </c>
      <c r="I31" s="9">
        <v>14</v>
      </c>
      <c r="J31" s="9" t="s">
        <v>49</v>
      </c>
      <c r="K31" s="9" t="s">
        <v>48</v>
      </c>
    </row>
    <row r="32" spans="1:11" x14ac:dyDescent="0.2">
      <c r="A32" s="9" t="s">
        <v>44</v>
      </c>
      <c r="B32" s="9" t="s">
        <v>52</v>
      </c>
      <c r="C32" s="9">
        <v>5.7</v>
      </c>
      <c r="D32" s="9">
        <v>1999</v>
      </c>
      <c r="E32" s="9">
        <v>8</v>
      </c>
      <c r="F32" s="9" t="s">
        <v>46</v>
      </c>
      <c r="G32" s="9">
        <v>4</v>
      </c>
      <c r="H32" s="9">
        <v>11</v>
      </c>
      <c r="I32" s="9">
        <v>15</v>
      </c>
      <c r="J32" s="9" t="s">
        <v>47</v>
      </c>
      <c r="K32" s="9" t="s">
        <v>48</v>
      </c>
    </row>
    <row r="33" spans="1:11" x14ac:dyDescent="0.2">
      <c r="A33" s="9" t="s">
        <v>44</v>
      </c>
      <c r="B33" s="9" t="s">
        <v>52</v>
      </c>
      <c r="C33" s="9">
        <v>6.5</v>
      </c>
      <c r="D33" s="9">
        <v>1999</v>
      </c>
      <c r="E33" s="9">
        <v>8</v>
      </c>
      <c r="F33" s="9" t="s">
        <v>46</v>
      </c>
      <c r="G33" s="9">
        <v>4</v>
      </c>
      <c r="H33" s="9">
        <v>14</v>
      </c>
      <c r="I33" s="9">
        <v>17</v>
      </c>
      <c r="J33" s="9" t="s">
        <v>53</v>
      </c>
      <c r="K33" s="9" t="s">
        <v>48</v>
      </c>
    </row>
    <row r="34" spans="1:11" x14ac:dyDescent="0.2">
      <c r="A34" s="9" t="s">
        <v>44</v>
      </c>
      <c r="B34" s="9" t="s">
        <v>54</v>
      </c>
      <c r="C34" s="9">
        <v>2.4</v>
      </c>
      <c r="D34" s="9">
        <v>1999</v>
      </c>
      <c r="E34" s="9">
        <v>4</v>
      </c>
      <c r="F34" s="9" t="s">
        <v>46</v>
      </c>
      <c r="G34" s="9" t="s">
        <v>35</v>
      </c>
      <c r="H34" s="9">
        <v>19</v>
      </c>
      <c r="I34" s="9">
        <v>27</v>
      </c>
      <c r="J34" s="9" t="s">
        <v>47</v>
      </c>
      <c r="K34" s="9" t="s">
        <v>43</v>
      </c>
    </row>
    <row r="35" spans="1:11" x14ac:dyDescent="0.2">
      <c r="A35" s="9" t="s">
        <v>44</v>
      </c>
      <c r="B35" s="9" t="s">
        <v>54</v>
      </c>
      <c r="C35" s="9">
        <v>2.4</v>
      </c>
      <c r="D35" s="9">
        <v>2008</v>
      </c>
      <c r="E35" s="9">
        <v>4</v>
      </c>
      <c r="F35" s="9" t="s">
        <v>46</v>
      </c>
      <c r="G35" s="9" t="s">
        <v>35</v>
      </c>
      <c r="H35" s="9">
        <v>22</v>
      </c>
      <c r="I35" s="9">
        <v>30</v>
      </c>
      <c r="J35" s="9" t="s">
        <v>47</v>
      </c>
      <c r="K35" s="9" t="s">
        <v>43</v>
      </c>
    </row>
    <row r="36" spans="1:11" x14ac:dyDescent="0.2">
      <c r="A36" s="9" t="s">
        <v>44</v>
      </c>
      <c r="B36" s="9" t="s">
        <v>54</v>
      </c>
      <c r="C36" s="9">
        <v>3.1</v>
      </c>
      <c r="D36" s="9">
        <v>1999</v>
      </c>
      <c r="E36" s="9">
        <v>6</v>
      </c>
      <c r="F36" s="9" t="s">
        <v>46</v>
      </c>
      <c r="G36" s="9" t="s">
        <v>35</v>
      </c>
      <c r="H36" s="9">
        <v>18</v>
      </c>
      <c r="I36" s="9">
        <v>26</v>
      </c>
      <c r="J36" s="9" t="s">
        <v>47</v>
      </c>
      <c r="K36" s="9" t="s">
        <v>43</v>
      </c>
    </row>
    <row r="37" spans="1:11" x14ac:dyDescent="0.2">
      <c r="A37" s="9" t="s">
        <v>44</v>
      </c>
      <c r="B37" s="9" t="s">
        <v>54</v>
      </c>
      <c r="C37" s="9">
        <v>3.5</v>
      </c>
      <c r="D37" s="9">
        <v>2008</v>
      </c>
      <c r="E37" s="9">
        <v>6</v>
      </c>
      <c r="F37" s="9" t="s">
        <v>46</v>
      </c>
      <c r="G37" s="9" t="s">
        <v>35</v>
      </c>
      <c r="H37" s="9">
        <v>18</v>
      </c>
      <c r="I37" s="9">
        <v>29</v>
      </c>
      <c r="J37" s="9" t="s">
        <v>47</v>
      </c>
      <c r="K37" s="9" t="s">
        <v>43</v>
      </c>
    </row>
    <row r="38" spans="1:11" x14ac:dyDescent="0.2">
      <c r="A38" s="9" t="s">
        <v>44</v>
      </c>
      <c r="B38" s="9" t="s">
        <v>54</v>
      </c>
      <c r="C38" s="9">
        <v>3.6</v>
      </c>
      <c r="D38" s="9">
        <v>2008</v>
      </c>
      <c r="E38" s="9">
        <v>6</v>
      </c>
      <c r="F38" s="9" t="s">
        <v>41</v>
      </c>
      <c r="G38" s="9" t="s">
        <v>35</v>
      </c>
      <c r="H38" s="9">
        <v>17</v>
      </c>
      <c r="I38" s="9">
        <v>26</v>
      </c>
      <c r="J38" s="9" t="s">
        <v>47</v>
      </c>
      <c r="K38" s="9" t="s">
        <v>43</v>
      </c>
    </row>
    <row r="39" spans="1:11" x14ac:dyDescent="0.2">
      <c r="A39" s="9" t="s">
        <v>55</v>
      </c>
      <c r="B39" s="9" t="s">
        <v>56</v>
      </c>
      <c r="C39" s="9">
        <v>2.4</v>
      </c>
      <c r="D39" s="9">
        <v>1999</v>
      </c>
      <c r="E39" s="9">
        <v>4</v>
      </c>
      <c r="F39" s="9" t="s">
        <v>57</v>
      </c>
      <c r="G39" s="9" t="s">
        <v>35</v>
      </c>
      <c r="H39" s="9">
        <v>18</v>
      </c>
      <c r="I39" s="9">
        <v>24</v>
      </c>
      <c r="J39" s="9" t="s">
        <v>47</v>
      </c>
      <c r="K39" s="9" t="s">
        <v>58</v>
      </c>
    </row>
    <row r="40" spans="1:11" x14ac:dyDescent="0.2">
      <c r="A40" s="9" t="s">
        <v>55</v>
      </c>
      <c r="B40" s="9" t="s">
        <v>56</v>
      </c>
      <c r="C40" s="9">
        <v>3</v>
      </c>
      <c r="D40" s="9">
        <v>1999</v>
      </c>
      <c r="E40" s="9">
        <v>6</v>
      </c>
      <c r="F40" s="9" t="s">
        <v>46</v>
      </c>
      <c r="G40" s="9" t="s">
        <v>35</v>
      </c>
      <c r="H40" s="9">
        <v>17</v>
      </c>
      <c r="I40" s="9">
        <v>24</v>
      </c>
      <c r="J40" s="9" t="s">
        <v>47</v>
      </c>
      <c r="K40" s="9" t="s">
        <v>58</v>
      </c>
    </row>
    <row r="41" spans="1:11" x14ac:dyDescent="0.2">
      <c r="A41" s="9" t="s">
        <v>55</v>
      </c>
      <c r="B41" s="9" t="s">
        <v>56</v>
      </c>
      <c r="C41" s="9">
        <v>3.3</v>
      </c>
      <c r="D41" s="9">
        <v>1999</v>
      </c>
      <c r="E41" s="9">
        <v>6</v>
      </c>
      <c r="F41" s="9" t="s">
        <v>46</v>
      </c>
      <c r="G41" s="9" t="s">
        <v>35</v>
      </c>
      <c r="H41" s="9">
        <v>16</v>
      </c>
      <c r="I41" s="9">
        <v>22</v>
      </c>
      <c r="J41" s="9" t="s">
        <v>47</v>
      </c>
      <c r="K41" s="9" t="s">
        <v>58</v>
      </c>
    </row>
    <row r="42" spans="1:11" x14ac:dyDescent="0.2">
      <c r="A42" s="9" t="s">
        <v>55</v>
      </c>
      <c r="B42" s="9" t="s">
        <v>56</v>
      </c>
      <c r="C42" s="9">
        <v>3.3</v>
      </c>
      <c r="D42" s="9">
        <v>1999</v>
      </c>
      <c r="E42" s="9">
        <v>6</v>
      </c>
      <c r="F42" s="9" t="s">
        <v>46</v>
      </c>
      <c r="G42" s="9" t="s">
        <v>35</v>
      </c>
      <c r="H42" s="9">
        <v>16</v>
      </c>
      <c r="I42" s="9">
        <v>22</v>
      </c>
      <c r="J42" s="9" t="s">
        <v>47</v>
      </c>
      <c r="K42" s="9" t="s">
        <v>58</v>
      </c>
    </row>
    <row r="43" spans="1:11" x14ac:dyDescent="0.2">
      <c r="A43" s="9" t="s">
        <v>55</v>
      </c>
      <c r="B43" s="9" t="s">
        <v>56</v>
      </c>
      <c r="C43" s="9">
        <v>3.3</v>
      </c>
      <c r="D43" s="9">
        <v>2008</v>
      </c>
      <c r="E43" s="9">
        <v>6</v>
      </c>
      <c r="F43" s="9" t="s">
        <v>46</v>
      </c>
      <c r="G43" s="9" t="s">
        <v>35</v>
      </c>
      <c r="H43" s="9">
        <v>17</v>
      </c>
      <c r="I43" s="9">
        <v>24</v>
      </c>
      <c r="J43" s="9" t="s">
        <v>47</v>
      </c>
      <c r="K43" s="9" t="s">
        <v>58</v>
      </c>
    </row>
    <row r="44" spans="1:11" x14ac:dyDescent="0.2">
      <c r="A44" s="9" t="s">
        <v>55</v>
      </c>
      <c r="B44" s="9" t="s">
        <v>56</v>
      </c>
      <c r="C44" s="9">
        <v>3.3</v>
      </c>
      <c r="D44" s="9">
        <v>2008</v>
      </c>
      <c r="E44" s="9">
        <v>6</v>
      </c>
      <c r="F44" s="9" t="s">
        <v>46</v>
      </c>
      <c r="G44" s="9" t="s">
        <v>35</v>
      </c>
      <c r="H44" s="9">
        <v>17</v>
      </c>
      <c r="I44" s="9">
        <v>24</v>
      </c>
      <c r="J44" s="9" t="s">
        <v>47</v>
      </c>
      <c r="K44" s="9" t="s">
        <v>58</v>
      </c>
    </row>
    <row r="45" spans="1:11" x14ac:dyDescent="0.2">
      <c r="A45" s="9" t="s">
        <v>55</v>
      </c>
      <c r="B45" s="9" t="s">
        <v>56</v>
      </c>
      <c r="C45" s="9">
        <v>3.3</v>
      </c>
      <c r="D45" s="9">
        <v>2008</v>
      </c>
      <c r="E45" s="9">
        <v>6</v>
      </c>
      <c r="F45" s="9" t="s">
        <v>46</v>
      </c>
      <c r="G45" s="9" t="s">
        <v>35</v>
      </c>
      <c r="H45" s="9">
        <v>11</v>
      </c>
      <c r="I45" s="9">
        <v>17</v>
      </c>
      <c r="J45" s="9" t="s">
        <v>49</v>
      </c>
      <c r="K45" s="9" t="s">
        <v>58</v>
      </c>
    </row>
    <row r="46" spans="1:11" x14ac:dyDescent="0.2">
      <c r="A46" s="9" t="s">
        <v>55</v>
      </c>
      <c r="B46" s="9" t="s">
        <v>56</v>
      </c>
      <c r="C46" s="9">
        <v>3.8</v>
      </c>
      <c r="D46" s="9">
        <v>1999</v>
      </c>
      <c r="E46" s="9">
        <v>6</v>
      </c>
      <c r="F46" s="9" t="s">
        <v>46</v>
      </c>
      <c r="G46" s="9" t="s">
        <v>35</v>
      </c>
      <c r="H46" s="9">
        <v>15</v>
      </c>
      <c r="I46" s="9">
        <v>22</v>
      </c>
      <c r="J46" s="9" t="s">
        <v>47</v>
      </c>
      <c r="K46" s="9" t="s">
        <v>58</v>
      </c>
    </row>
    <row r="47" spans="1:11" x14ac:dyDescent="0.2">
      <c r="A47" s="9" t="s">
        <v>55</v>
      </c>
      <c r="B47" s="9" t="s">
        <v>56</v>
      </c>
      <c r="C47" s="9">
        <v>3.8</v>
      </c>
      <c r="D47" s="9">
        <v>1999</v>
      </c>
      <c r="E47" s="9">
        <v>6</v>
      </c>
      <c r="F47" s="9" t="s">
        <v>46</v>
      </c>
      <c r="G47" s="9" t="s">
        <v>35</v>
      </c>
      <c r="H47" s="9">
        <v>15</v>
      </c>
      <c r="I47" s="9">
        <v>21</v>
      </c>
      <c r="J47" s="9" t="s">
        <v>47</v>
      </c>
      <c r="K47" s="9" t="s">
        <v>58</v>
      </c>
    </row>
    <row r="48" spans="1:11" x14ac:dyDescent="0.2">
      <c r="A48" s="9" t="s">
        <v>55</v>
      </c>
      <c r="B48" s="9" t="s">
        <v>56</v>
      </c>
      <c r="C48" s="9">
        <v>3.8</v>
      </c>
      <c r="D48" s="9">
        <v>2008</v>
      </c>
      <c r="E48" s="9">
        <v>6</v>
      </c>
      <c r="F48" s="9" t="s">
        <v>59</v>
      </c>
      <c r="G48" s="9" t="s">
        <v>35</v>
      </c>
      <c r="H48" s="9">
        <v>16</v>
      </c>
      <c r="I48" s="9">
        <v>23</v>
      </c>
      <c r="J48" s="9" t="s">
        <v>47</v>
      </c>
      <c r="K48" s="9" t="s">
        <v>58</v>
      </c>
    </row>
    <row r="49" spans="1:11" x14ac:dyDescent="0.2">
      <c r="A49" s="9" t="s">
        <v>55</v>
      </c>
      <c r="B49" s="9" t="s">
        <v>56</v>
      </c>
      <c r="C49" s="9">
        <v>4</v>
      </c>
      <c r="D49" s="9">
        <v>2008</v>
      </c>
      <c r="E49" s="9">
        <v>6</v>
      </c>
      <c r="F49" s="9" t="s">
        <v>59</v>
      </c>
      <c r="G49" s="9" t="s">
        <v>35</v>
      </c>
      <c r="H49" s="9">
        <v>16</v>
      </c>
      <c r="I49" s="9">
        <v>23</v>
      </c>
      <c r="J49" s="9" t="s">
        <v>47</v>
      </c>
      <c r="K49" s="9" t="s">
        <v>58</v>
      </c>
    </row>
    <row r="50" spans="1:11" x14ac:dyDescent="0.2">
      <c r="A50" s="9" t="s">
        <v>55</v>
      </c>
      <c r="B50" s="9" t="s">
        <v>60</v>
      </c>
      <c r="C50" s="9">
        <v>3.7</v>
      </c>
      <c r="D50" s="9">
        <v>2008</v>
      </c>
      <c r="E50" s="9">
        <v>6</v>
      </c>
      <c r="F50" s="9" t="s">
        <v>38</v>
      </c>
      <c r="G50" s="9">
        <v>4</v>
      </c>
      <c r="H50" s="9">
        <v>15</v>
      </c>
      <c r="I50" s="9">
        <v>19</v>
      </c>
      <c r="J50" s="9" t="s">
        <v>47</v>
      </c>
      <c r="K50" s="9" t="s">
        <v>61</v>
      </c>
    </row>
    <row r="51" spans="1:11" x14ac:dyDescent="0.2">
      <c r="A51" s="9" t="s">
        <v>55</v>
      </c>
      <c r="B51" s="9" t="s">
        <v>60</v>
      </c>
      <c r="C51" s="9">
        <v>3.7</v>
      </c>
      <c r="D51" s="9">
        <v>2008</v>
      </c>
      <c r="E51" s="9">
        <v>6</v>
      </c>
      <c r="F51" s="9" t="s">
        <v>46</v>
      </c>
      <c r="G51" s="9">
        <v>4</v>
      </c>
      <c r="H51" s="9">
        <v>14</v>
      </c>
      <c r="I51" s="9">
        <v>18</v>
      </c>
      <c r="J51" s="9" t="s">
        <v>47</v>
      </c>
      <c r="K51" s="9" t="s">
        <v>61</v>
      </c>
    </row>
    <row r="52" spans="1:11" x14ac:dyDescent="0.2">
      <c r="A52" s="9" t="s">
        <v>55</v>
      </c>
      <c r="B52" s="9" t="s">
        <v>60</v>
      </c>
      <c r="C52" s="9">
        <v>3.9</v>
      </c>
      <c r="D52" s="9">
        <v>1999</v>
      </c>
      <c r="E52" s="9">
        <v>6</v>
      </c>
      <c r="F52" s="9" t="s">
        <v>46</v>
      </c>
      <c r="G52" s="9">
        <v>4</v>
      </c>
      <c r="H52" s="9">
        <v>13</v>
      </c>
      <c r="I52" s="9">
        <v>17</v>
      </c>
      <c r="J52" s="9" t="s">
        <v>47</v>
      </c>
      <c r="K52" s="9" t="s">
        <v>61</v>
      </c>
    </row>
    <row r="53" spans="1:11" x14ac:dyDescent="0.2">
      <c r="A53" s="9" t="s">
        <v>55</v>
      </c>
      <c r="B53" s="9" t="s">
        <v>60</v>
      </c>
      <c r="C53" s="9">
        <v>3.9</v>
      </c>
      <c r="D53" s="9">
        <v>1999</v>
      </c>
      <c r="E53" s="9">
        <v>6</v>
      </c>
      <c r="F53" s="9" t="s">
        <v>37</v>
      </c>
      <c r="G53" s="9">
        <v>4</v>
      </c>
      <c r="H53" s="9">
        <v>14</v>
      </c>
      <c r="I53" s="9">
        <v>17</v>
      </c>
      <c r="J53" s="9" t="s">
        <v>47</v>
      </c>
      <c r="K53" s="9" t="s">
        <v>61</v>
      </c>
    </row>
    <row r="54" spans="1:11" x14ac:dyDescent="0.2">
      <c r="A54" s="9" t="s">
        <v>55</v>
      </c>
      <c r="B54" s="9" t="s">
        <v>60</v>
      </c>
      <c r="C54" s="9">
        <v>4.7</v>
      </c>
      <c r="D54" s="9">
        <v>2008</v>
      </c>
      <c r="E54" s="9">
        <v>8</v>
      </c>
      <c r="F54" s="9" t="s">
        <v>34</v>
      </c>
      <c r="G54" s="9">
        <v>4</v>
      </c>
      <c r="H54" s="9">
        <v>14</v>
      </c>
      <c r="I54" s="9">
        <v>19</v>
      </c>
      <c r="J54" s="9" t="s">
        <v>47</v>
      </c>
      <c r="K54" s="9" t="s">
        <v>61</v>
      </c>
    </row>
    <row r="55" spans="1:11" x14ac:dyDescent="0.2">
      <c r="A55" s="9" t="s">
        <v>55</v>
      </c>
      <c r="B55" s="9" t="s">
        <v>60</v>
      </c>
      <c r="C55" s="9">
        <v>4.7</v>
      </c>
      <c r="D55" s="9">
        <v>2008</v>
      </c>
      <c r="E55" s="9">
        <v>8</v>
      </c>
      <c r="F55" s="9" t="s">
        <v>34</v>
      </c>
      <c r="G55" s="9">
        <v>4</v>
      </c>
      <c r="H55" s="9">
        <v>14</v>
      </c>
      <c r="I55" s="9">
        <v>19</v>
      </c>
      <c r="J55" s="9" t="s">
        <v>47</v>
      </c>
      <c r="K55" s="9" t="s">
        <v>61</v>
      </c>
    </row>
    <row r="56" spans="1:11" x14ac:dyDescent="0.2">
      <c r="A56" s="9" t="s">
        <v>55</v>
      </c>
      <c r="B56" s="9" t="s">
        <v>60</v>
      </c>
      <c r="C56" s="9">
        <v>4.7</v>
      </c>
      <c r="D56" s="9">
        <v>2008</v>
      </c>
      <c r="E56" s="9">
        <v>8</v>
      </c>
      <c r="F56" s="9" t="s">
        <v>34</v>
      </c>
      <c r="G56" s="9">
        <v>4</v>
      </c>
      <c r="H56" s="9">
        <v>9</v>
      </c>
      <c r="I56" s="9">
        <v>12</v>
      </c>
      <c r="J56" s="9" t="s">
        <v>49</v>
      </c>
      <c r="K56" s="9" t="s">
        <v>61</v>
      </c>
    </row>
    <row r="57" spans="1:11" x14ac:dyDescent="0.2">
      <c r="A57" s="9" t="s">
        <v>55</v>
      </c>
      <c r="B57" s="9" t="s">
        <v>60</v>
      </c>
      <c r="C57" s="9">
        <v>5.2</v>
      </c>
      <c r="D57" s="9">
        <v>1999</v>
      </c>
      <c r="E57" s="9">
        <v>8</v>
      </c>
      <c r="F57" s="9" t="s">
        <v>37</v>
      </c>
      <c r="G57" s="9">
        <v>4</v>
      </c>
      <c r="H57" s="9">
        <v>11</v>
      </c>
      <c r="I57" s="9">
        <v>17</v>
      </c>
      <c r="J57" s="9" t="s">
        <v>47</v>
      </c>
      <c r="K57" s="9" t="s">
        <v>61</v>
      </c>
    </row>
    <row r="58" spans="1:11" x14ac:dyDescent="0.2">
      <c r="A58" s="9" t="s">
        <v>55</v>
      </c>
      <c r="B58" s="9" t="s">
        <v>60</v>
      </c>
      <c r="C58" s="9">
        <v>5.2</v>
      </c>
      <c r="D58" s="9">
        <v>1999</v>
      </c>
      <c r="E58" s="9">
        <v>8</v>
      </c>
      <c r="F58" s="9" t="s">
        <v>46</v>
      </c>
      <c r="G58" s="9">
        <v>4</v>
      </c>
      <c r="H58" s="9">
        <v>11</v>
      </c>
      <c r="I58" s="9">
        <v>15</v>
      </c>
      <c r="J58" s="9" t="s">
        <v>47</v>
      </c>
      <c r="K58" s="9" t="s">
        <v>61</v>
      </c>
    </row>
    <row r="59" spans="1:11" x14ac:dyDescent="0.2">
      <c r="A59" s="9" t="s">
        <v>55</v>
      </c>
      <c r="B59" s="9" t="s">
        <v>62</v>
      </c>
      <c r="C59" s="9">
        <v>3.9</v>
      </c>
      <c r="D59" s="9">
        <v>1999</v>
      </c>
      <c r="E59" s="9">
        <v>6</v>
      </c>
      <c r="F59" s="9" t="s">
        <v>46</v>
      </c>
      <c r="G59" s="9">
        <v>4</v>
      </c>
      <c r="H59" s="9">
        <v>13</v>
      </c>
      <c r="I59" s="9">
        <v>17</v>
      </c>
      <c r="J59" s="9" t="s">
        <v>47</v>
      </c>
      <c r="K59" s="9" t="s">
        <v>48</v>
      </c>
    </row>
    <row r="60" spans="1:11" x14ac:dyDescent="0.2">
      <c r="A60" s="9" t="s">
        <v>55</v>
      </c>
      <c r="B60" s="9" t="s">
        <v>62</v>
      </c>
      <c r="C60" s="9">
        <v>4.7</v>
      </c>
      <c r="D60" s="9">
        <v>2008</v>
      </c>
      <c r="E60" s="9">
        <v>8</v>
      </c>
      <c r="F60" s="9" t="s">
        <v>34</v>
      </c>
      <c r="G60" s="9">
        <v>4</v>
      </c>
      <c r="H60" s="9">
        <v>13</v>
      </c>
      <c r="I60" s="9">
        <v>17</v>
      </c>
      <c r="J60" s="9" t="s">
        <v>47</v>
      </c>
      <c r="K60" s="9" t="s">
        <v>48</v>
      </c>
    </row>
    <row r="61" spans="1:11" x14ac:dyDescent="0.2">
      <c r="A61" s="9" t="s">
        <v>55</v>
      </c>
      <c r="B61" s="9" t="s">
        <v>62</v>
      </c>
      <c r="C61" s="9">
        <v>4.7</v>
      </c>
      <c r="D61" s="9">
        <v>2008</v>
      </c>
      <c r="E61" s="9">
        <v>8</v>
      </c>
      <c r="F61" s="9" t="s">
        <v>34</v>
      </c>
      <c r="G61" s="9">
        <v>4</v>
      </c>
      <c r="H61" s="9">
        <v>9</v>
      </c>
      <c r="I61" s="9">
        <v>12</v>
      </c>
      <c r="J61" s="9" t="s">
        <v>49</v>
      </c>
      <c r="K61" s="9" t="s">
        <v>48</v>
      </c>
    </row>
    <row r="62" spans="1:11" x14ac:dyDescent="0.2">
      <c r="A62" s="9" t="s">
        <v>55</v>
      </c>
      <c r="B62" s="9" t="s">
        <v>62</v>
      </c>
      <c r="C62" s="9">
        <v>4.7</v>
      </c>
      <c r="D62" s="9">
        <v>2008</v>
      </c>
      <c r="E62" s="9">
        <v>8</v>
      </c>
      <c r="F62" s="9" t="s">
        <v>34</v>
      </c>
      <c r="G62" s="9">
        <v>4</v>
      </c>
      <c r="H62" s="9">
        <v>13</v>
      </c>
      <c r="I62" s="9">
        <v>17</v>
      </c>
      <c r="J62" s="9" t="s">
        <v>47</v>
      </c>
      <c r="K62" s="9" t="s">
        <v>48</v>
      </c>
    </row>
    <row r="63" spans="1:11" x14ac:dyDescent="0.2">
      <c r="A63" s="9" t="s">
        <v>55</v>
      </c>
      <c r="B63" s="9" t="s">
        <v>62</v>
      </c>
      <c r="C63" s="9">
        <v>5.2</v>
      </c>
      <c r="D63" s="9">
        <v>1999</v>
      </c>
      <c r="E63" s="9">
        <v>8</v>
      </c>
      <c r="F63" s="9" t="s">
        <v>46</v>
      </c>
      <c r="G63" s="9">
        <v>4</v>
      </c>
      <c r="H63" s="9">
        <v>11</v>
      </c>
      <c r="I63" s="9">
        <v>16</v>
      </c>
      <c r="J63" s="9" t="s">
        <v>47</v>
      </c>
      <c r="K63" s="9" t="s">
        <v>48</v>
      </c>
    </row>
    <row r="64" spans="1:11" x14ac:dyDescent="0.2">
      <c r="A64" s="9" t="s">
        <v>55</v>
      </c>
      <c r="B64" s="9" t="s">
        <v>62</v>
      </c>
      <c r="C64" s="9">
        <v>5.7</v>
      </c>
      <c r="D64" s="9">
        <v>2008</v>
      </c>
      <c r="E64" s="9">
        <v>8</v>
      </c>
      <c r="F64" s="9" t="s">
        <v>34</v>
      </c>
      <c r="G64" s="9">
        <v>4</v>
      </c>
      <c r="H64" s="9">
        <v>13</v>
      </c>
      <c r="I64" s="9">
        <v>18</v>
      </c>
      <c r="J64" s="9" t="s">
        <v>47</v>
      </c>
      <c r="K64" s="9" t="s">
        <v>48</v>
      </c>
    </row>
    <row r="65" spans="1:11" x14ac:dyDescent="0.2">
      <c r="A65" s="9" t="s">
        <v>55</v>
      </c>
      <c r="B65" s="9" t="s">
        <v>62</v>
      </c>
      <c r="C65" s="9">
        <v>5.9</v>
      </c>
      <c r="D65" s="9">
        <v>1999</v>
      </c>
      <c r="E65" s="9">
        <v>8</v>
      </c>
      <c r="F65" s="9" t="s">
        <v>46</v>
      </c>
      <c r="G65" s="9">
        <v>4</v>
      </c>
      <c r="H65" s="9">
        <v>11</v>
      </c>
      <c r="I65" s="9">
        <v>15</v>
      </c>
      <c r="J65" s="9" t="s">
        <v>47</v>
      </c>
      <c r="K65" s="9" t="s">
        <v>48</v>
      </c>
    </row>
    <row r="66" spans="1:11" x14ac:dyDescent="0.2">
      <c r="A66" s="9" t="s">
        <v>55</v>
      </c>
      <c r="B66" s="9" t="s">
        <v>63</v>
      </c>
      <c r="C66" s="9">
        <v>4.7</v>
      </c>
      <c r="D66" s="9">
        <v>2008</v>
      </c>
      <c r="E66" s="9">
        <v>8</v>
      </c>
      <c r="F66" s="9" t="s">
        <v>38</v>
      </c>
      <c r="G66" s="9">
        <v>4</v>
      </c>
      <c r="H66" s="9">
        <v>12</v>
      </c>
      <c r="I66" s="9">
        <v>16</v>
      </c>
      <c r="J66" s="9" t="s">
        <v>47</v>
      </c>
      <c r="K66" s="9" t="s">
        <v>61</v>
      </c>
    </row>
    <row r="67" spans="1:11" x14ac:dyDescent="0.2">
      <c r="A67" s="9" t="s">
        <v>55</v>
      </c>
      <c r="B67" s="9" t="s">
        <v>63</v>
      </c>
      <c r="C67" s="9">
        <v>4.7</v>
      </c>
      <c r="D67" s="9">
        <v>2008</v>
      </c>
      <c r="E67" s="9">
        <v>8</v>
      </c>
      <c r="F67" s="9" t="s">
        <v>34</v>
      </c>
      <c r="G67" s="9">
        <v>4</v>
      </c>
      <c r="H67" s="9">
        <v>9</v>
      </c>
      <c r="I67" s="9">
        <v>12</v>
      </c>
      <c r="J67" s="9" t="s">
        <v>49</v>
      </c>
      <c r="K67" s="9" t="s">
        <v>61</v>
      </c>
    </row>
    <row r="68" spans="1:11" x14ac:dyDescent="0.2">
      <c r="A68" s="9" t="s">
        <v>55</v>
      </c>
      <c r="B68" s="9" t="s">
        <v>63</v>
      </c>
      <c r="C68" s="9">
        <v>4.7</v>
      </c>
      <c r="D68" s="9">
        <v>2008</v>
      </c>
      <c r="E68" s="9">
        <v>8</v>
      </c>
      <c r="F68" s="9" t="s">
        <v>34</v>
      </c>
      <c r="G68" s="9">
        <v>4</v>
      </c>
      <c r="H68" s="9">
        <v>13</v>
      </c>
      <c r="I68" s="9">
        <v>17</v>
      </c>
      <c r="J68" s="9" t="s">
        <v>47</v>
      </c>
      <c r="K68" s="9" t="s">
        <v>61</v>
      </c>
    </row>
    <row r="69" spans="1:11" x14ac:dyDescent="0.2">
      <c r="A69" s="9" t="s">
        <v>55</v>
      </c>
      <c r="B69" s="9" t="s">
        <v>63</v>
      </c>
      <c r="C69" s="9">
        <v>4.7</v>
      </c>
      <c r="D69" s="9">
        <v>2008</v>
      </c>
      <c r="E69" s="9">
        <v>8</v>
      </c>
      <c r="F69" s="9" t="s">
        <v>34</v>
      </c>
      <c r="G69" s="9">
        <v>4</v>
      </c>
      <c r="H69" s="9">
        <v>13</v>
      </c>
      <c r="I69" s="9">
        <v>17</v>
      </c>
      <c r="J69" s="9" t="s">
        <v>47</v>
      </c>
      <c r="K69" s="9" t="s">
        <v>61</v>
      </c>
    </row>
    <row r="70" spans="1:11" x14ac:dyDescent="0.2">
      <c r="A70" s="9" t="s">
        <v>55</v>
      </c>
      <c r="B70" s="9" t="s">
        <v>63</v>
      </c>
      <c r="C70" s="9">
        <v>4.7</v>
      </c>
      <c r="D70" s="9">
        <v>2008</v>
      </c>
      <c r="E70" s="9">
        <v>8</v>
      </c>
      <c r="F70" s="9" t="s">
        <v>38</v>
      </c>
      <c r="G70" s="9">
        <v>4</v>
      </c>
      <c r="H70" s="9">
        <v>12</v>
      </c>
      <c r="I70" s="9">
        <v>16</v>
      </c>
      <c r="J70" s="9" t="s">
        <v>47</v>
      </c>
      <c r="K70" s="9" t="s">
        <v>61</v>
      </c>
    </row>
    <row r="71" spans="1:11" x14ac:dyDescent="0.2">
      <c r="A71" s="9" t="s">
        <v>55</v>
      </c>
      <c r="B71" s="9" t="s">
        <v>63</v>
      </c>
      <c r="C71" s="9">
        <v>4.7</v>
      </c>
      <c r="D71" s="9">
        <v>2008</v>
      </c>
      <c r="E71" s="9">
        <v>8</v>
      </c>
      <c r="F71" s="9" t="s">
        <v>38</v>
      </c>
      <c r="G71" s="9">
        <v>4</v>
      </c>
      <c r="H71" s="9">
        <v>9</v>
      </c>
      <c r="I71" s="9">
        <v>12</v>
      </c>
      <c r="J71" s="9" t="s">
        <v>49</v>
      </c>
      <c r="K71" s="9" t="s">
        <v>61</v>
      </c>
    </row>
    <row r="72" spans="1:11" x14ac:dyDescent="0.2">
      <c r="A72" s="9" t="s">
        <v>55</v>
      </c>
      <c r="B72" s="9" t="s">
        <v>63</v>
      </c>
      <c r="C72" s="9">
        <v>5.2</v>
      </c>
      <c r="D72" s="9">
        <v>1999</v>
      </c>
      <c r="E72" s="9">
        <v>8</v>
      </c>
      <c r="F72" s="9" t="s">
        <v>46</v>
      </c>
      <c r="G72" s="9">
        <v>4</v>
      </c>
      <c r="H72" s="9">
        <v>11</v>
      </c>
      <c r="I72" s="9">
        <v>15</v>
      </c>
      <c r="J72" s="9" t="s">
        <v>47</v>
      </c>
      <c r="K72" s="9" t="s">
        <v>61</v>
      </c>
    </row>
    <row r="73" spans="1:11" x14ac:dyDescent="0.2">
      <c r="A73" s="9" t="s">
        <v>55</v>
      </c>
      <c r="B73" s="9" t="s">
        <v>63</v>
      </c>
      <c r="C73" s="9">
        <v>5.2</v>
      </c>
      <c r="D73" s="9">
        <v>1999</v>
      </c>
      <c r="E73" s="9">
        <v>8</v>
      </c>
      <c r="F73" s="9" t="s">
        <v>37</v>
      </c>
      <c r="G73" s="9">
        <v>4</v>
      </c>
      <c r="H73" s="9">
        <v>11</v>
      </c>
      <c r="I73" s="9">
        <v>16</v>
      </c>
      <c r="J73" s="9" t="s">
        <v>47</v>
      </c>
      <c r="K73" s="9" t="s">
        <v>61</v>
      </c>
    </row>
    <row r="74" spans="1:11" x14ac:dyDescent="0.2">
      <c r="A74" s="9" t="s">
        <v>55</v>
      </c>
      <c r="B74" s="9" t="s">
        <v>63</v>
      </c>
      <c r="C74" s="9">
        <v>5.7</v>
      </c>
      <c r="D74" s="9">
        <v>2008</v>
      </c>
      <c r="E74" s="9">
        <v>8</v>
      </c>
      <c r="F74" s="9" t="s">
        <v>34</v>
      </c>
      <c r="G74" s="9">
        <v>4</v>
      </c>
      <c r="H74" s="9">
        <v>13</v>
      </c>
      <c r="I74" s="9">
        <v>17</v>
      </c>
      <c r="J74" s="9" t="s">
        <v>47</v>
      </c>
      <c r="K74" s="9" t="s">
        <v>61</v>
      </c>
    </row>
    <row r="75" spans="1:11" x14ac:dyDescent="0.2">
      <c r="A75" s="9" t="s">
        <v>55</v>
      </c>
      <c r="B75" s="9" t="s">
        <v>63</v>
      </c>
      <c r="C75" s="9">
        <v>5.9</v>
      </c>
      <c r="D75" s="9">
        <v>1999</v>
      </c>
      <c r="E75" s="9">
        <v>8</v>
      </c>
      <c r="F75" s="9" t="s">
        <v>46</v>
      </c>
      <c r="G75" s="9">
        <v>4</v>
      </c>
      <c r="H75" s="9">
        <v>11</v>
      </c>
      <c r="I75" s="9">
        <v>15</v>
      </c>
      <c r="J75" s="9" t="s">
        <v>47</v>
      </c>
      <c r="K75" s="9" t="s">
        <v>61</v>
      </c>
    </row>
    <row r="76" spans="1:11" x14ac:dyDescent="0.2">
      <c r="A76" s="9" t="s">
        <v>64</v>
      </c>
      <c r="B76" s="9" t="s">
        <v>65</v>
      </c>
      <c r="C76" s="9">
        <v>4.5999999999999996</v>
      </c>
      <c r="D76" s="9">
        <v>1999</v>
      </c>
      <c r="E76" s="9">
        <v>8</v>
      </c>
      <c r="F76" s="9" t="s">
        <v>46</v>
      </c>
      <c r="G76" s="9" t="s">
        <v>47</v>
      </c>
      <c r="H76" s="9">
        <v>11</v>
      </c>
      <c r="I76" s="9">
        <v>17</v>
      </c>
      <c r="J76" s="9" t="s">
        <v>47</v>
      </c>
      <c r="K76" s="9" t="s">
        <v>48</v>
      </c>
    </row>
    <row r="77" spans="1:11" x14ac:dyDescent="0.2">
      <c r="A77" s="9" t="s">
        <v>64</v>
      </c>
      <c r="B77" s="9" t="s">
        <v>65</v>
      </c>
      <c r="C77" s="9">
        <v>5.4</v>
      </c>
      <c r="D77" s="9">
        <v>1999</v>
      </c>
      <c r="E77" s="9">
        <v>8</v>
      </c>
      <c r="F77" s="9" t="s">
        <v>46</v>
      </c>
      <c r="G77" s="9" t="s">
        <v>47</v>
      </c>
      <c r="H77" s="9">
        <v>11</v>
      </c>
      <c r="I77" s="9">
        <v>17</v>
      </c>
      <c r="J77" s="9" t="s">
        <v>47</v>
      </c>
      <c r="K77" s="9" t="s">
        <v>48</v>
      </c>
    </row>
    <row r="78" spans="1:11" x14ac:dyDescent="0.2">
      <c r="A78" s="9" t="s">
        <v>64</v>
      </c>
      <c r="B78" s="9" t="s">
        <v>65</v>
      </c>
      <c r="C78" s="9">
        <v>5.4</v>
      </c>
      <c r="D78" s="9">
        <v>2008</v>
      </c>
      <c r="E78" s="9">
        <v>8</v>
      </c>
      <c r="F78" s="9" t="s">
        <v>59</v>
      </c>
      <c r="G78" s="9" t="s">
        <v>47</v>
      </c>
      <c r="H78" s="9">
        <v>12</v>
      </c>
      <c r="I78" s="9">
        <v>18</v>
      </c>
      <c r="J78" s="9" t="s">
        <v>47</v>
      </c>
      <c r="K78" s="9" t="s">
        <v>48</v>
      </c>
    </row>
    <row r="79" spans="1:11" x14ac:dyDescent="0.2">
      <c r="A79" s="9" t="s">
        <v>64</v>
      </c>
      <c r="B79" s="9" t="s">
        <v>66</v>
      </c>
      <c r="C79" s="9">
        <v>4</v>
      </c>
      <c r="D79" s="9">
        <v>1999</v>
      </c>
      <c r="E79" s="9">
        <v>6</v>
      </c>
      <c r="F79" s="9" t="s">
        <v>34</v>
      </c>
      <c r="G79" s="9">
        <v>4</v>
      </c>
      <c r="H79" s="9">
        <v>14</v>
      </c>
      <c r="I79" s="9">
        <v>17</v>
      </c>
      <c r="J79" s="9" t="s">
        <v>47</v>
      </c>
      <c r="K79" s="9" t="s">
        <v>48</v>
      </c>
    </row>
    <row r="80" spans="1:11" x14ac:dyDescent="0.2">
      <c r="A80" s="9" t="s">
        <v>64</v>
      </c>
      <c r="B80" s="9" t="s">
        <v>66</v>
      </c>
      <c r="C80" s="9">
        <v>4</v>
      </c>
      <c r="D80" s="9">
        <v>1999</v>
      </c>
      <c r="E80" s="9">
        <v>6</v>
      </c>
      <c r="F80" s="9" t="s">
        <v>37</v>
      </c>
      <c r="G80" s="9">
        <v>4</v>
      </c>
      <c r="H80" s="9">
        <v>15</v>
      </c>
      <c r="I80" s="9">
        <v>19</v>
      </c>
      <c r="J80" s="9" t="s">
        <v>47</v>
      </c>
      <c r="K80" s="9" t="s">
        <v>48</v>
      </c>
    </row>
    <row r="81" spans="1:11" x14ac:dyDescent="0.2">
      <c r="A81" s="9" t="s">
        <v>64</v>
      </c>
      <c r="B81" s="9" t="s">
        <v>66</v>
      </c>
      <c r="C81" s="9">
        <v>4</v>
      </c>
      <c r="D81" s="9">
        <v>1999</v>
      </c>
      <c r="E81" s="9">
        <v>6</v>
      </c>
      <c r="F81" s="9" t="s">
        <v>34</v>
      </c>
      <c r="G81" s="9">
        <v>4</v>
      </c>
      <c r="H81" s="9">
        <v>14</v>
      </c>
      <c r="I81" s="9">
        <v>17</v>
      </c>
      <c r="J81" s="9" t="s">
        <v>47</v>
      </c>
      <c r="K81" s="9" t="s">
        <v>48</v>
      </c>
    </row>
    <row r="82" spans="1:11" x14ac:dyDescent="0.2">
      <c r="A82" s="9" t="s">
        <v>64</v>
      </c>
      <c r="B82" s="9" t="s">
        <v>66</v>
      </c>
      <c r="C82" s="9">
        <v>4</v>
      </c>
      <c r="D82" s="9">
        <v>2008</v>
      </c>
      <c r="E82" s="9">
        <v>6</v>
      </c>
      <c r="F82" s="9" t="s">
        <v>34</v>
      </c>
      <c r="G82" s="9">
        <v>4</v>
      </c>
      <c r="H82" s="9">
        <v>13</v>
      </c>
      <c r="I82" s="9">
        <v>19</v>
      </c>
      <c r="J82" s="9" t="s">
        <v>47</v>
      </c>
      <c r="K82" s="9" t="s">
        <v>48</v>
      </c>
    </row>
    <row r="83" spans="1:11" x14ac:dyDescent="0.2">
      <c r="A83" s="9" t="s">
        <v>64</v>
      </c>
      <c r="B83" s="9" t="s">
        <v>66</v>
      </c>
      <c r="C83" s="9">
        <v>4.5999999999999996</v>
      </c>
      <c r="D83" s="9">
        <v>2008</v>
      </c>
      <c r="E83" s="9">
        <v>8</v>
      </c>
      <c r="F83" s="9" t="s">
        <v>59</v>
      </c>
      <c r="G83" s="9">
        <v>4</v>
      </c>
      <c r="H83" s="9">
        <v>13</v>
      </c>
      <c r="I83" s="9">
        <v>19</v>
      </c>
      <c r="J83" s="9" t="s">
        <v>47</v>
      </c>
      <c r="K83" s="9" t="s">
        <v>48</v>
      </c>
    </row>
    <row r="84" spans="1:11" x14ac:dyDescent="0.2">
      <c r="A84" s="9" t="s">
        <v>64</v>
      </c>
      <c r="B84" s="9" t="s">
        <v>66</v>
      </c>
      <c r="C84" s="9">
        <v>5</v>
      </c>
      <c r="D84" s="9">
        <v>1999</v>
      </c>
      <c r="E84" s="9">
        <v>8</v>
      </c>
      <c r="F84" s="9" t="s">
        <v>46</v>
      </c>
      <c r="G84" s="9">
        <v>4</v>
      </c>
      <c r="H84" s="9">
        <v>13</v>
      </c>
      <c r="I84" s="9">
        <v>17</v>
      </c>
      <c r="J84" s="9" t="s">
        <v>47</v>
      </c>
      <c r="K84" s="9" t="s">
        <v>48</v>
      </c>
    </row>
    <row r="85" spans="1:11" x14ac:dyDescent="0.2">
      <c r="A85" s="9" t="s">
        <v>64</v>
      </c>
      <c r="B85" s="9" t="s">
        <v>67</v>
      </c>
      <c r="C85" s="9">
        <v>4.2</v>
      </c>
      <c r="D85" s="9">
        <v>1999</v>
      </c>
      <c r="E85" s="9">
        <v>6</v>
      </c>
      <c r="F85" s="9" t="s">
        <v>46</v>
      </c>
      <c r="G85" s="9">
        <v>4</v>
      </c>
      <c r="H85" s="9">
        <v>14</v>
      </c>
      <c r="I85" s="9">
        <v>17</v>
      </c>
      <c r="J85" s="9" t="s">
        <v>47</v>
      </c>
      <c r="K85" s="9" t="s">
        <v>61</v>
      </c>
    </row>
    <row r="86" spans="1:11" x14ac:dyDescent="0.2">
      <c r="A86" s="9" t="s">
        <v>64</v>
      </c>
      <c r="B86" s="9" t="s">
        <v>67</v>
      </c>
      <c r="C86" s="9">
        <v>4.2</v>
      </c>
      <c r="D86" s="9">
        <v>1999</v>
      </c>
      <c r="E86" s="9">
        <v>6</v>
      </c>
      <c r="F86" s="9" t="s">
        <v>37</v>
      </c>
      <c r="G86" s="9">
        <v>4</v>
      </c>
      <c r="H86" s="9">
        <v>14</v>
      </c>
      <c r="I86" s="9">
        <v>17</v>
      </c>
      <c r="J86" s="9" t="s">
        <v>47</v>
      </c>
      <c r="K86" s="9" t="s">
        <v>61</v>
      </c>
    </row>
    <row r="87" spans="1:11" x14ac:dyDescent="0.2">
      <c r="A87" s="9" t="s">
        <v>64</v>
      </c>
      <c r="B87" s="9" t="s">
        <v>67</v>
      </c>
      <c r="C87" s="9">
        <v>4.5999999999999996</v>
      </c>
      <c r="D87" s="9">
        <v>1999</v>
      </c>
      <c r="E87" s="9">
        <v>8</v>
      </c>
      <c r="F87" s="9" t="s">
        <v>37</v>
      </c>
      <c r="G87" s="9">
        <v>4</v>
      </c>
      <c r="H87" s="9">
        <v>13</v>
      </c>
      <c r="I87" s="9">
        <v>16</v>
      </c>
      <c r="J87" s="9" t="s">
        <v>47</v>
      </c>
      <c r="K87" s="9" t="s">
        <v>61</v>
      </c>
    </row>
    <row r="88" spans="1:11" x14ac:dyDescent="0.2">
      <c r="A88" s="9" t="s">
        <v>64</v>
      </c>
      <c r="B88" s="9" t="s">
        <v>67</v>
      </c>
      <c r="C88" s="9">
        <v>4.5999999999999996</v>
      </c>
      <c r="D88" s="9">
        <v>1999</v>
      </c>
      <c r="E88" s="9">
        <v>8</v>
      </c>
      <c r="F88" s="9" t="s">
        <v>46</v>
      </c>
      <c r="G88" s="9">
        <v>4</v>
      </c>
      <c r="H88" s="9">
        <v>13</v>
      </c>
      <c r="I88" s="9">
        <v>16</v>
      </c>
      <c r="J88" s="9" t="s">
        <v>47</v>
      </c>
      <c r="K88" s="9" t="s">
        <v>61</v>
      </c>
    </row>
    <row r="89" spans="1:11" x14ac:dyDescent="0.2">
      <c r="A89" s="9" t="s">
        <v>64</v>
      </c>
      <c r="B89" s="9" t="s">
        <v>67</v>
      </c>
      <c r="C89" s="9">
        <v>4.5999999999999996</v>
      </c>
      <c r="D89" s="9">
        <v>2008</v>
      </c>
      <c r="E89" s="9">
        <v>8</v>
      </c>
      <c r="F89" s="9" t="s">
        <v>46</v>
      </c>
      <c r="G89" s="9">
        <v>4</v>
      </c>
      <c r="H89" s="9">
        <v>13</v>
      </c>
      <c r="I89" s="9">
        <v>17</v>
      </c>
      <c r="J89" s="9" t="s">
        <v>47</v>
      </c>
      <c r="K89" s="9" t="s">
        <v>61</v>
      </c>
    </row>
    <row r="90" spans="1:11" x14ac:dyDescent="0.2">
      <c r="A90" s="9" t="s">
        <v>64</v>
      </c>
      <c r="B90" s="9" t="s">
        <v>67</v>
      </c>
      <c r="C90" s="9">
        <v>5.4</v>
      </c>
      <c r="D90" s="9">
        <v>1999</v>
      </c>
      <c r="E90" s="9">
        <v>8</v>
      </c>
      <c r="F90" s="9" t="s">
        <v>46</v>
      </c>
      <c r="G90" s="9">
        <v>4</v>
      </c>
      <c r="H90" s="9">
        <v>11</v>
      </c>
      <c r="I90" s="9">
        <v>15</v>
      </c>
      <c r="J90" s="9" t="s">
        <v>47</v>
      </c>
      <c r="K90" s="9" t="s">
        <v>61</v>
      </c>
    </row>
    <row r="91" spans="1:11" x14ac:dyDescent="0.2">
      <c r="A91" s="9" t="s">
        <v>64</v>
      </c>
      <c r="B91" s="9" t="s">
        <v>67</v>
      </c>
      <c r="C91" s="9">
        <v>5.4</v>
      </c>
      <c r="D91" s="9">
        <v>2008</v>
      </c>
      <c r="E91" s="9">
        <v>8</v>
      </c>
      <c r="F91" s="9" t="s">
        <v>46</v>
      </c>
      <c r="G91" s="9">
        <v>4</v>
      </c>
      <c r="H91" s="9">
        <v>13</v>
      </c>
      <c r="I91" s="9">
        <v>17</v>
      </c>
      <c r="J91" s="9" t="s">
        <v>47</v>
      </c>
      <c r="K91" s="9" t="s">
        <v>61</v>
      </c>
    </row>
    <row r="92" spans="1:11" x14ac:dyDescent="0.2">
      <c r="A92" s="9" t="s">
        <v>64</v>
      </c>
      <c r="B92" s="9" t="s">
        <v>68</v>
      </c>
      <c r="C92" s="9">
        <v>3.8</v>
      </c>
      <c r="D92" s="9">
        <v>1999</v>
      </c>
      <c r="E92" s="9">
        <v>6</v>
      </c>
      <c r="F92" s="9" t="s">
        <v>37</v>
      </c>
      <c r="G92" s="9" t="s">
        <v>47</v>
      </c>
      <c r="H92" s="9">
        <v>18</v>
      </c>
      <c r="I92" s="9">
        <v>26</v>
      </c>
      <c r="J92" s="9" t="s">
        <v>47</v>
      </c>
      <c r="K92" s="9" t="s">
        <v>69</v>
      </c>
    </row>
    <row r="93" spans="1:11" x14ac:dyDescent="0.2">
      <c r="A93" s="9" t="s">
        <v>64</v>
      </c>
      <c r="B93" s="9" t="s">
        <v>68</v>
      </c>
      <c r="C93" s="9">
        <v>3.8</v>
      </c>
      <c r="D93" s="9">
        <v>1999</v>
      </c>
      <c r="E93" s="9">
        <v>6</v>
      </c>
      <c r="F93" s="9" t="s">
        <v>46</v>
      </c>
      <c r="G93" s="9" t="s">
        <v>47</v>
      </c>
      <c r="H93" s="9">
        <v>18</v>
      </c>
      <c r="I93" s="9">
        <v>25</v>
      </c>
      <c r="J93" s="9" t="s">
        <v>47</v>
      </c>
      <c r="K93" s="9" t="s">
        <v>69</v>
      </c>
    </row>
    <row r="94" spans="1:11" x14ac:dyDescent="0.2">
      <c r="A94" s="9" t="s">
        <v>64</v>
      </c>
      <c r="B94" s="9" t="s">
        <v>68</v>
      </c>
      <c r="C94" s="9">
        <v>4</v>
      </c>
      <c r="D94" s="9">
        <v>2008</v>
      </c>
      <c r="E94" s="9">
        <v>6</v>
      </c>
      <c r="F94" s="9" t="s">
        <v>37</v>
      </c>
      <c r="G94" s="9" t="s">
        <v>47</v>
      </c>
      <c r="H94" s="9">
        <v>17</v>
      </c>
      <c r="I94" s="9">
        <v>26</v>
      </c>
      <c r="J94" s="9" t="s">
        <v>47</v>
      </c>
      <c r="K94" s="9" t="s">
        <v>69</v>
      </c>
    </row>
    <row r="95" spans="1:11" x14ac:dyDescent="0.2">
      <c r="A95" s="9" t="s">
        <v>64</v>
      </c>
      <c r="B95" s="9" t="s">
        <v>68</v>
      </c>
      <c r="C95" s="9">
        <v>4</v>
      </c>
      <c r="D95" s="9">
        <v>2008</v>
      </c>
      <c r="E95" s="9">
        <v>6</v>
      </c>
      <c r="F95" s="9" t="s">
        <v>34</v>
      </c>
      <c r="G95" s="9" t="s">
        <v>47</v>
      </c>
      <c r="H95" s="9">
        <v>16</v>
      </c>
      <c r="I95" s="9">
        <v>24</v>
      </c>
      <c r="J95" s="9" t="s">
        <v>47</v>
      </c>
      <c r="K95" s="9" t="s">
        <v>69</v>
      </c>
    </row>
    <row r="96" spans="1:11" x14ac:dyDescent="0.2">
      <c r="A96" s="9" t="s">
        <v>64</v>
      </c>
      <c r="B96" s="9" t="s">
        <v>68</v>
      </c>
      <c r="C96" s="9">
        <v>4.5999999999999996</v>
      </c>
      <c r="D96" s="9">
        <v>1999</v>
      </c>
      <c r="E96" s="9">
        <v>8</v>
      </c>
      <c r="F96" s="9" t="s">
        <v>46</v>
      </c>
      <c r="G96" s="9" t="s">
        <v>47</v>
      </c>
      <c r="H96" s="9">
        <v>15</v>
      </c>
      <c r="I96" s="9">
        <v>21</v>
      </c>
      <c r="J96" s="9" t="s">
        <v>47</v>
      </c>
      <c r="K96" s="9" t="s">
        <v>69</v>
      </c>
    </row>
    <row r="97" spans="1:11" x14ac:dyDescent="0.2">
      <c r="A97" s="9" t="s">
        <v>64</v>
      </c>
      <c r="B97" s="9" t="s">
        <v>68</v>
      </c>
      <c r="C97" s="9">
        <v>4.5999999999999996</v>
      </c>
      <c r="D97" s="9">
        <v>1999</v>
      </c>
      <c r="E97" s="9">
        <v>8</v>
      </c>
      <c r="F97" s="9" t="s">
        <v>37</v>
      </c>
      <c r="G97" s="9" t="s">
        <v>47</v>
      </c>
      <c r="H97" s="9">
        <v>15</v>
      </c>
      <c r="I97" s="9">
        <v>22</v>
      </c>
      <c r="J97" s="9" t="s">
        <v>47</v>
      </c>
      <c r="K97" s="9" t="s">
        <v>69</v>
      </c>
    </row>
    <row r="98" spans="1:11" x14ac:dyDescent="0.2">
      <c r="A98" s="9" t="s">
        <v>64</v>
      </c>
      <c r="B98" s="9" t="s">
        <v>68</v>
      </c>
      <c r="C98" s="9">
        <v>4.5999999999999996</v>
      </c>
      <c r="D98" s="9">
        <v>2008</v>
      </c>
      <c r="E98" s="9">
        <v>8</v>
      </c>
      <c r="F98" s="9" t="s">
        <v>37</v>
      </c>
      <c r="G98" s="9" t="s">
        <v>47</v>
      </c>
      <c r="H98" s="9">
        <v>15</v>
      </c>
      <c r="I98" s="9">
        <v>23</v>
      </c>
      <c r="J98" s="9" t="s">
        <v>47</v>
      </c>
      <c r="K98" s="9" t="s">
        <v>69</v>
      </c>
    </row>
    <row r="99" spans="1:11" x14ac:dyDescent="0.2">
      <c r="A99" s="9" t="s">
        <v>64</v>
      </c>
      <c r="B99" s="9" t="s">
        <v>68</v>
      </c>
      <c r="C99" s="9">
        <v>4.5999999999999996</v>
      </c>
      <c r="D99" s="9">
        <v>2008</v>
      </c>
      <c r="E99" s="9">
        <v>8</v>
      </c>
      <c r="F99" s="9" t="s">
        <v>34</v>
      </c>
      <c r="G99" s="9" t="s">
        <v>47</v>
      </c>
      <c r="H99" s="9">
        <v>15</v>
      </c>
      <c r="I99" s="9">
        <v>22</v>
      </c>
      <c r="J99" s="9" t="s">
        <v>47</v>
      </c>
      <c r="K99" s="9" t="s">
        <v>69</v>
      </c>
    </row>
    <row r="100" spans="1:11" x14ac:dyDescent="0.2">
      <c r="A100" s="9" t="s">
        <v>64</v>
      </c>
      <c r="B100" s="9" t="s">
        <v>68</v>
      </c>
      <c r="C100" s="9">
        <v>5.4</v>
      </c>
      <c r="D100" s="9">
        <v>2008</v>
      </c>
      <c r="E100" s="9">
        <v>8</v>
      </c>
      <c r="F100" s="9" t="s">
        <v>38</v>
      </c>
      <c r="G100" s="9" t="s">
        <v>47</v>
      </c>
      <c r="H100" s="9">
        <v>14</v>
      </c>
      <c r="I100" s="9">
        <v>20</v>
      </c>
      <c r="J100" s="9" t="s">
        <v>0</v>
      </c>
      <c r="K100" s="9" t="s">
        <v>69</v>
      </c>
    </row>
    <row r="101" spans="1:11" x14ac:dyDescent="0.2">
      <c r="A101" s="9" t="s">
        <v>70</v>
      </c>
      <c r="B101" s="9" t="s">
        <v>71</v>
      </c>
      <c r="C101" s="9">
        <v>1.6</v>
      </c>
      <c r="D101" s="9">
        <v>1999</v>
      </c>
      <c r="E101" s="9">
        <v>4</v>
      </c>
      <c r="F101" s="9" t="s">
        <v>37</v>
      </c>
      <c r="G101" s="9" t="s">
        <v>35</v>
      </c>
      <c r="H101" s="9">
        <v>28</v>
      </c>
      <c r="I101" s="9">
        <v>33</v>
      </c>
      <c r="J101" s="9" t="s">
        <v>47</v>
      </c>
      <c r="K101" s="9" t="s">
        <v>69</v>
      </c>
    </row>
    <row r="102" spans="1:11" x14ac:dyDescent="0.2">
      <c r="A102" s="9" t="s">
        <v>70</v>
      </c>
      <c r="B102" s="9" t="s">
        <v>71</v>
      </c>
      <c r="C102" s="9">
        <v>1.6</v>
      </c>
      <c r="D102" s="9">
        <v>1999</v>
      </c>
      <c r="E102" s="9">
        <v>4</v>
      </c>
      <c r="F102" s="9" t="s">
        <v>46</v>
      </c>
      <c r="G102" s="9" t="s">
        <v>35</v>
      </c>
      <c r="H102" s="9">
        <v>24</v>
      </c>
      <c r="I102" s="9">
        <v>32</v>
      </c>
      <c r="J102" s="9" t="s">
        <v>47</v>
      </c>
      <c r="K102" s="9" t="s">
        <v>69</v>
      </c>
    </row>
    <row r="103" spans="1:11" x14ac:dyDescent="0.2">
      <c r="A103" s="9" t="s">
        <v>70</v>
      </c>
      <c r="B103" s="9" t="s">
        <v>71</v>
      </c>
      <c r="C103" s="9">
        <v>1.6</v>
      </c>
      <c r="D103" s="9">
        <v>1999</v>
      </c>
      <c r="E103" s="9">
        <v>4</v>
      </c>
      <c r="F103" s="9" t="s">
        <v>37</v>
      </c>
      <c r="G103" s="9" t="s">
        <v>35</v>
      </c>
      <c r="H103" s="9">
        <v>25</v>
      </c>
      <c r="I103" s="9">
        <v>32</v>
      </c>
      <c r="J103" s="9" t="s">
        <v>47</v>
      </c>
      <c r="K103" s="9" t="s">
        <v>69</v>
      </c>
    </row>
    <row r="104" spans="1:11" x14ac:dyDescent="0.2">
      <c r="A104" s="9" t="s">
        <v>70</v>
      </c>
      <c r="B104" s="9" t="s">
        <v>71</v>
      </c>
      <c r="C104" s="9">
        <v>1.6</v>
      </c>
      <c r="D104" s="9">
        <v>1999</v>
      </c>
      <c r="E104" s="9">
        <v>4</v>
      </c>
      <c r="F104" s="9" t="s">
        <v>37</v>
      </c>
      <c r="G104" s="9" t="s">
        <v>35</v>
      </c>
      <c r="H104" s="9">
        <v>23</v>
      </c>
      <c r="I104" s="9">
        <v>29</v>
      </c>
      <c r="J104" s="9" t="s">
        <v>0</v>
      </c>
      <c r="K104" s="9" t="s">
        <v>69</v>
      </c>
    </row>
    <row r="105" spans="1:11" x14ac:dyDescent="0.2">
      <c r="A105" s="9" t="s">
        <v>70</v>
      </c>
      <c r="B105" s="9" t="s">
        <v>71</v>
      </c>
      <c r="C105" s="9">
        <v>1.6</v>
      </c>
      <c r="D105" s="9">
        <v>1999</v>
      </c>
      <c r="E105" s="9">
        <v>4</v>
      </c>
      <c r="F105" s="9" t="s">
        <v>46</v>
      </c>
      <c r="G105" s="9" t="s">
        <v>35</v>
      </c>
      <c r="H105" s="9">
        <v>24</v>
      </c>
      <c r="I105" s="9">
        <v>32</v>
      </c>
      <c r="J105" s="9" t="s">
        <v>47</v>
      </c>
      <c r="K105" s="9" t="s">
        <v>69</v>
      </c>
    </row>
    <row r="106" spans="1:11" x14ac:dyDescent="0.2">
      <c r="A106" s="9" t="s">
        <v>70</v>
      </c>
      <c r="B106" s="9" t="s">
        <v>71</v>
      </c>
      <c r="C106" s="9">
        <v>1.8</v>
      </c>
      <c r="D106" s="9">
        <v>2008</v>
      </c>
      <c r="E106" s="9">
        <v>4</v>
      </c>
      <c r="F106" s="9" t="s">
        <v>37</v>
      </c>
      <c r="G106" s="9" t="s">
        <v>35</v>
      </c>
      <c r="H106" s="9">
        <v>26</v>
      </c>
      <c r="I106" s="9">
        <v>34</v>
      </c>
      <c r="J106" s="9" t="s">
        <v>47</v>
      </c>
      <c r="K106" s="9" t="s">
        <v>69</v>
      </c>
    </row>
    <row r="107" spans="1:11" x14ac:dyDescent="0.2">
      <c r="A107" s="9" t="s">
        <v>70</v>
      </c>
      <c r="B107" s="9" t="s">
        <v>71</v>
      </c>
      <c r="C107" s="9">
        <v>1.8</v>
      </c>
      <c r="D107" s="9">
        <v>2008</v>
      </c>
      <c r="E107" s="9">
        <v>4</v>
      </c>
      <c r="F107" s="9" t="s">
        <v>34</v>
      </c>
      <c r="G107" s="9" t="s">
        <v>35</v>
      </c>
      <c r="H107" s="9">
        <v>25</v>
      </c>
      <c r="I107" s="9">
        <v>36</v>
      </c>
      <c r="J107" s="9" t="s">
        <v>47</v>
      </c>
      <c r="K107" s="9" t="s">
        <v>69</v>
      </c>
    </row>
    <row r="108" spans="1:11" x14ac:dyDescent="0.2">
      <c r="A108" s="9" t="s">
        <v>70</v>
      </c>
      <c r="B108" s="9" t="s">
        <v>71</v>
      </c>
      <c r="C108" s="9">
        <v>1.8</v>
      </c>
      <c r="D108" s="9">
        <v>2008</v>
      </c>
      <c r="E108" s="9">
        <v>4</v>
      </c>
      <c r="F108" s="9" t="s">
        <v>34</v>
      </c>
      <c r="G108" s="9" t="s">
        <v>35</v>
      </c>
      <c r="H108" s="9">
        <v>24</v>
      </c>
      <c r="I108" s="9">
        <v>36</v>
      </c>
      <c r="J108" s="9" t="s">
        <v>72</v>
      </c>
      <c r="K108" s="9" t="s">
        <v>69</v>
      </c>
    </row>
    <row r="109" spans="1:11" x14ac:dyDescent="0.2">
      <c r="A109" s="9" t="s">
        <v>70</v>
      </c>
      <c r="B109" s="9" t="s">
        <v>71</v>
      </c>
      <c r="C109" s="9">
        <v>2</v>
      </c>
      <c r="D109" s="9">
        <v>2008</v>
      </c>
      <c r="E109" s="9">
        <v>4</v>
      </c>
      <c r="F109" s="9" t="s">
        <v>38</v>
      </c>
      <c r="G109" s="9" t="s">
        <v>35</v>
      </c>
      <c r="H109" s="9">
        <v>21</v>
      </c>
      <c r="I109" s="9">
        <v>29</v>
      </c>
      <c r="J109" s="9" t="s">
        <v>0</v>
      </c>
      <c r="K109" s="9" t="s">
        <v>69</v>
      </c>
    </row>
    <row r="110" spans="1:11" x14ac:dyDescent="0.2">
      <c r="A110" s="9" t="s">
        <v>73</v>
      </c>
      <c r="B110" s="9" t="s">
        <v>74</v>
      </c>
      <c r="C110" s="9">
        <v>2.4</v>
      </c>
      <c r="D110" s="9">
        <v>1999</v>
      </c>
      <c r="E110" s="9">
        <v>4</v>
      </c>
      <c r="F110" s="9" t="s">
        <v>46</v>
      </c>
      <c r="G110" s="9" t="s">
        <v>35</v>
      </c>
      <c r="H110" s="9">
        <v>18</v>
      </c>
      <c r="I110" s="9">
        <v>26</v>
      </c>
      <c r="J110" s="9" t="s">
        <v>47</v>
      </c>
      <c r="K110" s="9" t="s">
        <v>43</v>
      </c>
    </row>
    <row r="111" spans="1:11" x14ac:dyDescent="0.2">
      <c r="A111" s="9" t="s">
        <v>73</v>
      </c>
      <c r="B111" s="9" t="s">
        <v>74</v>
      </c>
      <c r="C111" s="9">
        <v>2.4</v>
      </c>
      <c r="D111" s="9">
        <v>1999</v>
      </c>
      <c r="E111" s="9">
        <v>4</v>
      </c>
      <c r="F111" s="9" t="s">
        <v>37</v>
      </c>
      <c r="G111" s="9" t="s">
        <v>35</v>
      </c>
      <c r="H111" s="9">
        <v>18</v>
      </c>
      <c r="I111" s="9">
        <v>27</v>
      </c>
      <c r="J111" s="9" t="s">
        <v>47</v>
      </c>
      <c r="K111" s="9" t="s">
        <v>43</v>
      </c>
    </row>
    <row r="112" spans="1:11" x14ac:dyDescent="0.2">
      <c r="A112" s="9" t="s">
        <v>73</v>
      </c>
      <c r="B112" s="9" t="s">
        <v>74</v>
      </c>
      <c r="C112" s="9">
        <v>2.4</v>
      </c>
      <c r="D112" s="9">
        <v>2008</v>
      </c>
      <c r="E112" s="9">
        <v>4</v>
      </c>
      <c r="F112" s="9" t="s">
        <v>46</v>
      </c>
      <c r="G112" s="9" t="s">
        <v>35</v>
      </c>
      <c r="H112" s="9">
        <v>21</v>
      </c>
      <c r="I112" s="9">
        <v>30</v>
      </c>
      <c r="J112" s="9" t="s">
        <v>47</v>
      </c>
      <c r="K112" s="9" t="s">
        <v>43</v>
      </c>
    </row>
    <row r="113" spans="1:11" x14ac:dyDescent="0.2">
      <c r="A113" s="9" t="s">
        <v>73</v>
      </c>
      <c r="B113" s="9" t="s">
        <v>74</v>
      </c>
      <c r="C113" s="9">
        <v>2.4</v>
      </c>
      <c r="D113" s="9">
        <v>2008</v>
      </c>
      <c r="E113" s="9">
        <v>4</v>
      </c>
      <c r="F113" s="9" t="s">
        <v>37</v>
      </c>
      <c r="G113" s="9" t="s">
        <v>35</v>
      </c>
      <c r="H113" s="9">
        <v>21</v>
      </c>
      <c r="I113" s="9">
        <v>31</v>
      </c>
      <c r="J113" s="9" t="s">
        <v>47</v>
      </c>
      <c r="K113" s="9" t="s">
        <v>43</v>
      </c>
    </row>
    <row r="114" spans="1:11" x14ac:dyDescent="0.2">
      <c r="A114" s="9" t="s">
        <v>73</v>
      </c>
      <c r="B114" s="9" t="s">
        <v>74</v>
      </c>
      <c r="C114" s="9">
        <v>2.5</v>
      </c>
      <c r="D114" s="9">
        <v>1999</v>
      </c>
      <c r="E114" s="9">
        <v>6</v>
      </c>
      <c r="F114" s="9" t="s">
        <v>46</v>
      </c>
      <c r="G114" s="9" t="s">
        <v>35</v>
      </c>
      <c r="H114" s="9">
        <v>18</v>
      </c>
      <c r="I114" s="9">
        <v>26</v>
      </c>
      <c r="J114" s="9" t="s">
        <v>47</v>
      </c>
      <c r="K114" s="9" t="s">
        <v>43</v>
      </c>
    </row>
    <row r="115" spans="1:11" x14ac:dyDescent="0.2">
      <c r="A115" s="9" t="s">
        <v>73</v>
      </c>
      <c r="B115" s="9" t="s">
        <v>74</v>
      </c>
      <c r="C115" s="9">
        <v>2.5</v>
      </c>
      <c r="D115" s="9">
        <v>1999</v>
      </c>
      <c r="E115" s="9">
        <v>6</v>
      </c>
      <c r="F115" s="9" t="s">
        <v>37</v>
      </c>
      <c r="G115" s="9" t="s">
        <v>35</v>
      </c>
      <c r="H115" s="9">
        <v>18</v>
      </c>
      <c r="I115" s="9">
        <v>26</v>
      </c>
      <c r="J115" s="9" t="s">
        <v>47</v>
      </c>
      <c r="K115" s="9" t="s">
        <v>43</v>
      </c>
    </row>
    <row r="116" spans="1:11" x14ac:dyDescent="0.2">
      <c r="A116" s="9" t="s">
        <v>73</v>
      </c>
      <c r="B116" s="9" t="s">
        <v>74</v>
      </c>
      <c r="C116" s="9">
        <v>3.3</v>
      </c>
      <c r="D116" s="9">
        <v>2008</v>
      </c>
      <c r="E116" s="9">
        <v>6</v>
      </c>
      <c r="F116" s="9" t="s">
        <v>34</v>
      </c>
      <c r="G116" s="9" t="s">
        <v>35</v>
      </c>
      <c r="H116" s="9">
        <v>19</v>
      </c>
      <c r="I116" s="9">
        <v>28</v>
      </c>
      <c r="J116" s="9" t="s">
        <v>47</v>
      </c>
      <c r="K116" s="9" t="s">
        <v>43</v>
      </c>
    </row>
    <row r="117" spans="1:11" x14ac:dyDescent="0.2">
      <c r="A117" s="9" t="s">
        <v>73</v>
      </c>
      <c r="B117" s="9" t="s">
        <v>75</v>
      </c>
      <c r="C117" s="9">
        <v>2</v>
      </c>
      <c r="D117" s="9">
        <v>1999</v>
      </c>
      <c r="E117" s="9">
        <v>4</v>
      </c>
      <c r="F117" s="9" t="s">
        <v>46</v>
      </c>
      <c r="G117" s="9" t="s">
        <v>35</v>
      </c>
      <c r="H117" s="9">
        <v>19</v>
      </c>
      <c r="I117" s="9">
        <v>26</v>
      </c>
      <c r="J117" s="9" t="s">
        <v>47</v>
      </c>
      <c r="K117" s="9" t="s">
        <v>69</v>
      </c>
    </row>
    <row r="118" spans="1:11" x14ac:dyDescent="0.2">
      <c r="A118" s="9" t="s">
        <v>73</v>
      </c>
      <c r="B118" s="9" t="s">
        <v>75</v>
      </c>
      <c r="C118" s="9">
        <v>2</v>
      </c>
      <c r="D118" s="9">
        <v>1999</v>
      </c>
      <c r="E118" s="9">
        <v>4</v>
      </c>
      <c r="F118" s="9" t="s">
        <v>37</v>
      </c>
      <c r="G118" s="9" t="s">
        <v>35</v>
      </c>
      <c r="H118" s="9">
        <v>19</v>
      </c>
      <c r="I118" s="9">
        <v>29</v>
      </c>
      <c r="J118" s="9" t="s">
        <v>47</v>
      </c>
      <c r="K118" s="9" t="s">
        <v>69</v>
      </c>
    </row>
    <row r="119" spans="1:11" x14ac:dyDescent="0.2">
      <c r="A119" s="9" t="s">
        <v>73</v>
      </c>
      <c r="B119" s="9" t="s">
        <v>75</v>
      </c>
      <c r="C119" s="9">
        <v>2</v>
      </c>
      <c r="D119" s="9">
        <v>2008</v>
      </c>
      <c r="E119" s="9">
        <v>4</v>
      </c>
      <c r="F119" s="9" t="s">
        <v>37</v>
      </c>
      <c r="G119" s="9" t="s">
        <v>35</v>
      </c>
      <c r="H119" s="9">
        <v>20</v>
      </c>
      <c r="I119" s="9">
        <v>28</v>
      </c>
      <c r="J119" s="9" t="s">
        <v>47</v>
      </c>
      <c r="K119" s="9" t="s">
        <v>69</v>
      </c>
    </row>
    <row r="120" spans="1:11" x14ac:dyDescent="0.2">
      <c r="A120" s="9" t="s">
        <v>73</v>
      </c>
      <c r="B120" s="9" t="s">
        <v>75</v>
      </c>
      <c r="C120" s="9">
        <v>2</v>
      </c>
      <c r="D120" s="9">
        <v>2008</v>
      </c>
      <c r="E120" s="9">
        <v>4</v>
      </c>
      <c r="F120" s="9" t="s">
        <v>46</v>
      </c>
      <c r="G120" s="9" t="s">
        <v>35</v>
      </c>
      <c r="H120" s="9">
        <v>20</v>
      </c>
      <c r="I120" s="9">
        <v>27</v>
      </c>
      <c r="J120" s="9" t="s">
        <v>47</v>
      </c>
      <c r="K120" s="9" t="s">
        <v>69</v>
      </c>
    </row>
    <row r="121" spans="1:11" x14ac:dyDescent="0.2">
      <c r="A121" s="9" t="s">
        <v>73</v>
      </c>
      <c r="B121" s="9" t="s">
        <v>75</v>
      </c>
      <c r="C121" s="9">
        <v>2.7</v>
      </c>
      <c r="D121" s="9">
        <v>2008</v>
      </c>
      <c r="E121" s="9">
        <v>6</v>
      </c>
      <c r="F121" s="9" t="s">
        <v>46</v>
      </c>
      <c r="G121" s="9" t="s">
        <v>35</v>
      </c>
      <c r="H121" s="9">
        <v>17</v>
      </c>
      <c r="I121" s="9">
        <v>24</v>
      </c>
      <c r="J121" s="9" t="s">
        <v>47</v>
      </c>
      <c r="K121" s="9" t="s">
        <v>69</v>
      </c>
    </row>
    <row r="122" spans="1:11" x14ac:dyDescent="0.2">
      <c r="A122" s="9" t="s">
        <v>73</v>
      </c>
      <c r="B122" s="9" t="s">
        <v>75</v>
      </c>
      <c r="C122" s="9">
        <v>2.7</v>
      </c>
      <c r="D122" s="9">
        <v>2008</v>
      </c>
      <c r="E122" s="9">
        <v>6</v>
      </c>
      <c r="F122" s="9" t="s">
        <v>38</v>
      </c>
      <c r="G122" s="9" t="s">
        <v>35</v>
      </c>
      <c r="H122" s="9">
        <v>16</v>
      </c>
      <c r="I122" s="9">
        <v>24</v>
      </c>
      <c r="J122" s="9" t="s">
        <v>47</v>
      </c>
      <c r="K122" s="9" t="s">
        <v>69</v>
      </c>
    </row>
    <row r="123" spans="1:11" x14ac:dyDescent="0.2">
      <c r="A123" s="9" t="s">
        <v>73</v>
      </c>
      <c r="B123" s="9" t="s">
        <v>75</v>
      </c>
      <c r="C123" s="9">
        <v>2.7</v>
      </c>
      <c r="D123" s="9">
        <v>2008</v>
      </c>
      <c r="E123" s="9">
        <v>6</v>
      </c>
      <c r="F123" s="9" t="s">
        <v>37</v>
      </c>
      <c r="G123" s="9" t="s">
        <v>35</v>
      </c>
      <c r="H123" s="9">
        <v>17</v>
      </c>
      <c r="I123" s="9">
        <v>24</v>
      </c>
      <c r="J123" s="9" t="s">
        <v>47</v>
      </c>
      <c r="K123" s="9" t="s">
        <v>69</v>
      </c>
    </row>
    <row r="124" spans="1:11" x14ac:dyDescent="0.2">
      <c r="A124" s="9" t="s">
        <v>76</v>
      </c>
      <c r="B124" s="9" t="s">
        <v>77</v>
      </c>
      <c r="C124" s="9">
        <v>3</v>
      </c>
      <c r="D124" s="9">
        <v>2008</v>
      </c>
      <c r="E124" s="9">
        <v>6</v>
      </c>
      <c r="F124" s="9" t="s">
        <v>34</v>
      </c>
      <c r="G124" s="9">
        <v>4</v>
      </c>
      <c r="H124" s="9">
        <v>17</v>
      </c>
      <c r="I124" s="9">
        <v>22</v>
      </c>
      <c r="J124" s="9" t="s">
        <v>53</v>
      </c>
      <c r="K124" s="9" t="s">
        <v>48</v>
      </c>
    </row>
    <row r="125" spans="1:11" x14ac:dyDescent="0.2">
      <c r="A125" s="9" t="s">
        <v>76</v>
      </c>
      <c r="B125" s="9" t="s">
        <v>77</v>
      </c>
      <c r="C125" s="9">
        <v>3.7</v>
      </c>
      <c r="D125" s="9">
        <v>2008</v>
      </c>
      <c r="E125" s="9">
        <v>6</v>
      </c>
      <c r="F125" s="9" t="s">
        <v>34</v>
      </c>
      <c r="G125" s="9">
        <v>4</v>
      </c>
      <c r="H125" s="9">
        <v>15</v>
      </c>
      <c r="I125" s="9">
        <v>19</v>
      </c>
      <c r="J125" s="9" t="s">
        <v>47</v>
      </c>
      <c r="K125" s="9" t="s">
        <v>48</v>
      </c>
    </row>
    <row r="126" spans="1:11" x14ac:dyDescent="0.2">
      <c r="A126" s="9" t="s">
        <v>76</v>
      </c>
      <c r="B126" s="9" t="s">
        <v>77</v>
      </c>
      <c r="C126" s="9">
        <v>4</v>
      </c>
      <c r="D126" s="9">
        <v>1999</v>
      </c>
      <c r="E126" s="9">
        <v>6</v>
      </c>
      <c r="F126" s="9" t="s">
        <v>46</v>
      </c>
      <c r="G126" s="9">
        <v>4</v>
      </c>
      <c r="H126" s="9">
        <v>15</v>
      </c>
      <c r="I126" s="9">
        <v>20</v>
      </c>
      <c r="J126" s="9" t="s">
        <v>47</v>
      </c>
      <c r="K126" s="9" t="s">
        <v>48</v>
      </c>
    </row>
    <row r="127" spans="1:11" x14ac:dyDescent="0.2">
      <c r="A127" s="9" t="s">
        <v>76</v>
      </c>
      <c r="B127" s="9" t="s">
        <v>77</v>
      </c>
      <c r="C127" s="9">
        <v>4.7</v>
      </c>
      <c r="D127" s="9">
        <v>1999</v>
      </c>
      <c r="E127" s="9">
        <v>8</v>
      </c>
      <c r="F127" s="9" t="s">
        <v>46</v>
      </c>
      <c r="G127" s="9">
        <v>4</v>
      </c>
      <c r="H127" s="9">
        <v>14</v>
      </c>
      <c r="I127" s="9">
        <v>17</v>
      </c>
      <c r="J127" s="9" t="s">
        <v>47</v>
      </c>
      <c r="K127" s="9" t="s">
        <v>48</v>
      </c>
    </row>
    <row r="128" spans="1:11" x14ac:dyDescent="0.2">
      <c r="A128" s="9" t="s">
        <v>76</v>
      </c>
      <c r="B128" s="9" t="s">
        <v>77</v>
      </c>
      <c r="C128" s="9">
        <v>4.7</v>
      </c>
      <c r="D128" s="9">
        <v>2008</v>
      </c>
      <c r="E128" s="9">
        <v>8</v>
      </c>
      <c r="F128" s="9" t="s">
        <v>34</v>
      </c>
      <c r="G128" s="9">
        <v>4</v>
      </c>
      <c r="H128" s="9">
        <v>9</v>
      </c>
      <c r="I128" s="9">
        <v>12</v>
      </c>
      <c r="J128" s="9" t="s">
        <v>49</v>
      </c>
      <c r="K128" s="9" t="s">
        <v>48</v>
      </c>
    </row>
    <row r="129" spans="1:11" x14ac:dyDescent="0.2">
      <c r="A129" s="9" t="s">
        <v>76</v>
      </c>
      <c r="B129" s="9" t="s">
        <v>77</v>
      </c>
      <c r="C129" s="9">
        <v>4.7</v>
      </c>
      <c r="D129" s="9">
        <v>2008</v>
      </c>
      <c r="E129" s="9">
        <v>8</v>
      </c>
      <c r="F129" s="9" t="s">
        <v>34</v>
      </c>
      <c r="G129" s="9">
        <v>4</v>
      </c>
      <c r="H129" s="9">
        <v>14</v>
      </c>
      <c r="I129" s="9">
        <v>19</v>
      </c>
      <c r="J129" s="9" t="s">
        <v>47</v>
      </c>
      <c r="K129" s="9" t="s">
        <v>48</v>
      </c>
    </row>
    <row r="130" spans="1:11" x14ac:dyDescent="0.2">
      <c r="A130" s="9" t="s">
        <v>76</v>
      </c>
      <c r="B130" s="9" t="s">
        <v>77</v>
      </c>
      <c r="C130" s="9">
        <v>5.7</v>
      </c>
      <c r="D130" s="9">
        <v>2008</v>
      </c>
      <c r="E130" s="9">
        <v>8</v>
      </c>
      <c r="F130" s="9" t="s">
        <v>34</v>
      </c>
      <c r="G130" s="9">
        <v>4</v>
      </c>
      <c r="H130" s="9">
        <v>13</v>
      </c>
      <c r="I130" s="9">
        <v>18</v>
      </c>
      <c r="J130" s="9" t="s">
        <v>47</v>
      </c>
      <c r="K130" s="9" t="s">
        <v>48</v>
      </c>
    </row>
    <row r="131" spans="1:11" x14ac:dyDescent="0.2">
      <c r="A131" s="9" t="s">
        <v>76</v>
      </c>
      <c r="B131" s="9" t="s">
        <v>77</v>
      </c>
      <c r="C131" s="9">
        <v>6.1</v>
      </c>
      <c r="D131" s="9">
        <v>2008</v>
      </c>
      <c r="E131" s="9">
        <v>8</v>
      </c>
      <c r="F131" s="9" t="s">
        <v>34</v>
      </c>
      <c r="G131" s="9">
        <v>4</v>
      </c>
      <c r="H131" s="9">
        <v>11</v>
      </c>
      <c r="I131" s="9">
        <v>14</v>
      </c>
      <c r="J131" s="9" t="s">
        <v>0</v>
      </c>
      <c r="K131" s="9" t="s">
        <v>48</v>
      </c>
    </row>
    <row r="132" spans="1:11" x14ac:dyDescent="0.2">
      <c r="A132" s="9" t="s">
        <v>78</v>
      </c>
      <c r="B132" s="9" t="s">
        <v>79</v>
      </c>
      <c r="C132" s="9">
        <v>4</v>
      </c>
      <c r="D132" s="9">
        <v>1999</v>
      </c>
      <c r="E132" s="9">
        <v>8</v>
      </c>
      <c r="F132" s="9" t="s">
        <v>46</v>
      </c>
      <c r="G132" s="9">
        <v>4</v>
      </c>
      <c r="H132" s="9">
        <v>11</v>
      </c>
      <c r="I132" s="9">
        <v>15</v>
      </c>
      <c r="J132" s="9" t="s">
        <v>0</v>
      </c>
      <c r="K132" s="9" t="s">
        <v>48</v>
      </c>
    </row>
    <row r="133" spans="1:11" x14ac:dyDescent="0.2">
      <c r="A133" s="9" t="s">
        <v>78</v>
      </c>
      <c r="B133" s="9" t="s">
        <v>79</v>
      </c>
      <c r="C133" s="9">
        <v>4.2</v>
      </c>
      <c r="D133" s="9">
        <v>2008</v>
      </c>
      <c r="E133" s="9">
        <v>8</v>
      </c>
      <c r="F133" s="9" t="s">
        <v>41</v>
      </c>
      <c r="G133" s="9">
        <v>4</v>
      </c>
      <c r="H133" s="9">
        <v>12</v>
      </c>
      <c r="I133" s="9">
        <v>18</v>
      </c>
      <c r="J133" s="9" t="s">
        <v>47</v>
      </c>
      <c r="K133" s="9" t="s">
        <v>48</v>
      </c>
    </row>
    <row r="134" spans="1:11" x14ac:dyDescent="0.2">
      <c r="A134" s="9" t="s">
        <v>78</v>
      </c>
      <c r="B134" s="9" t="s">
        <v>79</v>
      </c>
      <c r="C134" s="9">
        <v>4.4000000000000004</v>
      </c>
      <c r="D134" s="9">
        <v>2008</v>
      </c>
      <c r="E134" s="9">
        <v>8</v>
      </c>
      <c r="F134" s="9" t="s">
        <v>41</v>
      </c>
      <c r="G134" s="9">
        <v>4</v>
      </c>
      <c r="H134" s="9">
        <v>12</v>
      </c>
      <c r="I134" s="9">
        <v>18</v>
      </c>
      <c r="J134" s="9" t="s">
        <v>47</v>
      </c>
      <c r="K134" s="9" t="s">
        <v>48</v>
      </c>
    </row>
    <row r="135" spans="1:11" x14ac:dyDescent="0.2">
      <c r="A135" s="9" t="s">
        <v>78</v>
      </c>
      <c r="B135" s="9" t="s">
        <v>79</v>
      </c>
      <c r="C135" s="9">
        <v>4.5999999999999996</v>
      </c>
      <c r="D135" s="9">
        <v>1999</v>
      </c>
      <c r="E135" s="9">
        <v>8</v>
      </c>
      <c r="F135" s="9" t="s">
        <v>46</v>
      </c>
      <c r="G135" s="9">
        <v>4</v>
      </c>
      <c r="H135" s="9">
        <v>11</v>
      </c>
      <c r="I135" s="9">
        <v>15</v>
      </c>
      <c r="J135" s="9" t="s">
        <v>0</v>
      </c>
      <c r="K135" s="9" t="s">
        <v>48</v>
      </c>
    </row>
    <row r="136" spans="1:11" x14ac:dyDescent="0.2">
      <c r="A136" s="9" t="s">
        <v>80</v>
      </c>
      <c r="B136" s="9" t="s">
        <v>81</v>
      </c>
      <c r="C136" s="9">
        <v>5.4</v>
      </c>
      <c r="D136" s="9">
        <v>1999</v>
      </c>
      <c r="E136" s="9">
        <v>8</v>
      </c>
      <c r="F136" s="9" t="s">
        <v>46</v>
      </c>
      <c r="G136" s="9" t="s">
        <v>47</v>
      </c>
      <c r="H136" s="9">
        <v>11</v>
      </c>
      <c r="I136" s="9">
        <v>17</v>
      </c>
      <c r="J136" s="9" t="s">
        <v>47</v>
      </c>
      <c r="K136" s="9" t="s">
        <v>48</v>
      </c>
    </row>
    <row r="137" spans="1:11" x14ac:dyDescent="0.2">
      <c r="A137" s="9" t="s">
        <v>80</v>
      </c>
      <c r="B137" s="9" t="s">
        <v>81</v>
      </c>
      <c r="C137" s="9">
        <v>5.4</v>
      </c>
      <c r="D137" s="9">
        <v>1999</v>
      </c>
      <c r="E137" s="9">
        <v>8</v>
      </c>
      <c r="F137" s="9" t="s">
        <v>46</v>
      </c>
      <c r="G137" s="9" t="s">
        <v>47</v>
      </c>
      <c r="H137" s="9">
        <v>11</v>
      </c>
      <c r="I137" s="9">
        <v>16</v>
      </c>
      <c r="J137" s="9" t="s">
        <v>0</v>
      </c>
      <c r="K137" s="9" t="s">
        <v>48</v>
      </c>
    </row>
    <row r="138" spans="1:11" x14ac:dyDescent="0.2">
      <c r="A138" s="9" t="s">
        <v>80</v>
      </c>
      <c r="B138" s="9" t="s">
        <v>81</v>
      </c>
      <c r="C138" s="9">
        <v>5.4</v>
      </c>
      <c r="D138" s="9">
        <v>2008</v>
      </c>
      <c r="E138" s="9">
        <v>8</v>
      </c>
      <c r="F138" s="9" t="s">
        <v>59</v>
      </c>
      <c r="G138" s="9" t="s">
        <v>47</v>
      </c>
      <c r="H138" s="9">
        <v>12</v>
      </c>
      <c r="I138" s="9">
        <v>18</v>
      </c>
      <c r="J138" s="9" t="s">
        <v>47</v>
      </c>
      <c r="K138" s="9" t="s">
        <v>48</v>
      </c>
    </row>
    <row r="139" spans="1:11" x14ac:dyDescent="0.2">
      <c r="A139" s="9" t="s">
        <v>82</v>
      </c>
      <c r="B139" s="9" t="s">
        <v>83</v>
      </c>
      <c r="C139" s="9">
        <v>4</v>
      </c>
      <c r="D139" s="9">
        <v>1999</v>
      </c>
      <c r="E139" s="9">
        <v>6</v>
      </c>
      <c r="F139" s="9" t="s">
        <v>34</v>
      </c>
      <c r="G139" s="9">
        <v>4</v>
      </c>
      <c r="H139" s="9">
        <v>14</v>
      </c>
      <c r="I139" s="9">
        <v>17</v>
      </c>
      <c r="J139" s="9" t="s">
        <v>47</v>
      </c>
      <c r="K139" s="9" t="s">
        <v>48</v>
      </c>
    </row>
    <row r="140" spans="1:11" x14ac:dyDescent="0.2">
      <c r="A140" s="9" t="s">
        <v>82</v>
      </c>
      <c r="B140" s="9" t="s">
        <v>83</v>
      </c>
      <c r="C140" s="9">
        <v>4</v>
      </c>
      <c r="D140" s="9">
        <v>2008</v>
      </c>
      <c r="E140" s="9">
        <v>6</v>
      </c>
      <c r="F140" s="9" t="s">
        <v>34</v>
      </c>
      <c r="G140" s="9">
        <v>4</v>
      </c>
      <c r="H140" s="9">
        <v>13</v>
      </c>
      <c r="I140" s="9">
        <v>19</v>
      </c>
      <c r="J140" s="9" t="s">
        <v>47</v>
      </c>
      <c r="K140" s="9" t="s">
        <v>48</v>
      </c>
    </row>
    <row r="141" spans="1:11" x14ac:dyDescent="0.2">
      <c r="A141" s="9" t="s">
        <v>82</v>
      </c>
      <c r="B141" s="9" t="s">
        <v>83</v>
      </c>
      <c r="C141" s="9">
        <v>4.5999999999999996</v>
      </c>
      <c r="D141" s="9">
        <v>2008</v>
      </c>
      <c r="E141" s="9">
        <v>8</v>
      </c>
      <c r="F141" s="9" t="s">
        <v>59</v>
      </c>
      <c r="G141" s="9">
        <v>4</v>
      </c>
      <c r="H141" s="9">
        <v>13</v>
      </c>
      <c r="I141" s="9">
        <v>19</v>
      </c>
      <c r="J141" s="9" t="s">
        <v>47</v>
      </c>
      <c r="K141" s="9" t="s">
        <v>48</v>
      </c>
    </row>
    <row r="142" spans="1:11" x14ac:dyDescent="0.2">
      <c r="A142" s="9" t="s">
        <v>82</v>
      </c>
      <c r="B142" s="9" t="s">
        <v>83</v>
      </c>
      <c r="C142" s="9">
        <v>5</v>
      </c>
      <c r="D142" s="9">
        <v>1999</v>
      </c>
      <c r="E142" s="9">
        <v>8</v>
      </c>
      <c r="F142" s="9" t="s">
        <v>46</v>
      </c>
      <c r="G142" s="9">
        <v>4</v>
      </c>
      <c r="H142" s="9">
        <v>13</v>
      </c>
      <c r="I142" s="9">
        <v>17</v>
      </c>
      <c r="J142" s="9" t="s">
        <v>47</v>
      </c>
      <c r="K142" s="9" t="s">
        <v>48</v>
      </c>
    </row>
    <row r="143" spans="1:11" x14ac:dyDescent="0.2">
      <c r="A143" s="9" t="s">
        <v>84</v>
      </c>
      <c r="B143" s="9" t="s">
        <v>85</v>
      </c>
      <c r="C143" s="9">
        <v>2.4</v>
      </c>
      <c r="D143" s="9">
        <v>1999</v>
      </c>
      <c r="E143" s="9">
        <v>4</v>
      </c>
      <c r="F143" s="9" t="s">
        <v>37</v>
      </c>
      <c r="G143" s="9" t="s">
        <v>35</v>
      </c>
      <c r="H143" s="9">
        <v>21</v>
      </c>
      <c r="I143" s="9">
        <v>29</v>
      </c>
      <c r="J143" s="9" t="s">
        <v>47</v>
      </c>
      <c r="K143" s="9" t="s">
        <v>36</v>
      </c>
    </row>
    <row r="144" spans="1:11" x14ac:dyDescent="0.2">
      <c r="A144" s="9" t="s">
        <v>84</v>
      </c>
      <c r="B144" s="9" t="s">
        <v>85</v>
      </c>
      <c r="C144" s="9">
        <v>2.4</v>
      </c>
      <c r="D144" s="9">
        <v>1999</v>
      </c>
      <c r="E144" s="9">
        <v>4</v>
      </c>
      <c r="F144" s="9" t="s">
        <v>46</v>
      </c>
      <c r="G144" s="9" t="s">
        <v>35</v>
      </c>
      <c r="H144" s="9">
        <v>19</v>
      </c>
      <c r="I144" s="9">
        <v>27</v>
      </c>
      <c r="J144" s="9" t="s">
        <v>47</v>
      </c>
      <c r="K144" s="9" t="s">
        <v>36</v>
      </c>
    </row>
    <row r="145" spans="1:11" x14ac:dyDescent="0.2">
      <c r="A145" s="9" t="s">
        <v>84</v>
      </c>
      <c r="B145" s="9" t="s">
        <v>85</v>
      </c>
      <c r="C145" s="9">
        <v>2.5</v>
      </c>
      <c r="D145" s="9">
        <v>2008</v>
      </c>
      <c r="E145" s="9">
        <v>4</v>
      </c>
      <c r="F145" s="9" t="s">
        <v>39</v>
      </c>
      <c r="G145" s="9" t="s">
        <v>35</v>
      </c>
      <c r="H145" s="9">
        <v>23</v>
      </c>
      <c r="I145" s="9">
        <v>31</v>
      </c>
      <c r="J145" s="9" t="s">
        <v>47</v>
      </c>
      <c r="K145" s="9" t="s">
        <v>43</v>
      </c>
    </row>
    <row r="146" spans="1:11" x14ac:dyDescent="0.2">
      <c r="A146" s="9" t="s">
        <v>84</v>
      </c>
      <c r="B146" s="9" t="s">
        <v>85</v>
      </c>
      <c r="C146" s="9">
        <v>2.5</v>
      </c>
      <c r="D146" s="9">
        <v>2008</v>
      </c>
      <c r="E146" s="9">
        <v>4</v>
      </c>
      <c r="F146" s="9" t="s">
        <v>38</v>
      </c>
      <c r="G146" s="9" t="s">
        <v>35</v>
      </c>
      <c r="H146" s="9">
        <v>23</v>
      </c>
      <c r="I146" s="9">
        <v>32</v>
      </c>
      <c r="J146" s="9" t="s">
        <v>47</v>
      </c>
      <c r="K146" s="9" t="s">
        <v>43</v>
      </c>
    </row>
    <row r="147" spans="1:11" x14ac:dyDescent="0.2">
      <c r="A147" s="9" t="s">
        <v>84</v>
      </c>
      <c r="B147" s="9" t="s">
        <v>85</v>
      </c>
      <c r="C147" s="9">
        <v>3.5</v>
      </c>
      <c r="D147" s="9">
        <v>2008</v>
      </c>
      <c r="E147" s="9">
        <v>6</v>
      </c>
      <c r="F147" s="9" t="s">
        <v>38</v>
      </c>
      <c r="G147" s="9" t="s">
        <v>35</v>
      </c>
      <c r="H147" s="9">
        <v>19</v>
      </c>
      <c r="I147" s="9">
        <v>27</v>
      </c>
      <c r="J147" s="9" t="s">
        <v>0</v>
      </c>
      <c r="K147" s="9" t="s">
        <v>43</v>
      </c>
    </row>
    <row r="148" spans="1:11" x14ac:dyDescent="0.2">
      <c r="A148" s="9" t="s">
        <v>84</v>
      </c>
      <c r="B148" s="9" t="s">
        <v>85</v>
      </c>
      <c r="C148" s="9">
        <v>3.5</v>
      </c>
      <c r="D148" s="9">
        <v>2008</v>
      </c>
      <c r="E148" s="9">
        <v>6</v>
      </c>
      <c r="F148" s="9" t="s">
        <v>39</v>
      </c>
      <c r="G148" s="9" t="s">
        <v>35</v>
      </c>
      <c r="H148" s="9">
        <v>19</v>
      </c>
      <c r="I148" s="9">
        <v>26</v>
      </c>
      <c r="J148" s="9" t="s">
        <v>0</v>
      </c>
      <c r="K148" s="9" t="s">
        <v>43</v>
      </c>
    </row>
    <row r="149" spans="1:11" x14ac:dyDescent="0.2">
      <c r="A149" s="9" t="s">
        <v>84</v>
      </c>
      <c r="B149" s="9" t="s">
        <v>86</v>
      </c>
      <c r="C149" s="9">
        <v>3</v>
      </c>
      <c r="D149" s="9">
        <v>1999</v>
      </c>
      <c r="E149" s="9">
        <v>6</v>
      </c>
      <c r="F149" s="9" t="s">
        <v>46</v>
      </c>
      <c r="G149" s="9" t="s">
        <v>35</v>
      </c>
      <c r="H149" s="9">
        <v>18</v>
      </c>
      <c r="I149" s="9">
        <v>26</v>
      </c>
      <c r="J149" s="9" t="s">
        <v>47</v>
      </c>
      <c r="K149" s="9" t="s">
        <v>43</v>
      </c>
    </row>
    <row r="150" spans="1:11" x14ac:dyDescent="0.2">
      <c r="A150" s="9" t="s">
        <v>84</v>
      </c>
      <c r="B150" s="9" t="s">
        <v>86</v>
      </c>
      <c r="C150" s="9">
        <v>3</v>
      </c>
      <c r="D150" s="9">
        <v>1999</v>
      </c>
      <c r="E150" s="9">
        <v>6</v>
      </c>
      <c r="F150" s="9" t="s">
        <v>37</v>
      </c>
      <c r="G150" s="9" t="s">
        <v>35</v>
      </c>
      <c r="H150" s="9">
        <v>19</v>
      </c>
      <c r="I150" s="9">
        <v>25</v>
      </c>
      <c r="J150" s="9" t="s">
        <v>47</v>
      </c>
      <c r="K150" s="9" t="s">
        <v>43</v>
      </c>
    </row>
    <row r="151" spans="1:11" x14ac:dyDescent="0.2">
      <c r="A151" s="9" t="s">
        <v>84</v>
      </c>
      <c r="B151" s="9" t="s">
        <v>86</v>
      </c>
      <c r="C151" s="9">
        <v>3.5</v>
      </c>
      <c r="D151" s="9">
        <v>2008</v>
      </c>
      <c r="E151" s="9">
        <v>6</v>
      </c>
      <c r="F151" s="9" t="s">
        <v>39</v>
      </c>
      <c r="G151" s="9" t="s">
        <v>35</v>
      </c>
      <c r="H151" s="9">
        <v>19</v>
      </c>
      <c r="I151" s="9">
        <v>25</v>
      </c>
      <c r="J151" s="9" t="s">
        <v>0</v>
      </c>
      <c r="K151" s="9" t="s">
        <v>43</v>
      </c>
    </row>
    <row r="152" spans="1:11" x14ac:dyDescent="0.2">
      <c r="A152" s="9" t="s">
        <v>84</v>
      </c>
      <c r="B152" s="9" t="s">
        <v>87</v>
      </c>
      <c r="C152" s="9">
        <v>3.3</v>
      </c>
      <c r="D152" s="9">
        <v>1999</v>
      </c>
      <c r="E152" s="9">
        <v>6</v>
      </c>
      <c r="F152" s="9" t="s">
        <v>46</v>
      </c>
      <c r="G152" s="9">
        <v>4</v>
      </c>
      <c r="H152" s="9">
        <v>14</v>
      </c>
      <c r="I152" s="9">
        <v>17</v>
      </c>
      <c r="J152" s="9" t="s">
        <v>47</v>
      </c>
      <c r="K152" s="9" t="s">
        <v>48</v>
      </c>
    </row>
    <row r="153" spans="1:11" x14ac:dyDescent="0.2">
      <c r="A153" s="9" t="s">
        <v>84</v>
      </c>
      <c r="B153" s="9" t="s">
        <v>87</v>
      </c>
      <c r="C153" s="9">
        <v>3.3</v>
      </c>
      <c r="D153" s="9">
        <v>1999</v>
      </c>
      <c r="E153" s="9">
        <v>6</v>
      </c>
      <c r="F153" s="9" t="s">
        <v>37</v>
      </c>
      <c r="G153" s="9">
        <v>4</v>
      </c>
      <c r="H153" s="9">
        <v>15</v>
      </c>
      <c r="I153" s="9">
        <v>17</v>
      </c>
      <c r="J153" s="9" t="s">
        <v>47</v>
      </c>
      <c r="K153" s="9" t="s">
        <v>48</v>
      </c>
    </row>
    <row r="154" spans="1:11" x14ac:dyDescent="0.2">
      <c r="A154" s="9" t="s">
        <v>84</v>
      </c>
      <c r="B154" s="9" t="s">
        <v>87</v>
      </c>
      <c r="C154" s="9">
        <v>4</v>
      </c>
      <c r="D154" s="9">
        <v>2008</v>
      </c>
      <c r="E154" s="9">
        <v>6</v>
      </c>
      <c r="F154" s="9" t="s">
        <v>34</v>
      </c>
      <c r="G154" s="9">
        <v>4</v>
      </c>
      <c r="H154" s="9">
        <v>14</v>
      </c>
      <c r="I154" s="9">
        <v>20</v>
      </c>
      <c r="J154" s="9" t="s">
        <v>0</v>
      </c>
      <c r="K154" s="9" t="s">
        <v>48</v>
      </c>
    </row>
    <row r="155" spans="1:11" x14ac:dyDescent="0.2">
      <c r="A155" s="9" t="s">
        <v>84</v>
      </c>
      <c r="B155" s="9" t="s">
        <v>87</v>
      </c>
      <c r="C155" s="9">
        <v>5.6</v>
      </c>
      <c r="D155" s="9">
        <v>2008</v>
      </c>
      <c r="E155" s="9">
        <v>8</v>
      </c>
      <c r="F155" s="9" t="s">
        <v>88</v>
      </c>
      <c r="G155" s="9">
        <v>4</v>
      </c>
      <c r="H155" s="9">
        <v>12</v>
      </c>
      <c r="I155" s="9">
        <v>18</v>
      </c>
      <c r="J155" s="9" t="s">
        <v>0</v>
      </c>
      <c r="K155" s="9" t="s">
        <v>48</v>
      </c>
    </row>
    <row r="156" spans="1:11" x14ac:dyDescent="0.2">
      <c r="A156" s="9" t="s">
        <v>89</v>
      </c>
      <c r="B156" s="9" t="s">
        <v>90</v>
      </c>
      <c r="C156" s="9">
        <v>3.1</v>
      </c>
      <c r="D156" s="9">
        <v>1999</v>
      </c>
      <c r="E156" s="9">
        <v>6</v>
      </c>
      <c r="F156" s="9" t="s">
        <v>46</v>
      </c>
      <c r="G156" s="9" t="s">
        <v>35</v>
      </c>
      <c r="H156" s="9">
        <v>18</v>
      </c>
      <c r="I156" s="9">
        <v>26</v>
      </c>
      <c r="J156" s="9" t="s">
        <v>47</v>
      </c>
      <c r="K156" s="9" t="s">
        <v>43</v>
      </c>
    </row>
    <row r="157" spans="1:11" x14ac:dyDescent="0.2">
      <c r="A157" s="9" t="s">
        <v>89</v>
      </c>
      <c r="B157" s="9" t="s">
        <v>90</v>
      </c>
      <c r="C157" s="9">
        <v>3.8</v>
      </c>
      <c r="D157" s="9">
        <v>1999</v>
      </c>
      <c r="E157" s="9">
        <v>6</v>
      </c>
      <c r="F157" s="9" t="s">
        <v>46</v>
      </c>
      <c r="G157" s="9" t="s">
        <v>35</v>
      </c>
      <c r="H157" s="9">
        <v>16</v>
      </c>
      <c r="I157" s="9">
        <v>26</v>
      </c>
      <c r="J157" s="9" t="s">
        <v>0</v>
      </c>
      <c r="K157" s="9" t="s">
        <v>43</v>
      </c>
    </row>
    <row r="158" spans="1:11" x14ac:dyDescent="0.2">
      <c r="A158" s="9" t="s">
        <v>89</v>
      </c>
      <c r="B158" s="9" t="s">
        <v>90</v>
      </c>
      <c r="C158" s="9">
        <v>3.8</v>
      </c>
      <c r="D158" s="9">
        <v>1999</v>
      </c>
      <c r="E158" s="9">
        <v>6</v>
      </c>
      <c r="F158" s="9" t="s">
        <v>46</v>
      </c>
      <c r="G158" s="9" t="s">
        <v>35</v>
      </c>
      <c r="H158" s="9">
        <v>17</v>
      </c>
      <c r="I158" s="9">
        <v>27</v>
      </c>
      <c r="J158" s="9" t="s">
        <v>47</v>
      </c>
      <c r="K158" s="9" t="s">
        <v>43</v>
      </c>
    </row>
    <row r="159" spans="1:11" x14ac:dyDescent="0.2">
      <c r="A159" s="9" t="s">
        <v>89</v>
      </c>
      <c r="B159" s="9" t="s">
        <v>90</v>
      </c>
      <c r="C159" s="9">
        <v>3.8</v>
      </c>
      <c r="D159" s="9">
        <v>2008</v>
      </c>
      <c r="E159" s="9">
        <v>6</v>
      </c>
      <c r="F159" s="9" t="s">
        <v>46</v>
      </c>
      <c r="G159" s="9" t="s">
        <v>35</v>
      </c>
      <c r="H159" s="9">
        <v>18</v>
      </c>
      <c r="I159" s="9">
        <v>28</v>
      </c>
      <c r="J159" s="9" t="s">
        <v>47</v>
      </c>
      <c r="K159" s="9" t="s">
        <v>43</v>
      </c>
    </row>
    <row r="160" spans="1:11" x14ac:dyDescent="0.2">
      <c r="A160" s="9" t="s">
        <v>89</v>
      </c>
      <c r="B160" s="9" t="s">
        <v>90</v>
      </c>
      <c r="C160" s="9">
        <v>5.3</v>
      </c>
      <c r="D160" s="9">
        <v>2008</v>
      </c>
      <c r="E160" s="9">
        <v>8</v>
      </c>
      <c r="F160" s="9" t="s">
        <v>91</v>
      </c>
      <c r="G160" s="9" t="s">
        <v>35</v>
      </c>
      <c r="H160" s="9">
        <v>16</v>
      </c>
      <c r="I160" s="9">
        <v>25</v>
      </c>
      <c r="J160" s="9" t="s">
        <v>0</v>
      </c>
      <c r="K160" s="9" t="s">
        <v>43</v>
      </c>
    </row>
    <row r="161" spans="1:11" x14ac:dyDescent="0.2">
      <c r="A161" s="9" t="s">
        <v>92</v>
      </c>
      <c r="B161" s="9" t="s">
        <v>93</v>
      </c>
      <c r="C161" s="9">
        <v>2.5</v>
      </c>
      <c r="D161" s="9">
        <v>1999</v>
      </c>
      <c r="E161" s="9">
        <v>4</v>
      </c>
      <c r="F161" s="9" t="s">
        <v>37</v>
      </c>
      <c r="G161" s="9">
        <v>4</v>
      </c>
      <c r="H161" s="9">
        <v>18</v>
      </c>
      <c r="I161" s="9">
        <v>25</v>
      </c>
      <c r="J161" s="9" t="s">
        <v>47</v>
      </c>
      <c r="K161" s="9" t="s">
        <v>48</v>
      </c>
    </row>
    <row r="162" spans="1:11" x14ac:dyDescent="0.2">
      <c r="A162" s="9" t="s">
        <v>92</v>
      </c>
      <c r="B162" s="9" t="s">
        <v>93</v>
      </c>
      <c r="C162" s="9">
        <v>2.5</v>
      </c>
      <c r="D162" s="9">
        <v>1999</v>
      </c>
      <c r="E162" s="9">
        <v>4</v>
      </c>
      <c r="F162" s="9" t="s">
        <v>46</v>
      </c>
      <c r="G162" s="9">
        <v>4</v>
      </c>
      <c r="H162" s="9">
        <v>18</v>
      </c>
      <c r="I162" s="9">
        <v>24</v>
      </c>
      <c r="J162" s="9" t="s">
        <v>47</v>
      </c>
      <c r="K162" s="9" t="s">
        <v>48</v>
      </c>
    </row>
    <row r="163" spans="1:11" x14ac:dyDescent="0.2">
      <c r="A163" s="9" t="s">
        <v>92</v>
      </c>
      <c r="B163" s="9" t="s">
        <v>93</v>
      </c>
      <c r="C163" s="9">
        <v>2.5</v>
      </c>
      <c r="D163" s="9">
        <v>2008</v>
      </c>
      <c r="E163" s="9">
        <v>4</v>
      </c>
      <c r="F163" s="9" t="s">
        <v>37</v>
      </c>
      <c r="G163" s="9">
        <v>4</v>
      </c>
      <c r="H163" s="9">
        <v>20</v>
      </c>
      <c r="I163" s="9">
        <v>27</v>
      </c>
      <c r="J163" s="9" t="s">
        <v>47</v>
      </c>
      <c r="K163" s="9" t="s">
        <v>48</v>
      </c>
    </row>
    <row r="164" spans="1:11" x14ac:dyDescent="0.2">
      <c r="A164" s="9" t="s">
        <v>92</v>
      </c>
      <c r="B164" s="9" t="s">
        <v>93</v>
      </c>
      <c r="C164" s="9">
        <v>2.5</v>
      </c>
      <c r="D164" s="9">
        <v>2008</v>
      </c>
      <c r="E164" s="9">
        <v>4</v>
      </c>
      <c r="F164" s="9" t="s">
        <v>37</v>
      </c>
      <c r="G164" s="9">
        <v>4</v>
      </c>
      <c r="H164" s="9">
        <v>19</v>
      </c>
      <c r="I164" s="9">
        <v>25</v>
      </c>
      <c r="J164" s="9" t="s">
        <v>0</v>
      </c>
      <c r="K164" s="9" t="s">
        <v>48</v>
      </c>
    </row>
    <row r="165" spans="1:11" x14ac:dyDescent="0.2">
      <c r="A165" s="9" t="s">
        <v>92</v>
      </c>
      <c r="B165" s="9" t="s">
        <v>93</v>
      </c>
      <c r="C165" s="9">
        <v>2.5</v>
      </c>
      <c r="D165" s="9">
        <v>2008</v>
      </c>
      <c r="E165" s="9">
        <v>4</v>
      </c>
      <c r="F165" s="9" t="s">
        <v>46</v>
      </c>
      <c r="G165" s="9">
        <v>4</v>
      </c>
      <c r="H165" s="9">
        <v>20</v>
      </c>
      <c r="I165" s="9">
        <v>26</v>
      </c>
      <c r="J165" s="9" t="s">
        <v>47</v>
      </c>
      <c r="K165" s="9" t="s">
        <v>48</v>
      </c>
    </row>
    <row r="166" spans="1:11" x14ac:dyDescent="0.2">
      <c r="A166" s="9" t="s">
        <v>92</v>
      </c>
      <c r="B166" s="9" t="s">
        <v>93</v>
      </c>
      <c r="C166" s="9">
        <v>2.5</v>
      </c>
      <c r="D166" s="9">
        <v>2008</v>
      </c>
      <c r="E166" s="9">
        <v>4</v>
      </c>
      <c r="F166" s="9" t="s">
        <v>46</v>
      </c>
      <c r="G166" s="9">
        <v>4</v>
      </c>
      <c r="H166" s="9">
        <v>18</v>
      </c>
      <c r="I166" s="9">
        <v>23</v>
      </c>
      <c r="J166" s="9" t="s">
        <v>0</v>
      </c>
      <c r="K166" s="9" t="s">
        <v>48</v>
      </c>
    </row>
    <row r="167" spans="1:11" x14ac:dyDescent="0.2">
      <c r="A167" s="9" t="s">
        <v>92</v>
      </c>
      <c r="B167" s="9" t="s">
        <v>94</v>
      </c>
      <c r="C167" s="9">
        <v>2.2000000000000002</v>
      </c>
      <c r="D167" s="9">
        <v>1999</v>
      </c>
      <c r="E167" s="9">
        <v>4</v>
      </c>
      <c r="F167" s="9" t="s">
        <v>46</v>
      </c>
      <c r="G167" s="9">
        <v>4</v>
      </c>
      <c r="H167" s="9">
        <v>21</v>
      </c>
      <c r="I167" s="9">
        <v>26</v>
      </c>
      <c r="J167" s="9" t="s">
        <v>47</v>
      </c>
      <c r="K167" s="9" t="s">
        <v>69</v>
      </c>
    </row>
    <row r="168" spans="1:11" x14ac:dyDescent="0.2">
      <c r="A168" s="9" t="s">
        <v>92</v>
      </c>
      <c r="B168" s="9" t="s">
        <v>94</v>
      </c>
      <c r="C168" s="9">
        <v>2.2000000000000002</v>
      </c>
      <c r="D168" s="9">
        <v>1999</v>
      </c>
      <c r="E168" s="9">
        <v>4</v>
      </c>
      <c r="F168" s="9" t="s">
        <v>37</v>
      </c>
      <c r="G168" s="9">
        <v>4</v>
      </c>
      <c r="H168" s="9">
        <v>19</v>
      </c>
      <c r="I168" s="9">
        <v>26</v>
      </c>
      <c r="J168" s="9" t="s">
        <v>47</v>
      </c>
      <c r="K168" s="9" t="s">
        <v>69</v>
      </c>
    </row>
    <row r="169" spans="1:11" x14ac:dyDescent="0.2">
      <c r="A169" s="9" t="s">
        <v>92</v>
      </c>
      <c r="B169" s="9" t="s">
        <v>94</v>
      </c>
      <c r="C169" s="9">
        <v>2.5</v>
      </c>
      <c r="D169" s="9">
        <v>1999</v>
      </c>
      <c r="E169" s="9">
        <v>4</v>
      </c>
      <c r="F169" s="9" t="s">
        <v>37</v>
      </c>
      <c r="G169" s="9">
        <v>4</v>
      </c>
      <c r="H169" s="9">
        <v>19</v>
      </c>
      <c r="I169" s="9">
        <v>26</v>
      </c>
      <c r="J169" s="9" t="s">
        <v>47</v>
      </c>
      <c r="K169" s="9" t="s">
        <v>69</v>
      </c>
    </row>
    <row r="170" spans="1:11" x14ac:dyDescent="0.2">
      <c r="A170" s="9" t="s">
        <v>92</v>
      </c>
      <c r="B170" s="9" t="s">
        <v>94</v>
      </c>
      <c r="C170" s="9">
        <v>2.5</v>
      </c>
      <c r="D170" s="9">
        <v>1999</v>
      </c>
      <c r="E170" s="9">
        <v>4</v>
      </c>
      <c r="F170" s="9" t="s">
        <v>46</v>
      </c>
      <c r="G170" s="9">
        <v>4</v>
      </c>
      <c r="H170" s="9">
        <v>19</v>
      </c>
      <c r="I170" s="9">
        <v>26</v>
      </c>
      <c r="J170" s="9" t="s">
        <v>47</v>
      </c>
      <c r="K170" s="9" t="s">
        <v>69</v>
      </c>
    </row>
    <row r="171" spans="1:11" x14ac:dyDescent="0.2">
      <c r="A171" s="9" t="s">
        <v>92</v>
      </c>
      <c r="B171" s="9" t="s">
        <v>94</v>
      </c>
      <c r="C171" s="9">
        <v>2.5</v>
      </c>
      <c r="D171" s="9">
        <v>2008</v>
      </c>
      <c r="E171" s="9">
        <v>4</v>
      </c>
      <c r="F171" s="9" t="s">
        <v>91</v>
      </c>
      <c r="G171" s="9">
        <v>4</v>
      </c>
      <c r="H171" s="9">
        <v>20</v>
      </c>
      <c r="I171" s="9">
        <v>25</v>
      </c>
      <c r="J171" s="9" t="s">
        <v>0</v>
      </c>
      <c r="K171" s="9" t="s">
        <v>36</v>
      </c>
    </row>
    <row r="172" spans="1:11" x14ac:dyDescent="0.2">
      <c r="A172" s="9" t="s">
        <v>92</v>
      </c>
      <c r="B172" s="9" t="s">
        <v>94</v>
      </c>
      <c r="C172" s="9">
        <v>2.5</v>
      </c>
      <c r="D172" s="9">
        <v>2008</v>
      </c>
      <c r="E172" s="9">
        <v>4</v>
      </c>
      <c r="F172" s="9" t="s">
        <v>91</v>
      </c>
      <c r="G172" s="9">
        <v>4</v>
      </c>
      <c r="H172" s="9">
        <v>20</v>
      </c>
      <c r="I172" s="9">
        <v>27</v>
      </c>
      <c r="J172" s="9" t="s">
        <v>47</v>
      </c>
      <c r="K172" s="9" t="s">
        <v>36</v>
      </c>
    </row>
    <row r="173" spans="1:11" x14ac:dyDescent="0.2">
      <c r="A173" s="9" t="s">
        <v>92</v>
      </c>
      <c r="B173" s="9" t="s">
        <v>94</v>
      </c>
      <c r="C173" s="9">
        <v>2.5</v>
      </c>
      <c r="D173" s="9">
        <v>2008</v>
      </c>
      <c r="E173" s="9">
        <v>4</v>
      </c>
      <c r="F173" s="9" t="s">
        <v>37</v>
      </c>
      <c r="G173" s="9">
        <v>4</v>
      </c>
      <c r="H173" s="9">
        <v>19</v>
      </c>
      <c r="I173" s="9">
        <v>25</v>
      </c>
      <c r="J173" s="9" t="s">
        <v>0</v>
      </c>
      <c r="K173" s="9" t="s">
        <v>36</v>
      </c>
    </row>
    <row r="174" spans="1:11" x14ac:dyDescent="0.2">
      <c r="A174" s="9" t="s">
        <v>92</v>
      </c>
      <c r="B174" s="9" t="s">
        <v>94</v>
      </c>
      <c r="C174" s="9">
        <v>2.5</v>
      </c>
      <c r="D174" s="9">
        <v>2008</v>
      </c>
      <c r="E174" s="9">
        <v>4</v>
      </c>
      <c r="F174" s="9" t="s">
        <v>37</v>
      </c>
      <c r="G174" s="9">
        <v>4</v>
      </c>
      <c r="H174" s="9">
        <v>20</v>
      </c>
      <c r="I174" s="9">
        <v>27</v>
      </c>
      <c r="J174" s="9" t="s">
        <v>47</v>
      </c>
      <c r="K174" s="9" t="s">
        <v>36</v>
      </c>
    </row>
    <row r="175" spans="1:11" x14ac:dyDescent="0.2">
      <c r="A175" s="9" t="s">
        <v>95</v>
      </c>
      <c r="B175" s="9" t="s">
        <v>96</v>
      </c>
      <c r="C175" s="9">
        <v>2.7</v>
      </c>
      <c r="D175" s="9">
        <v>1999</v>
      </c>
      <c r="E175" s="9">
        <v>4</v>
      </c>
      <c r="F175" s="9" t="s">
        <v>37</v>
      </c>
      <c r="G175" s="9">
        <v>4</v>
      </c>
      <c r="H175" s="9">
        <v>15</v>
      </c>
      <c r="I175" s="9">
        <v>20</v>
      </c>
      <c r="J175" s="9" t="s">
        <v>47</v>
      </c>
      <c r="K175" s="9" t="s">
        <v>48</v>
      </c>
    </row>
    <row r="176" spans="1:11" x14ac:dyDescent="0.2">
      <c r="A176" s="9" t="s">
        <v>95</v>
      </c>
      <c r="B176" s="9" t="s">
        <v>96</v>
      </c>
      <c r="C176" s="9">
        <v>2.7</v>
      </c>
      <c r="D176" s="9">
        <v>1999</v>
      </c>
      <c r="E176" s="9">
        <v>4</v>
      </c>
      <c r="F176" s="9" t="s">
        <v>46</v>
      </c>
      <c r="G176" s="9">
        <v>4</v>
      </c>
      <c r="H176" s="9">
        <v>16</v>
      </c>
      <c r="I176" s="9">
        <v>20</v>
      </c>
      <c r="J176" s="9" t="s">
        <v>47</v>
      </c>
      <c r="K176" s="9" t="s">
        <v>48</v>
      </c>
    </row>
    <row r="177" spans="1:11" x14ac:dyDescent="0.2">
      <c r="A177" s="9" t="s">
        <v>95</v>
      </c>
      <c r="B177" s="9" t="s">
        <v>96</v>
      </c>
      <c r="C177" s="9">
        <v>3.4</v>
      </c>
      <c r="D177" s="9">
        <v>1999</v>
      </c>
      <c r="E177" s="9">
        <v>6</v>
      </c>
      <c r="F177" s="9" t="s">
        <v>46</v>
      </c>
      <c r="G177" s="9">
        <v>4</v>
      </c>
      <c r="H177" s="9">
        <v>15</v>
      </c>
      <c r="I177" s="9">
        <v>19</v>
      </c>
      <c r="J177" s="9" t="s">
        <v>47</v>
      </c>
      <c r="K177" s="9" t="s">
        <v>48</v>
      </c>
    </row>
    <row r="178" spans="1:11" x14ac:dyDescent="0.2">
      <c r="A178" s="9" t="s">
        <v>95</v>
      </c>
      <c r="B178" s="9" t="s">
        <v>96</v>
      </c>
      <c r="C178" s="9">
        <v>3.4</v>
      </c>
      <c r="D178" s="9">
        <v>1999</v>
      </c>
      <c r="E178" s="9">
        <v>6</v>
      </c>
      <c r="F178" s="9" t="s">
        <v>37</v>
      </c>
      <c r="G178" s="9">
        <v>4</v>
      </c>
      <c r="H178" s="9">
        <v>15</v>
      </c>
      <c r="I178" s="9">
        <v>17</v>
      </c>
      <c r="J178" s="9" t="s">
        <v>47</v>
      </c>
      <c r="K178" s="9" t="s">
        <v>48</v>
      </c>
    </row>
    <row r="179" spans="1:11" x14ac:dyDescent="0.2">
      <c r="A179" s="9" t="s">
        <v>95</v>
      </c>
      <c r="B179" s="9" t="s">
        <v>96</v>
      </c>
      <c r="C179" s="9">
        <v>4</v>
      </c>
      <c r="D179" s="9">
        <v>2008</v>
      </c>
      <c r="E179" s="9">
        <v>6</v>
      </c>
      <c r="F179" s="9" t="s">
        <v>34</v>
      </c>
      <c r="G179" s="9">
        <v>4</v>
      </c>
      <c r="H179" s="9">
        <v>16</v>
      </c>
      <c r="I179" s="9">
        <v>20</v>
      </c>
      <c r="J179" s="9" t="s">
        <v>47</v>
      </c>
      <c r="K179" s="9" t="s">
        <v>48</v>
      </c>
    </row>
    <row r="180" spans="1:11" x14ac:dyDescent="0.2">
      <c r="A180" s="9" t="s">
        <v>95</v>
      </c>
      <c r="B180" s="9" t="s">
        <v>96</v>
      </c>
      <c r="C180" s="9">
        <v>4.7</v>
      </c>
      <c r="D180" s="9">
        <v>2008</v>
      </c>
      <c r="E180" s="9">
        <v>8</v>
      </c>
      <c r="F180" s="9" t="s">
        <v>34</v>
      </c>
      <c r="G180" s="9">
        <v>4</v>
      </c>
      <c r="H180" s="9">
        <v>14</v>
      </c>
      <c r="I180" s="9">
        <v>17</v>
      </c>
      <c r="J180" s="9" t="s">
        <v>47</v>
      </c>
      <c r="K180" s="9" t="s">
        <v>48</v>
      </c>
    </row>
    <row r="181" spans="1:11" x14ac:dyDescent="0.2">
      <c r="A181" s="9" t="s">
        <v>95</v>
      </c>
      <c r="B181" s="9" t="s">
        <v>97</v>
      </c>
      <c r="C181" s="9">
        <v>2.2000000000000002</v>
      </c>
      <c r="D181" s="9">
        <v>1999</v>
      </c>
      <c r="E181" s="9">
        <v>4</v>
      </c>
      <c r="F181" s="9" t="s">
        <v>37</v>
      </c>
      <c r="G181" s="9" t="s">
        <v>35</v>
      </c>
      <c r="H181" s="9">
        <v>21</v>
      </c>
      <c r="I181" s="9">
        <v>29</v>
      </c>
      <c r="J181" s="9" t="s">
        <v>47</v>
      </c>
      <c r="K181" s="9" t="s">
        <v>43</v>
      </c>
    </row>
    <row r="182" spans="1:11" x14ac:dyDescent="0.2">
      <c r="A182" s="9" t="s">
        <v>95</v>
      </c>
      <c r="B182" s="9" t="s">
        <v>97</v>
      </c>
      <c r="C182" s="9">
        <v>2.2000000000000002</v>
      </c>
      <c r="D182" s="9">
        <v>1999</v>
      </c>
      <c r="E182" s="9">
        <v>4</v>
      </c>
      <c r="F182" s="9" t="s">
        <v>46</v>
      </c>
      <c r="G182" s="9" t="s">
        <v>35</v>
      </c>
      <c r="H182" s="9">
        <v>21</v>
      </c>
      <c r="I182" s="9">
        <v>27</v>
      </c>
      <c r="J182" s="9" t="s">
        <v>47</v>
      </c>
      <c r="K182" s="9" t="s">
        <v>43</v>
      </c>
    </row>
    <row r="183" spans="1:11" x14ac:dyDescent="0.2">
      <c r="A183" s="9" t="s">
        <v>95</v>
      </c>
      <c r="B183" s="9" t="s">
        <v>97</v>
      </c>
      <c r="C183" s="9">
        <v>2.4</v>
      </c>
      <c r="D183" s="9">
        <v>2008</v>
      </c>
      <c r="E183" s="9">
        <v>4</v>
      </c>
      <c r="F183" s="9" t="s">
        <v>37</v>
      </c>
      <c r="G183" s="9" t="s">
        <v>35</v>
      </c>
      <c r="H183" s="9">
        <v>21</v>
      </c>
      <c r="I183" s="9">
        <v>31</v>
      </c>
      <c r="J183" s="9" t="s">
        <v>47</v>
      </c>
      <c r="K183" s="9" t="s">
        <v>43</v>
      </c>
    </row>
    <row r="184" spans="1:11" x14ac:dyDescent="0.2">
      <c r="A184" s="9" t="s">
        <v>95</v>
      </c>
      <c r="B184" s="9" t="s">
        <v>97</v>
      </c>
      <c r="C184" s="9">
        <v>2.4</v>
      </c>
      <c r="D184" s="9">
        <v>2008</v>
      </c>
      <c r="E184" s="9">
        <v>4</v>
      </c>
      <c r="F184" s="9" t="s">
        <v>34</v>
      </c>
      <c r="G184" s="9" t="s">
        <v>35</v>
      </c>
      <c r="H184" s="9">
        <v>21</v>
      </c>
      <c r="I184" s="9">
        <v>31</v>
      </c>
      <c r="J184" s="9" t="s">
        <v>47</v>
      </c>
      <c r="K184" s="9" t="s">
        <v>43</v>
      </c>
    </row>
    <row r="185" spans="1:11" x14ac:dyDescent="0.2">
      <c r="A185" s="9" t="s">
        <v>95</v>
      </c>
      <c r="B185" s="9" t="s">
        <v>97</v>
      </c>
      <c r="C185" s="9">
        <v>3</v>
      </c>
      <c r="D185" s="9">
        <v>1999</v>
      </c>
      <c r="E185" s="9">
        <v>6</v>
      </c>
      <c r="F185" s="9" t="s">
        <v>46</v>
      </c>
      <c r="G185" s="9" t="s">
        <v>35</v>
      </c>
      <c r="H185" s="9">
        <v>18</v>
      </c>
      <c r="I185" s="9">
        <v>26</v>
      </c>
      <c r="J185" s="9" t="s">
        <v>47</v>
      </c>
      <c r="K185" s="9" t="s">
        <v>43</v>
      </c>
    </row>
    <row r="186" spans="1:11" x14ac:dyDescent="0.2">
      <c r="A186" s="9" t="s">
        <v>95</v>
      </c>
      <c r="B186" s="9" t="s">
        <v>97</v>
      </c>
      <c r="C186" s="9">
        <v>3</v>
      </c>
      <c r="D186" s="9">
        <v>1999</v>
      </c>
      <c r="E186" s="9">
        <v>6</v>
      </c>
      <c r="F186" s="9" t="s">
        <v>37</v>
      </c>
      <c r="G186" s="9" t="s">
        <v>35</v>
      </c>
      <c r="H186" s="9">
        <v>18</v>
      </c>
      <c r="I186" s="9">
        <v>26</v>
      </c>
      <c r="J186" s="9" t="s">
        <v>47</v>
      </c>
      <c r="K186" s="9" t="s">
        <v>43</v>
      </c>
    </row>
    <row r="187" spans="1:11" x14ac:dyDescent="0.2">
      <c r="A187" s="9" t="s">
        <v>95</v>
      </c>
      <c r="B187" s="9" t="s">
        <v>97</v>
      </c>
      <c r="C187" s="9">
        <v>3.5</v>
      </c>
      <c r="D187" s="9">
        <v>2008</v>
      </c>
      <c r="E187" s="9">
        <v>6</v>
      </c>
      <c r="F187" s="9" t="s">
        <v>41</v>
      </c>
      <c r="G187" s="9" t="s">
        <v>35</v>
      </c>
      <c r="H187" s="9">
        <v>19</v>
      </c>
      <c r="I187" s="9">
        <v>28</v>
      </c>
      <c r="J187" s="9" t="s">
        <v>47</v>
      </c>
      <c r="K187" s="9" t="s">
        <v>43</v>
      </c>
    </row>
    <row r="188" spans="1:11" x14ac:dyDescent="0.2">
      <c r="A188" s="9" t="s">
        <v>95</v>
      </c>
      <c r="B188" s="9" t="s">
        <v>98</v>
      </c>
      <c r="C188" s="9">
        <v>2.2000000000000002</v>
      </c>
      <c r="D188" s="9">
        <v>1999</v>
      </c>
      <c r="E188" s="9">
        <v>4</v>
      </c>
      <c r="F188" s="9" t="s">
        <v>46</v>
      </c>
      <c r="G188" s="9" t="s">
        <v>35</v>
      </c>
      <c r="H188" s="9">
        <v>21</v>
      </c>
      <c r="I188" s="9">
        <v>27</v>
      </c>
      <c r="J188" s="9" t="s">
        <v>47</v>
      </c>
      <c r="K188" s="9" t="s">
        <v>36</v>
      </c>
    </row>
    <row r="189" spans="1:11" x14ac:dyDescent="0.2">
      <c r="A189" s="9" t="s">
        <v>95</v>
      </c>
      <c r="B189" s="9" t="s">
        <v>98</v>
      </c>
      <c r="C189" s="9">
        <v>2.2000000000000002</v>
      </c>
      <c r="D189" s="9">
        <v>1999</v>
      </c>
      <c r="E189" s="9">
        <v>4</v>
      </c>
      <c r="F189" s="9" t="s">
        <v>37</v>
      </c>
      <c r="G189" s="9" t="s">
        <v>35</v>
      </c>
      <c r="H189" s="9">
        <v>21</v>
      </c>
      <c r="I189" s="9">
        <v>29</v>
      </c>
      <c r="J189" s="9" t="s">
        <v>47</v>
      </c>
      <c r="K189" s="9" t="s">
        <v>36</v>
      </c>
    </row>
    <row r="190" spans="1:11" x14ac:dyDescent="0.2">
      <c r="A190" s="9" t="s">
        <v>95</v>
      </c>
      <c r="B190" s="9" t="s">
        <v>98</v>
      </c>
      <c r="C190" s="9">
        <v>2.4</v>
      </c>
      <c r="D190" s="9">
        <v>2008</v>
      </c>
      <c r="E190" s="9">
        <v>4</v>
      </c>
      <c r="F190" s="9" t="s">
        <v>37</v>
      </c>
      <c r="G190" s="9" t="s">
        <v>35</v>
      </c>
      <c r="H190" s="9">
        <v>21</v>
      </c>
      <c r="I190" s="9">
        <v>31</v>
      </c>
      <c r="J190" s="9" t="s">
        <v>47</v>
      </c>
      <c r="K190" s="9" t="s">
        <v>36</v>
      </c>
    </row>
    <row r="191" spans="1:11" x14ac:dyDescent="0.2">
      <c r="A191" s="9" t="s">
        <v>95</v>
      </c>
      <c r="B191" s="9" t="s">
        <v>98</v>
      </c>
      <c r="C191" s="9">
        <v>2.4</v>
      </c>
      <c r="D191" s="9">
        <v>2008</v>
      </c>
      <c r="E191" s="9">
        <v>4</v>
      </c>
      <c r="F191" s="9" t="s">
        <v>88</v>
      </c>
      <c r="G191" s="9" t="s">
        <v>35</v>
      </c>
      <c r="H191" s="9">
        <v>22</v>
      </c>
      <c r="I191" s="9">
        <v>31</v>
      </c>
      <c r="J191" s="9" t="s">
        <v>47</v>
      </c>
      <c r="K191" s="9" t="s">
        <v>36</v>
      </c>
    </row>
    <row r="192" spans="1:11" x14ac:dyDescent="0.2">
      <c r="A192" s="9" t="s">
        <v>95</v>
      </c>
      <c r="B192" s="9" t="s">
        <v>98</v>
      </c>
      <c r="C192" s="9">
        <v>3</v>
      </c>
      <c r="D192" s="9">
        <v>1999</v>
      </c>
      <c r="E192" s="9">
        <v>6</v>
      </c>
      <c r="F192" s="9" t="s">
        <v>46</v>
      </c>
      <c r="G192" s="9" t="s">
        <v>35</v>
      </c>
      <c r="H192" s="9">
        <v>18</v>
      </c>
      <c r="I192" s="9">
        <v>26</v>
      </c>
      <c r="J192" s="9" t="s">
        <v>47</v>
      </c>
      <c r="K192" s="9" t="s">
        <v>36</v>
      </c>
    </row>
    <row r="193" spans="1:11" x14ac:dyDescent="0.2">
      <c r="A193" s="9" t="s">
        <v>95</v>
      </c>
      <c r="B193" s="9" t="s">
        <v>98</v>
      </c>
      <c r="C193" s="9">
        <v>3</v>
      </c>
      <c r="D193" s="9">
        <v>1999</v>
      </c>
      <c r="E193" s="9">
        <v>6</v>
      </c>
      <c r="F193" s="9" t="s">
        <v>37</v>
      </c>
      <c r="G193" s="9" t="s">
        <v>35</v>
      </c>
      <c r="H193" s="9">
        <v>18</v>
      </c>
      <c r="I193" s="9">
        <v>26</v>
      </c>
      <c r="J193" s="9" t="s">
        <v>47</v>
      </c>
      <c r="K193" s="9" t="s">
        <v>36</v>
      </c>
    </row>
    <row r="194" spans="1:11" x14ac:dyDescent="0.2">
      <c r="A194" s="9" t="s">
        <v>95</v>
      </c>
      <c r="B194" s="9" t="s">
        <v>98</v>
      </c>
      <c r="C194" s="9">
        <v>3.3</v>
      </c>
      <c r="D194" s="9">
        <v>2008</v>
      </c>
      <c r="E194" s="9">
        <v>6</v>
      </c>
      <c r="F194" s="9" t="s">
        <v>88</v>
      </c>
      <c r="G194" s="9" t="s">
        <v>35</v>
      </c>
      <c r="H194" s="9">
        <v>18</v>
      </c>
      <c r="I194" s="9">
        <v>27</v>
      </c>
      <c r="J194" s="9" t="s">
        <v>47</v>
      </c>
      <c r="K194" s="9" t="s">
        <v>36</v>
      </c>
    </row>
    <row r="195" spans="1:11" x14ac:dyDescent="0.2">
      <c r="A195" s="9" t="s">
        <v>95</v>
      </c>
      <c r="B195" s="9" t="s">
        <v>99</v>
      </c>
      <c r="C195" s="9">
        <v>1.8</v>
      </c>
      <c r="D195" s="9">
        <v>1999</v>
      </c>
      <c r="E195" s="9">
        <v>4</v>
      </c>
      <c r="F195" s="9" t="s">
        <v>57</v>
      </c>
      <c r="G195" s="9" t="s">
        <v>35</v>
      </c>
      <c r="H195" s="9">
        <v>24</v>
      </c>
      <c r="I195" s="9">
        <v>30</v>
      </c>
      <c r="J195" s="9" t="s">
        <v>47</v>
      </c>
      <c r="K195" s="9" t="s">
        <v>36</v>
      </c>
    </row>
    <row r="196" spans="1:11" x14ac:dyDescent="0.2">
      <c r="A196" s="9" t="s">
        <v>95</v>
      </c>
      <c r="B196" s="9" t="s">
        <v>99</v>
      </c>
      <c r="C196" s="9">
        <v>1.8</v>
      </c>
      <c r="D196" s="9">
        <v>1999</v>
      </c>
      <c r="E196" s="9">
        <v>4</v>
      </c>
      <c r="F196" s="9" t="s">
        <v>46</v>
      </c>
      <c r="G196" s="9" t="s">
        <v>35</v>
      </c>
      <c r="H196" s="9">
        <v>24</v>
      </c>
      <c r="I196" s="9">
        <v>33</v>
      </c>
      <c r="J196" s="9" t="s">
        <v>47</v>
      </c>
      <c r="K196" s="9" t="s">
        <v>36</v>
      </c>
    </row>
    <row r="197" spans="1:11" x14ac:dyDescent="0.2">
      <c r="A197" s="9" t="s">
        <v>95</v>
      </c>
      <c r="B197" s="9" t="s">
        <v>99</v>
      </c>
      <c r="C197" s="9">
        <v>1.8</v>
      </c>
      <c r="D197" s="9">
        <v>1999</v>
      </c>
      <c r="E197" s="9">
        <v>4</v>
      </c>
      <c r="F197" s="9" t="s">
        <v>37</v>
      </c>
      <c r="G197" s="9" t="s">
        <v>35</v>
      </c>
      <c r="H197" s="9">
        <v>26</v>
      </c>
      <c r="I197" s="9">
        <v>35</v>
      </c>
      <c r="J197" s="9" t="s">
        <v>47</v>
      </c>
      <c r="K197" s="9" t="s">
        <v>36</v>
      </c>
    </row>
    <row r="198" spans="1:11" x14ac:dyDescent="0.2">
      <c r="A198" s="9" t="s">
        <v>95</v>
      </c>
      <c r="B198" s="9" t="s">
        <v>99</v>
      </c>
      <c r="C198" s="9">
        <v>1.8</v>
      </c>
      <c r="D198" s="9">
        <v>2008</v>
      </c>
      <c r="E198" s="9">
        <v>4</v>
      </c>
      <c r="F198" s="9" t="s">
        <v>37</v>
      </c>
      <c r="G198" s="9" t="s">
        <v>35</v>
      </c>
      <c r="H198" s="9">
        <v>28</v>
      </c>
      <c r="I198" s="9">
        <v>37</v>
      </c>
      <c r="J198" s="9" t="s">
        <v>47</v>
      </c>
      <c r="K198" s="9" t="s">
        <v>36</v>
      </c>
    </row>
    <row r="199" spans="1:11" x14ac:dyDescent="0.2">
      <c r="A199" s="9" t="s">
        <v>95</v>
      </c>
      <c r="B199" s="9" t="s">
        <v>99</v>
      </c>
      <c r="C199" s="9">
        <v>1.8</v>
      </c>
      <c r="D199" s="9">
        <v>2008</v>
      </c>
      <c r="E199" s="9">
        <v>4</v>
      </c>
      <c r="F199" s="9" t="s">
        <v>46</v>
      </c>
      <c r="G199" s="9" t="s">
        <v>35</v>
      </c>
      <c r="H199" s="9">
        <v>26</v>
      </c>
      <c r="I199" s="9">
        <v>35</v>
      </c>
      <c r="J199" s="9" t="s">
        <v>47</v>
      </c>
      <c r="K199" s="9" t="s">
        <v>36</v>
      </c>
    </row>
    <row r="200" spans="1:11" x14ac:dyDescent="0.2">
      <c r="A200" s="9" t="s">
        <v>95</v>
      </c>
      <c r="B200" s="9" t="s">
        <v>100</v>
      </c>
      <c r="C200" s="9">
        <v>4.7</v>
      </c>
      <c r="D200" s="9">
        <v>1999</v>
      </c>
      <c r="E200" s="9">
        <v>8</v>
      </c>
      <c r="F200" s="9" t="s">
        <v>46</v>
      </c>
      <c r="G200" s="9">
        <v>4</v>
      </c>
      <c r="H200" s="9">
        <v>11</v>
      </c>
      <c r="I200" s="9">
        <v>15</v>
      </c>
      <c r="J200" s="9" t="s">
        <v>47</v>
      </c>
      <c r="K200" s="9" t="s">
        <v>48</v>
      </c>
    </row>
    <row r="201" spans="1:11" x14ac:dyDescent="0.2">
      <c r="A201" s="9" t="s">
        <v>95</v>
      </c>
      <c r="B201" s="9" t="s">
        <v>100</v>
      </c>
      <c r="C201" s="9">
        <v>5.7</v>
      </c>
      <c r="D201" s="9">
        <v>2008</v>
      </c>
      <c r="E201" s="9">
        <v>8</v>
      </c>
      <c r="F201" s="9" t="s">
        <v>41</v>
      </c>
      <c r="G201" s="9">
        <v>4</v>
      </c>
      <c r="H201" s="9">
        <v>13</v>
      </c>
      <c r="I201" s="9">
        <v>18</v>
      </c>
      <c r="J201" s="9" t="s">
        <v>47</v>
      </c>
      <c r="K201" s="9" t="s">
        <v>48</v>
      </c>
    </row>
    <row r="202" spans="1:11" x14ac:dyDescent="0.2">
      <c r="A202" s="9" t="s">
        <v>95</v>
      </c>
      <c r="B202" s="9" t="s">
        <v>101</v>
      </c>
      <c r="C202" s="9">
        <v>2.7</v>
      </c>
      <c r="D202" s="9">
        <v>1999</v>
      </c>
      <c r="E202" s="9">
        <v>4</v>
      </c>
      <c r="F202" s="9" t="s">
        <v>37</v>
      </c>
      <c r="G202" s="9">
        <v>4</v>
      </c>
      <c r="H202" s="9">
        <v>15</v>
      </c>
      <c r="I202" s="9">
        <v>20</v>
      </c>
      <c r="J202" s="9" t="s">
        <v>47</v>
      </c>
      <c r="K202" s="9" t="s">
        <v>61</v>
      </c>
    </row>
    <row r="203" spans="1:11" x14ac:dyDescent="0.2">
      <c r="A203" s="9" t="s">
        <v>95</v>
      </c>
      <c r="B203" s="9" t="s">
        <v>101</v>
      </c>
      <c r="C203" s="9">
        <v>2.7</v>
      </c>
      <c r="D203" s="9">
        <v>1999</v>
      </c>
      <c r="E203" s="9">
        <v>4</v>
      </c>
      <c r="F203" s="9" t="s">
        <v>46</v>
      </c>
      <c r="G203" s="9">
        <v>4</v>
      </c>
      <c r="H203" s="9">
        <v>16</v>
      </c>
      <c r="I203" s="9">
        <v>20</v>
      </c>
      <c r="J203" s="9" t="s">
        <v>47</v>
      </c>
      <c r="K203" s="9" t="s">
        <v>61</v>
      </c>
    </row>
    <row r="204" spans="1:11" x14ac:dyDescent="0.2">
      <c r="A204" s="9" t="s">
        <v>95</v>
      </c>
      <c r="B204" s="9" t="s">
        <v>101</v>
      </c>
      <c r="C204" s="9">
        <v>2.7</v>
      </c>
      <c r="D204" s="9">
        <v>2008</v>
      </c>
      <c r="E204" s="9">
        <v>4</v>
      </c>
      <c r="F204" s="9" t="s">
        <v>37</v>
      </c>
      <c r="G204" s="9">
        <v>4</v>
      </c>
      <c r="H204" s="9">
        <v>17</v>
      </c>
      <c r="I204" s="9">
        <v>22</v>
      </c>
      <c r="J204" s="9" t="s">
        <v>47</v>
      </c>
      <c r="K204" s="9" t="s">
        <v>61</v>
      </c>
    </row>
    <row r="205" spans="1:11" x14ac:dyDescent="0.2">
      <c r="A205" s="9" t="s">
        <v>95</v>
      </c>
      <c r="B205" s="9" t="s">
        <v>101</v>
      </c>
      <c r="C205" s="9">
        <v>3.4</v>
      </c>
      <c r="D205" s="9">
        <v>1999</v>
      </c>
      <c r="E205" s="9">
        <v>6</v>
      </c>
      <c r="F205" s="9" t="s">
        <v>37</v>
      </c>
      <c r="G205" s="9">
        <v>4</v>
      </c>
      <c r="H205" s="9">
        <v>15</v>
      </c>
      <c r="I205" s="9">
        <v>17</v>
      </c>
      <c r="J205" s="9" t="s">
        <v>47</v>
      </c>
      <c r="K205" s="9" t="s">
        <v>61</v>
      </c>
    </row>
    <row r="206" spans="1:11" x14ac:dyDescent="0.2">
      <c r="A206" s="9" t="s">
        <v>95</v>
      </c>
      <c r="B206" s="9" t="s">
        <v>101</v>
      </c>
      <c r="C206" s="9">
        <v>3.4</v>
      </c>
      <c r="D206" s="9">
        <v>1999</v>
      </c>
      <c r="E206" s="9">
        <v>6</v>
      </c>
      <c r="F206" s="9" t="s">
        <v>46</v>
      </c>
      <c r="G206" s="9">
        <v>4</v>
      </c>
      <c r="H206" s="9">
        <v>15</v>
      </c>
      <c r="I206" s="9">
        <v>19</v>
      </c>
      <c r="J206" s="9" t="s">
        <v>47</v>
      </c>
      <c r="K206" s="9" t="s">
        <v>61</v>
      </c>
    </row>
    <row r="207" spans="1:11" x14ac:dyDescent="0.2">
      <c r="A207" s="9" t="s">
        <v>95</v>
      </c>
      <c r="B207" s="9" t="s">
        <v>101</v>
      </c>
      <c r="C207" s="9">
        <v>4</v>
      </c>
      <c r="D207" s="9">
        <v>2008</v>
      </c>
      <c r="E207" s="9">
        <v>6</v>
      </c>
      <c r="F207" s="9" t="s">
        <v>38</v>
      </c>
      <c r="G207" s="9">
        <v>4</v>
      </c>
      <c r="H207" s="9">
        <v>15</v>
      </c>
      <c r="I207" s="9">
        <v>18</v>
      </c>
      <c r="J207" s="9" t="s">
        <v>47</v>
      </c>
      <c r="K207" s="9" t="s">
        <v>61</v>
      </c>
    </row>
    <row r="208" spans="1:11" x14ac:dyDescent="0.2">
      <c r="A208" s="9" t="s">
        <v>95</v>
      </c>
      <c r="B208" s="9" t="s">
        <v>101</v>
      </c>
      <c r="C208" s="9">
        <v>4</v>
      </c>
      <c r="D208" s="9">
        <v>2008</v>
      </c>
      <c r="E208" s="9">
        <v>6</v>
      </c>
      <c r="F208" s="9" t="s">
        <v>34</v>
      </c>
      <c r="G208" s="9">
        <v>4</v>
      </c>
      <c r="H208" s="9">
        <v>16</v>
      </c>
      <c r="I208" s="9">
        <v>20</v>
      </c>
      <c r="J208" s="9" t="s">
        <v>47</v>
      </c>
      <c r="K208" s="9" t="s">
        <v>61</v>
      </c>
    </row>
    <row r="209" spans="1:11" x14ac:dyDescent="0.2">
      <c r="A209" s="9" t="s">
        <v>102</v>
      </c>
      <c r="B209" s="9" t="s">
        <v>103</v>
      </c>
      <c r="C209" s="9">
        <v>2</v>
      </c>
      <c r="D209" s="9">
        <v>1999</v>
      </c>
      <c r="E209" s="9">
        <v>4</v>
      </c>
      <c r="F209" s="9" t="s">
        <v>37</v>
      </c>
      <c r="G209" s="9" t="s">
        <v>35</v>
      </c>
      <c r="H209" s="9">
        <v>21</v>
      </c>
      <c r="I209" s="9">
        <v>29</v>
      </c>
      <c r="J209" s="9" t="s">
        <v>47</v>
      </c>
      <c r="K209" s="9" t="s">
        <v>36</v>
      </c>
    </row>
    <row r="210" spans="1:11" x14ac:dyDescent="0.2">
      <c r="A210" s="9" t="s">
        <v>102</v>
      </c>
      <c r="B210" s="9" t="s">
        <v>103</v>
      </c>
      <c r="C210" s="9">
        <v>2</v>
      </c>
      <c r="D210" s="9">
        <v>1999</v>
      </c>
      <c r="E210" s="9">
        <v>4</v>
      </c>
      <c r="F210" s="9" t="s">
        <v>46</v>
      </c>
      <c r="G210" s="9" t="s">
        <v>35</v>
      </c>
      <c r="H210" s="9">
        <v>19</v>
      </c>
      <c r="I210" s="9">
        <v>26</v>
      </c>
      <c r="J210" s="9" t="s">
        <v>47</v>
      </c>
      <c r="K210" s="9" t="s">
        <v>36</v>
      </c>
    </row>
    <row r="211" spans="1:11" x14ac:dyDescent="0.2">
      <c r="A211" s="9" t="s">
        <v>102</v>
      </c>
      <c r="B211" s="9" t="s">
        <v>103</v>
      </c>
      <c r="C211" s="9">
        <v>2</v>
      </c>
      <c r="D211" s="9">
        <v>2008</v>
      </c>
      <c r="E211" s="9">
        <v>4</v>
      </c>
      <c r="F211" s="9" t="s">
        <v>38</v>
      </c>
      <c r="G211" s="9" t="s">
        <v>35</v>
      </c>
      <c r="H211" s="9">
        <v>21</v>
      </c>
      <c r="I211" s="9">
        <v>29</v>
      </c>
      <c r="J211" s="9" t="s">
        <v>0</v>
      </c>
      <c r="K211" s="9" t="s">
        <v>36</v>
      </c>
    </row>
    <row r="212" spans="1:11" x14ac:dyDescent="0.2">
      <c r="A212" s="9" t="s">
        <v>102</v>
      </c>
      <c r="B212" s="9" t="s">
        <v>103</v>
      </c>
      <c r="C212" s="9">
        <v>2</v>
      </c>
      <c r="D212" s="9">
        <v>2008</v>
      </c>
      <c r="E212" s="9">
        <v>4</v>
      </c>
      <c r="F212" s="9" t="s">
        <v>41</v>
      </c>
      <c r="G212" s="9" t="s">
        <v>35</v>
      </c>
      <c r="H212" s="9">
        <v>22</v>
      </c>
      <c r="I212" s="9">
        <v>29</v>
      </c>
      <c r="J212" s="9" t="s">
        <v>0</v>
      </c>
      <c r="K212" s="9" t="s">
        <v>36</v>
      </c>
    </row>
    <row r="213" spans="1:11" x14ac:dyDescent="0.2">
      <c r="A213" s="9" t="s">
        <v>102</v>
      </c>
      <c r="B213" s="9" t="s">
        <v>103</v>
      </c>
      <c r="C213" s="9">
        <v>2.8</v>
      </c>
      <c r="D213" s="9">
        <v>1999</v>
      </c>
      <c r="E213" s="9">
        <v>6</v>
      </c>
      <c r="F213" s="9" t="s">
        <v>37</v>
      </c>
      <c r="G213" s="9" t="s">
        <v>35</v>
      </c>
      <c r="H213" s="9">
        <v>17</v>
      </c>
      <c r="I213" s="9">
        <v>24</v>
      </c>
      <c r="J213" s="9" t="s">
        <v>47</v>
      </c>
      <c r="K213" s="9" t="s">
        <v>36</v>
      </c>
    </row>
    <row r="214" spans="1:11" x14ac:dyDescent="0.2">
      <c r="A214" s="9" t="s">
        <v>102</v>
      </c>
      <c r="B214" s="9" t="s">
        <v>104</v>
      </c>
      <c r="C214" s="9">
        <v>1.9</v>
      </c>
      <c r="D214" s="9">
        <v>1999</v>
      </c>
      <c r="E214" s="9">
        <v>4</v>
      </c>
      <c r="F214" s="9" t="s">
        <v>37</v>
      </c>
      <c r="G214" s="9" t="s">
        <v>35</v>
      </c>
      <c r="H214" s="9">
        <v>33</v>
      </c>
      <c r="I214" s="9">
        <v>44</v>
      </c>
      <c r="J214" s="9" t="s">
        <v>53</v>
      </c>
      <c r="K214" s="9" t="s">
        <v>36</v>
      </c>
    </row>
    <row r="215" spans="1:11" x14ac:dyDescent="0.2">
      <c r="A215" s="9" t="s">
        <v>102</v>
      </c>
      <c r="B215" s="9" t="s">
        <v>104</v>
      </c>
      <c r="C215" s="9">
        <v>2</v>
      </c>
      <c r="D215" s="9">
        <v>1999</v>
      </c>
      <c r="E215" s="9">
        <v>4</v>
      </c>
      <c r="F215" s="9" t="s">
        <v>37</v>
      </c>
      <c r="G215" s="9" t="s">
        <v>35</v>
      </c>
      <c r="H215" s="9">
        <v>21</v>
      </c>
      <c r="I215" s="9">
        <v>29</v>
      </c>
      <c r="J215" s="9" t="s">
        <v>47</v>
      </c>
      <c r="K215" s="9" t="s">
        <v>36</v>
      </c>
    </row>
    <row r="216" spans="1:11" x14ac:dyDescent="0.2">
      <c r="A216" s="9" t="s">
        <v>102</v>
      </c>
      <c r="B216" s="9" t="s">
        <v>104</v>
      </c>
      <c r="C216" s="9">
        <v>2</v>
      </c>
      <c r="D216" s="9">
        <v>1999</v>
      </c>
      <c r="E216" s="9">
        <v>4</v>
      </c>
      <c r="F216" s="9" t="s">
        <v>46</v>
      </c>
      <c r="G216" s="9" t="s">
        <v>35</v>
      </c>
      <c r="H216" s="9">
        <v>19</v>
      </c>
      <c r="I216" s="9">
        <v>26</v>
      </c>
      <c r="J216" s="9" t="s">
        <v>47</v>
      </c>
      <c r="K216" s="9" t="s">
        <v>36</v>
      </c>
    </row>
    <row r="217" spans="1:11" x14ac:dyDescent="0.2">
      <c r="A217" s="9" t="s">
        <v>102</v>
      </c>
      <c r="B217" s="9" t="s">
        <v>104</v>
      </c>
      <c r="C217" s="9">
        <v>2</v>
      </c>
      <c r="D217" s="9">
        <v>2008</v>
      </c>
      <c r="E217" s="9">
        <v>4</v>
      </c>
      <c r="F217" s="9" t="s">
        <v>41</v>
      </c>
      <c r="G217" s="9" t="s">
        <v>35</v>
      </c>
      <c r="H217" s="9">
        <v>22</v>
      </c>
      <c r="I217" s="9">
        <v>29</v>
      </c>
      <c r="J217" s="9" t="s">
        <v>0</v>
      </c>
      <c r="K217" s="9" t="s">
        <v>36</v>
      </c>
    </row>
    <row r="218" spans="1:11" x14ac:dyDescent="0.2">
      <c r="A218" s="9" t="s">
        <v>102</v>
      </c>
      <c r="B218" s="9" t="s">
        <v>104</v>
      </c>
      <c r="C218" s="9">
        <v>2</v>
      </c>
      <c r="D218" s="9">
        <v>2008</v>
      </c>
      <c r="E218" s="9">
        <v>4</v>
      </c>
      <c r="F218" s="9" t="s">
        <v>38</v>
      </c>
      <c r="G218" s="9" t="s">
        <v>35</v>
      </c>
      <c r="H218" s="9">
        <v>21</v>
      </c>
      <c r="I218" s="9">
        <v>29</v>
      </c>
      <c r="J218" s="9" t="s">
        <v>0</v>
      </c>
      <c r="K218" s="9" t="s">
        <v>36</v>
      </c>
    </row>
    <row r="219" spans="1:11" x14ac:dyDescent="0.2">
      <c r="A219" s="9" t="s">
        <v>102</v>
      </c>
      <c r="B219" s="9" t="s">
        <v>104</v>
      </c>
      <c r="C219" s="9">
        <v>2.5</v>
      </c>
      <c r="D219" s="9">
        <v>2008</v>
      </c>
      <c r="E219" s="9">
        <v>5</v>
      </c>
      <c r="F219" s="9" t="s">
        <v>41</v>
      </c>
      <c r="G219" s="9" t="s">
        <v>35</v>
      </c>
      <c r="H219" s="9">
        <v>21</v>
      </c>
      <c r="I219" s="9">
        <v>29</v>
      </c>
      <c r="J219" s="9" t="s">
        <v>47</v>
      </c>
      <c r="K219" s="9" t="s">
        <v>36</v>
      </c>
    </row>
    <row r="220" spans="1:11" x14ac:dyDescent="0.2">
      <c r="A220" s="9" t="s">
        <v>102</v>
      </c>
      <c r="B220" s="9" t="s">
        <v>104</v>
      </c>
      <c r="C220" s="9">
        <v>2.5</v>
      </c>
      <c r="D220" s="9">
        <v>2008</v>
      </c>
      <c r="E220" s="9">
        <v>5</v>
      </c>
      <c r="F220" s="9" t="s">
        <v>37</v>
      </c>
      <c r="G220" s="9" t="s">
        <v>35</v>
      </c>
      <c r="H220" s="9">
        <v>21</v>
      </c>
      <c r="I220" s="9">
        <v>29</v>
      </c>
      <c r="J220" s="9" t="s">
        <v>47</v>
      </c>
      <c r="K220" s="9" t="s">
        <v>36</v>
      </c>
    </row>
    <row r="221" spans="1:11" x14ac:dyDescent="0.2">
      <c r="A221" s="9" t="s">
        <v>102</v>
      </c>
      <c r="B221" s="9" t="s">
        <v>104</v>
      </c>
      <c r="C221" s="9">
        <v>2.8</v>
      </c>
      <c r="D221" s="9">
        <v>1999</v>
      </c>
      <c r="E221" s="9">
        <v>6</v>
      </c>
      <c r="F221" s="9" t="s">
        <v>46</v>
      </c>
      <c r="G221" s="9" t="s">
        <v>35</v>
      </c>
      <c r="H221" s="9">
        <v>16</v>
      </c>
      <c r="I221" s="9">
        <v>23</v>
      </c>
      <c r="J221" s="9" t="s">
        <v>47</v>
      </c>
      <c r="K221" s="9" t="s">
        <v>36</v>
      </c>
    </row>
    <row r="222" spans="1:11" x14ac:dyDescent="0.2">
      <c r="A222" s="9" t="s">
        <v>102</v>
      </c>
      <c r="B222" s="9" t="s">
        <v>104</v>
      </c>
      <c r="C222" s="9">
        <v>2.8</v>
      </c>
      <c r="D222" s="9">
        <v>1999</v>
      </c>
      <c r="E222" s="9">
        <v>6</v>
      </c>
      <c r="F222" s="9" t="s">
        <v>37</v>
      </c>
      <c r="G222" s="9" t="s">
        <v>35</v>
      </c>
      <c r="H222" s="9">
        <v>17</v>
      </c>
      <c r="I222" s="9">
        <v>24</v>
      </c>
      <c r="J222" s="9" t="s">
        <v>47</v>
      </c>
      <c r="K222" s="9" t="s">
        <v>36</v>
      </c>
    </row>
    <row r="223" spans="1:11" x14ac:dyDescent="0.2">
      <c r="A223" s="9" t="s">
        <v>102</v>
      </c>
      <c r="B223" s="9" t="s">
        <v>105</v>
      </c>
      <c r="C223" s="9">
        <v>1.9</v>
      </c>
      <c r="D223" s="9">
        <v>1999</v>
      </c>
      <c r="E223" s="9">
        <v>4</v>
      </c>
      <c r="F223" s="9" t="s">
        <v>37</v>
      </c>
      <c r="G223" s="9" t="s">
        <v>35</v>
      </c>
      <c r="H223" s="9">
        <v>35</v>
      </c>
      <c r="I223" s="9">
        <v>44</v>
      </c>
      <c r="J223" s="9" t="s">
        <v>53</v>
      </c>
      <c r="K223" s="9" t="s">
        <v>69</v>
      </c>
    </row>
    <row r="224" spans="1:11" x14ac:dyDescent="0.2">
      <c r="A224" s="9" t="s">
        <v>102</v>
      </c>
      <c r="B224" s="9" t="s">
        <v>105</v>
      </c>
      <c r="C224" s="9">
        <v>1.9</v>
      </c>
      <c r="D224" s="9">
        <v>1999</v>
      </c>
      <c r="E224" s="9">
        <v>4</v>
      </c>
      <c r="F224" s="9" t="s">
        <v>46</v>
      </c>
      <c r="G224" s="9" t="s">
        <v>35</v>
      </c>
      <c r="H224" s="9">
        <v>29</v>
      </c>
      <c r="I224" s="9">
        <v>41</v>
      </c>
      <c r="J224" s="9" t="s">
        <v>53</v>
      </c>
      <c r="K224" s="9" t="s">
        <v>69</v>
      </c>
    </row>
    <row r="225" spans="1:11" x14ac:dyDescent="0.2">
      <c r="A225" s="9" t="s">
        <v>102</v>
      </c>
      <c r="B225" s="9" t="s">
        <v>105</v>
      </c>
      <c r="C225" s="9">
        <v>2</v>
      </c>
      <c r="D225" s="9">
        <v>1999</v>
      </c>
      <c r="E225" s="9">
        <v>4</v>
      </c>
      <c r="F225" s="9" t="s">
        <v>37</v>
      </c>
      <c r="G225" s="9" t="s">
        <v>35</v>
      </c>
      <c r="H225" s="9">
        <v>21</v>
      </c>
      <c r="I225" s="9">
        <v>29</v>
      </c>
      <c r="J225" s="9" t="s">
        <v>47</v>
      </c>
      <c r="K225" s="9" t="s">
        <v>69</v>
      </c>
    </row>
    <row r="226" spans="1:11" x14ac:dyDescent="0.2">
      <c r="A226" s="9" t="s">
        <v>102</v>
      </c>
      <c r="B226" s="9" t="s">
        <v>105</v>
      </c>
      <c r="C226" s="9">
        <v>2</v>
      </c>
      <c r="D226" s="9">
        <v>1999</v>
      </c>
      <c r="E226" s="9">
        <v>4</v>
      </c>
      <c r="F226" s="9" t="s">
        <v>46</v>
      </c>
      <c r="G226" s="9" t="s">
        <v>35</v>
      </c>
      <c r="H226" s="9">
        <v>19</v>
      </c>
      <c r="I226" s="9">
        <v>26</v>
      </c>
      <c r="J226" s="9" t="s">
        <v>47</v>
      </c>
      <c r="K226" s="9" t="s">
        <v>69</v>
      </c>
    </row>
    <row r="227" spans="1:11" x14ac:dyDescent="0.2">
      <c r="A227" s="9" t="s">
        <v>102</v>
      </c>
      <c r="B227" s="9" t="s">
        <v>105</v>
      </c>
      <c r="C227" s="9">
        <v>2.5</v>
      </c>
      <c r="D227" s="9">
        <v>2008</v>
      </c>
      <c r="E227" s="9">
        <v>5</v>
      </c>
      <c r="F227" s="9" t="s">
        <v>37</v>
      </c>
      <c r="G227" s="9" t="s">
        <v>35</v>
      </c>
      <c r="H227" s="9">
        <v>20</v>
      </c>
      <c r="I227" s="9">
        <v>28</v>
      </c>
      <c r="J227" s="9" t="s">
        <v>47</v>
      </c>
      <c r="K227" s="9" t="s">
        <v>69</v>
      </c>
    </row>
    <row r="228" spans="1:11" x14ac:dyDescent="0.2">
      <c r="A228" s="9" t="s">
        <v>102</v>
      </c>
      <c r="B228" s="9" t="s">
        <v>105</v>
      </c>
      <c r="C228" s="9">
        <v>2.5</v>
      </c>
      <c r="D228" s="9">
        <v>2008</v>
      </c>
      <c r="E228" s="9">
        <v>5</v>
      </c>
      <c r="F228" s="9" t="s">
        <v>41</v>
      </c>
      <c r="G228" s="9" t="s">
        <v>35</v>
      </c>
      <c r="H228" s="9">
        <v>20</v>
      </c>
      <c r="I228" s="9">
        <v>29</v>
      </c>
      <c r="J228" s="9" t="s">
        <v>47</v>
      </c>
      <c r="K228" s="9" t="s">
        <v>69</v>
      </c>
    </row>
    <row r="229" spans="1:11" x14ac:dyDescent="0.2">
      <c r="A229" s="9" t="s">
        <v>102</v>
      </c>
      <c r="B229" s="9" t="s">
        <v>106</v>
      </c>
      <c r="C229" s="9">
        <v>1.8</v>
      </c>
      <c r="D229" s="9">
        <v>1999</v>
      </c>
      <c r="E229" s="9">
        <v>4</v>
      </c>
      <c r="F229" s="9" t="s">
        <v>37</v>
      </c>
      <c r="G229" s="9" t="s">
        <v>35</v>
      </c>
      <c r="H229" s="9">
        <v>21</v>
      </c>
      <c r="I229" s="9">
        <v>29</v>
      </c>
      <c r="J229" s="9" t="s">
        <v>0</v>
      </c>
      <c r="K229" s="9" t="s">
        <v>43</v>
      </c>
    </row>
    <row r="230" spans="1:11" x14ac:dyDescent="0.2">
      <c r="A230" s="9" t="s">
        <v>102</v>
      </c>
      <c r="B230" s="9" t="s">
        <v>106</v>
      </c>
      <c r="C230" s="9">
        <v>1.8</v>
      </c>
      <c r="D230" s="9">
        <v>1999</v>
      </c>
      <c r="E230" s="9">
        <v>4</v>
      </c>
      <c r="F230" s="9" t="s">
        <v>34</v>
      </c>
      <c r="G230" s="9" t="s">
        <v>35</v>
      </c>
      <c r="H230" s="9">
        <v>18</v>
      </c>
      <c r="I230" s="9">
        <v>29</v>
      </c>
      <c r="J230" s="9" t="s">
        <v>0</v>
      </c>
      <c r="K230" s="9" t="s">
        <v>43</v>
      </c>
    </row>
    <row r="231" spans="1:11" x14ac:dyDescent="0.2">
      <c r="A231" s="9" t="s">
        <v>102</v>
      </c>
      <c r="B231" s="9" t="s">
        <v>106</v>
      </c>
      <c r="C231" s="9">
        <v>2</v>
      </c>
      <c r="D231" s="9">
        <v>2008</v>
      </c>
      <c r="E231" s="9">
        <v>4</v>
      </c>
      <c r="F231" s="9" t="s">
        <v>41</v>
      </c>
      <c r="G231" s="9" t="s">
        <v>35</v>
      </c>
      <c r="H231" s="9">
        <v>19</v>
      </c>
      <c r="I231" s="9">
        <v>28</v>
      </c>
      <c r="J231" s="9" t="s">
        <v>0</v>
      </c>
      <c r="K231" s="9" t="s">
        <v>43</v>
      </c>
    </row>
    <row r="232" spans="1:11" x14ac:dyDescent="0.2">
      <c r="A232" s="9" t="s">
        <v>102</v>
      </c>
      <c r="B232" s="9" t="s">
        <v>106</v>
      </c>
      <c r="C232" s="9">
        <v>2</v>
      </c>
      <c r="D232" s="9">
        <v>2008</v>
      </c>
      <c r="E232" s="9">
        <v>4</v>
      </c>
      <c r="F232" s="9" t="s">
        <v>38</v>
      </c>
      <c r="G232" s="9" t="s">
        <v>35</v>
      </c>
      <c r="H232" s="9">
        <v>21</v>
      </c>
      <c r="I232" s="9">
        <v>29</v>
      </c>
      <c r="J232" s="9" t="s">
        <v>0</v>
      </c>
      <c r="K232" s="9" t="s">
        <v>43</v>
      </c>
    </row>
    <row r="233" spans="1:11" x14ac:dyDescent="0.2">
      <c r="A233" s="9" t="s">
        <v>102</v>
      </c>
      <c r="B233" s="9" t="s">
        <v>106</v>
      </c>
      <c r="C233" s="9">
        <v>2.8</v>
      </c>
      <c r="D233" s="9">
        <v>1999</v>
      </c>
      <c r="E233" s="9">
        <v>6</v>
      </c>
      <c r="F233" s="9" t="s">
        <v>34</v>
      </c>
      <c r="G233" s="9" t="s">
        <v>35</v>
      </c>
      <c r="H233" s="9">
        <v>16</v>
      </c>
      <c r="I233" s="9">
        <v>26</v>
      </c>
      <c r="J233" s="9" t="s">
        <v>0</v>
      </c>
      <c r="K233" s="9" t="s">
        <v>43</v>
      </c>
    </row>
    <row r="234" spans="1:11" x14ac:dyDescent="0.2">
      <c r="A234" s="9" t="s">
        <v>102</v>
      </c>
      <c r="B234" s="9" t="s">
        <v>106</v>
      </c>
      <c r="C234" s="9">
        <v>2.8</v>
      </c>
      <c r="D234" s="9">
        <v>1999</v>
      </c>
      <c r="E234" s="9">
        <v>6</v>
      </c>
      <c r="F234" s="9" t="s">
        <v>37</v>
      </c>
      <c r="G234" s="9" t="s">
        <v>35</v>
      </c>
      <c r="H234" s="9">
        <v>18</v>
      </c>
      <c r="I234" s="9">
        <v>26</v>
      </c>
      <c r="J234" s="9" t="s">
        <v>0</v>
      </c>
      <c r="K234" s="9" t="s">
        <v>43</v>
      </c>
    </row>
    <row r="235" spans="1:11" x14ac:dyDescent="0.2">
      <c r="A235" s="9" t="s">
        <v>102</v>
      </c>
      <c r="B235" s="9" t="s">
        <v>106</v>
      </c>
      <c r="C235" s="9">
        <v>3.6</v>
      </c>
      <c r="D235" s="9">
        <v>2008</v>
      </c>
      <c r="E235" s="9">
        <v>6</v>
      </c>
      <c r="F235" s="9" t="s">
        <v>41</v>
      </c>
      <c r="G235" s="9" t="s">
        <v>35</v>
      </c>
      <c r="H235" s="9">
        <v>17</v>
      </c>
      <c r="I235" s="9">
        <v>26</v>
      </c>
      <c r="J235" s="9" t="s">
        <v>0</v>
      </c>
      <c r="K235" s="9" t="s">
        <v>43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/>
  </sheetViews>
  <sheetFormatPr baseColWidth="10" defaultColWidth="14.5" defaultRowHeight="16" x14ac:dyDescent="0.2"/>
  <cols>
    <col min="1" max="11" width="14.5" style="10"/>
    <col min="13" max="16384" width="14.5" style="10"/>
  </cols>
  <sheetData>
    <row r="1" spans="1:12" x14ac:dyDescent="0.2">
      <c r="A1" s="9" t="s">
        <v>28</v>
      </c>
      <c r="B1" s="9" t="s">
        <v>107</v>
      </c>
      <c r="C1" s="9"/>
      <c r="D1" s="10" t="s">
        <v>108</v>
      </c>
      <c r="E1" s="10" t="s">
        <v>109</v>
      </c>
      <c r="F1" s="10" t="s">
        <v>110</v>
      </c>
      <c r="G1" s="10" t="s">
        <v>112</v>
      </c>
      <c r="H1" s="10" t="s">
        <v>111</v>
      </c>
      <c r="I1" s="10" t="s">
        <v>114</v>
      </c>
      <c r="J1" s="10" t="s">
        <v>0</v>
      </c>
      <c r="K1" s="10" t="s">
        <v>113</v>
      </c>
      <c r="L1" s="10"/>
    </row>
    <row r="2" spans="1:12" x14ac:dyDescent="0.2">
      <c r="A2" s="9">
        <v>18</v>
      </c>
      <c r="B2" s="9">
        <v>1</v>
      </c>
      <c r="C2" s="9"/>
      <c r="D2" s="10" cm="1">
        <f t="array" ref="D2:D235">TREND(A2:A235,B2:B235,B2:B235,FALSE)</f>
        <v>16.858974358974358</v>
      </c>
      <c r="E2" s="10">
        <f>D2-A2</f>
        <v>-1.1410256410256423</v>
      </c>
      <c r="F2" s="10">
        <f>STDEV(E2:E235)</f>
        <v>4.2559456788893932</v>
      </c>
      <c r="G2" s="10">
        <f>_xlfn.NORM.DIST(E2,0,$F$2,FALSE)</f>
        <v>9.0428595220514676E-2</v>
      </c>
      <c r="H2" s="10" cm="1">
        <f t="array" ref="H2">SUM(LN(G2:G235))</f>
        <v>-670.43779208802937</v>
      </c>
      <c r="I2" s="10">
        <f>COUNT(A2:A235)</f>
        <v>234</v>
      </c>
      <c r="J2" s="10">
        <v>1</v>
      </c>
      <c r="K2" s="10">
        <f>-2*H2+2*J2</f>
        <v>1342.8755841760587</v>
      </c>
      <c r="L2" s="10"/>
    </row>
    <row r="3" spans="1:12" x14ac:dyDescent="0.2">
      <c r="A3" s="9">
        <v>21</v>
      </c>
      <c r="B3" s="9">
        <v>1</v>
      </c>
      <c r="C3" s="9"/>
      <c r="D3" s="10">
        <v>16.858974358974358</v>
      </c>
      <c r="E3" s="10">
        <f t="shared" ref="E3:E66" si="0">D3-A3</f>
        <v>-4.1410256410256423</v>
      </c>
      <c r="G3" s="10">
        <f t="shared" ref="G3:G66" si="1">_xlfn.NORM.DIST(E3,0,$F$2,FALSE)</f>
        <v>5.8389578885814829E-2</v>
      </c>
      <c r="L3" s="10"/>
    </row>
    <row r="4" spans="1:12" x14ac:dyDescent="0.2">
      <c r="A4" s="9">
        <v>20</v>
      </c>
      <c r="B4" s="9">
        <v>1</v>
      </c>
      <c r="C4" s="9"/>
      <c r="D4" s="10">
        <v>16.858974358974358</v>
      </c>
      <c r="E4" s="10">
        <f t="shared" si="0"/>
        <v>-3.1410256410256423</v>
      </c>
      <c r="G4" s="10">
        <f t="shared" si="1"/>
        <v>7.138971945227178E-2</v>
      </c>
      <c r="H4" s="10" t="s">
        <v>115</v>
      </c>
      <c r="I4" s="10" t="s">
        <v>116</v>
      </c>
      <c r="L4" s="10"/>
    </row>
    <row r="5" spans="1:12" x14ac:dyDescent="0.2">
      <c r="A5" s="9">
        <v>21</v>
      </c>
      <c r="B5" s="9">
        <v>1</v>
      </c>
      <c r="C5" s="9"/>
      <c r="D5" s="10">
        <v>16.858974358974358</v>
      </c>
      <c r="E5" s="10">
        <f t="shared" si="0"/>
        <v>-4.1410256410256423</v>
      </c>
      <c r="G5" s="10">
        <f t="shared" si="1"/>
        <v>5.8389578885814829E-2</v>
      </c>
      <c r="H5" s="10">
        <f>SUMSQ(E2:E235)</f>
        <v>4220.3461538461506</v>
      </c>
      <c r="I5" s="10">
        <f>H5/I2</f>
        <v>18.035667324128848</v>
      </c>
      <c r="L5" s="10"/>
    </row>
    <row r="6" spans="1:12" x14ac:dyDescent="0.2">
      <c r="A6" s="9">
        <v>16</v>
      </c>
      <c r="B6" s="9">
        <v>1</v>
      </c>
      <c r="C6" s="9"/>
      <c r="D6" s="10">
        <v>16.858974358974358</v>
      </c>
      <c r="E6" s="10">
        <f t="shared" si="0"/>
        <v>0.8589743589743577</v>
      </c>
      <c r="G6" s="10">
        <f t="shared" si="1"/>
        <v>9.1847742433773194E-2</v>
      </c>
      <c r="L6" s="10"/>
    </row>
    <row r="7" spans="1:12" x14ac:dyDescent="0.2">
      <c r="A7" s="9">
        <v>18</v>
      </c>
      <c r="B7" s="9">
        <v>1</v>
      </c>
      <c r="C7" s="9"/>
      <c r="D7" s="10">
        <v>16.858974358974358</v>
      </c>
      <c r="E7" s="10">
        <f t="shared" si="0"/>
        <v>-1.1410256410256423</v>
      </c>
      <c r="G7" s="10">
        <f t="shared" si="1"/>
        <v>9.0428595220514676E-2</v>
      </c>
      <c r="H7" s="10" t="s">
        <v>118</v>
      </c>
      <c r="K7" s="10" t="s">
        <v>120</v>
      </c>
      <c r="L7" s="10"/>
    </row>
    <row r="8" spans="1:12" x14ac:dyDescent="0.2">
      <c r="A8" s="9">
        <v>18</v>
      </c>
      <c r="B8" s="9">
        <v>1</v>
      </c>
      <c r="C8" s="9"/>
      <c r="D8" s="10">
        <v>16.858974358974358</v>
      </c>
      <c r="E8" s="10">
        <f t="shared" si="0"/>
        <v>-1.1410256410256423</v>
      </c>
      <c r="G8" s="10">
        <f t="shared" si="1"/>
        <v>9.0428595220514676E-2</v>
      </c>
      <c r="H8" s="10">
        <f>I2*LN(I5)</f>
        <v>676.81020777694471</v>
      </c>
      <c r="K8" s="10">
        <f>H8+2*J2</f>
        <v>678.81020777694471</v>
      </c>
      <c r="L8" s="10"/>
    </row>
    <row r="9" spans="1:12" x14ac:dyDescent="0.2">
      <c r="A9" s="9">
        <v>18</v>
      </c>
      <c r="B9" s="9">
        <v>1</v>
      </c>
      <c r="C9" s="9"/>
      <c r="D9" s="10">
        <v>16.858974358974358</v>
      </c>
      <c r="E9" s="10">
        <f t="shared" si="0"/>
        <v>-1.1410256410256423</v>
      </c>
      <c r="G9" s="10">
        <f t="shared" si="1"/>
        <v>9.0428595220514676E-2</v>
      </c>
      <c r="L9" s="10"/>
    </row>
    <row r="10" spans="1:12" x14ac:dyDescent="0.2">
      <c r="A10" s="9">
        <v>16</v>
      </c>
      <c r="B10" s="9">
        <v>1</v>
      </c>
      <c r="C10" s="9"/>
      <c r="D10" s="10">
        <v>16.858974358974358</v>
      </c>
      <c r="E10" s="10">
        <f t="shared" si="0"/>
        <v>0.8589743589743577</v>
      </c>
      <c r="G10" s="10">
        <f t="shared" si="1"/>
        <v>9.1847742433773194E-2</v>
      </c>
      <c r="H10" s="10" t="s">
        <v>119</v>
      </c>
      <c r="L10" s="10"/>
    </row>
    <row r="11" spans="1:12" x14ac:dyDescent="0.2">
      <c r="A11" s="9">
        <v>20</v>
      </c>
      <c r="B11" s="9">
        <v>1</v>
      </c>
      <c r="C11" s="9"/>
      <c r="D11" s="10">
        <v>16.858974358974358</v>
      </c>
      <c r="E11" s="10">
        <f t="shared" si="0"/>
        <v>-3.1410256410256423</v>
      </c>
      <c r="G11" s="10">
        <f t="shared" si="1"/>
        <v>7.138971945227178E-2</v>
      </c>
      <c r="H11" s="10">
        <f>I2*LN(2*PI())</f>
        <v>430.06323353978684</v>
      </c>
      <c r="L11" s="10"/>
    </row>
    <row r="12" spans="1:12" x14ac:dyDescent="0.2">
      <c r="A12" s="9">
        <v>19</v>
      </c>
      <c r="B12" s="9">
        <v>1</v>
      </c>
      <c r="C12" s="9"/>
      <c r="D12" s="10">
        <v>16.858974358974358</v>
      </c>
      <c r="E12" s="10">
        <f t="shared" si="0"/>
        <v>-2.1410256410256423</v>
      </c>
      <c r="G12" s="10">
        <f t="shared" si="1"/>
        <v>8.2596026638649928E-2</v>
      </c>
      <c r="L12" s="10"/>
    </row>
    <row r="13" spans="1:12" x14ac:dyDescent="0.2">
      <c r="A13" s="9">
        <v>15</v>
      </c>
      <c r="B13" s="9">
        <v>1</v>
      </c>
      <c r="C13" s="9"/>
      <c r="D13" s="10">
        <v>16.858974358974358</v>
      </c>
      <c r="E13" s="10">
        <f t="shared" si="0"/>
        <v>1.8589743589743577</v>
      </c>
      <c r="G13" s="10">
        <f t="shared" si="1"/>
        <v>8.5208821600122359E-2</v>
      </c>
      <c r="H13" s="10" t="s">
        <v>117</v>
      </c>
      <c r="K13" s="10" t="s">
        <v>113</v>
      </c>
      <c r="L13" s="10"/>
    </row>
    <row r="14" spans="1:12" x14ac:dyDescent="0.2">
      <c r="A14" s="9">
        <v>17</v>
      </c>
      <c r="B14" s="9">
        <v>1</v>
      </c>
      <c r="C14" s="9"/>
      <c r="D14" s="10">
        <v>16.858974358974358</v>
      </c>
      <c r="E14" s="10">
        <f t="shared" si="0"/>
        <v>-0.1410256410256423</v>
      </c>
      <c r="G14" s="10">
        <f t="shared" si="1"/>
        <v>9.3686186441259228E-2</v>
      </c>
      <c r="H14" s="10">
        <f>H8+H11+I2</f>
        <v>1340.8734413167315</v>
      </c>
      <c r="K14" s="10">
        <f>H14+2*J2</f>
        <v>1342.8734413167315</v>
      </c>
      <c r="L14" s="10"/>
    </row>
    <row r="15" spans="1:12" x14ac:dyDescent="0.2">
      <c r="A15" s="9">
        <v>17</v>
      </c>
      <c r="B15" s="9">
        <v>1</v>
      </c>
      <c r="C15" s="9"/>
      <c r="D15" s="10">
        <v>16.858974358974358</v>
      </c>
      <c r="E15" s="10">
        <f t="shared" si="0"/>
        <v>-0.1410256410256423</v>
      </c>
      <c r="G15" s="10">
        <f t="shared" si="1"/>
        <v>9.3686186441259228E-2</v>
      </c>
      <c r="L15" s="10"/>
    </row>
    <row r="16" spans="1:12" x14ac:dyDescent="0.2">
      <c r="A16" s="9">
        <v>15</v>
      </c>
      <c r="B16" s="9">
        <v>1</v>
      </c>
      <c r="C16" s="9"/>
      <c r="D16" s="10">
        <v>16.858974358974358</v>
      </c>
      <c r="E16" s="10">
        <f t="shared" si="0"/>
        <v>1.8589743589743577</v>
      </c>
      <c r="G16" s="10">
        <f t="shared" si="1"/>
        <v>8.5208821600122359E-2</v>
      </c>
      <c r="L16" s="10"/>
    </row>
    <row r="17" spans="1:12" x14ac:dyDescent="0.2">
      <c r="A17" s="9">
        <v>15</v>
      </c>
      <c r="B17" s="9">
        <v>1</v>
      </c>
      <c r="C17" s="9"/>
      <c r="D17" s="10">
        <v>16.858974358974358</v>
      </c>
      <c r="E17" s="10">
        <f t="shared" si="0"/>
        <v>1.8589743589743577</v>
      </c>
      <c r="G17" s="10">
        <f t="shared" si="1"/>
        <v>8.5208821600122359E-2</v>
      </c>
      <c r="L17" s="10"/>
    </row>
    <row r="18" spans="1:12" x14ac:dyDescent="0.2">
      <c r="A18" s="9">
        <v>17</v>
      </c>
      <c r="B18" s="9">
        <v>1</v>
      </c>
      <c r="C18" s="9"/>
      <c r="D18" s="10">
        <v>16.858974358974358</v>
      </c>
      <c r="E18" s="10">
        <f t="shared" si="0"/>
        <v>-0.1410256410256423</v>
      </c>
      <c r="G18" s="10">
        <f t="shared" si="1"/>
        <v>9.3686186441259228E-2</v>
      </c>
      <c r="L18" s="10"/>
    </row>
    <row r="19" spans="1:12" x14ac:dyDescent="0.2">
      <c r="A19" s="9">
        <v>16</v>
      </c>
      <c r="B19" s="9">
        <v>1</v>
      </c>
      <c r="C19" s="9"/>
      <c r="D19" s="10">
        <v>16.858974358974358</v>
      </c>
      <c r="E19" s="10">
        <f t="shared" si="0"/>
        <v>0.8589743589743577</v>
      </c>
      <c r="G19" s="10">
        <f t="shared" si="1"/>
        <v>9.1847742433773194E-2</v>
      </c>
      <c r="L19" s="10"/>
    </row>
    <row r="20" spans="1:12" x14ac:dyDescent="0.2">
      <c r="A20" s="9">
        <v>14</v>
      </c>
      <c r="B20" s="9">
        <v>1</v>
      </c>
      <c r="C20" s="9"/>
      <c r="D20" s="10">
        <v>16.858974358974358</v>
      </c>
      <c r="E20" s="10">
        <f t="shared" si="0"/>
        <v>2.8589743589743577</v>
      </c>
      <c r="G20" s="10">
        <f t="shared" si="1"/>
        <v>7.4803820711623142E-2</v>
      </c>
      <c r="L20" s="10"/>
    </row>
    <row r="21" spans="1:12" x14ac:dyDescent="0.2">
      <c r="A21" s="9">
        <v>11</v>
      </c>
      <c r="B21" s="9">
        <v>1</v>
      </c>
      <c r="C21" s="9"/>
      <c r="D21" s="10">
        <v>16.858974358974358</v>
      </c>
      <c r="E21" s="10">
        <f t="shared" si="0"/>
        <v>5.8589743589743577</v>
      </c>
      <c r="G21" s="10">
        <f t="shared" si="1"/>
        <v>3.6339616015446226E-2</v>
      </c>
      <c r="J21" s="15"/>
      <c r="K21" s="16"/>
      <c r="L21" s="17"/>
    </row>
    <row r="22" spans="1:12" x14ac:dyDescent="0.2">
      <c r="A22" s="9">
        <v>14</v>
      </c>
      <c r="B22" s="9">
        <v>1</v>
      </c>
      <c r="C22" s="9"/>
      <c r="D22" s="10">
        <v>16.858974358974358</v>
      </c>
      <c r="E22" s="10">
        <f t="shared" si="0"/>
        <v>2.8589743589743577</v>
      </c>
      <c r="G22" s="10">
        <f t="shared" si="1"/>
        <v>7.4803820711623142E-2</v>
      </c>
      <c r="J22" s="18"/>
      <c r="K22" s="19" t="s">
        <v>201</v>
      </c>
      <c r="L22" s="20"/>
    </row>
    <row r="23" spans="1:12" x14ac:dyDescent="0.2">
      <c r="A23" s="9">
        <v>13</v>
      </c>
      <c r="B23" s="9">
        <v>1</v>
      </c>
      <c r="C23" s="9"/>
      <c r="D23" s="10">
        <v>16.858974358974358</v>
      </c>
      <c r="E23" s="10">
        <f t="shared" si="0"/>
        <v>3.8589743589743577</v>
      </c>
      <c r="G23" s="10">
        <f t="shared" si="1"/>
        <v>6.2142132155231941E-2</v>
      </c>
      <c r="J23" s="18"/>
      <c r="K23" s="24" t="s">
        <v>200</v>
      </c>
      <c r="L23" s="20"/>
    </row>
    <row r="24" spans="1:12" x14ac:dyDescent="0.2">
      <c r="A24" s="9">
        <v>12</v>
      </c>
      <c r="B24" s="9">
        <v>1</v>
      </c>
      <c r="C24" s="9"/>
      <c r="D24" s="10">
        <v>16.858974358974358</v>
      </c>
      <c r="E24" s="10">
        <f t="shared" si="0"/>
        <v>4.8589743589743577</v>
      </c>
      <c r="G24" s="10">
        <f t="shared" si="1"/>
        <v>4.8850798619149906E-2</v>
      </c>
      <c r="J24" s="18"/>
      <c r="K24" s="19"/>
      <c r="L24" s="20"/>
    </row>
    <row r="25" spans="1:12" x14ac:dyDescent="0.2">
      <c r="A25" s="9">
        <v>16</v>
      </c>
      <c r="B25" s="9">
        <v>1</v>
      </c>
      <c r="C25" s="9"/>
      <c r="D25" s="10">
        <v>16.858974358974358</v>
      </c>
      <c r="E25" s="10">
        <f t="shared" si="0"/>
        <v>0.8589743589743577</v>
      </c>
      <c r="G25" s="10">
        <f t="shared" si="1"/>
        <v>9.1847742433773194E-2</v>
      </c>
      <c r="J25" s="21"/>
      <c r="K25" s="22"/>
      <c r="L25" s="23"/>
    </row>
    <row r="26" spans="1:12" x14ac:dyDescent="0.2">
      <c r="A26" s="9">
        <v>15</v>
      </c>
      <c r="B26" s="9">
        <v>1</v>
      </c>
      <c r="C26" s="9"/>
      <c r="D26" s="10">
        <v>16.858974358974358</v>
      </c>
      <c r="E26" s="10">
        <f t="shared" si="0"/>
        <v>1.8589743589743577</v>
      </c>
      <c r="G26" s="10">
        <f t="shared" si="1"/>
        <v>8.5208821600122359E-2</v>
      </c>
      <c r="L26" s="10"/>
    </row>
    <row r="27" spans="1:12" x14ac:dyDescent="0.2">
      <c r="A27" s="9">
        <v>16</v>
      </c>
      <c r="B27" s="9">
        <v>1</v>
      </c>
      <c r="C27" s="9"/>
      <c r="D27" s="10">
        <v>16.858974358974358</v>
      </c>
      <c r="E27" s="10">
        <f t="shared" si="0"/>
        <v>0.8589743589743577</v>
      </c>
      <c r="G27" s="10">
        <f t="shared" si="1"/>
        <v>9.1847742433773194E-2</v>
      </c>
      <c r="L27" s="10"/>
    </row>
    <row r="28" spans="1:12" x14ac:dyDescent="0.2">
      <c r="A28" s="9">
        <v>15</v>
      </c>
      <c r="B28" s="9">
        <v>1</v>
      </c>
      <c r="C28" s="9"/>
      <c r="D28" s="10">
        <v>16.858974358974358</v>
      </c>
      <c r="E28" s="10">
        <f t="shared" si="0"/>
        <v>1.8589743589743577</v>
      </c>
      <c r="G28" s="10">
        <f t="shared" si="1"/>
        <v>8.5208821600122359E-2</v>
      </c>
      <c r="L28" s="10"/>
    </row>
    <row r="29" spans="1:12" x14ac:dyDescent="0.2">
      <c r="A29" s="9">
        <v>15</v>
      </c>
      <c r="B29" s="9">
        <v>1</v>
      </c>
      <c r="C29" s="9"/>
      <c r="D29" s="10">
        <v>16.858974358974358</v>
      </c>
      <c r="E29" s="10">
        <f t="shared" si="0"/>
        <v>1.8589743589743577</v>
      </c>
      <c r="G29" s="10">
        <f t="shared" si="1"/>
        <v>8.5208821600122359E-2</v>
      </c>
      <c r="L29" s="10"/>
    </row>
    <row r="30" spans="1:12" x14ac:dyDescent="0.2">
      <c r="A30" s="9">
        <v>14</v>
      </c>
      <c r="B30" s="9">
        <v>1</v>
      </c>
      <c r="C30" s="9"/>
      <c r="D30" s="10">
        <v>16.858974358974358</v>
      </c>
      <c r="E30" s="10">
        <f t="shared" si="0"/>
        <v>2.8589743589743577</v>
      </c>
      <c r="G30" s="10">
        <f t="shared" si="1"/>
        <v>7.4803820711623142E-2</v>
      </c>
      <c r="L30" s="10"/>
    </row>
    <row r="31" spans="1:12" x14ac:dyDescent="0.2">
      <c r="A31" s="9">
        <v>11</v>
      </c>
      <c r="B31" s="9">
        <v>1</v>
      </c>
      <c r="C31" s="9"/>
      <c r="D31" s="10">
        <v>16.858974358974358</v>
      </c>
      <c r="E31" s="10">
        <f t="shared" si="0"/>
        <v>5.8589743589743577</v>
      </c>
      <c r="G31" s="10">
        <f t="shared" si="1"/>
        <v>3.6339616015446226E-2</v>
      </c>
      <c r="L31" s="10"/>
    </row>
    <row r="32" spans="1:12" x14ac:dyDescent="0.2">
      <c r="A32" s="9">
        <v>11</v>
      </c>
      <c r="B32" s="9">
        <v>1</v>
      </c>
      <c r="C32" s="9"/>
      <c r="D32" s="10">
        <v>16.858974358974358</v>
      </c>
      <c r="E32" s="10">
        <f t="shared" si="0"/>
        <v>5.8589743589743577</v>
      </c>
      <c r="G32" s="10">
        <f t="shared" si="1"/>
        <v>3.6339616015446226E-2</v>
      </c>
      <c r="L32" s="10"/>
    </row>
    <row r="33" spans="1:12" x14ac:dyDescent="0.2">
      <c r="A33" s="9">
        <v>14</v>
      </c>
      <c r="B33" s="9">
        <v>1</v>
      </c>
      <c r="C33" s="9"/>
      <c r="D33" s="10">
        <v>16.858974358974358</v>
      </c>
      <c r="E33" s="10">
        <f t="shared" si="0"/>
        <v>2.8589743589743577</v>
      </c>
      <c r="G33" s="10">
        <f t="shared" si="1"/>
        <v>7.4803820711623142E-2</v>
      </c>
      <c r="L33" s="10"/>
    </row>
    <row r="34" spans="1:12" x14ac:dyDescent="0.2">
      <c r="A34" s="9">
        <v>19</v>
      </c>
      <c r="B34" s="9">
        <v>1</v>
      </c>
      <c r="C34" s="9"/>
      <c r="D34" s="10">
        <v>16.858974358974358</v>
      </c>
      <c r="E34" s="10">
        <f t="shared" si="0"/>
        <v>-2.1410256410256423</v>
      </c>
      <c r="G34" s="10">
        <f t="shared" si="1"/>
        <v>8.2596026638649928E-2</v>
      </c>
      <c r="L34" s="10"/>
    </row>
    <row r="35" spans="1:12" x14ac:dyDescent="0.2">
      <c r="A35" s="9">
        <v>22</v>
      </c>
      <c r="B35" s="9">
        <v>1</v>
      </c>
      <c r="C35" s="9"/>
      <c r="D35" s="10">
        <v>16.858974358974358</v>
      </c>
      <c r="E35" s="10">
        <f t="shared" si="0"/>
        <v>-5.1410256410256423</v>
      </c>
      <c r="G35" s="10">
        <f t="shared" si="1"/>
        <v>4.5191645925457373E-2</v>
      </c>
      <c r="L35" s="10"/>
    </row>
    <row r="36" spans="1:12" x14ac:dyDescent="0.2">
      <c r="A36" s="9">
        <v>18</v>
      </c>
      <c r="B36" s="9">
        <v>1</v>
      </c>
      <c r="C36" s="9"/>
      <c r="D36" s="10">
        <v>16.858974358974358</v>
      </c>
      <c r="E36" s="10">
        <f t="shared" si="0"/>
        <v>-1.1410256410256423</v>
      </c>
      <c r="G36" s="10">
        <f t="shared" si="1"/>
        <v>9.0428595220514676E-2</v>
      </c>
      <c r="L36" s="10"/>
    </row>
    <row r="37" spans="1:12" x14ac:dyDescent="0.2">
      <c r="A37" s="9">
        <v>18</v>
      </c>
      <c r="B37" s="9">
        <v>1</v>
      </c>
      <c r="C37" s="9"/>
      <c r="D37" s="10">
        <v>16.858974358974358</v>
      </c>
      <c r="E37" s="10">
        <f t="shared" si="0"/>
        <v>-1.1410256410256423</v>
      </c>
      <c r="G37" s="10">
        <f t="shared" si="1"/>
        <v>9.0428595220514676E-2</v>
      </c>
      <c r="L37" s="10"/>
    </row>
    <row r="38" spans="1:12" x14ac:dyDescent="0.2">
      <c r="A38" s="9">
        <v>17</v>
      </c>
      <c r="B38" s="9">
        <v>1</v>
      </c>
      <c r="C38" s="9"/>
      <c r="D38" s="10">
        <v>16.858974358974358</v>
      </c>
      <c r="E38" s="10">
        <f t="shared" si="0"/>
        <v>-0.1410256410256423</v>
      </c>
      <c r="G38" s="10">
        <f t="shared" si="1"/>
        <v>9.3686186441259228E-2</v>
      </c>
      <c r="L38" s="10"/>
    </row>
    <row r="39" spans="1:12" x14ac:dyDescent="0.2">
      <c r="A39" s="9">
        <v>18</v>
      </c>
      <c r="B39" s="9">
        <v>1</v>
      </c>
      <c r="C39" s="9"/>
      <c r="D39" s="10">
        <v>16.858974358974358</v>
      </c>
      <c r="E39" s="10">
        <f t="shared" si="0"/>
        <v>-1.1410256410256423</v>
      </c>
      <c r="G39" s="10">
        <f t="shared" si="1"/>
        <v>9.0428595220514676E-2</v>
      </c>
      <c r="L39" s="10"/>
    </row>
    <row r="40" spans="1:12" x14ac:dyDescent="0.2">
      <c r="A40" s="9">
        <v>17</v>
      </c>
      <c r="B40" s="9">
        <v>1</v>
      </c>
      <c r="C40" s="9"/>
      <c r="D40" s="10">
        <v>16.858974358974358</v>
      </c>
      <c r="E40" s="10">
        <f t="shared" si="0"/>
        <v>-0.1410256410256423</v>
      </c>
      <c r="G40" s="10">
        <f t="shared" si="1"/>
        <v>9.3686186441259228E-2</v>
      </c>
      <c r="L40" s="10"/>
    </row>
    <row r="41" spans="1:12" x14ac:dyDescent="0.2">
      <c r="A41" s="9">
        <v>16</v>
      </c>
      <c r="B41" s="9">
        <v>1</v>
      </c>
      <c r="C41" s="9"/>
      <c r="D41" s="10">
        <v>16.858974358974358</v>
      </c>
      <c r="E41" s="10">
        <f t="shared" si="0"/>
        <v>0.8589743589743577</v>
      </c>
      <c r="G41" s="10">
        <f t="shared" si="1"/>
        <v>9.1847742433773194E-2</v>
      </c>
      <c r="L41" s="10"/>
    </row>
    <row r="42" spans="1:12" x14ac:dyDescent="0.2">
      <c r="A42" s="9">
        <v>16</v>
      </c>
      <c r="B42" s="9">
        <v>1</v>
      </c>
      <c r="C42" s="9"/>
      <c r="D42" s="10">
        <v>16.858974358974358</v>
      </c>
      <c r="E42" s="10">
        <f t="shared" si="0"/>
        <v>0.8589743589743577</v>
      </c>
      <c r="G42" s="10">
        <f t="shared" si="1"/>
        <v>9.1847742433773194E-2</v>
      </c>
      <c r="L42" s="10"/>
    </row>
    <row r="43" spans="1:12" x14ac:dyDescent="0.2">
      <c r="A43" s="9">
        <v>17</v>
      </c>
      <c r="B43" s="9">
        <v>1</v>
      </c>
      <c r="C43" s="9"/>
      <c r="D43" s="10">
        <v>16.858974358974358</v>
      </c>
      <c r="E43" s="10">
        <f t="shared" si="0"/>
        <v>-0.1410256410256423</v>
      </c>
      <c r="G43" s="10">
        <f t="shared" si="1"/>
        <v>9.3686186441259228E-2</v>
      </c>
      <c r="L43" s="10"/>
    </row>
    <row r="44" spans="1:12" x14ac:dyDescent="0.2">
      <c r="A44" s="9">
        <v>17</v>
      </c>
      <c r="B44" s="9">
        <v>1</v>
      </c>
      <c r="C44" s="9"/>
      <c r="D44" s="10">
        <v>16.858974358974358</v>
      </c>
      <c r="E44" s="10">
        <f t="shared" si="0"/>
        <v>-0.1410256410256423</v>
      </c>
      <c r="G44" s="10">
        <f t="shared" si="1"/>
        <v>9.3686186441259228E-2</v>
      </c>
      <c r="L44" s="10"/>
    </row>
    <row r="45" spans="1:12" x14ac:dyDescent="0.2">
      <c r="A45" s="9">
        <v>11</v>
      </c>
      <c r="B45" s="9">
        <v>1</v>
      </c>
      <c r="C45" s="9"/>
      <c r="D45" s="10">
        <v>16.858974358974358</v>
      </c>
      <c r="E45" s="10">
        <f t="shared" si="0"/>
        <v>5.8589743589743577</v>
      </c>
      <c r="G45" s="10">
        <f t="shared" si="1"/>
        <v>3.6339616015446226E-2</v>
      </c>
      <c r="L45" s="10"/>
    </row>
    <row r="46" spans="1:12" x14ac:dyDescent="0.2">
      <c r="A46" s="9">
        <v>15</v>
      </c>
      <c r="B46" s="9">
        <v>1</v>
      </c>
      <c r="C46" s="9"/>
      <c r="D46" s="10">
        <v>16.858974358974358</v>
      </c>
      <c r="E46" s="10">
        <f t="shared" si="0"/>
        <v>1.8589743589743577</v>
      </c>
      <c r="G46" s="10">
        <f t="shared" si="1"/>
        <v>8.5208821600122359E-2</v>
      </c>
      <c r="L46" s="10"/>
    </row>
    <row r="47" spans="1:12" x14ac:dyDescent="0.2">
      <c r="A47" s="9">
        <v>15</v>
      </c>
      <c r="B47" s="9">
        <v>1</v>
      </c>
      <c r="C47" s="9"/>
      <c r="D47" s="10">
        <v>16.858974358974358</v>
      </c>
      <c r="E47" s="10">
        <f t="shared" si="0"/>
        <v>1.8589743589743577</v>
      </c>
      <c r="G47" s="10">
        <f t="shared" si="1"/>
        <v>8.5208821600122359E-2</v>
      </c>
      <c r="L47" s="10"/>
    </row>
    <row r="48" spans="1:12" x14ac:dyDescent="0.2">
      <c r="A48" s="9">
        <v>16</v>
      </c>
      <c r="B48" s="9">
        <v>1</v>
      </c>
      <c r="C48" s="9"/>
      <c r="D48" s="10">
        <v>16.858974358974358</v>
      </c>
      <c r="E48" s="10">
        <f t="shared" si="0"/>
        <v>0.8589743589743577</v>
      </c>
      <c r="G48" s="10">
        <f t="shared" si="1"/>
        <v>9.1847742433773194E-2</v>
      </c>
      <c r="L48" s="10"/>
    </row>
    <row r="49" spans="1:12" x14ac:dyDescent="0.2">
      <c r="A49" s="9">
        <v>16</v>
      </c>
      <c r="B49" s="9">
        <v>1</v>
      </c>
      <c r="C49" s="9"/>
      <c r="D49" s="10">
        <v>16.858974358974358</v>
      </c>
      <c r="E49" s="10">
        <f t="shared" si="0"/>
        <v>0.8589743589743577</v>
      </c>
      <c r="G49" s="10">
        <f t="shared" si="1"/>
        <v>9.1847742433773194E-2</v>
      </c>
      <c r="L49" s="10"/>
    </row>
    <row r="50" spans="1:12" x14ac:dyDescent="0.2">
      <c r="A50" s="9">
        <v>15</v>
      </c>
      <c r="B50" s="9">
        <v>1</v>
      </c>
      <c r="C50" s="9"/>
      <c r="D50" s="10">
        <v>16.858974358974358</v>
      </c>
      <c r="E50" s="10">
        <f t="shared" si="0"/>
        <v>1.8589743589743577</v>
      </c>
      <c r="G50" s="10">
        <f t="shared" si="1"/>
        <v>8.5208821600122359E-2</v>
      </c>
      <c r="L50" s="10"/>
    </row>
    <row r="51" spans="1:12" x14ac:dyDescent="0.2">
      <c r="A51" s="9">
        <v>14</v>
      </c>
      <c r="B51" s="9">
        <v>1</v>
      </c>
      <c r="C51" s="9"/>
      <c r="D51" s="10">
        <v>16.858974358974358</v>
      </c>
      <c r="E51" s="10">
        <f t="shared" si="0"/>
        <v>2.8589743589743577</v>
      </c>
      <c r="G51" s="10">
        <f t="shared" si="1"/>
        <v>7.4803820711623142E-2</v>
      </c>
      <c r="L51" s="10"/>
    </row>
    <row r="52" spans="1:12" x14ac:dyDescent="0.2">
      <c r="A52" s="9">
        <v>13</v>
      </c>
      <c r="B52" s="9">
        <v>1</v>
      </c>
      <c r="C52" s="9"/>
      <c r="D52" s="10">
        <v>16.858974358974358</v>
      </c>
      <c r="E52" s="10">
        <f t="shared" si="0"/>
        <v>3.8589743589743577</v>
      </c>
      <c r="G52" s="10">
        <f t="shared" si="1"/>
        <v>6.2142132155231941E-2</v>
      </c>
      <c r="L52" s="10"/>
    </row>
    <row r="53" spans="1:12" x14ac:dyDescent="0.2">
      <c r="A53" s="9">
        <v>14</v>
      </c>
      <c r="B53" s="9">
        <v>1</v>
      </c>
      <c r="C53" s="9"/>
      <c r="D53" s="10">
        <v>16.858974358974358</v>
      </c>
      <c r="E53" s="10">
        <f t="shared" si="0"/>
        <v>2.8589743589743577</v>
      </c>
      <c r="G53" s="10">
        <f t="shared" si="1"/>
        <v>7.4803820711623142E-2</v>
      </c>
      <c r="L53" s="10"/>
    </row>
    <row r="54" spans="1:12" x14ac:dyDescent="0.2">
      <c r="A54" s="9">
        <v>14</v>
      </c>
      <c r="B54" s="9">
        <v>1</v>
      </c>
      <c r="C54" s="9"/>
      <c r="D54" s="10">
        <v>16.858974358974358</v>
      </c>
      <c r="E54" s="10">
        <f t="shared" si="0"/>
        <v>2.8589743589743577</v>
      </c>
      <c r="G54" s="10">
        <f t="shared" si="1"/>
        <v>7.4803820711623142E-2</v>
      </c>
      <c r="L54" s="10"/>
    </row>
    <row r="55" spans="1:12" x14ac:dyDescent="0.2">
      <c r="A55" s="9">
        <v>14</v>
      </c>
      <c r="B55" s="9">
        <v>1</v>
      </c>
      <c r="C55" s="9"/>
      <c r="D55" s="10">
        <v>16.858974358974358</v>
      </c>
      <c r="E55" s="10">
        <f t="shared" si="0"/>
        <v>2.8589743589743577</v>
      </c>
      <c r="G55" s="10">
        <f t="shared" si="1"/>
        <v>7.4803820711623142E-2</v>
      </c>
      <c r="L55" s="10"/>
    </row>
    <row r="56" spans="1:12" x14ac:dyDescent="0.2">
      <c r="A56" s="9">
        <v>9</v>
      </c>
      <c r="B56" s="9">
        <v>1</v>
      </c>
      <c r="C56" s="9"/>
      <c r="D56" s="10">
        <v>16.858974358974358</v>
      </c>
      <c r="E56" s="10">
        <f t="shared" si="0"/>
        <v>7.8589743589743577</v>
      </c>
      <c r="G56" s="10">
        <f t="shared" si="1"/>
        <v>1.7039902700084295E-2</v>
      </c>
      <c r="L56" s="10"/>
    </row>
    <row r="57" spans="1:12" x14ac:dyDescent="0.2">
      <c r="A57" s="9">
        <v>11</v>
      </c>
      <c r="B57" s="9">
        <v>1</v>
      </c>
      <c r="C57" s="9"/>
      <c r="D57" s="10">
        <v>16.858974358974358</v>
      </c>
      <c r="E57" s="10">
        <f t="shared" si="0"/>
        <v>5.8589743589743577</v>
      </c>
      <c r="G57" s="10">
        <f t="shared" si="1"/>
        <v>3.6339616015446226E-2</v>
      </c>
      <c r="L57" s="10"/>
    </row>
    <row r="58" spans="1:12" x14ac:dyDescent="0.2">
      <c r="A58" s="9">
        <v>11</v>
      </c>
      <c r="B58" s="9">
        <v>1</v>
      </c>
      <c r="C58" s="9"/>
      <c r="D58" s="10">
        <v>16.858974358974358</v>
      </c>
      <c r="E58" s="10">
        <f t="shared" si="0"/>
        <v>5.8589743589743577</v>
      </c>
      <c r="G58" s="10">
        <f t="shared" si="1"/>
        <v>3.6339616015446226E-2</v>
      </c>
      <c r="L58" s="10"/>
    </row>
    <row r="59" spans="1:12" x14ac:dyDescent="0.2">
      <c r="A59" s="9">
        <v>13</v>
      </c>
      <c r="B59" s="9">
        <v>1</v>
      </c>
      <c r="C59" s="9"/>
      <c r="D59" s="10">
        <v>16.858974358974358</v>
      </c>
      <c r="E59" s="10">
        <f t="shared" si="0"/>
        <v>3.8589743589743577</v>
      </c>
      <c r="G59" s="10">
        <f t="shared" si="1"/>
        <v>6.2142132155231941E-2</v>
      </c>
      <c r="L59" s="10"/>
    </row>
    <row r="60" spans="1:12" x14ac:dyDescent="0.2">
      <c r="A60" s="9">
        <v>13</v>
      </c>
      <c r="B60" s="9">
        <v>1</v>
      </c>
      <c r="C60" s="9"/>
      <c r="D60" s="10">
        <v>16.858974358974358</v>
      </c>
      <c r="E60" s="10">
        <f t="shared" si="0"/>
        <v>3.8589743589743577</v>
      </c>
      <c r="G60" s="10">
        <f t="shared" si="1"/>
        <v>6.2142132155231941E-2</v>
      </c>
      <c r="L60" s="10"/>
    </row>
    <row r="61" spans="1:12" x14ac:dyDescent="0.2">
      <c r="A61" s="9">
        <v>9</v>
      </c>
      <c r="B61" s="9">
        <v>1</v>
      </c>
      <c r="C61" s="9"/>
      <c r="D61" s="10">
        <v>16.858974358974358</v>
      </c>
      <c r="E61" s="10">
        <f t="shared" si="0"/>
        <v>7.8589743589743577</v>
      </c>
      <c r="G61" s="10">
        <f t="shared" si="1"/>
        <v>1.7039902700084295E-2</v>
      </c>
      <c r="L61" s="10"/>
    </row>
    <row r="62" spans="1:12" x14ac:dyDescent="0.2">
      <c r="A62" s="9">
        <v>13</v>
      </c>
      <c r="B62" s="9">
        <v>1</v>
      </c>
      <c r="C62" s="9"/>
      <c r="D62" s="10">
        <v>16.858974358974358</v>
      </c>
      <c r="E62" s="10">
        <f t="shared" si="0"/>
        <v>3.8589743589743577</v>
      </c>
      <c r="G62" s="10">
        <f t="shared" si="1"/>
        <v>6.2142132155231941E-2</v>
      </c>
      <c r="L62" s="10"/>
    </row>
    <row r="63" spans="1:12" x14ac:dyDescent="0.2">
      <c r="A63" s="9">
        <v>11</v>
      </c>
      <c r="B63" s="9">
        <v>1</v>
      </c>
      <c r="C63" s="9"/>
      <c r="D63" s="10">
        <v>16.858974358974358</v>
      </c>
      <c r="E63" s="10">
        <f t="shared" si="0"/>
        <v>5.8589743589743577</v>
      </c>
      <c r="G63" s="10">
        <f t="shared" si="1"/>
        <v>3.6339616015446226E-2</v>
      </c>
      <c r="L63" s="10"/>
    </row>
    <row r="64" spans="1:12" x14ac:dyDescent="0.2">
      <c r="A64" s="9">
        <v>13</v>
      </c>
      <c r="B64" s="9">
        <v>1</v>
      </c>
      <c r="C64" s="9"/>
      <c r="D64" s="10">
        <v>16.858974358974358</v>
      </c>
      <c r="E64" s="10">
        <f t="shared" si="0"/>
        <v>3.8589743589743577</v>
      </c>
      <c r="G64" s="10">
        <f t="shared" si="1"/>
        <v>6.2142132155231941E-2</v>
      </c>
      <c r="L64" s="10"/>
    </row>
    <row r="65" spans="1:12" x14ac:dyDescent="0.2">
      <c r="A65" s="9">
        <v>11</v>
      </c>
      <c r="B65" s="9">
        <v>1</v>
      </c>
      <c r="C65" s="9"/>
      <c r="D65" s="10">
        <v>16.858974358974358</v>
      </c>
      <c r="E65" s="10">
        <f t="shared" si="0"/>
        <v>5.8589743589743577</v>
      </c>
      <c r="G65" s="10">
        <f t="shared" si="1"/>
        <v>3.6339616015446226E-2</v>
      </c>
      <c r="L65" s="10"/>
    </row>
    <row r="66" spans="1:12" x14ac:dyDescent="0.2">
      <c r="A66" s="9">
        <v>12</v>
      </c>
      <c r="B66" s="9">
        <v>1</v>
      </c>
      <c r="C66" s="9"/>
      <c r="D66" s="10">
        <v>16.858974358974358</v>
      </c>
      <c r="E66" s="10">
        <f t="shared" si="0"/>
        <v>4.8589743589743577</v>
      </c>
      <c r="G66" s="10">
        <f t="shared" si="1"/>
        <v>4.8850798619149906E-2</v>
      </c>
      <c r="L66" s="10"/>
    </row>
    <row r="67" spans="1:12" x14ac:dyDescent="0.2">
      <c r="A67" s="9">
        <v>9</v>
      </c>
      <c r="B67" s="9">
        <v>1</v>
      </c>
      <c r="C67" s="9"/>
      <c r="D67" s="10">
        <v>16.858974358974358</v>
      </c>
      <c r="E67" s="10">
        <f t="shared" ref="E67:E130" si="2">D67-A67</f>
        <v>7.8589743589743577</v>
      </c>
      <c r="G67" s="10">
        <f t="shared" ref="G67:G130" si="3">_xlfn.NORM.DIST(E67,0,$F$2,FALSE)</f>
        <v>1.7039902700084295E-2</v>
      </c>
      <c r="L67" s="10"/>
    </row>
    <row r="68" spans="1:12" x14ac:dyDescent="0.2">
      <c r="A68" s="9">
        <v>13</v>
      </c>
      <c r="B68" s="9">
        <v>1</v>
      </c>
      <c r="C68" s="9"/>
      <c r="D68" s="10">
        <v>16.858974358974358</v>
      </c>
      <c r="E68" s="10">
        <f t="shared" si="2"/>
        <v>3.8589743589743577</v>
      </c>
      <c r="G68" s="10">
        <f t="shared" si="3"/>
        <v>6.2142132155231941E-2</v>
      </c>
      <c r="L68" s="10"/>
    </row>
    <row r="69" spans="1:12" x14ac:dyDescent="0.2">
      <c r="A69" s="9">
        <v>13</v>
      </c>
      <c r="B69" s="9">
        <v>1</v>
      </c>
      <c r="C69" s="9"/>
      <c r="D69" s="10">
        <v>16.858974358974358</v>
      </c>
      <c r="E69" s="10">
        <f t="shared" si="2"/>
        <v>3.8589743589743577</v>
      </c>
      <c r="G69" s="10">
        <f t="shared" si="3"/>
        <v>6.2142132155231941E-2</v>
      </c>
      <c r="L69" s="10"/>
    </row>
    <row r="70" spans="1:12" x14ac:dyDescent="0.2">
      <c r="A70" s="9">
        <v>12</v>
      </c>
      <c r="B70" s="9">
        <v>1</v>
      </c>
      <c r="C70" s="9"/>
      <c r="D70" s="10">
        <v>16.858974358974358</v>
      </c>
      <c r="E70" s="10">
        <f t="shared" si="2"/>
        <v>4.8589743589743577</v>
      </c>
      <c r="G70" s="10">
        <f t="shared" si="3"/>
        <v>4.8850798619149906E-2</v>
      </c>
      <c r="L70" s="10"/>
    </row>
    <row r="71" spans="1:12" x14ac:dyDescent="0.2">
      <c r="A71" s="9">
        <v>9</v>
      </c>
      <c r="B71" s="9">
        <v>1</v>
      </c>
      <c r="C71" s="9"/>
      <c r="D71" s="10">
        <v>16.858974358974358</v>
      </c>
      <c r="E71" s="10">
        <f t="shared" si="2"/>
        <v>7.8589743589743577</v>
      </c>
      <c r="G71" s="10">
        <f t="shared" si="3"/>
        <v>1.7039902700084295E-2</v>
      </c>
      <c r="L71" s="10"/>
    </row>
    <row r="72" spans="1:12" x14ac:dyDescent="0.2">
      <c r="A72" s="9">
        <v>11</v>
      </c>
      <c r="B72" s="9">
        <v>1</v>
      </c>
      <c r="C72" s="9"/>
      <c r="D72" s="10">
        <v>16.858974358974358</v>
      </c>
      <c r="E72" s="10">
        <f t="shared" si="2"/>
        <v>5.8589743589743577</v>
      </c>
      <c r="G72" s="10">
        <f t="shared" si="3"/>
        <v>3.6339616015446226E-2</v>
      </c>
      <c r="L72" s="10"/>
    </row>
    <row r="73" spans="1:12" x14ac:dyDescent="0.2">
      <c r="A73" s="9">
        <v>11</v>
      </c>
      <c r="B73" s="9">
        <v>1</v>
      </c>
      <c r="C73" s="9"/>
      <c r="D73" s="10">
        <v>16.858974358974358</v>
      </c>
      <c r="E73" s="10">
        <f t="shared" si="2"/>
        <v>5.8589743589743577</v>
      </c>
      <c r="G73" s="10">
        <f t="shared" si="3"/>
        <v>3.6339616015446226E-2</v>
      </c>
      <c r="L73" s="10"/>
    </row>
    <row r="74" spans="1:12" x14ac:dyDescent="0.2">
      <c r="A74" s="9">
        <v>13</v>
      </c>
      <c r="B74" s="9">
        <v>1</v>
      </c>
      <c r="C74" s="9"/>
      <c r="D74" s="10">
        <v>16.858974358974358</v>
      </c>
      <c r="E74" s="10">
        <f t="shared" si="2"/>
        <v>3.8589743589743577</v>
      </c>
      <c r="G74" s="10">
        <f t="shared" si="3"/>
        <v>6.2142132155231941E-2</v>
      </c>
      <c r="L74" s="10"/>
    </row>
    <row r="75" spans="1:12" x14ac:dyDescent="0.2">
      <c r="A75" s="9">
        <v>11</v>
      </c>
      <c r="B75" s="9">
        <v>1</v>
      </c>
      <c r="C75" s="9"/>
      <c r="D75" s="10">
        <v>16.858974358974358</v>
      </c>
      <c r="E75" s="10">
        <f t="shared" si="2"/>
        <v>5.8589743589743577</v>
      </c>
      <c r="G75" s="10">
        <f t="shared" si="3"/>
        <v>3.6339616015446226E-2</v>
      </c>
      <c r="L75" s="10"/>
    </row>
    <row r="76" spans="1:12" x14ac:dyDescent="0.2">
      <c r="A76" s="9">
        <v>11</v>
      </c>
      <c r="B76" s="9">
        <v>1</v>
      </c>
      <c r="C76" s="9"/>
      <c r="D76" s="10">
        <v>16.858974358974358</v>
      </c>
      <c r="E76" s="10">
        <f t="shared" si="2"/>
        <v>5.8589743589743577</v>
      </c>
      <c r="G76" s="10">
        <f t="shared" si="3"/>
        <v>3.6339616015446226E-2</v>
      </c>
      <c r="L76" s="10"/>
    </row>
    <row r="77" spans="1:12" x14ac:dyDescent="0.2">
      <c r="A77" s="9">
        <v>11</v>
      </c>
      <c r="B77" s="9">
        <v>1</v>
      </c>
      <c r="C77" s="9"/>
      <c r="D77" s="10">
        <v>16.858974358974358</v>
      </c>
      <c r="E77" s="10">
        <f t="shared" si="2"/>
        <v>5.8589743589743577</v>
      </c>
      <c r="G77" s="10">
        <f t="shared" si="3"/>
        <v>3.6339616015446226E-2</v>
      </c>
      <c r="L77" s="10"/>
    </row>
    <row r="78" spans="1:12" x14ac:dyDescent="0.2">
      <c r="A78" s="9">
        <v>12</v>
      </c>
      <c r="B78" s="9">
        <v>1</v>
      </c>
      <c r="C78" s="9"/>
      <c r="D78" s="10">
        <v>16.858974358974358</v>
      </c>
      <c r="E78" s="10">
        <f t="shared" si="2"/>
        <v>4.8589743589743577</v>
      </c>
      <c r="G78" s="10">
        <f t="shared" si="3"/>
        <v>4.8850798619149906E-2</v>
      </c>
      <c r="L78" s="10"/>
    </row>
    <row r="79" spans="1:12" x14ac:dyDescent="0.2">
      <c r="A79" s="9">
        <v>14</v>
      </c>
      <c r="B79" s="9">
        <v>1</v>
      </c>
      <c r="C79" s="9"/>
      <c r="D79" s="10">
        <v>16.858974358974358</v>
      </c>
      <c r="E79" s="10">
        <f t="shared" si="2"/>
        <v>2.8589743589743577</v>
      </c>
      <c r="G79" s="10">
        <f t="shared" si="3"/>
        <v>7.4803820711623142E-2</v>
      </c>
      <c r="L79" s="10"/>
    </row>
    <row r="80" spans="1:12" x14ac:dyDescent="0.2">
      <c r="A80" s="9">
        <v>15</v>
      </c>
      <c r="B80" s="9">
        <v>1</v>
      </c>
      <c r="C80" s="9"/>
      <c r="D80" s="10">
        <v>16.858974358974358</v>
      </c>
      <c r="E80" s="10">
        <f t="shared" si="2"/>
        <v>1.8589743589743577</v>
      </c>
      <c r="G80" s="10">
        <f t="shared" si="3"/>
        <v>8.5208821600122359E-2</v>
      </c>
      <c r="L80" s="10"/>
    </row>
    <row r="81" spans="1:12" x14ac:dyDescent="0.2">
      <c r="A81" s="9">
        <v>14</v>
      </c>
      <c r="B81" s="9">
        <v>1</v>
      </c>
      <c r="C81" s="9"/>
      <c r="D81" s="10">
        <v>16.858974358974358</v>
      </c>
      <c r="E81" s="10">
        <f t="shared" si="2"/>
        <v>2.8589743589743577</v>
      </c>
      <c r="G81" s="10">
        <f t="shared" si="3"/>
        <v>7.4803820711623142E-2</v>
      </c>
      <c r="L81" s="10"/>
    </row>
    <row r="82" spans="1:12" x14ac:dyDescent="0.2">
      <c r="A82" s="9">
        <v>13</v>
      </c>
      <c r="B82" s="9">
        <v>1</v>
      </c>
      <c r="C82" s="9"/>
      <c r="D82" s="10">
        <v>16.858974358974358</v>
      </c>
      <c r="E82" s="10">
        <f t="shared" si="2"/>
        <v>3.8589743589743577</v>
      </c>
      <c r="G82" s="10">
        <f t="shared" si="3"/>
        <v>6.2142132155231941E-2</v>
      </c>
      <c r="L82" s="10"/>
    </row>
    <row r="83" spans="1:12" x14ac:dyDescent="0.2">
      <c r="A83" s="9">
        <v>13</v>
      </c>
      <c r="B83" s="9">
        <v>1</v>
      </c>
      <c r="C83" s="9"/>
      <c r="D83" s="10">
        <v>16.858974358974358</v>
      </c>
      <c r="E83" s="10">
        <f t="shared" si="2"/>
        <v>3.8589743589743577</v>
      </c>
      <c r="G83" s="10">
        <f t="shared" si="3"/>
        <v>6.2142132155231941E-2</v>
      </c>
      <c r="L83" s="10"/>
    </row>
    <row r="84" spans="1:12" x14ac:dyDescent="0.2">
      <c r="A84" s="9">
        <v>13</v>
      </c>
      <c r="B84" s="9">
        <v>1</v>
      </c>
      <c r="C84" s="9"/>
      <c r="D84" s="10">
        <v>16.858974358974358</v>
      </c>
      <c r="E84" s="10">
        <f t="shared" si="2"/>
        <v>3.8589743589743577</v>
      </c>
      <c r="G84" s="10">
        <f t="shared" si="3"/>
        <v>6.2142132155231941E-2</v>
      </c>
      <c r="L84" s="10"/>
    </row>
    <row r="85" spans="1:12" x14ac:dyDescent="0.2">
      <c r="A85" s="9">
        <v>14</v>
      </c>
      <c r="B85" s="9">
        <v>1</v>
      </c>
      <c r="C85" s="9"/>
      <c r="D85" s="10">
        <v>16.858974358974358</v>
      </c>
      <c r="E85" s="10">
        <f t="shared" si="2"/>
        <v>2.8589743589743577</v>
      </c>
      <c r="G85" s="10">
        <f t="shared" si="3"/>
        <v>7.4803820711623142E-2</v>
      </c>
      <c r="L85" s="10"/>
    </row>
    <row r="86" spans="1:12" x14ac:dyDescent="0.2">
      <c r="A86" s="9">
        <v>14</v>
      </c>
      <c r="B86" s="9">
        <v>1</v>
      </c>
      <c r="C86" s="9"/>
      <c r="D86" s="10">
        <v>16.858974358974358</v>
      </c>
      <c r="E86" s="10">
        <f t="shared" si="2"/>
        <v>2.8589743589743577</v>
      </c>
      <c r="G86" s="10">
        <f t="shared" si="3"/>
        <v>7.4803820711623142E-2</v>
      </c>
      <c r="L86" s="10"/>
    </row>
    <row r="87" spans="1:12" x14ac:dyDescent="0.2">
      <c r="A87" s="9">
        <v>13</v>
      </c>
      <c r="B87" s="9">
        <v>1</v>
      </c>
      <c r="C87" s="9"/>
      <c r="D87" s="10">
        <v>16.858974358974358</v>
      </c>
      <c r="E87" s="10">
        <f t="shared" si="2"/>
        <v>3.8589743589743577</v>
      </c>
      <c r="G87" s="10">
        <f t="shared" si="3"/>
        <v>6.2142132155231941E-2</v>
      </c>
      <c r="L87" s="10"/>
    </row>
    <row r="88" spans="1:12" x14ac:dyDescent="0.2">
      <c r="A88" s="9">
        <v>13</v>
      </c>
      <c r="B88" s="9">
        <v>1</v>
      </c>
      <c r="C88" s="9"/>
      <c r="D88" s="10">
        <v>16.858974358974358</v>
      </c>
      <c r="E88" s="10">
        <f t="shared" si="2"/>
        <v>3.8589743589743577</v>
      </c>
      <c r="G88" s="10">
        <f t="shared" si="3"/>
        <v>6.2142132155231941E-2</v>
      </c>
      <c r="L88" s="10"/>
    </row>
    <row r="89" spans="1:12" x14ac:dyDescent="0.2">
      <c r="A89" s="9">
        <v>13</v>
      </c>
      <c r="B89" s="9">
        <v>1</v>
      </c>
      <c r="C89" s="9"/>
      <c r="D89" s="10">
        <v>16.858974358974358</v>
      </c>
      <c r="E89" s="10">
        <f t="shared" si="2"/>
        <v>3.8589743589743577</v>
      </c>
      <c r="G89" s="10">
        <f t="shared" si="3"/>
        <v>6.2142132155231941E-2</v>
      </c>
      <c r="L89" s="10"/>
    </row>
    <row r="90" spans="1:12" x14ac:dyDescent="0.2">
      <c r="A90" s="9">
        <v>11</v>
      </c>
      <c r="B90" s="9">
        <v>1</v>
      </c>
      <c r="C90" s="9"/>
      <c r="D90" s="10">
        <v>16.858974358974358</v>
      </c>
      <c r="E90" s="10">
        <f t="shared" si="2"/>
        <v>5.8589743589743577</v>
      </c>
      <c r="G90" s="10">
        <f t="shared" si="3"/>
        <v>3.6339616015446226E-2</v>
      </c>
      <c r="L90" s="10"/>
    </row>
    <row r="91" spans="1:12" x14ac:dyDescent="0.2">
      <c r="A91" s="9">
        <v>13</v>
      </c>
      <c r="B91" s="9">
        <v>1</v>
      </c>
      <c r="C91" s="9"/>
      <c r="D91" s="10">
        <v>16.858974358974358</v>
      </c>
      <c r="E91" s="10">
        <f t="shared" si="2"/>
        <v>3.8589743589743577</v>
      </c>
      <c r="G91" s="10">
        <f t="shared" si="3"/>
        <v>6.2142132155231941E-2</v>
      </c>
      <c r="L91" s="10"/>
    </row>
    <row r="92" spans="1:12" x14ac:dyDescent="0.2">
      <c r="A92" s="9">
        <v>18</v>
      </c>
      <c r="B92" s="9">
        <v>1</v>
      </c>
      <c r="C92" s="9"/>
      <c r="D92" s="10">
        <v>16.858974358974358</v>
      </c>
      <c r="E92" s="10">
        <f t="shared" si="2"/>
        <v>-1.1410256410256423</v>
      </c>
      <c r="G92" s="10">
        <f t="shared" si="3"/>
        <v>9.0428595220514676E-2</v>
      </c>
      <c r="L92" s="10"/>
    </row>
    <row r="93" spans="1:12" x14ac:dyDescent="0.2">
      <c r="A93" s="9">
        <v>18</v>
      </c>
      <c r="B93" s="9">
        <v>1</v>
      </c>
      <c r="C93" s="9"/>
      <c r="D93" s="10">
        <v>16.858974358974358</v>
      </c>
      <c r="E93" s="10">
        <f t="shared" si="2"/>
        <v>-1.1410256410256423</v>
      </c>
      <c r="G93" s="10">
        <f t="shared" si="3"/>
        <v>9.0428595220514676E-2</v>
      </c>
      <c r="L93" s="10"/>
    </row>
    <row r="94" spans="1:12" x14ac:dyDescent="0.2">
      <c r="A94" s="9">
        <v>17</v>
      </c>
      <c r="B94" s="9">
        <v>1</v>
      </c>
      <c r="C94" s="9"/>
      <c r="D94" s="10">
        <v>16.858974358974358</v>
      </c>
      <c r="E94" s="10">
        <f t="shared" si="2"/>
        <v>-0.1410256410256423</v>
      </c>
      <c r="G94" s="10">
        <f t="shared" si="3"/>
        <v>9.3686186441259228E-2</v>
      </c>
      <c r="L94" s="10"/>
    </row>
    <row r="95" spans="1:12" x14ac:dyDescent="0.2">
      <c r="A95" s="9">
        <v>16</v>
      </c>
      <c r="B95" s="9">
        <v>1</v>
      </c>
      <c r="C95" s="9"/>
      <c r="D95" s="10">
        <v>16.858974358974358</v>
      </c>
      <c r="E95" s="10">
        <f t="shared" si="2"/>
        <v>0.8589743589743577</v>
      </c>
      <c r="G95" s="10">
        <f t="shared" si="3"/>
        <v>9.1847742433773194E-2</v>
      </c>
      <c r="L95" s="10"/>
    </row>
    <row r="96" spans="1:12" x14ac:dyDescent="0.2">
      <c r="A96" s="9">
        <v>15</v>
      </c>
      <c r="B96" s="9">
        <v>1</v>
      </c>
      <c r="C96" s="9"/>
      <c r="D96" s="10">
        <v>16.858974358974358</v>
      </c>
      <c r="E96" s="10">
        <f t="shared" si="2"/>
        <v>1.8589743589743577</v>
      </c>
      <c r="G96" s="10">
        <f t="shared" si="3"/>
        <v>8.5208821600122359E-2</v>
      </c>
      <c r="L96" s="10"/>
    </row>
    <row r="97" spans="1:12" x14ac:dyDescent="0.2">
      <c r="A97" s="9">
        <v>15</v>
      </c>
      <c r="B97" s="9">
        <v>1</v>
      </c>
      <c r="C97" s="9"/>
      <c r="D97" s="10">
        <v>16.858974358974358</v>
      </c>
      <c r="E97" s="10">
        <f t="shared" si="2"/>
        <v>1.8589743589743577</v>
      </c>
      <c r="G97" s="10">
        <f t="shared" si="3"/>
        <v>8.5208821600122359E-2</v>
      </c>
      <c r="L97" s="10"/>
    </row>
    <row r="98" spans="1:12" x14ac:dyDescent="0.2">
      <c r="A98" s="9">
        <v>15</v>
      </c>
      <c r="B98" s="9">
        <v>1</v>
      </c>
      <c r="C98" s="9"/>
      <c r="D98" s="10">
        <v>16.858974358974358</v>
      </c>
      <c r="E98" s="10">
        <f t="shared" si="2"/>
        <v>1.8589743589743577</v>
      </c>
      <c r="G98" s="10">
        <f t="shared" si="3"/>
        <v>8.5208821600122359E-2</v>
      </c>
      <c r="L98" s="10"/>
    </row>
    <row r="99" spans="1:12" x14ac:dyDescent="0.2">
      <c r="A99" s="9">
        <v>15</v>
      </c>
      <c r="B99" s="9">
        <v>1</v>
      </c>
      <c r="C99" s="9"/>
      <c r="D99" s="10">
        <v>16.858974358974358</v>
      </c>
      <c r="E99" s="10">
        <f t="shared" si="2"/>
        <v>1.8589743589743577</v>
      </c>
      <c r="G99" s="10">
        <f t="shared" si="3"/>
        <v>8.5208821600122359E-2</v>
      </c>
      <c r="L99" s="10"/>
    </row>
    <row r="100" spans="1:12" x14ac:dyDescent="0.2">
      <c r="A100" s="9">
        <v>14</v>
      </c>
      <c r="B100" s="9">
        <v>1</v>
      </c>
      <c r="C100" s="9"/>
      <c r="D100" s="10">
        <v>16.858974358974358</v>
      </c>
      <c r="E100" s="10">
        <f t="shared" si="2"/>
        <v>2.8589743589743577</v>
      </c>
      <c r="G100" s="10">
        <f t="shared" si="3"/>
        <v>7.4803820711623142E-2</v>
      </c>
      <c r="L100" s="10"/>
    </row>
    <row r="101" spans="1:12" x14ac:dyDescent="0.2">
      <c r="A101" s="9">
        <v>28</v>
      </c>
      <c r="B101" s="9">
        <v>1</v>
      </c>
      <c r="C101" s="9"/>
      <c r="D101" s="10">
        <v>16.858974358974358</v>
      </c>
      <c r="E101" s="10">
        <f t="shared" si="2"/>
        <v>-11.141025641025642</v>
      </c>
      <c r="G101" s="10">
        <f t="shared" si="3"/>
        <v>3.0470611306731058E-3</v>
      </c>
      <c r="L101" s="10"/>
    </row>
    <row r="102" spans="1:12" x14ac:dyDescent="0.2">
      <c r="A102" s="9">
        <v>24</v>
      </c>
      <c r="B102" s="9">
        <v>1</v>
      </c>
      <c r="C102" s="9"/>
      <c r="D102" s="10">
        <v>16.858974358974358</v>
      </c>
      <c r="E102" s="10">
        <f t="shared" si="2"/>
        <v>-7.1410256410256423</v>
      </c>
      <c r="G102" s="10">
        <f t="shared" si="3"/>
        <v>2.293893420103504E-2</v>
      </c>
      <c r="L102" s="10"/>
    </row>
    <row r="103" spans="1:12" x14ac:dyDescent="0.2">
      <c r="A103" s="9">
        <v>25</v>
      </c>
      <c r="B103" s="9">
        <v>1</v>
      </c>
      <c r="C103" s="9"/>
      <c r="D103" s="10">
        <v>16.858974358974358</v>
      </c>
      <c r="E103" s="10">
        <f t="shared" si="2"/>
        <v>-8.1410256410256423</v>
      </c>
      <c r="G103" s="10">
        <f t="shared" si="3"/>
        <v>1.5044075220828471E-2</v>
      </c>
      <c r="L103" s="10"/>
    </row>
    <row r="104" spans="1:12" x14ac:dyDescent="0.2">
      <c r="A104" s="9">
        <v>23</v>
      </c>
      <c r="B104" s="9">
        <v>1</v>
      </c>
      <c r="C104" s="9"/>
      <c r="D104" s="10">
        <v>16.858974358974358</v>
      </c>
      <c r="E104" s="10">
        <f t="shared" si="2"/>
        <v>-6.1410256410256423</v>
      </c>
      <c r="G104" s="10">
        <f t="shared" si="3"/>
        <v>3.3098180744967454E-2</v>
      </c>
      <c r="L104" s="10"/>
    </row>
    <row r="105" spans="1:12" x14ac:dyDescent="0.2">
      <c r="A105" s="9">
        <v>24</v>
      </c>
      <c r="B105" s="9">
        <v>1</v>
      </c>
      <c r="C105" s="9"/>
      <c r="D105" s="10">
        <v>16.858974358974358</v>
      </c>
      <c r="E105" s="10">
        <f t="shared" si="2"/>
        <v>-7.1410256410256423</v>
      </c>
      <c r="G105" s="10">
        <f t="shared" si="3"/>
        <v>2.293893420103504E-2</v>
      </c>
      <c r="L105" s="10"/>
    </row>
    <row r="106" spans="1:12" x14ac:dyDescent="0.2">
      <c r="A106" s="9">
        <v>26</v>
      </c>
      <c r="B106" s="9">
        <v>1</v>
      </c>
      <c r="C106" s="9"/>
      <c r="D106" s="10">
        <v>16.858974358974358</v>
      </c>
      <c r="E106" s="10">
        <f t="shared" si="2"/>
        <v>-9.1410256410256423</v>
      </c>
      <c r="G106" s="10">
        <f t="shared" si="3"/>
        <v>9.3364312813032559E-3</v>
      </c>
      <c r="L106" s="10"/>
    </row>
    <row r="107" spans="1:12" x14ac:dyDescent="0.2">
      <c r="A107" s="9">
        <v>25</v>
      </c>
      <c r="B107" s="9">
        <v>1</v>
      </c>
      <c r="C107" s="9"/>
      <c r="D107" s="10">
        <v>16.858974358974358</v>
      </c>
      <c r="E107" s="10">
        <f t="shared" si="2"/>
        <v>-8.1410256410256423</v>
      </c>
      <c r="G107" s="10">
        <f t="shared" si="3"/>
        <v>1.5044075220828471E-2</v>
      </c>
      <c r="L107" s="10"/>
    </row>
    <row r="108" spans="1:12" x14ac:dyDescent="0.2">
      <c r="A108" s="9">
        <v>24</v>
      </c>
      <c r="B108" s="9">
        <v>1</v>
      </c>
      <c r="C108" s="9"/>
      <c r="D108" s="10">
        <v>16.858974358974358</v>
      </c>
      <c r="E108" s="10">
        <f t="shared" si="2"/>
        <v>-7.1410256410256423</v>
      </c>
      <c r="G108" s="10">
        <f t="shared" si="3"/>
        <v>2.293893420103504E-2</v>
      </c>
      <c r="L108" s="10"/>
    </row>
    <row r="109" spans="1:12" x14ac:dyDescent="0.2">
      <c r="A109" s="9">
        <v>21</v>
      </c>
      <c r="B109" s="9">
        <v>1</v>
      </c>
      <c r="C109" s="9"/>
      <c r="D109" s="10">
        <v>16.858974358974358</v>
      </c>
      <c r="E109" s="10">
        <f t="shared" si="2"/>
        <v>-4.1410256410256423</v>
      </c>
      <c r="G109" s="10">
        <f t="shared" si="3"/>
        <v>5.8389578885814829E-2</v>
      </c>
      <c r="L109" s="10"/>
    </row>
    <row r="110" spans="1:12" x14ac:dyDescent="0.2">
      <c r="A110" s="9">
        <v>18</v>
      </c>
      <c r="B110" s="9">
        <v>1</v>
      </c>
      <c r="C110" s="9"/>
      <c r="D110" s="10">
        <v>16.858974358974358</v>
      </c>
      <c r="E110" s="10">
        <f t="shared" si="2"/>
        <v>-1.1410256410256423</v>
      </c>
      <c r="G110" s="10">
        <f t="shared" si="3"/>
        <v>9.0428595220514676E-2</v>
      </c>
      <c r="L110" s="10"/>
    </row>
    <row r="111" spans="1:12" x14ac:dyDescent="0.2">
      <c r="A111" s="9">
        <v>18</v>
      </c>
      <c r="B111" s="9">
        <v>1</v>
      </c>
      <c r="C111" s="9"/>
      <c r="D111" s="10">
        <v>16.858974358974358</v>
      </c>
      <c r="E111" s="10">
        <f t="shared" si="2"/>
        <v>-1.1410256410256423</v>
      </c>
      <c r="G111" s="10">
        <f t="shared" si="3"/>
        <v>9.0428595220514676E-2</v>
      </c>
      <c r="L111" s="10"/>
    </row>
    <row r="112" spans="1:12" x14ac:dyDescent="0.2">
      <c r="A112" s="9">
        <v>21</v>
      </c>
      <c r="B112" s="9">
        <v>1</v>
      </c>
      <c r="C112" s="9"/>
      <c r="D112" s="10">
        <v>16.858974358974358</v>
      </c>
      <c r="E112" s="10">
        <f t="shared" si="2"/>
        <v>-4.1410256410256423</v>
      </c>
      <c r="G112" s="10">
        <f t="shared" si="3"/>
        <v>5.8389578885814829E-2</v>
      </c>
      <c r="L112" s="10"/>
    </row>
    <row r="113" spans="1:12" x14ac:dyDescent="0.2">
      <c r="A113" s="9">
        <v>21</v>
      </c>
      <c r="B113" s="9">
        <v>1</v>
      </c>
      <c r="C113" s="9"/>
      <c r="D113" s="10">
        <v>16.858974358974358</v>
      </c>
      <c r="E113" s="10">
        <f t="shared" si="2"/>
        <v>-4.1410256410256423</v>
      </c>
      <c r="G113" s="10">
        <f t="shared" si="3"/>
        <v>5.8389578885814829E-2</v>
      </c>
      <c r="L113" s="10"/>
    </row>
    <row r="114" spans="1:12" x14ac:dyDescent="0.2">
      <c r="A114" s="9">
        <v>18</v>
      </c>
      <c r="B114" s="9">
        <v>1</v>
      </c>
      <c r="C114" s="9"/>
      <c r="D114" s="10">
        <v>16.858974358974358</v>
      </c>
      <c r="E114" s="10">
        <f t="shared" si="2"/>
        <v>-1.1410256410256423</v>
      </c>
      <c r="G114" s="10">
        <f t="shared" si="3"/>
        <v>9.0428595220514676E-2</v>
      </c>
      <c r="L114" s="10"/>
    </row>
    <row r="115" spans="1:12" x14ac:dyDescent="0.2">
      <c r="A115" s="9">
        <v>18</v>
      </c>
      <c r="B115" s="9">
        <v>1</v>
      </c>
      <c r="C115" s="9"/>
      <c r="D115" s="10">
        <v>16.858974358974358</v>
      </c>
      <c r="E115" s="10">
        <f t="shared" si="2"/>
        <v>-1.1410256410256423</v>
      </c>
      <c r="G115" s="10">
        <f t="shared" si="3"/>
        <v>9.0428595220514676E-2</v>
      </c>
      <c r="L115" s="10"/>
    </row>
    <row r="116" spans="1:12" x14ac:dyDescent="0.2">
      <c r="A116" s="9">
        <v>19</v>
      </c>
      <c r="B116" s="9">
        <v>1</v>
      </c>
      <c r="C116" s="9"/>
      <c r="D116" s="10">
        <v>16.858974358974358</v>
      </c>
      <c r="E116" s="10">
        <f t="shared" si="2"/>
        <v>-2.1410256410256423</v>
      </c>
      <c r="G116" s="10">
        <f t="shared" si="3"/>
        <v>8.2596026638649928E-2</v>
      </c>
      <c r="L116" s="10"/>
    </row>
    <row r="117" spans="1:12" x14ac:dyDescent="0.2">
      <c r="A117" s="9">
        <v>19</v>
      </c>
      <c r="B117" s="9">
        <v>1</v>
      </c>
      <c r="C117" s="9"/>
      <c r="D117" s="10">
        <v>16.858974358974358</v>
      </c>
      <c r="E117" s="10">
        <f t="shared" si="2"/>
        <v>-2.1410256410256423</v>
      </c>
      <c r="G117" s="10">
        <f t="shared" si="3"/>
        <v>8.2596026638649928E-2</v>
      </c>
      <c r="L117" s="10"/>
    </row>
    <row r="118" spans="1:12" x14ac:dyDescent="0.2">
      <c r="A118" s="9">
        <v>19</v>
      </c>
      <c r="B118" s="9">
        <v>1</v>
      </c>
      <c r="C118" s="9"/>
      <c r="D118" s="10">
        <v>16.858974358974358</v>
      </c>
      <c r="E118" s="10">
        <f t="shared" si="2"/>
        <v>-2.1410256410256423</v>
      </c>
      <c r="G118" s="10">
        <f t="shared" si="3"/>
        <v>8.2596026638649928E-2</v>
      </c>
      <c r="L118" s="10"/>
    </row>
    <row r="119" spans="1:12" x14ac:dyDescent="0.2">
      <c r="A119" s="9">
        <v>20</v>
      </c>
      <c r="B119" s="9">
        <v>1</v>
      </c>
      <c r="C119" s="9"/>
      <c r="D119" s="10">
        <v>16.858974358974358</v>
      </c>
      <c r="E119" s="10">
        <f t="shared" si="2"/>
        <v>-3.1410256410256423</v>
      </c>
      <c r="G119" s="10">
        <f t="shared" si="3"/>
        <v>7.138971945227178E-2</v>
      </c>
      <c r="L119" s="10"/>
    </row>
    <row r="120" spans="1:12" x14ac:dyDescent="0.2">
      <c r="A120" s="9">
        <v>20</v>
      </c>
      <c r="B120" s="9">
        <v>1</v>
      </c>
      <c r="C120" s="9"/>
      <c r="D120" s="10">
        <v>16.858974358974358</v>
      </c>
      <c r="E120" s="10">
        <f t="shared" si="2"/>
        <v>-3.1410256410256423</v>
      </c>
      <c r="G120" s="10">
        <f t="shared" si="3"/>
        <v>7.138971945227178E-2</v>
      </c>
      <c r="L120" s="10"/>
    </row>
    <row r="121" spans="1:12" x14ac:dyDescent="0.2">
      <c r="A121" s="9">
        <v>17</v>
      </c>
      <c r="B121" s="9">
        <v>1</v>
      </c>
      <c r="C121" s="9"/>
      <c r="D121" s="10">
        <v>16.858974358974358</v>
      </c>
      <c r="E121" s="10">
        <f t="shared" si="2"/>
        <v>-0.1410256410256423</v>
      </c>
      <c r="G121" s="10">
        <f t="shared" si="3"/>
        <v>9.3686186441259228E-2</v>
      </c>
      <c r="L121" s="10"/>
    </row>
    <row r="122" spans="1:12" x14ac:dyDescent="0.2">
      <c r="A122" s="9">
        <v>16</v>
      </c>
      <c r="B122" s="9">
        <v>1</v>
      </c>
      <c r="C122" s="9"/>
      <c r="D122" s="10">
        <v>16.858974358974358</v>
      </c>
      <c r="E122" s="10">
        <f t="shared" si="2"/>
        <v>0.8589743589743577</v>
      </c>
      <c r="G122" s="10">
        <f t="shared" si="3"/>
        <v>9.1847742433773194E-2</v>
      </c>
      <c r="L122" s="10"/>
    </row>
    <row r="123" spans="1:12" x14ac:dyDescent="0.2">
      <c r="A123" s="9">
        <v>17</v>
      </c>
      <c r="B123" s="9">
        <v>1</v>
      </c>
      <c r="C123" s="9"/>
      <c r="D123" s="10">
        <v>16.858974358974358</v>
      </c>
      <c r="E123" s="10">
        <f t="shared" si="2"/>
        <v>-0.1410256410256423</v>
      </c>
      <c r="G123" s="10">
        <f t="shared" si="3"/>
        <v>9.3686186441259228E-2</v>
      </c>
      <c r="L123" s="10"/>
    </row>
    <row r="124" spans="1:12" x14ac:dyDescent="0.2">
      <c r="A124" s="9">
        <v>17</v>
      </c>
      <c r="B124" s="9">
        <v>1</v>
      </c>
      <c r="C124" s="9"/>
      <c r="D124" s="10">
        <v>16.858974358974358</v>
      </c>
      <c r="E124" s="10">
        <f t="shared" si="2"/>
        <v>-0.1410256410256423</v>
      </c>
      <c r="G124" s="10">
        <f t="shared" si="3"/>
        <v>9.3686186441259228E-2</v>
      </c>
      <c r="L124" s="10"/>
    </row>
    <row r="125" spans="1:12" x14ac:dyDescent="0.2">
      <c r="A125" s="9">
        <v>15</v>
      </c>
      <c r="B125" s="9">
        <v>1</v>
      </c>
      <c r="C125" s="9"/>
      <c r="D125" s="10">
        <v>16.858974358974358</v>
      </c>
      <c r="E125" s="10">
        <f t="shared" si="2"/>
        <v>1.8589743589743577</v>
      </c>
      <c r="G125" s="10">
        <f t="shared" si="3"/>
        <v>8.5208821600122359E-2</v>
      </c>
      <c r="L125" s="10"/>
    </row>
    <row r="126" spans="1:12" x14ac:dyDescent="0.2">
      <c r="A126" s="9">
        <v>15</v>
      </c>
      <c r="B126" s="9">
        <v>1</v>
      </c>
      <c r="C126" s="9"/>
      <c r="D126" s="10">
        <v>16.858974358974358</v>
      </c>
      <c r="E126" s="10">
        <f t="shared" si="2"/>
        <v>1.8589743589743577</v>
      </c>
      <c r="G126" s="10">
        <f t="shared" si="3"/>
        <v>8.5208821600122359E-2</v>
      </c>
      <c r="L126" s="10"/>
    </row>
    <row r="127" spans="1:12" x14ac:dyDescent="0.2">
      <c r="A127" s="9">
        <v>14</v>
      </c>
      <c r="B127" s="9">
        <v>1</v>
      </c>
      <c r="C127" s="9"/>
      <c r="D127" s="10">
        <v>16.858974358974358</v>
      </c>
      <c r="E127" s="10">
        <f t="shared" si="2"/>
        <v>2.8589743589743577</v>
      </c>
      <c r="G127" s="10">
        <f t="shared" si="3"/>
        <v>7.4803820711623142E-2</v>
      </c>
      <c r="L127" s="10"/>
    </row>
    <row r="128" spans="1:12" x14ac:dyDescent="0.2">
      <c r="A128" s="9">
        <v>9</v>
      </c>
      <c r="B128" s="9">
        <v>1</v>
      </c>
      <c r="C128" s="9"/>
      <c r="D128" s="10">
        <v>16.858974358974358</v>
      </c>
      <c r="E128" s="10">
        <f t="shared" si="2"/>
        <v>7.8589743589743577</v>
      </c>
      <c r="G128" s="10">
        <f t="shared" si="3"/>
        <v>1.7039902700084295E-2</v>
      </c>
      <c r="L128" s="10"/>
    </row>
    <row r="129" spans="1:12" x14ac:dyDescent="0.2">
      <c r="A129" s="9">
        <v>14</v>
      </c>
      <c r="B129" s="9">
        <v>1</v>
      </c>
      <c r="C129" s="9"/>
      <c r="D129" s="10">
        <v>16.858974358974358</v>
      </c>
      <c r="E129" s="10">
        <f t="shared" si="2"/>
        <v>2.8589743589743577</v>
      </c>
      <c r="G129" s="10">
        <f t="shared" si="3"/>
        <v>7.4803820711623142E-2</v>
      </c>
      <c r="L129" s="10"/>
    </row>
    <row r="130" spans="1:12" x14ac:dyDescent="0.2">
      <c r="A130" s="9">
        <v>13</v>
      </c>
      <c r="B130" s="9">
        <v>1</v>
      </c>
      <c r="C130" s="9"/>
      <c r="D130" s="10">
        <v>16.858974358974358</v>
      </c>
      <c r="E130" s="10">
        <f t="shared" si="2"/>
        <v>3.8589743589743577</v>
      </c>
      <c r="G130" s="10">
        <f t="shared" si="3"/>
        <v>6.2142132155231941E-2</v>
      </c>
      <c r="L130" s="10"/>
    </row>
    <row r="131" spans="1:12" x14ac:dyDescent="0.2">
      <c r="A131" s="9">
        <v>11</v>
      </c>
      <c r="B131" s="9">
        <v>1</v>
      </c>
      <c r="C131" s="9"/>
      <c r="D131" s="10">
        <v>16.858974358974358</v>
      </c>
      <c r="E131" s="10">
        <f t="shared" ref="E131:E194" si="4">D131-A131</f>
        <v>5.8589743589743577</v>
      </c>
      <c r="G131" s="10">
        <f t="shared" ref="G131:G194" si="5">_xlfn.NORM.DIST(E131,0,$F$2,FALSE)</f>
        <v>3.6339616015446226E-2</v>
      </c>
      <c r="L131" s="10"/>
    </row>
    <row r="132" spans="1:12" x14ac:dyDescent="0.2">
      <c r="A132" s="9">
        <v>11</v>
      </c>
      <c r="B132" s="9">
        <v>1</v>
      </c>
      <c r="C132" s="9"/>
      <c r="D132" s="10">
        <v>16.858974358974358</v>
      </c>
      <c r="E132" s="10">
        <f t="shared" si="4"/>
        <v>5.8589743589743577</v>
      </c>
      <c r="G132" s="10">
        <f t="shared" si="5"/>
        <v>3.6339616015446226E-2</v>
      </c>
      <c r="L132" s="10"/>
    </row>
    <row r="133" spans="1:12" x14ac:dyDescent="0.2">
      <c r="A133" s="9">
        <v>12</v>
      </c>
      <c r="B133" s="9">
        <v>1</v>
      </c>
      <c r="C133" s="9"/>
      <c r="D133" s="10">
        <v>16.858974358974358</v>
      </c>
      <c r="E133" s="10">
        <f t="shared" si="4"/>
        <v>4.8589743589743577</v>
      </c>
      <c r="G133" s="10">
        <f t="shared" si="5"/>
        <v>4.8850798619149906E-2</v>
      </c>
      <c r="L133" s="10"/>
    </row>
    <row r="134" spans="1:12" x14ac:dyDescent="0.2">
      <c r="A134" s="9">
        <v>12</v>
      </c>
      <c r="B134" s="9">
        <v>1</v>
      </c>
      <c r="C134" s="9"/>
      <c r="D134" s="10">
        <v>16.858974358974358</v>
      </c>
      <c r="E134" s="10">
        <f t="shared" si="4"/>
        <v>4.8589743589743577</v>
      </c>
      <c r="G134" s="10">
        <f t="shared" si="5"/>
        <v>4.8850798619149906E-2</v>
      </c>
      <c r="L134" s="10"/>
    </row>
    <row r="135" spans="1:12" x14ac:dyDescent="0.2">
      <c r="A135" s="9">
        <v>11</v>
      </c>
      <c r="B135" s="9">
        <v>1</v>
      </c>
      <c r="C135" s="9"/>
      <c r="D135" s="10">
        <v>16.858974358974358</v>
      </c>
      <c r="E135" s="10">
        <f t="shared" si="4"/>
        <v>5.8589743589743577</v>
      </c>
      <c r="G135" s="10">
        <f t="shared" si="5"/>
        <v>3.6339616015446226E-2</v>
      </c>
      <c r="L135" s="10"/>
    </row>
    <row r="136" spans="1:12" x14ac:dyDescent="0.2">
      <c r="A136" s="9">
        <v>11</v>
      </c>
      <c r="B136" s="9">
        <v>1</v>
      </c>
      <c r="C136" s="9"/>
      <c r="D136" s="10">
        <v>16.858974358974358</v>
      </c>
      <c r="E136" s="10">
        <f t="shared" si="4"/>
        <v>5.8589743589743577</v>
      </c>
      <c r="G136" s="10">
        <f t="shared" si="5"/>
        <v>3.6339616015446226E-2</v>
      </c>
      <c r="L136" s="10"/>
    </row>
    <row r="137" spans="1:12" x14ac:dyDescent="0.2">
      <c r="A137" s="9">
        <v>11</v>
      </c>
      <c r="B137" s="9">
        <v>1</v>
      </c>
      <c r="C137" s="9"/>
      <c r="D137" s="10">
        <v>16.858974358974358</v>
      </c>
      <c r="E137" s="10">
        <f t="shared" si="4"/>
        <v>5.8589743589743577</v>
      </c>
      <c r="G137" s="10">
        <f t="shared" si="5"/>
        <v>3.6339616015446226E-2</v>
      </c>
      <c r="L137" s="10"/>
    </row>
    <row r="138" spans="1:12" x14ac:dyDescent="0.2">
      <c r="A138" s="9">
        <v>12</v>
      </c>
      <c r="B138" s="9">
        <v>1</v>
      </c>
      <c r="C138" s="9"/>
      <c r="D138" s="10">
        <v>16.858974358974358</v>
      </c>
      <c r="E138" s="10">
        <f t="shared" si="4"/>
        <v>4.8589743589743577</v>
      </c>
      <c r="G138" s="10">
        <f t="shared" si="5"/>
        <v>4.8850798619149906E-2</v>
      </c>
      <c r="L138" s="10"/>
    </row>
    <row r="139" spans="1:12" x14ac:dyDescent="0.2">
      <c r="A139" s="9">
        <v>14</v>
      </c>
      <c r="B139" s="9">
        <v>1</v>
      </c>
      <c r="C139" s="9"/>
      <c r="D139" s="10">
        <v>16.858974358974358</v>
      </c>
      <c r="E139" s="10">
        <f t="shared" si="4"/>
        <v>2.8589743589743577</v>
      </c>
      <c r="G139" s="10">
        <f t="shared" si="5"/>
        <v>7.4803820711623142E-2</v>
      </c>
      <c r="L139" s="10"/>
    </row>
    <row r="140" spans="1:12" x14ac:dyDescent="0.2">
      <c r="A140" s="9">
        <v>13</v>
      </c>
      <c r="B140" s="9">
        <v>1</v>
      </c>
      <c r="C140" s="9"/>
      <c r="D140" s="10">
        <v>16.858974358974358</v>
      </c>
      <c r="E140" s="10">
        <f t="shared" si="4"/>
        <v>3.8589743589743577</v>
      </c>
      <c r="G140" s="10">
        <f t="shared" si="5"/>
        <v>6.2142132155231941E-2</v>
      </c>
      <c r="L140" s="10"/>
    </row>
    <row r="141" spans="1:12" x14ac:dyDescent="0.2">
      <c r="A141" s="9">
        <v>13</v>
      </c>
      <c r="B141" s="9">
        <v>1</v>
      </c>
      <c r="C141" s="9"/>
      <c r="D141" s="10">
        <v>16.858974358974358</v>
      </c>
      <c r="E141" s="10">
        <f t="shared" si="4"/>
        <v>3.8589743589743577</v>
      </c>
      <c r="G141" s="10">
        <f t="shared" si="5"/>
        <v>6.2142132155231941E-2</v>
      </c>
      <c r="L141" s="10"/>
    </row>
    <row r="142" spans="1:12" x14ac:dyDescent="0.2">
      <c r="A142" s="9">
        <v>13</v>
      </c>
      <c r="B142" s="9">
        <v>1</v>
      </c>
      <c r="C142" s="9"/>
      <c r="D142" s="10">
        <v>16.858974358974358</v>
      </c>
      <c r="E142" s="10">
        <f t="shared" si="4"/>
        <v>3.8589743589743577</v>
      </c>
      <c r="G142" s="10">
        <f t="shared" si="5"/>
        <v>6.2142132155231941E-2</v>
      </c>
      <c r="L142" s="10"/>
    </row>
    <row r="143" spans="1:12" x14ac:dyDescent="0.2">
      <c r="A143" s="9">
        <v>21</v>
      </c>
      <c r="B143" s="9">
        <v>1</v>
      </c>
      <c r="C143" s="9"/>
      <c r="D143" s="10">
        <v>16.858974358974358</v>
      </c>
      <c r="E143" s="10">
        <f t="shared" si="4"/>
        <v>-4.1410256410256423</v>
      </c>
      <c r="G143" s="10">
        <f t="shared" si="5"/>
        <v>5.8389578885814829E-2</v>
      </c>
      <c r="L143" s="10"/>
    </row>
    <row r="144" spans="1:12" x14ac:dyDescent="0.2">
      <c r="A144" s="9">
        <v>19</v>
      </c>
      <c r="B144" s="9">
        <v>1</v>
      </c>
      <c r="C144" s="9"/>
      <c r="D144" s="10">
        <v>16.858974358974358</v>
      </c>
      <c r="E144" s="10">
        <f t="shared" si="4"/>
        <v>-2.1410256410256423</v>
      </c>
      <c r="G144" s="10">
        <f t="shared" si="5"/>
        <v>8.2596026638649928E-2</v>
      </c>
      <c r="L144" s="10"/>
    </row>
    <row r="145" spans="1:12" x14ac:dyDescent="0.2">
      <c r="A145" s="9">
        <v>23</v>
      </c>
      <c r="B145" s="9">
        <v>1</v>
      </c>
      <c r="C145" s="9"/>
      <c r="D145" s="10">
        <v>16.858974358974358</v>
      </c>
      <c r="E145" s="10">
        <f t="shared" si="4"/>
        <v>-6.1410256410256423</v>
      </c>
      <c r="G145" s="10">
        <f t="shared" si="5"/>
        <v>3.3098180744967454E-2</v>
      </c>
      <c r="L145" s="10"/>
    </row>
    <row r="146" spans="1:12" x14ac:dyDescent="0.2">
      <c r="A146" s="9">
        <v>23</v>
      </c>
      <c r="B146" s="9">
        <v>1</v>
      </c>
      <c r="C146" s="9"/>
      <c r="D146" s="10">
        <v>16.858974358974358</v>
      </c>
      <c r="E146" s="10">
        <f t="shared" si="4"/>
        <v>-6.1410256410256423</v>
      </c>
      <c r="G146" s="10">
        <f t="shared" si="5"/>
        <v>3.3098180744967454E-2</v>
      </c>
      <c r="L146" s="10"/>
    </row>
    <row r="147" spans="1:12" x14ac:dyDescent="0.2">
      <c r="A147" s="9">
        <v>19</v>
      </c>
      <c r="B147" s="9">
        <v>1</v>
      </c>
      <c r="C147" s="9"/>
      <c r="D147" s="10">
        <v>16.858974358974358</v>
      </c>
      <c r="E147" s="10">
        <f t="shared" si="4"/>
        <v>-2.1410256410256423</v>
      </c>
      <c r="G147" s="10">
        <f t="shared" si="5"/>
        <v>8.2596026638649928E-2</v>
      </c>
      <c r="L147" s="10"/>
    </row>
    <row r="148" spans="1:12" x14ac:dyDescent="0.2">
      <c r="A148" s="9">
        <v>19</v>
      </c>
      <c r="B148" s="9">
        <v>1</v>
      </c>
      <c r="C148" s="9"/>
      <c r="D148" s="10">
        <v>16.858974358974358</v>
      </c>
      <c r="E148" s="10">
        <f t="shared" si="4"/>
        <v>-2.1410256410256423</v>
      </c>
      <c r="G148" s="10">
        <f t="shared" si="5"/>
        <v>8.2596026638649928E-2</v>
      </c>
      <c r="L148" s="10"/>
    </row>
    <row r="149" spans="1:12" x14ac:dyDescent="0.2">
      <c r="A149" s="9">
        <v>18</v>
      </c>
      <c r="B149" s="9">
        <v>1</v>
      </c>
      <c r="C149" s="9"/>
      <c r="D149" s="10">
        <v>16.858974358974358</v>
      </c>
      <c r="E149" s="10">
        <f t="shared" si="4"/>
        <v>-1.1410256410256423</v>
      </c>
      <c r="G149" s="10">
        <f t="shared" si="5"/>
        <v>9.0428595220514676E-2</v>
      </c>
      <c r="L149" s="10"/>
    </row>
    <row r="150" spans="1:12" x14ac:dyDescent="0.2">
      <c r="A150" s="9">
        <v>19</v>
      </c>
      <c r="B150" s="9">
        <v>1</v>
      </c>
      <c r="C150" s="9"/>
      <c r="D150" s="10">
        <v>16.858974358974358</v>
      </c>
      <c r="E150" s="10">
        <f t="shared" si="4"/>
        <v>-2.1410256410256423</v>
      </c>
      <c r="G150" s="10">
        <f t="shared" si="5"/>
        <v>8.2596026638649928E-2</v>
      </c>
      <c r="L150" s="10"/>
    </row>
    <row r="151" spans="1:12" x14ac:dyDescent="0.2">
      <c r="A151" s="9">
        <v>19</v>
      </c>
      <c r="B151" s="9">
        <v>1</v>
      </c>
      <c r="C151" s="9"/>
      <c r="D151" s="10">
        <v>16.858974358974358</v>
      </c>
      <c r="E151" s="10">
        <f t="shared" si="4"/>
        <v>-2.1410256410256423</v>
      </c>
      <c r="G151" s="10">
        <f t="shared" si="5"/>
        <v>8.2596026638649928E-2</v>
      </c>
      <c r="L151" s="10"/>
    </row>
    <row r="152" spans="1:12" x14ac:dyDescent="0.2">
      <c r="A152" s="9">
        <v>14</v>
      </c>
      <c r="B152" s="9">
        <v>1</v>
      </c>
      <c r="C152" s="9"/>
      <c r="D152" s="10">
        <v>16.858974358974358</v>
      </c>
      <c r="E152" s="10">
        <f t="shared" si="4"/>
        <v>2.8589743589743577</v>
      </c>
      <c r="G152" s="10">
        <f t="shared" si="5"/>
        <v>7.4803820711623142E-2</v>
      </c>
      <c r="L152" s="10"/>
    </row>
    <row r="153" spans="1:12" x14ac:dyDescent="0.2">
      <c r="A153" s="9">
        <v>15</v>
      </c>
      <c r="B153" s="9">
        <v>1</v>
      </c>
      <c r="C153" s="9"/>
      <c r="D153" s="10">
        <v>16.858974358974358</v>
      </c>
      <c r="E153" s="10">
        <f t="shared" si="4"/>
        <v>1.8589743589743577</v>
      </c>
      <c r="G153" s="10">
        <f t="shared" si="5"/>
        <v>8.5208821600122359E-2</v>
      </c>
      <c r="L153" s="10"/>
    </row>
    <row r="154" spans="1:12" x14ac:dyDescent="0.2">
      <c r="A154" s="9">
        <v>14</v>
      </c>
      <c r="B154" s="9">
        <v>1</v>
      </c>
      <c r="C154" s="9"/>
      <c r="D154" s="10">
        <v>16.858974358974358</v>
      </c>
      <c r="E154" s="10">
        <f t="shared" si="4"/>
        <v>2.8589743589743577</v>
      </c>
      <c r="G154" s="10">
        <f t="shared" si="5"/>
        <v>7.4803820711623142E-2</v>
      </c>
      <c r="L154" s="10"/>
    </row>
    <row r="155" spans="1:12" x14ac:dyDescent="0.2">
      <c r="A155" s="9">
        <v>12</v>
      </c>
      <c r="B155" s="9">
        <v>1</v>
      </c>
      <c r="C155" s="9"/>
      <c r="D155" s="10">
        <v>16.858974358974358</v>
      </c>
      <c r="E155" s="10">
        <f t="shared" si="4"/>
        <v>4.8589743589743577</v>
      </c>
      <c r="G155" s="10">
        <f t="shared" si="5"/>
        <v>4.8850798619149906E-2</v>
      </c>
      <c r="L155" s="10"/>
    </row>
    <row r="156" spans="1:12" x14ac:dyDescent="0.2">
      <c r="A156" s="9">
        <v>18</v>
      </c>
      <c r="B156" s="9">
        <v>1</v>
      </c>
      <c r="C156" s="9"/>
      <c r="D156" s="10">
        <v>16.858974358974358</v>
      </c>
      <c r="E156" s="10">
        <f t="shared" si="4"/>
        <v>-1.1410256410256423</v>
      </c>
      <c r="G156" s="10">
        <f t="shared" si="5"/>
        <v>9.0428595220514676E-2</v>
      </c>
      <c r="L156" s="10"/>
    </row>
    <row r="157" spans="1:12" x14ac:dyDescent="0.2">
      <c r="A157" s="9">
        <v>16</v>
      </c>
      <c r="B157" s="9">
        <v>1</v>
      </c>
      <c r="C157" s="9"/>
      <c r="D157" s="10">
        <v>16.858974358974358</v>
      </c>
      <c r="E157" s="10">
        <f t="shared" si="4"/>
        <v>0.8589743589743577</v>
      </c>
      <c r="G157" s="10">
        <f t="shared" si="5"/>
        <v>9.1847742433773194E-2</v>
      </c>
      <c r="L157" s="10"/>
    </row>
    <row r="158" spans="1:12" x14ac:dyDescent="0.2">
      <c r="A158" s="9">
        <v>17</v>
      </c>
      <c r="B158" s="9">
        <v>1</v>
      </c>
      <c r="C158" s="9"/>
      <c r="D158" s="10">
        <v>16.858974358974358</v>
      </c>
      <c r="E158" s="10">
        <f t="shared" si="4"/>
        <v>-0.1410256410256423</v>
      </c>
      <c r="G158" s="10">
        <f t="shared" si="5"/>
        <v>9.3686186441259228E-2</v>
      </c>
      <c r="L158" s="10"/>
    </row>
    <row r="159" spans="1:12" x14ac:dyDescent="0.2">
      <c r="A159" s="9">
        <v>18</v>
      </c>
      <c r="B159" s="9">
        <v>1</v>
      </c>
      <c r="C159" s="9"/>
      <c r="D159" s="10">
        <v>16.858974358974358</v>
      </c>
      <c r="E159" s="10">
        <f t="shared" si="4"/>
        <v>-1.1410256410256423</v>
      </c>
      <c r="G159" s="10">
        <f t="shared" si="5"/>
        <v>9.0428595220514676E-2</v>
      </c>
      <c r="L159" s="10"/>
    </row>
    <row r="160" spans="1:12" x14ac:dyDescent="0.2">
      <c r="A160" s="9">
        <v>16</v>
      </c>
      <c r="B160" s="9">
        <v>1</v>
      </c>
      <c r="C160" s="9"/>
      <c r="D160" s="10">
        <v>16.858974358974358</v>
      </c>
      <c r="E160" s="10">
        <f t="shared" si="4"/>
        <v>0.8589743589743577</v>
      </c>
      <c r="G160" s="10">
        <f t="shared" si="5"/>
        <v>9.1847742433773194E-2</v>
      </c>
      <c r="L160" s="10"/>
    </row>
    <row r="161" spans="1:12" x14ac:dyDescent="0.2">
      <c r="A161" s="9">
        <v>18</v>
      </c>
      <c r="B161" s="9">
        <v>1</v>
      </c>
      <c r="C161" s="9"/>
      <c r="D161" s="10">
        <v>16.858974358974358</v>
      </c>
      <c r="E161" s="10">
        <f t="shared" si="4"/>
        <v>-1.1410256410256423</v>
      </c>
      <c r="G161" s="10">
        <f t="shared" si="5"/>
        <v>9.0428595220514676E-2</v>
      </c>
      <c r="L161" s="10"/>
    </row>
    <row r="162" spans="1:12" x14ac:dyDescent="0.2">
      <c r="A162" s="9">
        <v>18</v>
      </c>
      <c r="B162" s="9">
        <v>1</v>
      </c>
      <c r="C162" s="9"/>
      <c r="D162" s="10">
        <v>16.858974358974358</v>
      </c>
      <c r="E162" s="10">
        <f t="shared" si="4"/>
        <v>-1.1410256410256423</v>
      </c>
      <c r="G162" s="10">
        <f t="shared" si="5"/>
        <v>9.0428595220514676E-2</v>
      </c>
      <c r="L162" s="10"/>
    </row>
    <row r="163" spans="1:12" x14ac:dyDescent="0.2">
      <c r="A163" s="9">
        <v>20</v>
      </c>
      <c r="B163" s="9">
        <v>1</v>
      </c>
      <c r="C163" s="9"/>
      <c r="D163" s="10">
        <v>16.858974358974358</v>
      </c>
      <c r="E163" s="10">
        <f t="shared" si="4"/>
        <v>-3.1410256410256423</v>
      </c>
      <c r="G163" s="10">
        <f t="shared" si="5"/>
        <v>7.138971945227178E-2</v>
      </c>
      <c r="L163" s="10"/>
    </row>
    <row r="164" spans="1:12" x14ac:dyDescent="0.2">
      <c r="A164" s="9">
        <v>19</v>
      </c>
      <c r="B164" s="9">
        <v>1</v>
      </c>
      <c r="C164" s="9"/>
      <c r="D164" s="10">
        <v>16.858974358974358</v>
      </c>
      <c r="E164" s="10">
        <f t="shared" si="4"/>
        <v>-2.1410256410256423</v>
      </c>
      <c r="G164" s="10">
        <f t="shared" si="5"/>
        <v>8.2596026638649928E-2</v>
      </c>
      <c r="L164" s="10"/>
    </row>
    <row r="165" spans="1:12" x14ac:dyDescent="0.2">
      <c r="A165" s="9">
        <v>20</v>
      </c>
      <c r="B165" s="9">
        <v>1</v>
      </c>
      <c r="C165" s="9"/>
      <c r="D165" s="10">
        <v>16.858974358974358</v>
      </c>
      <c r="E165" s="10">
        <f t="shared" si="4"/>
        <v>-3.1410256410256423</v>
      </c>
      <c r="G165" s="10">
        <f t="shared" si="5"/>
        <v>7.138971945227178E-2</v>
      </c>
      <c r="L165" s="10"/>
    </row>
    <row r="166" spans="1:12" x14ac:dyDescent="0.2">
      <c r="A166" s="9">
        <v>18</v>
      </c>
      <c r="B166" s="9">
        <v>1</v>
      </c>
      <c r="C166" s="9"/>
      <c r="D166" s="10">
        <v>16.858974358974358</v>
      </c>
      <c r="E166" s="10">
        <f t="shared" si="4"/>
        <v>-1.1410256410256423</v>
      </c>
      <c r="G166" s="10">
        <f t="shared" si="5"/>
        <v>9.0428595220514676E-2</v>
      </c>
      <c r="L166" s="10"/>
    </row>
    <row r="167" spans="1:12" x14ac:dyDescent="0.2">
      <c r="A167" s="9">
        <v>21</v>
      </c>
      <c r="B167" s="9">
        <v>1</v>
      </c>
      <c r="C167" s="9"/>
      <c r="D167" s="10">
        <v>16.858974358974358</v>
      </c>
      <c r="E167" s="10">
        <f t="shared" si="4"/>
        <v>-4.1410256410256423</v>
      </c>
      <c r="G167" s="10">
        <f t="shared" si="5"/>
        <v>5.8389578885814829E-2</v>
      </c>
      <c r="L167" s="10"/>
    </row>
    <row r="168" spans="1:12" x14ac:dyDescent="0.2">
      <c r="A168" s="9">
        <v>19</v>
      </c>
      <c r="B168" s="9">
        <v>1</v>
      </c>
      <c r="C168" s="9"/>
      <c r="D168" s="10">
        <v>16.858974358974358</v>
      </c>
      <c r="E168" s="10">
        <f t="shared" si="4"/>
        <v>-2.1410256410256423</v>
      </c>
      <c r="G168" s="10">
        <f t="shared" si="5"/>
        <v>8.2596026638649928E-2</v>
      </c>
      <c r="L168" s="10"/>
    </row>
    <row r="169" spans="1:12" x14ac:dyDescent="0.2">
      <c r="A169" s="9">
        <v>19</v>
      </c>
      <c r="B169" s="9">
        <v>1</v>
      </c>
      <c r="C169" s="9"/>
      <c r="D169" s="10">
        <v>16.858974358974358</v>
      </c>
      <c r="E169" s="10">
        <f t="shared" si="4"/>
        <v>-2.1410256410256423</v>
      </c>
      <c r="G169" s="10">
        <f t="shared" si="5"/>
        <v>8.2596026638649928E-2</v>
      </c>
      <c r="L169" s="10"/>
    </row>
    <row r="170" spans="1:12" x14ac:dyDescent="0.2">
      <c r="A170" s="9">
        <v>19</v>
      </c>
      <c r="B170" s="9">
        <v>1</v>
      </c>
      <c r="C170" s="9"/>
      <c r="D170" s="10">
        <v>16.858974358974358</v>
      </c>
      <c r="E170" s="10">
        <f t="shared" si="4"/>
        <v>-2.1410256410256423</v>
      </c>
      <c r="G170" s="10">
        <f t="shared" si="5"/>
        <v>8.2596026638649928E-2</v>
      </c>
      <c r="L170" s="10"/>
    </row>
    <row r="171" spans="1:12" x14ac:dyDescent="0.2">
      <c r="A171" s="9">
        <v>20</v>
      </c>
      <c r="B171" s="9">
        <v>1</v>
      </c>
      <c r="C171" s="9"/>
      <c r="D171" s="10">
        <v>16.858974358974358</v>
      </c>
      <c r="E171" s="10">
        <f t="shared" si="4"/>
        <v>-3.1410256410256423</v>
      </c>
      <c r="G171" s="10">
        <f t="shared" si="5"/>
        <v>7.138971945227178E-2</v>
      </c>
      <c r="L171" s="10"/>
    </row>
    <row r="172" spans="1:12" x14ac:dyDescent="0.2">
      <c r="A172" s="9">
        <v>20</v>
      </c>
      <c r="B172" s="9">
        <v>1</v>
      </c>
      <c r="C172" s="9"/>
      <c r="D172" s="10">
        <v>16.858974358974358</v>
      </c>
      <c r="E172" s="10">
        <f t="shared" si="4"/>
        <v>-3.1410256410256423</v>
      </c>
      <c r="G172" s="10">
        <f t="shared" si="5"/>
        <v>7.138971945227178E-2</v>
      </c>
      <c r="L172" s="10"/>
    </row>
    <row r="173" spans="1:12" x14ac:dyDescent="0.2">
      <c r="A173" s="9">
        <v>19</v>
      </c>
      <c r="B173" s="9">
        <v>1</v>
      </c>
      <c r="C173" s="9"/>
      <c r="D173" s="10">
        <v>16.858974358974358</v>
      </c>
      <c r="E173" s="10">
        <f t="shared" si="4"/>
        <v>-2.1410256410256423</v>
      </c>
      <c r="G173" s="10">
        <f t="shared" si="5"/>
        <v>8.2596026638649928E-2</v>
      </c>
      <c r="L173" s="10"/>
    </row>
    <row r="174" spans="1:12" x14ac:dyDescent="0.2">
      <c r="A174" s="9">
        <v>20</v>
      </c>
      <c r="B174" s="9">
        <v>1</v>
      </c>
      <c r="C174" s="9"/>
      <c r="D174" s="10">
        <v>16.858974358974358</v>
      </c>
      <c r="E174" s="10">
        <f t="shared" si="4"/>
        <v>-3.1410256410256423</v>
      </c>
      <c r="G174" s="10">
        <f t="shared" si="5"/>
        <v>7.138971945227178E-2</v>
      </c>
      <c r="L174" s="10"/>
    </row>
    <row r="175" spans="1:12" x14ac:dyDescent="0.2">
      <c r="A175" s="9">
        <v>15</v>
      </c>
      <c r="B175" s="9">
        <v>1</v>
      </c>
      <c r="C175" s="9"/>
      <c r="D175" s="10">
        <v>16.858974358974358</v>
      </c>
      <c r="E175" s="10">
        <f t="shared" si="4"/>
        <v>1.8589743589743577</v>
      </c>
      <c r="G175" s="10">
        <f t="shared" si="5"/>
        <v>8.5208821600122359E-2</v>
      </c>
      <c r="L175" s="10"/>
    </row>
    <row r="176" spans="1:12" x14ac:dyDescent="0.2">
      <c r="A176" s="9">
        <v>16</v>
      </c>
      <c r="B176" s="9">
        <v>1</v>
      </c>
      <c r="C176" s="9"/>
      <c r="D176" s="10">
        <v>16.858974358974358</v>
      </c>
      <c r="E176" s="10">
        <f t="shared" si="4"/>
        <v>0.8589743589743577</v>
      </c>
      <c r="G176" s="10">
        <f t="shared" si="5"/>
        <v>9.1847742433773194E-2</v>
      </c>
      <c r="L176" s="10"/>
    </row>
    <row r="177" spans="1:12" x14ac:dyDescent="0.2">
      <c r="A177" s="9">
        <v>15</v>
      </c>
      <c r="B177" s="9">
        <v>1</v>
      </c>
      <c r="C177" s="9"/>
      <c r="D177" s="10">
        <v>16.858974358974358</v>
      </c>
      <c r="E177" s="10">
        <f t="shared" si="4"/>
        <v>1.8589743589743577</v>
      </c>
      <c r="G177" s="10">
        <f t="shared" si="5"/>
        <v>8.5208821600122359E-2</v>
      </c>
      <c r="L177" s="10"/>
    </row>
    <row r="178" spans="1:12" x14ac:dyDescent="0.2">
      <c r="A178" s="9">
        <v>15</v>
      </c>
      <c r="B178" s="9">
        <v>1</v>
      </c>
      <c r="C178" s="9"/>
      <c r="D178" s="10">
        <v>16.858974358974358</v>
      </c>
      <c r="E178" s="10">
        <f t="shared" si="4"/>
        <v>1.8589743589743577</v>
      </c>
      <c r="G178" s="10">
        <f t="shared" si="5"/>
        <v>8.5208821600122359E-2</v>
      </c>
      <c r="L178" s="10"/>
    </row>
    <row r="179" spans="1:12" x14ac:dyDescent="0.2">
      <c r="A179" s="9">
        <v>16</v>
      </c>
      <c r="B179" s="9">
        <v>1</v>
      </c>
      <c r="C179" s="9"/>
      <c r="D179" s="10">
        <v>16.858974358974358</v>
      </c>
      <c r="E179" s="10">
        <f t="shared" si="4"/>
        <v>0.8589743589743577</v>
      </c>
      <c r="G179" s="10">
        <f t="shared" si="5"/>
        <v>9.1847742433773194E-2</v>
      </c>
      <c r="L179" s="10"/>
    </row>
    <row r="180" spans="1:12" x14ac:dyDescent="0.2">
      <c r="A180" s="9">
        <v>14</v>
      </c>
      <c r="B180" s="9">
        <v>1</v>
      </c>
      <c r="C180" s="9"/>
      <c r="D180" s="10">
        <v>16.858974358974358</v>
      </c>
      <c r="E180" s="10">
        <f t="shared" si="4"/>
        <v>2.8589743589743577</v>
      </c>
      <c r="G180" s="10">
        <f t="shared" si="5"/>
        <v>7.4803820711623142E-2</v>
      </c>
      <c r="L180" s="10"/>
    </row>
    <row r="181" spans="1:12" x14ac:dyDescent="0.2">
      <c r="A181" s="9">
        <v>21</v>
      </c>
      <c r="B181" s="9">
        <v>1</v>
      </c>
      <c r="C181" s="9"/>
      <c r="D181" s="10">
        <v>16.858974358974358</v>
      </c>
      <c r="E181" s="10">
        <f t="shared" si="4"/>
        <v>-4.1410256410256423</v>
      </c>
      <c r="G181" s="10">
        <f t="shared" si="5"/>
        <v>5.8389578885814829E-2</v>
      </c>
      <c r="L181" s="10"/>
    </row>
    <row r="182" spans="1:12" x14ac:dyDescent="0.2">
      <c r="A182" s="9">
        <v>21</v>
      </c>
      <c r="B182" s="9">
        <v>1</v>
      </c>
      <c r="C182" s="9"/>
      <c r="D182" s="10">
        <v>16.858974358974358</v>
      </c>
      <c r="E182" s="10">
        <f t="shared" si="4"/>
        <v>-4.1410256410256423</v>
      </c>
      <c r="G182" s="10">
        <f t="shared" si="5"/>
        <v>5.8389578885814829E-2</v>
      </c>
      <c r="L182" s="10"/>
    </row>
    <row r="183" spans="1:12" x14ac:dyDescent="0.2">
      <c r="A183" s="9">
        <v>21</v>
      </c>
      <c r="B183" s="9">
        <v>1</v>
      </c>
      <c r="C183" s="9"/>
      <c r="D183" s="10">
        <v>16.858974358974358</v>
      </c>
      <c r="E183" s="10">
        <f t="shared" si="4"/>
        <v>-4.1410256410256423</v>
      </c>
      <c r="G183" s="10">
        <f t="shared" si="5"/>
        <v>5.8389578885814829E-2</v>
      </c>
      <c r="L183" s="10"/>
    </row>
    <row r="184" spans="1:12" x14ac:dyDescent="0.2">
      <c r="A184" s="9">
        <v>21</v>
      </c>
      <c r="B184" s="9">
        <v>1</v>
      </c>
      <c r="C184" s="9"/>
      <c r="D184" s="10">
        <v>16.858974358974358</v>
      </c>
      <c r="E184" s="10">
        <f t="shared" si="4"/>
        <v>-4.1410256410256423</v>
      </c>
      <c r="G184" s="10">
        <f t="shared" si="5"/>
        <v>5.8389578885814829E-2</v>
      </c>
      <c r="L184" s="10"/>
    </row>
    <row r="185" spans="1:12" x14ac:dyDescent="0.2">
      <c r="A185" s="9">
        <v>18</v>
      </c>
      <c r="B185" s="9">
        <v>1</v>
      </c>
      <c r="C185" s="9"/>
      <c r="D185" s="10">
        <v>16.858974358974358</v>
      </c>
      <c r="E185" s="10">
        <f t="shared" si="4"/>
        <v>-1.1410256410256423</v>
      </c>
      <c r="G185" s="10">
        <f t="shared" si="5"/>
        <v>9.0428595220514676E-2</v>
      </c>
      <c r="L185" s="10"/>
    </row>
    <row r="186" spans="1:12" x14ac:dyDescent="0.2">
      <c r="A186" s="9">
        <v>18</v>
      </c>
      <c r="B186" s="9">
        <v>1</v>
      </c>
      <c r="C186" s="9"/>
      <c r="D186" s="10">
        <v>16.858974358974358</v>
      </c>
      <c r="E186" s="10">
        <f t="shared" si="4"/>
        <v>-1.1410256410256423</v>
      </c>
      <c r="G186" s="10">
        <f t="shared" si="5"/>
        <v>9.0428595220514676E-2</v>
      </c>
      <c r="L186" s="10"/>
    </row>
    <row r="187" spans="1:12" x14ac:dyDescent="0.2">
      <c r="A187" s="9">
        <v>19</v>
      </c>
      <c r="B187" s="9">
        <v>1</v>
      </c>
      <c r="C187" s="9"/>
      <c r="D187" s="10">
        <v>16.858974358974358</v>
      </c>
      <c r="E187" s="10">
        <f t="shared" si="4"/>
        <v>-2.1410256410256423</v>
      </c>
      <c r="G187" s="10">
        <f t="shared" si="5"/>
        <v>8.2596026638649928E-2</v>
      </c>
      <c r="L187" s="10"/>
    </row>
    <row r="188" spans="1:12" x14ac:dyDescent="0.2">
      <c r="A188" s="9">
        <v>21</v>
      </c>
      <c r="B188" s="9">
        <v>1</v>
      </c>
      <c r="C188" s="9"/>
      <c r="D188" s="10">
        <v>16.858974358974358</v>
      </c>
      <c r="E188" s="10">
        <f t="shared" si="4"/>
        <v>-4.1410256410256423</v>
      </c>
      <c r="G188" s="10">
        <f t="shared" si="5"/>
        <v>5.8389578885814829E-2</v>
      </c>
      <c r="L188" s="10"/>
    </row>
    <row r="189" spans="1:12" x14ac:dyDescent="0.2">
      <c r="A189" s="9">
        <v>21</v>
      </c>
      <c r="B189" s="9">
        <v>1</v>
      </c>
      <c r="C189" s="9"/>
      <c r="D189" s="10">
        <v>16.858974358974358</v>
      </c>
      <c r="E189" s="10">
        <f t="shared" si="4"/>
        <v>-4.1410256410256423</v>
      </c>
      <c r="G189" s="10">
        <f t="shared" si="5"/>
        <v>5.8389578885814829E-2</v>
      </c>
      <c r="L189" s="10"/>
    </row>
    <row r="190" spans="1:12" x14ac:dyDescent="0.2">
      <c r="A190" s="9">
        <v>21</v>
      </c>
      <c r="B190" s="9">
        <v>1</v>
      </c>
      <c r="C190" s="9"/>
      <c r="D190" s="10">
        <v>16.858974358974358</v>
      </c>
      <c r="E190" s="10">
        <f t="shared" si="4"/>
        <v>-4.1410256410256423</v>
      </c>
      <c r="G190" s="10">
        <f t="shared" si="5"/>
        <v>5.8389578885814829E-2</v>
      </c>
      <c r="L190" s="10"/>
    </row>
    <row r="191" spans="1:12" x14ac:dyDescent="0.2">
      <c r="A191" s="9">
        <v>22</v>
      </c>
      <c r="B191" s="9">
        <v>1</v>
      </c>
      <c r="C191" s="9"/>
      <c r="D191" s="10">
        <v>16.858974358974358</v>
      </c>
      <c r="E191" s="10">
        <f t="shared" si="4"/>
        <v>-5.1410256410256423</v>
      </c>
      <c r="G191" s="10">
        <f t="shared" si="5"/>
        <v>4.5191645925457373E-2</v>
      </c>
      <c r="L191" s="10"/>
    </row>
    <row r="192" spans="1:12" x14ac:dyDescent="0.2">
      <c r="A192" s="9">
        <v>18</v>
      </c>
      <c r="B192" s="9">
        <v>1</v>
      </c>
      <c r="C192" s="9"/>
      <c r="D192" s="10">
        <v>16.858974358974358</v>
      </c>
      <c r="E192" s="10">
        <f t="shared" si="4"/>
        <v>-1.1410256410256423</v>
      </c>
      <c r="G192" s="10">
        <f t="shared" si="5"/>
        <v>9.0428595220514676E-2</v>
      </c>
      <c r="L192" s="10"/>
    </row>
    <row r="193" spans="1:12" x14ac:dyDescent="0.2">
      <c r="A193" s="9">
        <v>18</v>
      </c>
      <c r="B193" s="9">
        <v>1</v>
      </c>
      <c r="C193" s="9"/>
      <c r="D193" s="10">
        <v>16.858974358974358</v>
      </c>
      <c r="E193" s="10">
        <f t="shared" si="4"/>
        <v>-1.1410256410256423</v>
      </c>
      <c r="G193" s="10">
        <f t="shared" si="5"/>
        <v>9.0428595220514676E-2</v>
      </c>
      <c r="L193" s="10"/>
    </row>
    <row r="194" spans="1:12" x14ac:dyDescent="0.2">
      <c r="A194" s="9">
        <v>18</v>
      </c>
      <c r="B194" s="9">
        <v>1</v>
      </c>
      <c r="C194" s="9"/>
      <c r="D194" s="10">
        <v>16.858974358974358</v>
      </c>
      <c r="E194" s="10">
        <f t="shared" si="4"/>
        <v>-1.1410256410256423</v>
      </c>
      <c r="G194" s="10">
        <f t="shared" si="5"/>
        <v>9.0428595220514676E-2</v>
      </c>
      <c r="L194" s="10"/>
    </row>
    <row r="195" spans="1:12" x14ac:dyDescent="0.2">
      <c r="A195" s="9">
        <v>24</v>
      </c>
      <c r="B195" s="9">
        <v>1</v>
      </c>
      <c r="C195" s="9"/>
      <c r="D195" s="10">
        <v>16.858974358974358</v>
      </c>
      <c r="E195" s="10">
        <f t="shared" ref="E195:E235" si="6">D195-A195</f>
        <v>-7.1410256410256423</v>
      </c>
      <c r="G195" s="10">
        <f t="shared" ref="G195:G235" si="7">_xlfn.NORM.DIST(E195,0,$F$2,FALSE)</f>
        <v>2.293893420103504E-2</v>
      </c>
      <c r="L195" s="10"/>
    </row>
    <row r="196" spans="1:12" x14ac:dyDescent="0.2">
      <c r="A196" s="9">
        <v>24</v>
      </c>
      <c r="B196" s="9">
        <v>1</v>
      </c>
      <c r="C196" s="9"/>
      <c r="D196" s="10">
        <v>16.858974358974358</v>
      </c>
      <c r="E196" s="10">
        <f t="shared" si="6"/>
        <v>-7.1410256410256423</v>
      </c>
      <c r="G196" s="10">
        <f t="shared" si="7"/>
        <v>2.293893420103504E-2</v>
      </c>
      <c r="L196" s="10"/>
    </row>
    <row r="197" spans="1:12" x14ac:dyDescent="0.2">
      <c r="A197" s="9">
        <v>26</v>
      </c>
      <c r="B197" s="9">
        <v>1</v>
      </c>
      <c r="C197" s="9"/>
      <c r="D197" s="10">
        <v>16.858974358974358</v>
      </c>
      <c r="E197" s="10">
        <f t="shared" si="6"/>
        <v>-9.1410256410256423</v>
      </c>
      <c r="G197" s="10">
        <f t="shared" si="7"/>
        <v>9.3364312813032559E-3</v>
      </c>
      <c r="L197" s="10"/>
    </row>
    <row r="198" spans="1:12" x14ac:dyDescent="0.2">
      <c r="A198" s="9">
        <v>28</v>
      </c>
      <c r="B198" s="9">
        <v>1</v>
      </c>
      <c r="C198" s="9"/>
      <c r="D198" s="10">
        <v>16.858974358974358</v>
      </c>
      <c r="E198" s="10">
        <f t="shared" si="6"/>
        <v>-11.141025641025642</v>
      </c>
      <c r="G198" s="10">
        <f t="shared" si="7"/>
        <v>3.0470611306731058E-3</v>
      </c>
      <c r="L198" s="10"/>
    </row>
    <row r="199" spans="1:12" x14ac:dyDescent="0.2">
      <c r="A199" s="9">
        <v>26</v>
      </c>
      <c r="B199" s="9">
        <v>1</v>
      </c>
      <c r="C199" s="9"/>
      <c r="D199" s="10">
        <v>16.858974358974358</v>
      </c>
      <c r="E199" s="10">
        <f t="shared" si="6"/>
        <v>-9.1410256410256423</v>
      </c>
      <c r="G199" s="10">
        <f t="shared" si="7"/>
        <v>9.3364312813032559E-3</v>
      </c>
      <c r="L199" s="10"/>
    </row>
    <row r="200" spans="1:12" x14ac:dyDescent="0.2">
      <c r="A200" s="9">
        <v>11</v>
      </c>
      <c r="B200" s="9">
        <v>1</v>
      </c>
      <c r="C200" s="9"/>
      <c r="D200" s="10">
        <v>16.858974358974358</v>
      </c>
      <c r="E200" s="10">
        <f t="shared" si="6"/>
        <v>5.8589743589743577</v>
      </c>
      <c r="G200" s="10">
        <f t="shared" si="7"/>
        <v>3.6339616015446226E-2</v>
      </c>
      <c r="L200" s="10"/>
    </row>
    <row r="201" spans="1:12" x14ac:dyDescent="0.2">
      <c r="A201" s="9">
        <v>13</v>
      </c>
      <c r="B201" s="9">
        <v>1</v>
      </c>
      <c r="C201" s="9"/>
      <c r="D201" s="10">
        <v>16.858974358974358</v>
      </c>
      <c r="E201" s="10">
        <f t="shared" si="6"/>
        <v>3.8589743589743577</v>
      </c>
      <c r="G201" s="10">
        <f t="shared" si="7"/>
        <v>6.2142132155231941E-2</v>
      </c>
      <c r="L201" s="10"/>
    </row>
    <row r="202" spans="1:12" x14ac:dyDescent="0.2">
      <c r="A202" s="9">
        <v>15</v>
      </c>
      <c r="B202" s="9">
        <v>1</v>
      </c>
      <c r="C202" s="9"/>
      <c r="D202" s="10">
        <v>16.858974358974358</v>
      </c>
      <c r="E202" s="10">
        <f t="shared" si="6"/>
        <v>1.8589743589743577</v>
      </c>
      <c r="G202" s="10">
        <f t="shared" si="7"/>
        <v>8.5208821600122359E-2</v>
      </c>
      <c r="L202" s="10"/>
    </row>
    <row r="203" spans="1:12" x14ac:dyDescent="0.2">
      <c r="A203" s="9">
        <v>16</v>
      </c>
      <c r="B203" s="9">
        <v>1</v>
      </c>
      <c r="C203" s="9"/>
      <c r="D203" s="10">
        <v>16.858974358974358</v>
      </c>
      <c r="E203" s="10">
        <f t="shared" si="6"/>
        <v>0.8589743589743577</v>
      </c>
      <c r="G203" s="10">
        <f t="shared" si="7"/>
        <v>9.1847742433773194E-2</v>
      </c>
      <c r="L203" s="10"/>
    </row>
    <row r="204" spans="1:12" x14ac:dyDescent="0.2">
      <c r="A204" s="9">
        <v>17</v>
      </c>
      <c r="B204" s="9">
        <v>1</v>
      </c>
      <c r="C204" s="9"/>
      <c r="D204" s="10">
        <v>16.858974358974358</v>
      </c>
      <c r="E204" s="10">
        <f t="shared" si="6"/>
        <v>-0.1410256410256423</v>
      </c>
      <c r="G204" s="10">
        <f t="shared" si="7"/>
        <v>9.3686186441259228E-2</v>
      </c>
      <c r="L204" s="10"/>
    </row>
    <row r="205" spans="1:12" x14ac:dyDescent="0.2">
      <c r="A205" s="9">
        <v>15</v>
      </c>
      <c r="B205" s="9">
        <v>1</v>
      </c>
      <c r="C205" s="9"/>
      <c r="D205" s="10">
        <v>16.858974358974358</v>
      </c>
      <c r="E205" s="10">
        <f t="shared" si="6"/>
        <v>1.8589743589743577</v>
      </c>
      <c r="G205" s="10">
        <f t="shared" si="7"/>
        <v>8.5208821600122359E-2</v>
      </c>
      <c r="L205" s="10"/>
    </row>
    <row r="206" spans="1:12" x14ac:dyDescent="0.2">
      <c r="A206" s="9">
        <v>15</v>
      </c>
      <c r="B206" s="9">
        <v>1</v>
      </c>
      <c r="C206" s="9"/>
      <c r="D206" s="10">
        <v>16.858974358974358</v>
      </c>
      <c r="E206" s="10">
        <f t="shared" si="6"/>
        <v>1.8589743589743577</v>
      </c>
      <c r="G206" s="10">
        <f t="shared" si="7"/>
        <v>8.5208821600122359E-2</v>
      </c>
      <c r="L206" s="10"/>
    </row>
    <row r="207" spans="1:12" x14ac:dyDescent="0.2">
      <c r="A207" s="9">
        <v>15</v>
      </c>
      <c r="B207" s="9">
        <v>1</v>
      </c>
      <c r="C207" s="9"/>
      <c r="D207" s="10">
        <v>16.858974358974358</v>
      </c>
      <c r="E207" s="10">
        <f t="shared" si="6"/>
        <v>1.8589743589743577</v>
      </c>
      <c r="G207" s="10">
        <f t="shared" si="7"/>
        <v>8.5208821600122359E-2</v>
      </c>
      <c r="L207" s="10"/>
    </row>
    <row r="208" spans="1:12" x14ac:dyDescent="0.2">
      <c r="A208" s="9">
        <v>16</v>
      </c>
      <c r="B208" s="9">
        <v>1</v>
      </c>
      <c r="C208" s="9"/>
      <c r="D208" s="10">
        <v>16.858974358974358</v>
      </c>
      <c r="E208" s="10">
        <f t="shared" si="6"/>
        <v>0.8589743589743577</v>
      </c>
      <c r="G208" s="10">
        <f t="shared" si="7"/>
        <v>9.1847742433773194E-2</v>
      </c>
      <c r="L208" s="10"/>
    </row>
    <row r="209" spans="1:12" x14ac:dyDescent="0.2">
      <c r="A209" s="9">
        <v>21</v>
      </c>
      <c r="B209" s="9">
        <v>1</v>
      </c>
      <c r="C209" s="9"/>
      <c r="D209" s="10">
        <v>16.858974358974358</v>
      </c>
      <c r="E209" s="10">
        <f t="shared" si="6"/>
        <v>-4.1410256410256423</v>
      </c>
      <c r="G209" s="10">
        <f t="shared" si="7"/>
        <v>5.8389578885814829E-2</v>
      </c>
      <c r="L209" s="10"/>
    </row>
    <row r="210" spans="1:12" x14ac:dyDescent="0.2">
      <c r="A210" s="9">
        <v>19</v>
      </c>
      <c r="B210" s="9">
        <v>1</v>
      </c>
      <c r="C210" s="9"/>
      <c r="D210" s="10">
        <v>16.858974358974358</v>
      </c>
      <c r="E210" s="10">
        <f t="shared" si="6"/>
        <v>-2.1410256410256423</v>
      </c>
      <c r="G210" s="10">
        <f t="shared" si="7"/>
        <v>8.2596026638649928E-2</v>
      </c>
      <c r="L210" s="10"/>
    </row>
    <row r="211" spans="1:12" x14ac:dyDescent="0.2">
      <c r="A211" s="9">
        <v>21</v>
      </c>
      <c r="B211" s="9">
        <v>1</v>
      </c>
      <c r="C211" s="9"/>
      <c r="D211" s="10">
        <v>16.858974358974358</v>
      </c>
      <c r="E211" s="10">
        <f t="shared" si="6"/>
        <v>-4.1410256410256423</v>
      </c>
      <c r="G211" s="10">
        <f t="shared" si="7"/>
        <v>5.8389578885814829E-2</v>
      </c>
      <c r="L211" s="10"/>
    </row>
    <row r="212" spans="1:12" x14ac:dyDescent="0.2">
      <c r="A212" s="9">
        <v>22</v>
      </c>
      <c r="B212" s="9">
        <v>1</v>
      </c>
      <c r="C212" s="9"/>
      <c r="D212" s="10">
        <v>16.858974358974358</v>
      </c>
      <c r="E212" s="10">
        <f t="shared" si="6"/>
        <v>-5.1410256410256423</v>
      </c>
      <c r="G212" s="10">
        <f t="shared" si="7"/>
        <v>4.5191645925457373E-2</v>
      </c>
      <c r="L212" s="10"/>
    </row>
    <row r="213" spans="1:12" x14ac:dyDescent="0.2">
      <c r="A213" s="9">
        <v>17</v>
      </c>
      <c r="B213" s="9">
        <v>1</v>
      </c>
      <c r="C213" s="9"/>
      <c r="D213" s="10">
        <v>16.858974358974358</v>
      </c>
      <c r="E213" s="10">
        <f t="shared" si="6"/>
        <v>-0.1410256410256423</v>
      </c>
      <c r="G213" s="10">
        <f t="shared" si="7"/>
        <v>9.3686186441259228E-2</v>
      </c>
      <c r="L213" s="10"/>
    </row>
    <row r="214" spans="1:12" x14ac:dyDescent="0.2">
      <c r="A214" s="9">
        <v>33</v>
      </c>
      <c r="B214" s="9">
        <v>1</v>
      </c>
      <c r="C214" s="9"/>
      <c r="D214" s="10">
        <v>16.858974358974358</v>
      </c>
      <c r="E214" s="10">
        <f t="shared" si="6"/>
        <v>-16.141025641025642</v>
      </c>
      <c r="G214" s="10">
        <f t="shared" si="7"/>
        <v>7.0556481624534586E-5</v>
      </c>
      <c r="L214" s="10"/>
    </row>
    <row r="215" spans="1:12" x14ac:dyDescent="0.2">
      <c r="A215" s="9">
        <v>21</v>
      </c>
      <c r="B215" s="9">
        <v>1</v>
      </c>
      <c r="C215" s="9"/>
      <c r="D215" s="10">
        <v>16.858974358974358</v>
      </c>
      <c r="E215" s="10">
        <f t="shared" si="6"/>
        <v>-4.1410256410256423</v>
      </c>
      <c r="G215" s="10">
        <f t="shared" si="7"/>
        <v>5.8389578885814829E-2</v>
      </c>
      <c r="L215" s="10"/>
    </row>
    <row r="216" spans="1:12" x14ac:dyDescent="0.2">
      <c r="A216" s="9">
        <v>19</v>
      </c>
      <c r="B216" s="9">
        <v>1</v>
      </c>
      <c r="C216" s="9"/>
      <c r="D216" s="10">
        <v>16.858974358974358</v>
      </c>
      <c r="E216" s="10">
        <f t="shared" si="6"/>
        <v>-2.1410256410256423</v>
      </c>
      <c r="G216" s="10">
        <f t="shared" si="7"/>
        <v>8.2596026638649928E-2</v>
      </c>
      <c r="L216" s="10"/>
    </row>
    <row r="217" spans="1:12" x14ac:dyDescent="0.2">
      <c r="A217" s="9">
        <v>22</v>
      </c>
      <c r="B217" s="9">
        <v>1</v>
      </c>
      <c r="C217" s="9"/>
      <c r="D217" s="10">
        <v>16.858974358974358</v>
      </c>
      <c r="E217" s="10">
        <f t="shared" si="6"/>
        <v>-5.1410256410256423</v>
      </c>
      <c r="G217" s="10">
        <f t="shared" si="7"/>
        <v>4.5191645925457373E-2</v>
      </c>
      <c r="L217" s="10"/>
    </row>
    <row r="218" spans="1:12" x14ac:dyDescent="0.2">
      <c r="A218" s="9">
        <v>21</v>
      </c>
      <c r="B218" s="9">
        <v>1</v>
      </c>
      <c r="C218" s="9"/>
      <c r="D218" s="10">
        <v>16.858974358974358</v>
      </c>
      <c r="E218" s="10">
        <f t="shared" si="6"/>
        <v>-4.1410256410256423</v>
      </c>
      <c r="G218" s="10">
        <f t="shared" si="7"/>
        <v>5.8389578885814829E-2</v>
      </c>
      <c r="L218" s="10"/>
    </row>
    <row r="219" spans="1:12" x14ac:dyDescent="0.2">
      <c r="A219" s="9">
        <v>21</v>
      </c>
      <c r="B219" s="9">
        <v>1</v>
      </c>
      <c r="C219" s="9"/>
      <c r="D219" s="10">
        <v>16.858974358974358</v>
      </c>
      <c r="E219" s="10">
        <f t="shared" si="6"/>
        <v>-4.1410256410256423</v>
      </c>
      <c r="G219" s="10">
        <f t="shared" si="7"/>
        <v>5.8389578885814829E-2</v>
      </c>
      <c r="L219" s="10"/>
    </row>
    <row r="220" spans="1:12" x14ac:dyDescent="0.2">
      <c r="A220" s="9">
        <v>21</v>
      </c>
      <c r="B220" s="9">
        <v>1</v>
      </c>
      <c r="C220" s="9"/>
      <c r="D220" s="10">
        <v>16.858974358974358</v>
      </c>
      <c r="E220" s="10">
        <f t="shared" si="6"/>
        <v>-4.1410256410256423</v>
      </c>
      <c r="G220" s="10">
        <f t="shared" si="7"/>
        <v>5.8389578885814829E-2</v>
      </c>
      <c r="L220" s="10"/>
    </row>
    <row r="221" spans="1:12" x14ac:dyDescent="0.2">
      <c r="A221" s="9">
        <v>16</v>
      </c>
      <c r="B221" s="9">
        <v>1</v>
      </c>
      <c r="C221" s="9"/>
      <c r="D221" s="10">
        <v>16.858974358974358</v>
      </c>
      <c r="E221" s="10">
        <f t="shared" si="6"/>
        <v>0.8589743589743577</v>
      </c>
      <c r="G221" s="10">
        <f t="shared" si="7"/>
        <v>9.1847742433773194E-2</v>
      </c>
      <c r="L221" s="10"/>
    </row>
    <row r="222" spans="1:12" x14ac:dyDescent="0.2">
      <c r="A222" s="9">
        <v>17</v>
      </c>
      <c r="B222" s="9">
        <v>1</v>
      </c>
      <c r="C222" s="9"/>
      <c r="D222" s="10">
        <v>16.858974358974358</v>
      </c>
      <c r="E222" s="10">
        <f t="shared" si="6"/>
        <v>-0.1410256410256423</v>
      </c>
      <c r="G222" s="10">
        <f t="shared" si="7"/>
        <v>9.3686186441259228E-2</v>
      </c>
      <c r="L222" s="10"/>
    </row>
    <row r="223" spans="1:12" x14ac:dyDescent="0.2">
      <c r="A223" s="9">
        <v>35</v>
      </c>
      <c r="B223" s="9">
        <v>1</v>
      </c>
      <c r="C223" s="9"/>
      <c r="D223" s="10">
        <v>16.858974358974358</v>
      </c>
      <c r="E223" s="10">
        <f t="shared" si="6"/>
        <v>-18.141025641025642</v>
      </c>
      <c r="G223" s="10">
        <f t="shared" si="7"/>
        <v>1.0630685082524548E-5</v>
      </c>
      <c r="L223" s="10"/>
    </row>
    <row r="224" spans="1:12" x14ac:dyDescent="0.2">
      <c r="A224" s="9">
        <v>29</v>
      </c>
      <c r="B224" s="9">
        <v>1</v>
      </c>
      <c r="C224" s="9"/>
      <c r="D224" s="10">
        <v>16.858974358974358</v>
      </c>
      <c r="E224" s="10">
        <f t="shared" si="6"/>
        <v>-12.141025641025642</v>
      </c>
      <c r="G224" s="10">
        <f t="shared" si="7"/>
        <v>1.60238186282746E-3</v>
      </c>
      <c r="L224" s="10"/>
    </row>
    <row r="225" spans="1:12" x14ac:dyDescent="0.2">
      <c r="A225" s="9">
        <v>21</v>
      </c>
      <c r="B225" s="9">
        <v>1</v>
      </c>
      <c r="C225" s="9"/>
      <c r="D225" s="10">
        <v>16.858974358974358</v>
      </c>
      <c r="E225" s="10">
        <f t="shared" si="6"/>
        <v>-4.1410256410256423</v>
      </c>
      <c r="G225" s="10">
        <f t="shared" si="7"/>
        <v>5.8389578885814829E-2</v>
      </c>
      <c r="L225" s="10"/>
    </row>
    <row r="226" spans="1:12" x14ac:dyDescent="0.2">
      <c r="A226" s="9">
        <v>19</v>
      </c>
      <c r="B226" s="9">
        <v>1</v>
      </c>
      <c r="C226" s="9"/>
      <c r="D226" s="10">
        <v>16.858974358974358</v>
      </c>
      <c r="E226" s="10">
        <f t="shared" si="6"/>
        <v>-2.1410256410256423</v>
      </c>
      <c r="G226" s="10">
        <f t="shared" si="7"/>
        <v>8.2596026638649928E-2</v>
      </c>
      <c r="L226" s="10"/>
    </row>
    <row r="227" spans="1:12" x14ac:dyDescent="0.2">
      <c r="A227" s="9">
        <v>20</v>
      </c>
      <c r="B227" s="9">
        <v>1</v>
      </c>
      <c r="C227" s="9"/>
      <c r="D227" s="10">
        <v>16.858974358974358</v>
      </c>
      <c r="E227" s="10">
        <f t="shared" si="6"/>
        <v>-3.1410256410256423</v>
      </c>
      <c r="G227" s="10">
        <f t="shared" si="7"/>
        <v>7.138971945227178E-2</v>
      </c>
      <c r="L227" s="10"/>
    </row>
    <row r="228" spans="1:12" x14ac:dyDescent="0.2">
      <c r="A228" s="9">
        <v>20</v>
      </c>
      <c r="B228" s="9">
        <v>1</v>
      </c>
      <c r="C228" s="9"/>
      <c r="D228" s="10">
        <v>16.858974358974358</v>
      </c>
      <c r="E228" s="10">
        <f t="shared" si="6"/>
        <v>-3.1410256410256423</v>
      </c>
      <c r="G228" s="10">
        <f t="shared" si="7"/>
        <v>7.138971945227178E-2</v>
      </c>
      <c r="L228" s="10"/>
    </row>
    <row r="229" spans="1:12" x14ac:dyDescent="0.2">
      <c r="A229" s="9">
        <v>21</v>
      </c>
      <c r="B229" s="9">
        <v>1</v>
      </c>
      <c r="C229" s="9"/>
      <c r="D229" s="10">
        <v>16.858974358974358</v>
      </c>
      <c r="E229" s="10">
        <f t="shared" si="6"/>
        <v>-4.1410256410256423</v>
      </c>
      <c r="G229" s="10">
        <f t="shared" si="7"/>
        <v>5.8389578885814829E-2</v>
      </c>
      <c r="L229" s="10"/>
    </row>
    <row r="230" spans="1:12" x14ac:dyDescent="0.2">
      <c r="A230" s="9">
        <v>18</v>
      </c>
      <c r="B230" s="9">
        <v>1</v>
      </c>
      <c r="C230" s="9"/>
      <c r="D230" s="10">
        <v>16.858974358974358</v>
      </c>
      <c r="E230" s="10">
        <f t="shared" si="6"/>
        <v>-1.1410256410256423</v>
      </c>
      <c r="G230" s="10">
        <f t="shared" si="7"/>
        <v>9.0428595220514676E-2</v>
      </c>
      <c r="L230" s="10"/>
    </row>
    <row r="231" spans="1:12" x14ac:dyDescent="0.2">
      <c r="A231" s="9">
        <v>19</v>
      </c>
      <c r="B231" s="9">
        <v>1</v>
      </c>
      <c r="C231" s="9"/>
      <c r="D231" s="10">
        <v>16.858974358974358</v>
      </c>
      <c r="E231" s="10">
        <f t="shared" si="6"/>
        <v>-2.1410256410256423</v>
      </c>
      <c r="G231" s="10">
        <f t="shared" si="7"/>
        <v>8.2596026638649928E-2</v>
      </c>
      <c r="L231" s="10"/>
    </row>
    <row r="232" spans="1:12" x14ac:dyDescent="0.2">
      <c r="A232" s="9">
        <v>21</v>
      </c>
      <c r="B232" s="9">
        <v>1</v>
      </c>
      <c r="C232" s="9"/>
      <c r="D232" s="10">
        <v>16.858974358974358</v>
      </c>
      <c r="E232" s="10">
        <f t="shared" si="6"/>
        <v>-4.1410256410256423</v>
      </c>
      <c r="G232" s="10">
        <f t="shared" si="7"/>
        <v>5.8389578885814829E-2</v>
      </c>
      <c r="L232" s="10"/>
    </row>
    <row r="233" spans="1:12" x14ac:dyDescent="0.2">
      <c r="A233" s="9">
        <v>16</v>
      </c>
      <c r="B233" s="9">
        <v>1</v>
      </c>
      <c r="C233" s="9"/>
      <c r="D233" s="10">
        <v>16.858974358974358</v>
      </c>
      <c r="E233" s="10">
        <f t="shared" si="6"/>
        <v>0.8589743589743577</v>
      </c>
      <c r="G233" s="10">
        <f t="shared" si="7"/>
        <v>9.1847742433773194E-2</v>
      </c>
      <c r="L233" s="10"/>
    </row>
    <row r="234" spans="1:12" x14ac:dyDescent="0.2">
      <c r="A234" s="9">
        <v>18</v>
      </c>
      <c r="B234" s="9">
        <v>1</v>
      </c>
      <c r="C234" s="9"/>
      <c r="D234" s="10">
        <v>16.858974358974358</v>
      </c>
      <c r="E234" s="10">
        <f t="shared" si="6"/>
        <v>-1.1410256410256423</v>
      </c>
      <c r="G234" s="10">
        <f t="shared" si="7"/>
        <v>9.0428595220514676E-2</v>
      </c>
      <c r="L234" s="10"/>
    </row>
    <row r="235" spans="1:12" x14ac:dyDescent="0.2">
      <c r="A235" s="9">
        <v>17</v>
      </c>
      <c r="B235" s="9">
        <v>1</v>
      </c>
      <c r="C235" s="9"/>
      <c r="D235" s="10">
        <v>16.858974358974358</v>
      </c>
      <c r="E235" s="10">
        <f t="shared" si="6"/>
        <v>-0.1410256410256423</v>
      </c>
      <c r="G235" s="10">
        <f t="shared" si="7"/>
        <v>9.3686186441259228E-2</v>
      </c>
      <c r="L235" s="10"/>
    </row>
  </sheetData>
  <hyperlinks>
    <hyperlink ref="K23" r:id="rId1" xr:uid="{6FF9A7E4-9F5A-B04D-A55F-4118178FE758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10"/>
    <col min="13" max="16384" width="14.5" style="10"/>
  </cols>
  <sheetData>
    <row r="1" spans="1:15" x14ac:dyDescent="0.2">
      <c r="A1" s="9" t="s">
        <v>28</v>
      </c>
      <c r="B1" s="9" t="s">
        <v>107</v>
      </c>
      <c r="C1" s="9" t="s">
        <v>29</v>
      </c>
      <c r="D1" s="10" t="s">
        <v>108</v>
      </c>
      <c r="E1" s="10" t="s">
        <v>109</v>
      </c>
      <c r="F1" s="10" t="s">
        <v>110</v>
      </c>
      <c r="G1" s="10" t="s">
        <v>112</v>
      </c>
      <c r="H1" s="10" t="s">
        <v>111</v>
      </c>
      <c r="I1" s="10" t="s">
        <v>114</v>
      </c>
      <c r="J1" s="10" t="s">
        <v>0</v>
      </c>
      <c r="K1" s="10" t="s">
        <v>113</v>
      </c>
      <c r="L1" s="10"/>
      <c r="M1" s="10" t="s">
        <v>121</v>
      </c>
    </row>
    <row r="2" spans="1:15" x14ac:dyDescent="0.2">
      <c r="A2" s="9">
        <v>18</v>
      </c>
      <c r="B2" s="9">
        <v>1</v>
      </c>
      <c r="C2" s="9">
        <f t="array" aca="1" ref="C2:C235" ca="1">INDIRECT(C1)</f>
        <v>29</v>
      </c>
      <c r="D2" s="10" cm="1">
        <f t="array" aca="1" ref="D2:D235" ca="1">TREND(A2:A235,B2:C235,,FALSE)</f>
        <v>20.657555830168075</v>
      </c>
      <c r="E2" s="10">
        <f ca="1">D2-A2</f>
        <v>2.6575558301680751</v>
      </c>
      <c r="F2" s="10">
        <f ca="1">STDEV(E2:E235)</f>
        <v>1.2497181822870325</v>
      </c>
      <c r="G2" s="10">
        <f ca="1">_xlfn.NORM.DIST(E2,0,$F$2,FALSE)</f>
        <v>3.327632904268165E-2</v>
      </c>
      <c r="H2" s="10" cm="1">
        <f t="array" aca="1" ref="H2" ca="1">SUM(LN(G2:G235))</f>
        <v>-383.6944455535961</v>
      </c>
      <c r="I2" s="10">
        <f>COUNT(A2:A235)</f>
        <v>234</v>
      </c>
      <c r="J2" s="10">
        <v>2</v>
      </c>
      <c r="K2" s="10">
        <f ca="1">-2*H2+2*J2</f>
        <v>771.38889110719219</v>
      </c>
      <c r="L2" s="10"/>
      <c r="N2" s="10" t="s">
        <v>120</v>
      </c>
      <c r="O2" s="10" t="s">
        <v>113</v>
      </c>
    </row>
    <row r="3" spans="1:15" x14ac:dyDescent="0.2">
      <c r="A3" s="9">
        <v>21</v>
      </c>
      <c r="B3" s="9">
        <v>1</v>
      </c>
      <c r="C3" s="9">
        <f ca="1"/>
        <v>29</v>
      </c>
      <c r="D3" s="10">
        <f ca="1"/>
        <v>20.657555830168075</v>
      </c>
      <c r="E3" s="10">
        <f t="shared" ref="E3:E66" ca="1" si="0">D3-A3</f>
        <v>-0.34244416983192494</v>
      </c>
      <c r="G3" s="10">
        <f t="shared" ref="G3:G66" ca="1" si="1">_xlfn.NORM.DIST(E3,0,$F$2,FALSE)</f>
        <v>0.30746337812452051</v>
      </c>
      <c r="L3" s="10"/>
      <c r="M3" s="11"/>
      <c r="N3" s="11">
        <f ca="1">K8</f>
        <v>107.32351470807653</v>
      </c>
      <c r="O3" s="11">
        <f ca="1">K14</f>
        <v>771.38674824786335</v>
      </c>
    </row>
    <row r="4" spans="1:15" x14ac:dyDescent="0.2">
      <c r="A4" s="9">
        <v>20</v>
      </c>
      <c r="B4" s="9">
        <v>1</v>
      </c>
      <c r="C4" s="9">
        <f ca="1"/>
        <v>31</v>
      </c>
      <c r="D4" s="10">
        <f ca="1"/>
        <v>22.023994053472194</v>
      </c>
      <c r="E4" s="10">
        <f t="shared" ca="1" si="0"/>
        <v>2.0239940534721939</v>
      </c>
      <c r="G4" s="10">
        <f t="shared" ca="1" si="1"/>
        <v>8.6005458292729375E-2</v>
      </c>
      <c r="H4" s="10" t="s">
        <v>115</v>
      </c>
      <c r="I4" s="10" t="s">
        <v>116</v>
      </c>
      <c r="L4" s="10"/>
      <c r="M4" s="11" t="s">
        <v>23</v>
      </c>
      <c r="N4" s="12">
        <f t="dataTable" ref="N4:O7" dt2D="0" dtr="0" r1="C1" ca="1"/>
        <v>443.27246802336475</v>
      </c>
      <c r="O4" s="12">
        <v>1107.3357015631516</v>
      </c>
    </row>
    <row r="5" spans="1:15" x14ac:dyDescent="0.2">
      <c r="A5" s="9">
        <v>21</v>
      </c>
      <c r="B5" s="9">
        <v>1</v>
      </c>
      <c r="C5" s="9">
        <f ca="1"/>
        <v>30</v>
      </c>
      <c r="D5" s="10">
        <f ca="1"/>
        <v>21.340774941820136</v>
      </c>
      <c r="E5" s="10">
        <f t="shared" ca="1" si="0"/>
        <v>0.34077494182013623</v>
      </c>
      <c r="G5" s="10">
        <f t="shared" ca="1" si="1"/>
        <v>0.30757565599758996</v>
      </c>
      <c r="H5" s="10">
        <f ca="1">SUMSQ(E2:E235)</f>
        <v>363.8983596873415</v>
      </c>
      <c r="I5" s="10">
        <f ca="1">H5/I2</f>
        <v>1.5551211952450492</v>
      </c>
      <c r="L5" s="10"/>
      <c r="M5" s="11" t="s">
        <v>24</v>
      </c>
      <c r="N5" s="12">
        <v>680.48560175849059</v>
      </c>
      <c r="O5" s="12">
        <v>1344.5488352982775</v>
      </c>
    </row>
    <row r="6" spans="1:15" x14ac:dyDescent="0.2">
      <c r="A6" s="9">
        <v>16</v>
      </c>
      <c r="B6" s="9">
        <v>1</v>
      </c>
      <c r="C6" s="9">
        <f ca="1"/>
        <v>26</v>
      </c>
      <c r="D6" s="10">
        <f ca="1"/>
        <v>18.607898495211895</v>
      </c>
      <c r="E6" s="10">
        <f t="shared" ca="1" si="0"/>
        <v>2.6078984952118951</v>
      </c>
      <c r="G6" s="10">
        <f t="shared" ca="1" si="1"/>
        <v>3.6181717224349638E-2</v>
      </c>
      <c r="L6" s="10"/>
      <c r="M6" s="11" t="s">
        <v>25</v>
      </c>
      <c r="N6" s="12">
        <v>435.64100584426035</v>
      </c>
      <c r="O6" s="12">
        <v>1099.7042393840472</v>
      </c>
    </row>
    <row r="7" spans="1:15" x14ac:dyDescent="0.2">
      <c r="A7" s="9">
        <v>18</v>
      </c>
      <c r="B7" s="9">
        <v>1</v>
      </c>
      <c r="C7" s="9">
        <f ca="1"/>
        <v>26</v>
      </c>
      <c r="D7" s="10">
        <f ca="1"/>
        <v>18.607898495211895</v>
      </c>
      <c r="E7" s="10">
        <f t="shared" ca="1" si="0"/>
        <v>0.6078984952118951</v>
      </c>
      <c r="G7" s="10">
        <f t="shared" ca="1" si="1"/>
        <v>0.28360781451993688</v>
      </c>
      <c r="H7" s="10" t="s">
        <v>118</v>
      </c>
      <c r="K7" s="10" t="s">
        <v>120</v>
      </c>
      <c r="L7" s="10"/>
      <c r="M7" s="11" t="s">
        <v>29</v>
      </c>
      <c r="N7" s="12">
        <v>107.32351470807653</v>
      </c>
      <c r="O7" s="12">
        <v>771.38674824786335</v>
      </c>
    </row>
    <row r="8" spans="1:15" x14ac:dyDescent="0.2">
      <c r="A8" s="9">
        <v>18</v>
      </c>
      <c r="B8" s="9">
        <v>1</v>
      </c>
      <c r="C8" s="9">
        <f ca="1"/>
        <v>27</v>
      </c>
      <c r="D8" s="10">
        <f ca="1"/>
        <v>19.291117606863956</v>
      </c>
      <c r="E8" s="10">
        <f t="shared" ca="1" si="0"/>
        <v>1.2911176068639563</v>
      </c>
      <c r="G8" s="10">
        <f t="shared" ca="1" si="1"/>
        <v>0.18720849951963059</v>
      </c>
      <c r="H8" s="10">
        <f ca="1">I2*LN(I5)</f>
        <v>103.32351470807653</v>
      </c>
      <c r="K8" s="10">
        <f ca="1">H8+2*J2</f>
        <v>107.32351470807653</v>
      </c>
      <c r="L8" s="10"/>
    </row>
    <row r="9" spans="1:15" x14ac:dyDescent="0.2">
      <c r="A9" s="9">
        <v>18</v>
      </c>
      <c r="B9" s="9">
        <v>1</v>
      </c>
      <c r="C9" s="9">
        <f ca="1"/>
        <v>26</v>
      </c>
      <c r="D9" s="10">
        <f ca="1"/>
        <v>18.607898495211895</v>
      </c>
      <c r="E9" s="10">
        <f t="shared" ca="1" si="0"/>
        <v>0.6078984952118951</v>
      </c>
      <c r="G9" s="10">
        <f t="shared" ca="1" si="1"/>
        <v>0.28360781451993688</v>
      </c>
      <c r="L9" s="10"/>
    </row>
    <row r="10" spans="1:15" x14ac:dyDescent="0.2">
      <c r="A10" s="9">
        <v>16</v>
      </c>
      <c r="B10" s="9">
        <v>1</v>
      </c>
      <c r="C10" s="9">
        <f ca="1"/>
        <v>25</v>
      </c>
      <c r="D10" s="10">
        <f ca="1"/>
        <v>17.924679383559837</v>
      </c>
      <c r="E10" s="10">
        <f t="shared" ca="1" si="0"/>
        <v>1.9246793835598375</v>
      </c>
      <c r="G10" s="10">
        <f t="shared" ca="1" si="1"/>
        <v>9.7510391399401958E-2</v>
      </c>
      <c r="H10" s="10" t="s">
        <v>119</v>
      </c>
      <c r="L10" s="10"/>
    </row>
    <row r="11" spans="1:15" x14ac:dyDescent="0.2">
      <c r="A11" s="9">
        <v>20</v>
      </c>
      <c r="B11" s="9">
        <v>1</v>
      </c>
      <c r="C11" s="9">
        <f ca="1"/>
        <v>28</v>
      </c>
      <c r="D11" s="10">
        <f ca="1"/>
        <v>19.974336718516017</v>
      </c>
      <c r="E11" s="10">
        <f t="shared" ca="1" si="0"/>
        <v>-2.5663281483982558E-2</v>
      </c>
      <c r="G11" s="10">
        <f t="shared" ca="1" si="1"/>
        <v>0.31915849397187074</v>
      </c>
      <c r="H11" s="10">
        <f>I2*LN(2*PI())</f>
        <v>430.06323353978684</v>
      </c>
      <c r="L11" s="10"/>
    </row>
    <row r="12" spans="1:15" x14ac:dyDescent="0.2">
      <c r="A12" s="9">
        <v>19</v>
      </c>
      <c r="B12" s="9">
        <v>1</v>
      </c>
      <c r="C12" s="9">
        <f ca="1"/>
        <v>27</v>
      </c>
      <c r="D12" s="10">
        <f ca="1"/>
        <v>19.291117606863956</v>
      </c>
      <c r="E12" s="10">
        <f t="shared" ca="1" si="0"/>
        <v>0.29111760686395627</v>
      </c>
      <c r="G12" s="10">
        <f t="shared" ca="1" si="1"/>
        <v>0.31068098494392388</v>
      </c>
      <c r="L12" s="10"/>
    </row>
    <row r="13" spans="1:15" x14ac:dyDescent="0.2">
      <c r="A13" s="9">
        <v>15</v>
      </c>
      <c r="B13" s="9">
        <v>1</v>
      </c>
      <c r="C13" s="9">
        <f ca="1"/>
        <v>25</v>
      </c>
      <c r="D13" s="10">
        <f ca="1"/>
        <v>17.924679383559837</v>
      </c>
      <c r="E13" s="10">
        <f t="shared" ca="1" si="0"/>
        <v>2.9246793835598375</v>
      </c>
      <c r="G13" s="10">
        <f t="shared" ca="1" si="1"/>
        <v>2.0644814857305384E-2</v>
      </c>
      <c r="H13" s="10" t="s">
        <v>117</v>
      </c>
      <c r="K13" s="10" t="s">
        <v>113</v>
      </c>
      <c r="L13" s="10"/>
    </row>
    <row r="14" spans="1:15" x14ac:dyDescent="0.2">
      <c r="A14" s="9">
        <v>17</v>
      </c>
      <c r="B14" s="9">
        <v>1</v>
      </c>
      <c r="C14" s="9">
        <f ca="1"/>
        <v>25</v>
      </c>
      <c r="D14" s="10">
        <f ca="1"/>
        <v>17.924679383559837</v>
      </c>
      <c r="E14" s="10">
        <f t="shared" ca="1" si="0"/>
        <v>0.92467938355983748</v>
      </c>
      <c r="G14" s="10">
        <f t="shared" ca="1" si="1"/>
        <v>0.24278226945780421</v>
      </c>
      <c r="H14" s="10">
        <f ca="1">H8+H11+I2</f>
        <v>767.38674824786335</v>
      </c>
      <c r="K14" s="10">
        <f ca="1">H14+2*J2</f>
        <v>771.38674824786335</v>
      </c>
      <c r="L14" s="10"/>
    </row>
    <row r="15" spans="1:15" x14ac:dyDescent="0.2">
      <c r="A15" s="9">
        <v>17</v>
      </c>
      <c r="B15" s="9">
        <v>1</v>
      </c>
      <c r="C15" s="9">
        <f ca="1"/>
        <v>25</v>
      </c>
      <c r="D15" s="10">
        <f ca="1"/>
        <v>17.924679383559837</v>
      </c>
      <c r="E15" s="10">
        <f t="shared" ca="1" si="0"/>
        <v>0.92467938355983748</v>
      </c>
      <c r="G15" s="10">
        <f t="shared" ca="1" si="1"/>
        <v>0.24278226945780421</v>
      </c>
      <c r="L15" s="10"/>
    </row>
    <row r="16" spans="1:15" x14ac:dyDescent="0.2">
      <c r="A16" s="9">
        <v>15</v>
      </c>
      <c r="B16" s="9">
        <v>1</v>
      </c>
      <c r="C16" s="9">
        <f ca="1"/>
        <v>25</v>
      </c>
      <c r="D16" s="10">
        <f ca="1"/>
        <v>17.924679383559837</v>
      </c>
      <c r="E16" s="10">
        <f t="shared" ca="1" si="0"/>
        <v>2.9246793835598375</v>
      </c>
      <c r="G16" s="10">
        <f t="shared" ca="1" si="1"/>
        <v>2.0644814857305384E-2</v>
      </c>
      <c r="L16" s="10"/>
    </row>
    <row r="17" spans="1:12" x14ac:dyDescent="0.2">
      <c r="A17" s="9">
        <v>15</v>
      </c>
      <c r="B17" s="9">
        <v>1</v>
      </c>
      <c r="C17" s="9">
        <f ca="1"/>
        <v>24</v>
      </c>
      <c r="D17" s="10">
        <f ca="1"/>
        <v>17.241460271907776</v>
      </c>
      <c r="E17" s="10">
        <f t="shared" ca="1" si="0"/>
        <v>2.2414602719077763</v>
      </c>
      <c r="G17" s="10">
        <f t="shared" ca="1" si="1"/>
        <v>6.3908179860316897E-2</v>
      </c>
      <c r="L17" s="10"/>
    </row>
    <row r="18" spans="1:12" x14ac:dyDescent="0.2">
      <c r="A18" s="9">
        <v>17</v>
      </c>
      <c r="B18" s="9">
        <v>1</v>
      </c>
      <c r="C18" s="9">
        <f ca="1"/>
        <v>25</v>
      </c>
      <c r="D18" s="10">
        <f ca="1"/>
        <v>17.924679383559837</v>
      </c>
      <c r="E18" s="10">
        <f t="shared" ca="1" si="0"/>
        <v>0.92467938355983748</v>
      </c>
      <c r="G18" s="10">
        <f t="shared" ca="1" si="1"/>
        <v>0.24278226945780421</v>
      </c>
      <c r="L18" s="10"/>
    </row>
    <row r="19" spans="1:12" x14ac:dyDescent="0.2">
      <c r="A19" s="9">
        <v>16</v>
      </c>
      <c r="B19" s="9">
        <v>1</v>
      </c>
      <c r="C19" s="9">
        <f ca="1"/>
        <v>23</v>
      </c>
      <c r="D19" s="10">
        <f ca="1"/>
        <v>16.558241160255715</v>
      </c>
      <c r="E19" s="10">
        <f t="shared" ca="1" si="0"/>
        <v>0.55824116025571513</v>
      </c>
      <c r="G19" s="10">
        <f t="shared" ca="1" si="1"/>
        <v>0.28891457937292003</v>
      </c>
      <c r="L19" s="10"/>
    </row>
    <row r="20" spans="1:12" x14ac:dyDescent="0.2">
      <c r="A20" s="9">
        <v>14</v>
      </c>
      <c r="B20" s="9">
        <v>1</v>
      </c>
      <c r="C20" s="9">
        <f ca="1"/>
        <v>20</v>
      </c>
      <c r="D20" s="10">
        <f ca="1"/>
        <v>14.508583825299539</v>
      </c>
      <c r="E20" s="10">
        <f t="shared" ca="1" si="0"/>
        <v>0.50858382529953872</v>
      </c>
      <c r="G20" s="10">
        <f t="shared" ca="1" si="1"/>
        <v>0.29385631906225068</v>
      </c>
      <c r="L20" s="10"/>
    </row>
    <row r="21" spans="1:12" x14ac:dyDescent="0.2">
      <c r="A21" s="9">
        <v>11</v>
      </c>
      <c r="B21" s="9">
        <v>1</v>
      </c>
      <c r="C21" s="9">
        <f ca="1"/>
        <v>15</v>
      </c>
      <c r="D21" s="10">
        <f ca="1"/>
        <v>11.09248826703924</v>
      </c>
      <c r="E21" s="10">
        <f t="shared" ca="1" si="0"/>
        <v>9.2488267039239958E-2</v>
      </c>
      <c r="G21" s="10">
        <f t="shared" ca="1" si="1"/>
        <v>0.31835277839425191</v>
      </c>
      <c r="J21" s="15"/>
      <c r="K21" s="16"/>
      <c r="L21" s="17"/>
    </row>
    <row r="22" spans="1:12" x14ac:dyDescent="0.2">
      <c r="A22" s="9">
        <v>14</v>
      </c>
      <c r="B22" s="9">
        <v>1</v>
      </c>
      <c r="C22" s="9">
        <f ca="1"/>
        <v>20</v>
      </c>
      <c r="D22" s="10">
        <f ca="1"/>
        <v>14.508583825299539</v>
      </c>
      <c r="E22" s="10">
        <f t="shared" ca="1" si="0"/>
        <v>0.50858382529953872</v>
      </c>
      <c r="G22" s="10">
        <f t="shared" ca="1" si="1"/>
        <v>0.29385631906225068</v>
      </c>
      <c r="J22" s="18"/>
      <c r="K22" s="19" t="s">
        <v>201</v>
      </c>
      <c r="L22" s="20"/>
    </row>
    <row r="23" spans="1:12" x14ac:dyDescent="0.2">
      <c r="A23" s="9">
        <v>13</v>
      </c>
      <c r="B23" s="9">
        <v>1</v>
      </c>
      <c r="C23" s="9">
        <f ca="1"/>
        <v>17</v>
      </c>
      <c r="D23" s="10">
        <f ca="1"/>
        <v>12.458926490343359</v>
      </c>
      <c r="E23" s="10">
        <f t="shared" ca="1" si="0"/>
        <v>-0.54107350965664125</v>
      </c>
      <c r="G23" s="10">
        <f t="shared" ca="1" si="1"/>
        <v>0.29066547731752662</v>
      </c>
      <c r="J23" s="18"/>
      <c r="K23" s="24" t="s">
        <v>202</v>
      </c>
      <c r="L23" s="20"/>
    </row>
    <row r="24" spans="1:12" x14ac:dyDescent="0.2">
      <c r="A24" s="9">
        <v>12</v>
      </c>
      <c r="B24" s="9">
        <v>1</v>
      </c>
      <c r="C24" s="9">
        <f ca="1"/>
        <v>17</v>
      </c>
      <c r="D24" s="10">
        <f ca="1"/>
        <v>12.458926490343359</v>
      </c>
      <c r="E24" s="10">
        <f t="shared" ca="1" si="0"/>
        <v>0.45892649034335875</v>
      </c>
      <c r="G24" s="10">
        <f t="shared" ca="1" si="1"/>
        <v>0.29841106438288428</v>
      </c>
      <c r="J24" s="18"/>
      <c r="K24" s="19"/>
      <c r="L24" s="20"/>
    </row>
    <row r="25" spans="1:12" x14ac:dyDescent="0.2">
      <c r="A25" s="9">
        <v>16</v>
      </c>
      <c r="B25" s="9">
        <v>1</v>
      </c>
      <c r="C25" s="9">
        <f ca="1"/>
        <v>26</v>
      </c>
      <c r="D25" s="10">
        <f ca="1"/>
        <v>18.607898495211895</v>
      </c>
      <c r="E25" s="10">
        <f t="shared" ca="1" si="0"/>
        <v>2.6078984952118951</v>
      </c>
      <c r="G25" s="10">
        <f t="shared" ca="1" si="1"/>
        <v>3.6181717224349638E-2</v>
      </c>
      <c r="J25" s="21"/>
      <c r="K25" s="22"/>
      <c r="L25" s="23"/>
    </row>
    <row r="26" spans="1:12" x14ac:dyDescent="0.2">
      <c r="A26" s="9">
        <v>15</v>
      </c>
      <c r="B26" s="9">
        <v>1</v>
      </c>
      <c r="C26" s="9">
        <f ca="1"/>
        <v>23</v>
      </c>
      <c r="D26" s="10">
        <f ca="1"/>
        <v>16.558241160255715</v>
      </c>
      <c r="E26" s="10">
        <f t="shared" ca="1" si="0"/>
        <v>1.5582411602557151</v>
      </c>
      <c r="G26" s="10">
        <f t="shared" ca="1" si="1"/>
        <v>0.1467237015411641</v>
      </c>
      <c r="L26" s="10"/>
    </row>
    <row r="27" spans="1:12" x14ac:dyDescent="0.2">
      <c r="A27" s="9">
        <v>16</v>
      </c>
      <c r="B27" s="9">
        <v>1</v>
      </c>
      <c r="C27" s="9">
        <f ca="1"/>
        <v>26</v>
      </c>
      <c r="D27" s="10">
        <f ca="1"/>
        <v>18.607898495211895</v>
      </c>
      <c r="E27" s="10">
        <f t="shared" ca="1" si="0"/>
        <v>2.6078984952118951</v>
      </c>
      <c r="G27" s="10">
        <f t="shared" ca="1" si="1"/>
        <v>3.6181717224349638E-2</v>
      </c>
      <c r="L27" s="10"/>
    </row>
    <row r="28" spans="1:12" x14ac:dyDescent="0.2">
      <c r="A28" s="9">
        <v>15</v>
      </c>
      <c r="B28" s="9">
        <v>1</v>
      </c>
      <c r="C28" s="9">
        <f ca="1"/>
        <v>25</v>
      </c>
      <c r="D28" s="10">
        <f ca="1"/>
        <v>17.924679383559837</v>
      </c>
      <c r="E28" s="10">
        <f t="shared" ca="1" si="0"/>
        <v>2.9246793835598375</v>
      </c>
      <c r="G28" s="10">
        <f t="shared" ca="1" si="1"/>
        <v>2.0644814857305384E-2</v>
      </c>
      <c r="L28" s="10"/>
    </row>
    <row r="29" spans="1:12" x14ac:dyDescent="0.2">
      <c r="A29" s="9">
        <v>15</v>
      </c>
      <c r="B29" s="9">
        <v>1</v>
      </c>
      <c r="C29" s="9">
        <f ca="1"/>
        <v>24</v>
      </c>
      <c r="D29" s="10">
        <f ca="1"/>
        <v>17.241460271907776</v>
      </c>
      <c r="E29" s="10">
        <f t="shared" ca="1" si="0"/>
        <v>2.2414602719077763</v>
      </c>
      <c r="G29" s="10">
        <f t="shared" ca="1" si="1"/>
        <v>6.3908179860316897E-2</v>
      </c>
      <c r="L29" s="10"/>
    </row>
    <row r="30" spans="1:12" x14ac:dyDescent="0.2">
      <c r="A30" s="9">
        <v>14</v>
      </c>
      <c r="B30" s="9">
        <v>1</v>
      </c>
      <c r="C30" s="9">
        <f ca="1"/>
        <v>19</v>
      </c>
      <c r="D30" s="10">
        <f ca="1"/>
        <v>13.825364713647479</v>
      </c>
      <c r="E30" s="10">
        <f t="shared" ca="1" si="0"/>
        <v>-0.17463528635252068</v>
      </c>
      <c r="G30" s="10">
        <f t="shared" ca="1" si="1"/>
        <v>0.31612416936198534</v>
      </c>
      <c r="L30" s="10"/>
    </row>
    <row r="31" spans="1:12" x14ac:dyDescent="0.2">
      <c r="A31" s="9">
        <v>11</v>
      </c>
      <c r="B31" s="9">
        <v>1</v>
      </c>
      <c r="C31" s="9">
        <f ca="1"/>
        <v>14</v>
      </c>
      <c r="D31" s="10">
        <f ca="1"/>
        <v>10.409269155387181</v>
      </c>
      <c r="E31" s="10">
        <f t="shared" ca="1" si="0"/>
        <v>-0.59073084461281944</v>
      </c>
      <c r="G31" s="10">
        <f t="shared" ca="1" si="1"/>
        <v>0.28548233893943797</v>
      </c>
      <c r="L31" s="10"/>
    </row>
    <row r="32" spans="1:12" x14ac:dyDescent="0.2">
      <c r="A32" s="9">
        <v>11</v>
      </c>
      <c r="B32" s="9">
        <v>1</v>
      </c>
      <c r="C32" s="9">
        <f ca="1"/>
        <v>15</v>
      </c>
      <c r="D32" s="10">
        <f ca="1"/>
        <v>11.09248826703924</v>
      </c>
      <c r="E32" s="10">
        <f t="shared" ca="1" si="0"/>
        <v>9.2488267039239958E-2</v>
      </c>
      <c r="G32" s="10">
        <f t="shared" ca="1" si="1"/>
        <v>0.31835277839425191</v>
      </c>
      <c r="L32" s="10"/>
    </row>
    <row r="33" spans="1:12" x14ac:dyDescent="0.2">
      <c r="A33" s="9">
        <v>14</v>
      </c>
      <c r="B33" s="9">
        <v>1</v>
      </c>
      <c r="C33" s="9">
        <f ca="1"/>
        <v>17</v>
      </c>
      <c r="D33" s="10">
        <f ca="1"/>
        <v>12.458926490343359</v>
      </c>
      <c r="E33" s="10">
        <f t="shared" ca="1" si="0"/>
        <v>-1.5410735096566412</v>
      </c>
      <c r="G33" s="10">
        <f t="shared" ca="1" si="1"/>
        <v>0.14924443441661395</v>
      </c>
      <c r="L33" s="10"/>
    </row>
    <row r="34" spans="1:12" x14ac:dyDescent="0.2">
      <c r="A34" s="9">
        <v>19</v>
      </c>
      <c r="B34" s="9">
        <v>1</v>
      </c>
      <c r="C34" s="9">
        <f ca="1"/>
        <v>27</v>
      </c>
      <c r="D34" s="10">
        <f ca="1"/>
        <v>19.291117606863956</v>
      </c>
      <c r="E34" s="10">
        <f t="shared" ca="1" si="0"/>
        <v>0.29111760686395627</v>
      </c>
      <c r="G34" s="10">
        <f t="shared" ca="1" si="1"/>
        <v>0.31068098494392388</v>
      </c>
      <c r="L34" s="10"/>
    </row>
    <row r="35" spans="1:12" x14ac:dyDescent="0.2">
      <c r="A35" s="9">
        <v>22</v>
      </c>
      <c r="B35" s="9">
        <v>1</v>
      </c>
      <c r="C35" s="9">
        <f ca="1"/>
        <v>30</v>
      </c>
      <c r="D35" s="10">
        <f ca="1"/>
        <v>21.340774941820136</v>
      </c>
      <c r="E35" s="10">
        <f t="shared" ca="1" si="0"/>
        <v>-0.65922505817986377</v>
      </c>
      <c r="G35" s="10">
        <f t="shared" ca="1" si="1"/>
        <v>0.27776379398250539</v>
      </c>
      <c r="L35" s="10"/>
    </row>
    <row r="36" spans="1:12" x14ac:dyDescent="0.2">
      <c r="A36" s="9">
        <v>18</v>
      </c>
      <c r="B36" s="9">
        <v>1</v>
      </c>
      <c r="C36" s="9">
        <f ca="1"/>
        <v>26</v>
      </c>
      <c r="D36" s="10">
        <f ca="1"/>
        <v>18.607898495211895</v>
      </c>
      <c r="E36" s="10">
        <f t="shared" ca="1" si="0"/>
        <v>0.6078984952118951</v>
      </c>
      <c r="G36" s="10">
        <f t="shared" ca="1" si="1"/>
        <v>0.28360781451993688</v>
      </c>
      <c r="L36" s="10"/>
    </row>
    <row r="37" spans="1:12" x14ac:dyDescent="0.2">
      <c r="A37" s="9">
        <v>18</v>
      </c>
      <c r="B37" s="9">
        <v>1</v>
      </c>
      <c r="C37" s="9">
        <f ca="1"/>
        <v>29</v>
      </c>
      <c r="D37" s="10">
        <f ca="1"/>
        <v>20.657555830168075</v>
      </c>
      <c r="E37" s="10">
        <f t="shared" ca="1" si="0"/>
        <v>2.6575558301680751</v>
      </c>
      <c r="G37" s="10">
        <f t="shared" ca="1" si="1"/>
        <v>3.327632904268165E-2</v>
      </c>
      <c r="L37" s="10"/>
    </row>
    <row r="38" spans="1:12" x14ac:dyDescent="0.2">
      <c r="A38" s="9">
        <v>17</v>
      </c>
      <c r="B38" s="9">
        <v>1</v>
      </c>
      <c r="C38" s="9">
        <f ca="1"/>
        <v>26</v>
      </c>
      <c r="D38" s="10">
        <f ca="1"/>
        <v>18.607898495211895</v>
      </c>
      <c r="E38" s="10">
        <f t="shared" ca="1" si="0"/>
        <v>1.6078984952118951</v>
      </c>
      <c r="G38" s="10">
        <f t="shared" ca="1" si="1"/>
        <v>0.13952132892333158</v>
      </c>
      <c r="L38" s="10"/>
    </row>
    <row r="39" spans="1:12" x14ac:dyDescent="0.2">
      <c r="A39" s="9">
        <v>18</v>
      </c>
      <c r="B39" s="9">
        <v>1</v>
      </c>
      <c r="C39" s="9">
        <f ca="1"/>
        <v>24</v>
      </c>
      <c r="D39" s="10">
        <f ca="1"/>
        <v>17.241460271907776</v>
      </c>
      <c r="E39" s="10">
        <f t="shared" ca="1" si="0"/>
        <v>-0.7585397280922237</v>
      </c>
      <c r="G39" s="10">
        <f t="shared" ca="1" si="1"/>
        <v>0.2655208098682208</v>
      </c>
      <c r="L39" s="10"/>
    </row>
    <row r="40" spans="1:12" x14ac:dyDescent="0.2">
      <c r="A40" s="9">
        <v>17</v>
      </c>
      <c r="B40" s="9">
        <v>1</v>
      </c>
      <c r="C40" s="9">
        <f ca="1"/>
        <v>24</v>
      </c>
      <c r="D40" s="10">
        <f ca="1"/>
        <v>17.241460271907776</v>
      </c>
      <c r="E40" s="10">
        <f t="shared" ca="1" si="0"/>
        <v>0.2414602719077763</v>
      </c>
      <c r="G40" s="10">
        <f t="shared" ca="1" si="1"/>
        <v>0.31332258364370175</v>
      </c>
      <c r="L40" s="10"/>
    </row>
    <row r="41" spans="1:12" x14ac:dyDescent="0.2">
      <c r="A41" s="9">
        <v>16</v>
      </c>
      <c r="B41" s="9">
        <v>1</v>
      </c>
      <c r="C41" s="9">
        <f ca="1"/>
        <v>22</v>
      </c>
      <c r="D41" s="10">
        <f ca="1"/>
        <v>15.875022048603658</v>
      </c>
      <c r="E41" s="10">
        <f t="shared" ca="1" si="0"/>
        <v>-0.12497795139634249</v>
      </c>
      <c r="G41" s="10">
        <f t="shared" ca="1" si="1"/>
        <v>0.31763349392564566</v>
      </c>
      <c r="L41" s="10"/>
    </row>
    <row r="42" spans="1:12" x14ac:dyDescent="0.2">
      <c r="A42" s="9">
        <v>16</v>
      </c>
      <c r="B42" s="9">
        <v>1</v>
      </c>
      <c r="C42" s="9">
        <f ca="1"/>
        <v>22</v>
      </c>
      <c r="D42" s="10">
        <f ca="1"/>
        <v>15.875022048603658</v>
      </c>
      <c r="E42" s="10">
        <f t="shared" ca="1" si="0"/>
        <v>-0.12497795139634249</v>
      </c>
      <c r="G42" s="10">
        <f t="shared" ca="1" si="1"/>
        <v>0.31763349392564566</v>
      </c>
      <c r="L42" s="10"/>
    </row>
    <row r="43" spans="1:12" x14ac:dyDescent="0.2">
      <c r="A43" s="9">
        <v>17</v>
      </c>
      <c r="B43" s="9">
        <v>1</v>
      </c>
      <c r="C43" s="9">
        <f ca="1"/>
        <v>24</v>
      </c>
      <c r="D43" s="10">
        <f ca="1"/>
        <v>17.241460271907776</v>
      </c>
      <c r="E43" s="10">
        <f t="shared" ca="1" si="0"/>
        <v>0.2414602719077763</v>
      </c>
      <c r="G43" s="10">
        <f t="shared" ca="1" si="1"/>
        <v>0.31332258364370175</v>
      </c>
      <c r="L43" s="10"/>
    </row>
    <row r="44" spans="1:12" x14ac:dyDescent="0.2">
      <c r="A44" s="9">
        <v>17</v>
      </c>
      <c r="B44" s="9">
        <v>1</v>
      </c>
      <c r="C44" s="9">
        <f ca="1"/>
        <v>24</v>
      </c>
      <c r="D44" s="10">
        <f ca="1"/>
        <v>17.241460271907776</v>
      </c>
      <c r="E44" s="10">
        <f t="shared" ca="1" si="0"/>
        <v>0.2414602719077763</v>
      </c>
      <c r="G44" s="10">
        <f t="shared" ca="1" si="1"/>
        <v>0.31332258364370175</v>
      </c>
      <c r="L44" s="10"/>
    </row>
    <row r="45" spans="1:12" x14ac:dyDescent="0.2">
      <c r="A45" s="9">
        <v>11</v>
      </c>
      <c r="B45" s="9">
        <v>1</v>
      </c>
      <c r="C45" s="9">
        <f ca="1"/>
        <v>17</v>
      </c>
      <c r="D45" s="10">
        <f ca="1"/>
        <v>12.458926490343359</v>
      </c>
      <c r="E45" s="10">
        <f t="shared" ca="1" si="0"/>
        <v>1.4589264903433588</v>
      </c>
      <c r="G45" s="10">
        <f t="shared" ca="1" si="1"/>
        <v>0.16149629011123415</v>
      </c>
      <c r="L45" s="10"/>
    </row>
    <row r="46" spans="1:12" x14ac:dyDescent="0.2">
      <c r="A46" s="9">
        <v>15</v>
      </c>
      <c r="B46" s="9">
        <v>1</v>
      </c>
      <c r="C46" s="9">
        <f ca="1"/>
        <v>22</v>
      </c>
      <c r="D46" s="10">
        <f ca="1"/>
        <v>15.875022048603658</v>
      </c>
      <c r="E46" s="10">
        <f t="shared" ca="1" si="0"/>
        <v>0.87502204860365751</v>
      </c>
      <c r="G46" s="10">
        <f t="shared" ca="1" si="1"/>
        <v>0.2498287819911226</v>
      </c>
      <c r="L46" s="10"/>
    </row>
    <row r="47" spans="1:12" x14ac:dyDescent="0.2">
      <c r="A47" s="9">
        <v>15</v>
      </c>
      <c r="B47" s="9">
        <v>1</v>
      </c>
      <c r="C47" s="9">
        <f ca="1"/>
        <v>21</v>
      </c>
      <c r="D47" s="10">
        <f ca="1"/>
        <v>15.191802936951598</v>
      </c>
      <c r="E47" s="10">
        <f t="shared" ca="1" si="0"/>
        <v>0.19180293695159811</v>
      </c>
      <c r="G47" s="10">
        <f t="shared" ca="1" si="1"/>
        <v>0.31548813891774308</v>
      </c>
      <c r="L47" s="10"/>
    </row>
    <row r="48" spans="1:12" x14ac:dyDescent="0.2">
      <c r="A48" s="9">
        <v>16</v>
      </c>
      <c r="B48" s="9">
        <v>1</v>
      </c>
      <c r="C48" s="9">
        <f ca="1"/>
        <v>23</v>
      </c>
      <c r="D48" s="10">
        <f ca="1"/>
        <v>16.558241160255715</v>
      </c>
      <c r="E48" s="10">
        <f t="shared" ca="1" si="0"/>
        <v>0.55824116025571513</v>
      </c>
      <c r="G48" s="10">
        <f t="shared" ca="1" si="1"/>
        <v>0.28891457937292003</v>
      </c>
      <c r="L48" s="10"/>
    </row>
    <row r="49" spans="1:12" x14ac:dyDescent="0.2">
      <c r="A49" s="9">
        <v>16</v>
      </c>
      <c r="B49" s="9">
        <v>1</v>
      </c>
      <c r="C49" s="9">
        <f ca="1"/>
        <v>23</v>
      </c>
      <c r="D49" s="10">
        <f ca="1"/>
        <v>16.558241160255715</v>
      </c>
      <c r="E49" s="10">
        <f t="shared" ca="1" si="0"/>
        <v>0.55824116025571513</v>
      </c>
      <c r="G49" s="10">
        <f t="shared" ca="1" si="1"/>
        <v>0.28891457937292003</v>
      </c>
      <c r="L49" s="10"/>
    </row>
    <row r="50" spans="1:12" x14ac:dyDescent="0.2">
      <c r="A50" s="9">
        <v>15</v>
      </c>
      <c r="B50" s="9">
        <v>1</v>
      </c>
      <c r="C50" s="9">
        <f ca="1"/>
        <v>19</v>
      </c>
      <c r="D50" s="10">
        <f ca="1"/>
        <v>13.825364713647479</v>
      </c>
      <c r="E50" s="10">
        <f t="shared" ca="1" si="0"/>
        <v>-1.1746352863525207</v>
      </c>
      <c r="G50" s="10">
        <f t="shared" ca="1" si="1"/>
        <v>0.20523871008550823</v>
      </c>
      <c r="L50" s="10"/>
    </row>
    <row r="51" spans="1:12" x14ac:dyDescent="0.2">
      <c r="A51" s="9">
        <v>14</v>
      </c>
      <c r="B51" s="9">
        <v>1</v>
      </c>
      <c r="C51" s="9">
        <f ca="1"/>
        <v>18</v>
      </c>
      <c r="D51" s="10">
        <f ca="1"/>
        <v>13.142145601995418</v>
      </c>
      <c r="E51" s="10">
        <f t="shared" ca="1" si="0"/>
        <v>-0.85785439800458185</v>
      </c>
      <c r="G51" s="10">
        <f t="shared" ca="1" si="1"/>
        <v>0.25221954505601618</v>
      </c>
      <c r="L51" s="10"/>
    </row>
    <row r="52" spans="1:12" x14ac:dyDescent="0.2">
      <c r="A52" s="9">
        <v>13</v>
      </c>
      <c r="B52" s="9">
        <v>1</v>
      </c>
      <c r="C52" s="9">
        <f ca="1"/>
        <v>17</v>
      </c>
      <c r="D52" s="10">
        <f ca="1"/>
        <v>12.458926490343359</v>
      </c>
      <c r="E52" s="10">
        <f t="shared" ca="1" si="0"/>
        <v>-0.54107350965664125</v>
      </c>
      <c r="G52" s="10">
        <f t="shared" ca="1" si="1"/>
        <v>0.29066547731752662</v>
      </c>
      <c r="L52" s="10"/>
    </row>
    <row r="53" spans="1:12" x14ac:dyDescent="0.2">
      <c r="A53" s="9">
        <v>14</v>
      </c>
      <c r="B53" s="9">
        <v>1</v>
      </c>
      <c r="C53" s="9">
        <f ca="1"/>
        <v>17</v>
      </c>
      <c r="D53" s="10">
        <f ca="1"/>
        <v>12.458926490343359</v>
      </c>
      <c r="E53" s="10">
        <f t="shared" ca="1" si="0"/>
        <v>-1.5410735096566412</v>
      </c>
      <c r="G53" s="10">
        <f t="shared" ca="1" si="1"/>
        <v>0.14924443441661395</v>
      </c>
      <c r="L53" s="10"/>
    </row>
    <row r="54" spans="1:12" x14ac:dyDescent="0.2">
      <c r="A54" s="9">
        <v>14</v>
      </c>
      <c r="B54" s="9">
        <v>1</v>
      </c>
      <c r="C54" s="9">
        <f ca="1"/>
        <v>19</v>
      </c>
      <c r="D54" s="10">
        <f ca="1"/>
        <v>13.825364713647479</v>
      </c>
      <c r="E54" s="10">
        <f t="shared" ca="1" si="0"/>
        <v>-0.17463528635252068</v>
      </c>
      <c r="G54" s="10">
        <f t="shared" ca="1" si="1"/>
        <v>0.31612416936198534</v>
      </c>
      <c r="L54" s="10"/>
    </row>
    <row r="55" spans="1:12" x14ac:dyDescent="0.2">
      <c r="A55" s="9">
        <v>14</v>
      </c>
      <c r="B55" s="9">
        <v>1</v>
      </c>
      <c r="C55" s="9">
        <f ca="1"/>
        <v>19</v>
      </c>
      <c r="D55" s="10">
        <f ca="1"/>
        <v>13.825364713647479</v>
      </c>
      <c r="E55" s="10">
        <f t="shared" ca="1" si="0"/>
        <v>-0.17463528635252068</v>
      </c>
      <c r="G55" s="10">
        <f t="shared" ca="1" si="1"/>
        <v>0.31612416936198534</v>
      </c>
      <c r="L55" s="10"/>
    </row>
    <row r="56" spans="1:12" x14ac:dyDescent="0.2">
      <c r="A56" s="9">
        <v>9</v>
      </c>
      <c r="B56" s="9">
        <v>1</v>
      </c>
      <c r="C56" s="9">
        <f ca="1"/>
        <v>12</v>
      </c>
      <c r="D56" s="10">
        <f ca="1"/>
        <v>9.04283093208306</v>
      </c>
      <c r="E56" s="10">
        <f t="shared" ca="1" si="0"/>
        <v>4.2830932083059992E-2</v>
      </c>
      <c r="G56" s="10">
        <f t="shared" ca="1" si="1"/>
        <v>0.31903836846290684</v>
      </c>
      <c r="L56" s="10"/>
    </row>
    <row r="57" spans="1:12" x14ac:dyDescent="0.2">
      <c r="A57" s="9">
        <v>11</v>
      </c>
      <c r="B57" s="9">
        <v>1</v>
      </c>
      <c r="C57" s="9">
        <f ca="1"/>
        <v>17</v>
      </c>
      <c r="D57" s="10">
        <f ca="1"/>
        <v>12.458926490343359</v>
      </c>
      <c r="E57" s="10">
        <f t="shared" ca="1" si="0"/>
        <v>1.4589264903433588</v>
      </c>
      <c r="G57" s="10">
        <f t="shared" ca="1" si="1"/>
        <v>0.16149629011123415</v>
      </c>
      <c r="L57" s="10"/>
    </row>
    <row r="58" spans="1:12" x14ac:dyDescent="0.2">
      <c r="A58" s="9">
        <v>11</v>
      </c>
      <c r="B58" s="9">
        <v>1</v>
      </c>
      <c r="C58" s="9">
        <f ca="1"/>
        <v>15</v>
      </c>
      <c r="D58" s="10">
        <f ca="1"/>
        <v>11.09248826703924</v>
      </c>
      <c r="E58" s="10">
        <f t="shared" ca="1" si="0"/>
        <v>9.2488267039239958E-2</v>
      </c>
      <c r="G58" s="10">
        <f t="shared" ca="1" si="1"/>
        <v>0.31835277839425191</v>
      </c>
      <c r="L58" s="10"/>
    </row>
    <row r="59" spans="1:12" x14ac:dyDescent="0.2">
      <c r="A59" s="9">
        <v>13</v>
      </c>
      <c r="B59" s="9">
        <v>1</v>
      </c>
      <c r="C59" s="9">
        <f ca="1"/>
        <v>17</v>
      </c>
      <c r="D59" s="10">
        <f ca="1"/>
        <v>12.458926490343359</v>
      </c>
      <c r="E59" s="10">
        <f t="shared" ca="1" si="0"/>
        <v>-0.54107350965664125</v>
      </c>
      <c r="G59" s="10">
        <f t="shared" ca="1" si="1"/>
        <v>0.29066547731752662</v>
      </c>
      <c r="L59" s="10"/>
    </row>
    <row r="60" spans="1:12" x14ac:dyDescent="0.2">
      <c r="A60" s="9">
        <v>13</v>
      </c>
      <c r="B60" s="9">
        <v>1</v>
      </c>
      <c r="C60" s="9">
        <f ca="1"/>
        <v>17</v>
      </c>
      <c r="D60" s="10">
        <f ca="1"/>
        <v>12.458926490343359</v>
      </c>
      <c r="E60" s="10">
        <f t="shared" ca="1" si="0"/>
        <v>-0.54107350965664125</v>
      </c>
      <c r="G60" s="10">
        <f t="shared" ca="1" si="1"/>
        <v>0.29066547731752662</v>
      </c>
      <c r="L60" s="10"/>
    </row>
    <row r="61" spans="1:12" x14ac:dyDescent="0.2">
      <c r="A61" s="9">
        <v>9</v>
      </c>
      <c r="B61" s="9">
        <v>1</v>
      </c>
      <c r="C61" s="9">
        <f ca="1"/>
        <v>12</v>
      </c>
      <c r="D61" s="10">
        <f ca="1"/>
        <v>9.04283093208306</v>
      </c>
      <c r="E61" s="10">
        <f t="shared" ca="1" si="0"/>
        <v>4.2830932083059992E-2</v>
      </c>
      <c r="G61" s="10">
        <f t="shared" ca="1" si="1"/>
        <v>0.31903836846290684</v>
      </c>
      <c r="L61" s="10"/>
    </row>
    <row r="62" spans="1:12" x14ac:dyDescent="0.2">
      <c r="A62" s="9">
        <v>13</v>
      </c>
      <c r="B62" s="9">
        <v>1</v>
      </c>
      <c r="C62" s="9">
        <f ca="1"/>
        <v>17</v>
      </c>
      <c r="D62" s="10">
        <f ca="1"/>
        <v>12.458926490343359</v>
      </c>
      <c r="E62" s="10">
        <f t="shared" ca="1" si="0"/>
        <v>-0.54107350965664125</v>
      </c>
      <c r="G62" s="10">
        <f t="shared" ca="1" si="1"/>
        <v>0.29066547731752662</v>
      </c>
      <c r="L62" s="10"/>
    </row>
    <row r="63" spans="1:12" x14ac:dyDescent="0.2">
      <c r="A63" s="9">
        <v>11</v>
      </c>
      <c r="B63" s="9">
        <v>1</v>
      </c>
      <c r="C63" s="9">
        <f ca="1"/>
        <v>16</v>
      </c>
      <c r="D63" s="10">
        <f ca="1"/>
        <v>11.775707378691299</v>
      </c>
      <c r="E63" s="10">
        <f t="shared" ca="1" si="0"/>
        <v>0.77570737869129935</v>
      </c>
      <c r="G63" s="10">
        <f t="shared" ca="1" si="1"/>
        <v>0.26329124156712214</v>
      </c>
      <c r="L63" s="10"/>
    </row>
    <row r="64" spans="1:12" x14ac:dyDescent="0.2">
      <c r="A64" s="9">
        <v>13</v>
      </c>
      <c r="B64" s="9">
        <v>1</v>
      </c>
      <c r="C64" s="9">
        <f ca="1"/>
        <v>18</v>
      </c>
      <c r="D64" s="10">
        <f ca="1"/>
        <v>13.142145601995418</v>
      </c>
      <c r="E64" s="10">
        <f t="shared" ca="1" si="0"/>
        <v>0.14214560199541815</v>
      </c>
      <c r="G64" s="10">
        <f t="shared" ca="1" si="1"/>
        <v>0.31716750413300532</v>
      </c>
      <c r="L64" s="10"/>
    </row>
    <row r="65" spans="1:12" x14ac:dyDescent="0.2">
      <c r="A65" s="9">
        <v>11</v>
      </c>
      <c r="B65" s="9">
        <v>1</v>
      </c>
      <c r="C65" s="9">
        <f ca="1"/>
        <v>15</v>
      </c>
      <c r="D65" s="10">
        <f ca="1"/>
        <v>11.09248826703924</v>
      </c>
      <c r="E65" s="10">
        <f t="shared" ca="1" si="0"/>
        <v>9.2488267039239958E-2</v>
      </c>
      <c r="G65" s="10">
        <f t="shared" ca="1" si="1"/>
        <v>0.31835277839425191</v>
      </c>
      <c r="L65" s="10"/>
    </row>
    <row r="66" spans="1:12" x14ac:dyDescent="0.2">
      <c r="A66" s="9">
        <v>12</v>
      </c>
      <c r="B66" s="9">
        <v>1</v>
      </c>
      <c r="C66" s="9">
        <f ca="1"/>
        <v>16</v>
      </c>
      <c r="D66" s="10">
        <f ca="1"/>
        <v>11.775707378691299</v>
      </c>
      <c r="E66" s="10">
        <f t="shared" ca="1" si="0"/>
        <v>-0.22429262130870065</v>
      </c>
      <c r="G66" s="10">
        <f t="shared" ca="1" si="1"/>
        <v>0.31412566572102818</v>
      </c>
      <c r="L66" s="10"/>
    </row>
    <row r="67" spans="1:12" x14ac:dyDescent="0.2">
      <c r="A67" s="9">
        <v>9</v>
      </c>
      <c r="B67" s="9">
        <v>1</v>
      </c>
      <c r="C67" s="9">
        <f ca="1"/>
        <v>12</v>
      </c>
      <c r="D67" s="10">
        <f ca="1"/>
        <v>9.04283093208306</v>
      </c>
      <c r="E67" s="10">
        <f t="shared" ref="E67:E130" ca="1" si="2">D67-A67</f>
        <v>4.2830932083059992E-2</v>
      </c>
      <c r="G67" s="10">
        <f t="shared" ref="G67:G130" ca="1" si="3">_xlfn.NORM.DIST(E67,0,$F$2,FALSE)</f>
        <v>0.31903836846290684</v>
      </c>
      <c r="L67" s="10"/>
    </row>
    <row r="68" spans="1:12" x14ac:dyDescent="0.2">
      <c r="A68" s="9">
        <v>13</v>
      </c>
      <c r="B68" s="9">
        <v>1</v>
      </c>
      <c r="C68" s="9">
        <f ca="1"/>
        <v>17</v>
      </c>
      <c r="D68" s="10">
        <f ca="1"/>
        <v>12.458926490343359</v>
      </c>
      <c r="E68" s="10">
        <f t="shared" ca="1" si="2"/>
        <v>-0.54107350965664125</v>
      </c>
      <c r="G68" s="10">
        <f t="shared" ca="1" si="3"/>
        <v>0.29066547731752662</v>
      </c>
      <c r="L68" s="10"/>
    </row>
    <row r="69" spans="1:12" x14ac:dyDescent="0.2">
      <c r="A69" s="9">
        <v>13</v>
      </c>
      <c r="B69" s="9">
        <v>1</v>
      </c>
      <c r="C69" s="9">
        <f ca="1"/>
        <v>17</v>
      </c>
      <c r="D69" s="10">
        <f ca="1"/>
        <v>12.458926490343359</v>
      </c>
      <c r="E69" s="10">
        <f t="shared" ca="1" si="2"/>
        <v>-0.54107350965664125</v>
      </c>
      <c r="G69" s="10">
        <f t="shared" ca="1" si="3"/>
        <v>0.29066547731752662</v>
      </c>
      <c r="L69" s="10"/>
    </row>
    <row r="70" spans="1:12" x14ac:dyDescent="0.2">
      <c r="A70" s="9">
        <v>12</v>
      </c>
      <c r="B70" s="9">
        <v>1</v>
      </c>
      <c r="C70" s="9">
        <f ca="1"/>
        <v>16</v>
      </c>
      <c r="D70" s="10">
        <f ca="1"/>
        <v>11.775707378691299</v>
      </c>
      <c r="E70" s="10">
        <f t="shared" ca="1" si="2"/>
        <v>-0.22429262130870065</v>
      </c>
      <c r="G70" s="10">
        <f t="shared" ca="1" si="3"/>
        <v>0.31412566572102818</v>
      </c>
      <c r="L70" s="10"/>
    </row>
    <row r="71" spans="1:12" x14ac:dyDescent="0.2">
      <c r="A71" s="9">
        <v>9</v>
      </c>
      <c r="B71" s="9">
        <v>1</v>
      </c>
      <c r="C71" s="9">
        <f ca="1"/>
        <v>12</v>
      </c>
      <c r="D71" s="10">
        <f ca="1"/>
        <v>9.04283093208306</v>
      </c>
      <c r="E71" s="10">
        <f t="shared" ca="1" si="2"/>
        <v>4.2830932083059992E-2</v>
      </c>
      <c r="G71" s="10">
        <f t="shared" ca="1" si="3"/>
        <v>0.31903836846290684</v>
      </c>
      <c r="L71" s="10"/>
    </row>
    <row r="72" spans="1:12" x14ac:dyDescent="0.2">
      <c r="A72" s="9">
        <v>11</v>
      </c>
      <c r="B72" s="9">
        <v>1</v>
      </c>
      <c r="C72" s="9">
        <f ca="1"/>
        <v>15</v>
      </c>
      <c r="D72" s="10">
        <f ca="1"/>
        <v>11.09248826703924</v>
      </c>
      <c r="E72" s="10">
        <f t="shared" ca="1" si="2"/>
        <v>9.2488267039239958E-2</v>
      </c>
      <c r="G72" s="10">
        <f t="shared" ca="1" si="3"/>
        <v>0.31835277839425191</v>
      </c>
      <c r="L72" s="10"/>
    </row>
    <row r="73" spans="1:12" x14ac:dyDescent="0.2">
      <c r="A73" s="9">
        <v>11</v>
      </c>
      <c r="B73" s="9">
        <v>1</v>
      </c>
      <c r="C73" s="9">
        <f ca="1"/>
        <v>16</v>
      </c>
      <c r="D73" s="10">
        <f ca="1"/>
        <v>11.775707378691299</v>
      </c>
      <c r="E73" s="10">
        <f t="shared" ca="1" si="2"/>
        <v>0.77570737869129935</v>
      </c>
      <c r="G73" s="10">
        <f t="shared" ca="1" si="3"/>
        <v>0.26329124156712214</v>
      </c>
      <c r="L73" s="10"/>
    </row>
    <row r="74" spans="1:12" x14ac:dyDescent="0.2">
      <c r="A74" s="9">
        <v>13</v>
      </c>
      <c r="B74" s="9">
        <v>1</v>
      </c>
      <c r="C74" s="9">
        <f ca="1"/>
        <v>17</v>
      </c>
      <c r="D74" s="10">
        <f ca="1"/>
        <v>12.458926490343359</v>
      </c>
      <c r="E74" s="10">
        <f t="shared" ca="1" si="2"/>
        <v>-0.54107350965664125</v>
      </c>
      <c r="G74" s="10">
        <f t="shared" ca="1" si="3"/>
        <v>0.29066547731752662</v>
      </c>
      <c r="L74" s="10"/>
    </row>
    <row r="75" spans="1:12" x14ac:dyDescent="0.2">
      <c r="A75" s="9">
        <v>11</v>
      </c>
      <c r="B75" s="9">
        <v>1</v>
      </c>
      <c r="C75" s="9">
        <f ca="1"/>
        <v>15</v>
      </c>
      <c r="D75" s="10">
        <f ca="1"/>
        <v>11.09248826703924</v>
      </c>
      <c r="E75" s="10">
        <f t="shared" ca="1" si="2"/>
        <v>9.2488267039239958E-2</v>
      </c>
      <c r="G75" s="10">
        <f t="shared" ca="1" si="3"/>
        <v>0.31835277839425191</v>
      </c>
      <c r="L75" s="10"/>
    </row>
    <row r="76" spans="1:12" x14ac:dyDescent="0.2">
      <c r="A76" s="9">
        <v>11</v>
      </c>
      <c r="B76" s="9">
        <v>1</v>
      </c>
      <c r="C76" s="9">
        <f ca="1"/>
        <v>17</v>
      </c>
      <c r="D76" s="10">
        <f ca="1"/>
        <v>12.458926490343359</v>
      </c>
      <c r="E76" s="10">
        <f t="shared" ca="1" si="2"/>
        <v>1.4589264903433588</v>
      </c>
      <c r="G76" s="10">
        <f t="shared" ca="1" si="3"/>
        <v>0.16149629011123415</v>
      </c>
      <c r="L76" s="10"/>
    </row>
    <row r="77" spans="1:12" x14ac:dyDescent="0.2">
      <c r="A77" s="9">
        <v>11</v>
      </c>
      <c r="B77" s="9">
        <v>1</v>
      </c>
      <c r="C77" s="9">
        <f ca="1"/>
        <v>17</v>
      </c>
      <c r="D77" s="10">
        <f ca="1"/>
        <v>12.458926490343359</v>
      </c>
      <c r="E77" s="10">
        <f t="shared" ca="1" si="2"/>
        <v>1.4589264903433588</v>
      </c>
      <c r="G77" s="10">
        <f t="shared" ca="1" si="3"/>
        <v>0.16149629011123415</v>
      </c>
      <c r="L77" s="10"/>
    </row>
    <row r="78" spans="1:12" x14ac:dyDescent="0.2">
      <c r="A78" s="9">
        <v>12</v>
      </c>
      <c r="B78" s="9">
        <v>1</v>
      </c>
      <c r="C78" s="9">
        <f ca="1"/>
        <v>18</v>
      </c>
      <c r="D78" s="10">
        <f ca="1"/>
        <v>13.142145601995418</v>
      </c>
      <c r="E78" s="10">
        <f t="shared" ca="1" si="2"/>
        <v>1.1421456019954181</v>
      </c>
      <c r="G78" s="10">
        <f t="shared" ca="1" si="3"/>
        <v>0.21024457151414655</v>
      </c>
      <c r="L78" s="10"/>
    </row>
    <row r="79" spans="1:12" x14ac:dyDescent="0.2">
      <c r="A79" s="9">
        <v>14</v>
      </c>
      <c r="B79" s="9">
        <v>1</v>
      </c>
      <c r="C79" s="9">
        <f ca="1"/>
        <v>17</v>
      </c>
      <c r="D79" s="10">
        <f ca="1"/>
        <v>12.458926490343359</v>
      </c>
      <c r="E79" s="10">
        <f t="shared" ca="1" si="2"/>
        <v>-1.5410735096566412</v>
      </c>
      <c r="G79" s="10">
        <f t="shared" ca="1" si="3"/>
        <v>0.14924443441661395</v>
      </c>
      <c r="L79" s="10"/>
    </row>
    <row r="80" spans="1:12" x14ac:dyDescent="0.2">
      <c r="A80" s="9">
        <v>15</v>
      </c>
      <c r="B80" s="9">
        <v>1</v>
      </c>
      <c r="C80" s="9">
        <f ca="1"/>
        <v>19</v>
      </c>
      <c r="D80" s="10">
        <f ca="1"/>
        <v>13.825364713647479</v>
      </c>
      <c r="E80" s="10">
        <f t="shared" ca="1" si="2"/>
        <v>-1.1746352863525207</v>
      </c>
      <c r="G80" s="10">
        <f t="shared" ca="1" si="3"/>
        <v>0.20523871008550823</v>
      </c>
      <c r="L80" s="10"/>
    </row>
    <row r="81" spans="1:12" x14ac:dyDescent="0.2">
      <c r="A81" s="9">
        <v>14</v>
      </c>
      <c r="B81" s="9">
        <v>1</v>
      </c>
      <c r="C81" s="9">
        <f ca="1"/>
        <v>17</v>
      </c>
      <c r="D81" s="10">
        <f ca="1"/>
        <v>12.458926490343359</v>
      </c>
      <c r="E81" s="10">
        <f t="shared" ca="1" si="2"/>
        <v>-1.5410735096566412</v>
      </c>
      <c r="G81" s="10">
        <f t="shared" ca="1" si="3"/>
        <v>0.14924443441661395</v>
      </c>
      <c r="L81" s="10"/>
    </row>
    <row r="82" spans="1:12" x14ac:dyDescent="0.2">
      <c r="A82" s="9">
        <v>13</v>
      </c>
      <c r="B82" s="9">
        <v>1</v>
      </c>
      <c r="C82" s="9">
        <f ca="1"/>
        <v>19</v>
      </c>
      <c r="D82" s="10">
        <f ca="1"/>
        <v>13.825364713647479</v>
      </c>
      <c r="E82" s="10">
        <f t="shared" ca="1" si="2"/>
        <v>0.82536471364747932</v>
      </c>
      <c r="G82" s="10">
        <f t="shared" ca="1" si="3"/>
        <v>0.25667424064304967</v>
      </c>
      <c r="L82" s="10"/>
    </row>
    <row r="83" spans="1:12" x14ac:dyDescent="0.2">
      <c r="A83" s="9">
        <v>13</v>
      </c>
      <c r="B83" s="9">
        <v>1</v>
      </c>
      <c r="C83" s="9">
        <f ca="1"/>
        <v>19</v>
      </c>
      <c r="D83" s="10">
        <f ca="1"/>
        <v>13.825364713647479</v>
      </c>
      <c r="E83" s="10">
        <f t="shared" ca="1" si="2"/>
        <v>0.82536471364747932</v>
      </c>
      <c r="G83" s="10">
        <f t="shared" ca="1" si="3"/>
        <v>0.25667424064304967</v>
      </c>
      <c r="L83" s="10"/>
    </row>
    <row r="84" spans="1:12" x14ac:dyDescent="0.2">
      <c r="A84" s="9">
        <v>13</v>
      </c>
      <c r="B84" s="9">
        <v>1</v>
      </c>
      <c r="C84" s="9">
        <f ca="1"/>
        <v>17</v>
      </c>
      <c r="D84" s="10">
        <f ca="1"/>
        <v>12.458926490343359</v>
      </c>
      <c r="E84" s="10">
        <f t="shared" ca="1" si="2"/>
        <v>-0.54107350965664125</v>
      </c>
      <c r="G84" s="10">
        <f t="shared" ca="1" si="3"/>
        <v>0.29066547731752662</v>
      </c>
      <c r="L84" s="10"/>
    </row>
    <row r="85" spans="1:12" x14ac:dyDescent="0.2">
      <c r="A85" s="9">
        <v>14</v>
      </c>
      <c r="B85" s="9">
        <v>1</v>
      </c>
      <c r="C85" s="9">
        <f ca="1"/>
        <v>17</v>
      </c>
      <c r="D85" s="10">
        <f ca="1"/>
        <v>12.458926490343359</v>
      </c>
      <c r="E85" s="10">
        <f t="shared" ca="1" si="2"/>
        <v>-1.5410735096566412</v>
      </c>
      <c r="G85" s="10">
        <f t="shared" ca="1" si="3"/>
        <v>0.14924443441661395</v>
      </c>
      <c r="L85" s="10"/>
    </row>
    <row r="86" spans="1:12" x14ac:dyDescent="0.2">
      <c r="A86" s="9">
        <v>14</v>
      </c>
      <c r="B86" s="9">
        <v>1</v>
      </c>
      <c r="C86" s="9">
        <f ca="1"/>
        <v>17</v>
      </c>
      <c r="D86" s="10">
        <f ca="1"/>
        <v>12.458926490343359</v>
      </c>
      <c r="E86" s="10">
        <f t="shared" ca="1" si="2"/>
        <v>-1.5410735096566412</v>
      </c>
      <c r="G86" s="10">
        <f t="shared" ca="1" si="3"/>
        <v>0.14924443441661395</v>
      </c>
      <c r="L86" s="10"/>
    </row>
    <row r="87" spans="1:12" x14ac:dyDescent="0.2">
      <c r="A87" s="9">
        <v>13</v>
      </c>
      <c r="B87" s="9">
        <v>1</v>
      </c>
      <c r="C87" s="9">
        <f ca="1"/>
        <v>16</v>
      </c>
      <c r="D87" s="10">
        <f ca="1"/>
        <v>11.775707378691299</v>
      </c>
      <c r="E87" s="10">
        <f t="shared" ca="1" si="2"/>
        <v>-1.2242926213087006</v>
      </c>
      <c r="G87" s="10">
        <f t="shared" ca="1" si="3"/>
        <v>0.19755889639295596</v>
      </c>
      <c r="L87" s="10"/>
    </row>
    <row r="88" spans="1:12" x14ac:dyDescent="0.2">
      <c r="A88" s="9">
        <v>13</v>
      </c>
      <c r="B88" s="9">
        <v>1</v>
      </c>
      <c r="C88" s="9">
        <f ca="1"/>
        <v>16</v>
      </c>
      <c r="D88" s="10">
        <f ca="1"/>
        <v>11.775707378691299</v>
      </c>
      <c r="E88" s="10">
        <f t="shared" ca="1" si="2"/>
        <v>-1.2242926213087006</v>
      </c>
      <c r="G88" s="10">
        <f t="shared" ca="1" si="3"/>
        <v>0.19755889639295596</v>
      </c>
      <c r="L88" s="10"/>
    </row>
    <row r="89" spans="1:12" x14ac:dyDescent="0.2">
      <c r="A89" s="9">
        <v>13</v>
      </c>
      <c r="B89" s="9">
        <v>1</v>
      </c>
      <c r="C89" s="9">
        <f ca="1"/>
        <v>17</v>
      </c>
      <c r="D89" s="10">
        <f ca="1"/>
        <v>12.458926490343359</v>
      </c>
      <c r="E89" s="10">
        <f t="shared" ca="1" si="2"/>
        <v>-0.54107350965664125</v>
      </c>
      <c r="G89" s="10">
        <f t="shared" ca="1" si="3"/>
        <v>0.29066547731752662</v>
      </c>
      <c r="L89" s="10"/>
    </row>
    <row r="90" spans="1:12" x14ac:dyDescent="0.2">
      <c r="A90" s="9">
        <v>11</v>
      </c>
      <c r="B90" s="9">
        <v>1</v>
      </c>
      <c r="C90" s="9">
        <f ca="1"/>
        <v>15</v>
      </c>
      <c r="D90" s="10">
        <f ca="1"/>
        <v>11.09248826703924</v>
      </c>
      <c r="E90" s="10">
        <f t="shared" ca="1" si="2"/>
        <v>9.2488267039239958E-2</v>
      </c>
      <c r="G90" s="10">
        <f t="shared" ca="1" si="3"/>
        <v>0.31835277839425191</v>
      </c>
      <c r="L90" s="10"/>
    </row>
    <row r="91" spans="1:12" x14ac:dyDescent="0.2">
      <c r="A91" s="9">
        <v>13</v>
      </c>
      <c r="B91" s="9">
        <v>1</v>
      </c>
      <c r="C91" s="9">
        <f ca="1"/>
        <v>17</v>
      </c>
      <c r="D91" s="10">
        <f ca="1"/>
        <v>12.458926490343359</v>
      </c>
      <c r="E91" s="10">
        <f t="shared" ca="1" si="2"/>
        <v>-0.54107350965664125</v>
      </c>
      <c r="G91" s="10">
        <f t="shared" ca="1" si="3"/>
        <v>0.29066547731752662</v>
      </c>
      <c r="L91" s="10"/>
    </row>
    <row r="92" spans="1:12" x14ac:dyDescent="0.2">
      <c r="A92" s="9">
        <v>18</v>
      </c>
      <c r="B92" s="9">
        <v>1</v>
      </c>
      <c r="C92" s="9">
        <f ca="1"/>
        <v>26</v>
      </c>
      <c r="D92" s="10">
        <f ca="1"/>
        <v>18.607898495211895</v>
      </c>
      <c r="E92" s="10">
        <f t="shared" ca="1" si="2"/>
        <v>0.6078984952118951</v>
      </c>
      <c r="G92" s="10">
        <f t="shared" ca="1" si="3"/>
        <v>0.28360781451993688</v>
      </c>
      <c r="L92" s="10"/>
    </row>
    <row r="93" spans="1:12" x14ac:dyDescent="0.2">
      <c r="A93" s="9">
        <v>18</v>
      </c>
      <c r="B93" s="9">
        <v>1</v>
      </c>
      <c r="C93" s="9">
        <f ca="1"/>
        <v>25</v>
      </c>
      <c r="D93" s="10">
        <f ca="1"/>
        <v>17.924679383559837</v>
      </c>
      <c r="E93" s="10">
        <f t="shared" ca="1" si="2"/>
        <v>-7.5320616440162524E-2</v>
      </c>
      <c r="G93" s="10">
        <f t="shared" ca="1" si="3"/>
        <v>0.3186465302206829</v>
      </c>
      <c r="L93" s="10"/>
    </row>
    <row r="94" spans="1:12" x14ac:dyDescent="0.2">
      <c r="A94" s="9">
        <v>17</v>
      </c>
      <c r="B94" s="9">
        <v>1</v>
      </c>
      <c r="C94" s="9">
        <f ca="1"/>
        <v>26</v>
      </c>
      <c r="D94" s="10">
        <f ca="1"/>
        <v>18.607898495211895</v>
      </c>
      <c r="E94" s="10">
        <f t="shared" ca="1" si="2"/>
        <v>1.6078984952118951</v>
      </c>
      <c r="G94" s="10">
        <f t="shared" ca="1" si="3"/>
        <v>0.13952132892333158</v>
      </c>
      <c r="L94" s="10"/>
    </row>
    <row r="95" spans="1:12" x14ac:dyDescent="0.2">
      <c r="A95" s="9">
        <v>16</v>
      </c>
      <c r="B95" s="9">
        <v>1</v>
      </c>
      <c r="C95" s="9">
        <f ca="1"/>
        <v>24</v>
      </c>
      <c r="D95" s="10">
        <f ca="1"/>
        <v>17.241460271907776</v>
      </c>
      <c r="E95" s="10">
        <f t="shared" ca="1" si="2"/>
        <v>1.2414602719077763</v>
      </c>
      <c r="G95" s="10">
        <f t="shared" ca="1" si="3"/>
        <v>0.19489962071960723</v>
      </c>
      <c r="L95" s="10"/>
    </row>
    <row r="96" spans="1:12" x14ac:dyDescent="0.2">
      <c r="A96" s="9">
        <v>15</v>
      </c>
      <c r="B96" s="9">
        <v>1</v>
      </c>
      <c r="C96" s="9">
        <f ca="1"/>
        <v>21</v>
      </c>
      <c r="D96" s="10">
        <f ca="1"/>
        <v>15.191802936951598</v>
      </c>
      <c r="E96" s="10">
        <f t="shared" ca="1" si="2"/>
        <v>0.19180293695159811</v>
      </c>
      <c r="G96" s="10">
        <f t="shared" ca="1" si="3"/>
        <v>0.31548813891774308</v>
      </c>
      <c r="L96" s="10"/>
    </row>
    <row r="97" spans="1:12" x14ac:dyDescent="0.2">
      <c r="A97" s="9">
        <v>15</v>
      </c>
      <c r="B97" s="9">
        <v>1</v>
      </c>
      <c r="C97" s="9">
        <f ca="1"/>
        <v>22</v>
      </c>
      <c r="D97" s="10">
        <f ca="1"/>
        <v>15.875022048603658</v>
      </c>
      <c r="E97" s="10">
        <f t="shared" ca="1" si="2"/>
        <v>0.87502204860365751</v>
      </c>
      <c r="G97" s="10">
        <f t="shared" ca="1" si="3"/>
        <v>0.2498287819911226</v>
      </c>
      <c r="L97" s="10"/>
    </row>
    <row r="98" spans="1:12" x14ac:dyDescent="0.2">
      <c r="A98" s="9">
        <v>15</v>
      </c>
      <c r="B98" s="9">
        <v>1</v>
      </c>
      <c r="C98" s="9">
        <f ca="1"/>
        <v>23</v>
      </c>
      <c r="D98" s="10">
        <f ca="1"/>
        <v>16.558241160255715</v>
      </c>
      <c r="E98" s="10">
        <f t="shared" ca="1" si="2"/>
        <v>1.5582411602557151</v>
      </c>
      <c r="G98" s="10">
        <f t="shared" ca="1" si="3"/>
        <v>0.1467237015411641</v>
      </c>
      <c r="L98" s="10"/>
    </row>
    <row r="99" spans="1:12" x14ac:dyDescent="0.2">
      <c r="A99" s="9">
        <v>15</v>
      </c>
      <c r="B99" s="9">
        <v>1</v>
      </c>
      <c r="C99" s="9">
        <f ca="1"/>
        <v>22</v>
      </c>
      <c r="D99" s="10">
        <f ca="1"/>
        <v>15.875022048603658</v>
      </c>
      <c r="E99" s="10">
        <f t="shared" ca="1" si="2"/>
        <v>0.87502204860365751</v>
      </c>
      <c r="G99" s="10">
        <f t="shared" ca="1" si="3"/>
        <v>0.2498287819911226</v>
      </c>
      <c r="L99" s="10"/>
    </row>
    <row r="100" spans="1:12" x14ac:dyDescent="0.2">
      <c r="A100" s="9">
        <v>14</v>
      </c>
      <c r="B100" s="9">
        <v>1</v>
      </c>
      <c r="C100" s="9">
        <f ca="1"/>
        <v>20</v>
      </c>
      <c r="D100" s="10">
        <f ca="1"/>
        <v>14.508583825299539</v>
      </c>
      <c r="E100" s="10">
        <f t="shared" ca="1" si="2"/>
        <v>0.50858382529953872</v>
      </c>
      <c r="G100" s="10">
        <f t="shared" ca="1" si="3"/>
        <v>0.29385631906225068</v>
      </c>
      <c r="L100" s="10"/>
    </row>
    <row r="101" spans="1:12" x14ac:dyDescent="0.2">
      <c r="A101" s="9">
        <v>28</v>
      </c>
      <c r="B101" s="9">
        <v>1</v>
      </c>
      <c r="C101" s="9">
        <f ca="1"/>
        <v>33</v>
      </c>
      <c r="D101" s="10">
        <f ca="1"/>
        <v>23.390432276776316</v>
      </c>
      <c r="E101" s="10">
        <f t="shared" ca="1" si="2"/>
        <v>-4.6095677232236838</v>
      </c>
      <c r="G101" s="10">
        <f t="shared" ca="1" si="3"/>
        <v>3.5467090836049079E-4</v>
      </c>
      <c r="L101" s="10"/>
    </row>
    <row r="102" spans="1:12" x14ac:dyDescent="0.2">
      <c r="A102" s="9">
        <v>24</v>
      </c>
      <c r="B102" s="9">
        <v>1</v>
      </c>
      <c r="C102" s="9">
        <f ca="1"/>
        <v>32</v>
      </c>
      <c r="D102" s="10">
        <f ca="1"/>
        <v>22.707213165124255</v>
      </c>
      <c r="E102" s="10">
        <f t="shared" ca="1" si="2"/>
        <v>-1.292786834875745</v>
      </c>
      <c r="G102" s="10">
        <f t="shared" ca="1" si="3"/>
        <v>0.18695017615119994</v>
      </c>
      <c r="L102" s="10"/>
    </row>
    <row r="103" spans="1:12" x14ac:dyDescent="0.2">
      <c r="A103" s="9">
        <v>25</v>
      </c>
      <c r="B103" s="9">
        <v>1</v>
      </c>
      <c r="C103" s="9">
        <f ca="1"/>
        <v>32</v>
      </c>
      <c r="D103" s="10">
        <f ca="1"/>
        <v>22.707213165124255</v>
      </c>
      <c r="E103" s="10">
        <f t="shared" ca="1" si="2"/>
        <v>-2.292786834875745</v>
      </c>
      <c r="G103" s="10">
        <f t="shared" ca="1" si="3"/>
        <v>5.9319674466379105E-2</v>
      </c>
      <c r="L103" s="10"/>
    </row>
    <row r="104" spans="1:12" x14ac:dyDescent="0.2">
      <c r="A104" s="9">
        <v>23</v>
      </c>
      <c r="B104" s="9">
        <v>1</v>
      </c>
      <c r="C104" s="9">
        <f ca="1"/>
        <v>29</v>
      </c>
      <c r="D104" s="10">
        <f ca="1"/>
        <v>20.657555830168075</v>
      </c>
      <c r="E104" s="10">
        <f t="shared" ca="1" si="2"/>
        <v>-2.3424441698319249</v>
      </c>
      <c r="G104" s="10">
        <f t="shared" ca="1" si="3"/>
        <v>5.5105656873233724E-2</v>
      </c>
      <c r="L104" s="10"/>
    </row>
    <row r="105" spans="1:12" x14ac:dyDescent="0.2">
      <c r="A105" s="9">
        <v>24</v>
      </c>
      <c r="B105" s="9">
        <v>1</v>
      </c>
      <c r="C105" s="9">
        <f ca="1"/>
        <v>32</v>
      </c>
      <c r="D105" s="10">
        <f ca="1"/>
        <v>22.707213165124255</v>
      </c>
      <c r="E105" s="10">
        <f t="shared" ca="1" si="2"/>
        <v>-1.292786834875745</v>
      </c>
      <c r="G105" s="10">
        <f t="shared" ca="1" si="3"/>
        <v>0.18695017615119994</v>
      </c>
      <c r="L105" s="10"/>
    </row>
    <row r="106" spans="1:12" x14ac:dyDescent="0.2">
      <c r="A106" s="9">
        <v>26</v>
      </c>
      <c r="B106" s="9">
        <v>1</v>
      </c>
      <c r="C106" s="9">
        <f ca="1"/>
        <v>34</v>
      </c>
      <c r="D106" s="10">
        <f ca="1"/>
        <v>24.073651388428374</v>
      </c>
      <c r="E106" s="10">
        <f t="shared" ca="1" si="2"/>
        <v>-1.9263486115716262</v>
      </c>
      <c r="G106" s="10">
        <f t="shared" ca="1" si="3"/>
        <v>9.7309924689843758E-2</v>
      </c>
      <c r="L106" s="10"/>
    </row>
    <row r="107" spans="1:12" x14ac:dyDescent="0.2">
      <c r="A107" s="9">
        <v>25</v>
      </c>
      <c r="B107" s="9">
        <v>1</v>
      </c>
      <c r="C107" s="9">
        <f ca="1"/>
        <v>36</v>
      </c>
      <c r="D107" s="10">
        <f ca="1"/>
        <v>25.440089611732493</v>
      </c>
      <c r="E107" s="10">
        <f t="shared" ca="1" si="2"/>
        <v>0.44008961173249261</v>
      </c>
      <c r="G107" s="10">
        <f t="shared" ca="1" si="3"/>
        <v>0.30003330384512222</v>
      </c>
      <c r="L107" s="10"/>
    </row>
    <row r="108" spans="1:12" x14ac:dyDescent="0.2">
      <c r="A108" s="9">
        <v>24</v>
      </c>
      <c r="B108" s="9">
        <v>1</v>
      </c>
      <c r="C108" s="9">
        <f ca="1"/>
        <v>36</v>
      </c>
      <c r="D108" s="10">
        <f ca="1"/>
        <v>25.440089611732493</v>
      </c>
      <c r="E108" s="10">
        <f t="shared" ca="1" si="2"/>
        <v>1.4400896117324926</v>
      </c>
      <c r="G108" s="10">
        <f t="shared" ca="1" si="3"/>
        <v>0.16434448542706917</v>
      </c>
      <c r="L108" s="10"/>
    </row>
    <row r="109" spans="1:12" x14ac:dyDescent="0.2">
      <c r="A109" s="9">
        <v>21</v>
      </c>
      <c r="B109" s="9">
        <v>1</v>
      </c>
      <c r="C109" s="9">
        <f ca="1"/>
        <v>29</v>
      </c>
      <c r="D109" s="10">
        <f ca="1"/>
        <v>20.657555830168075</v>
      </c>
      <c r="E109" s="10">
        <f t="shared" ca="1" si="2"/>
        <v>-0.34244416983192494</v>
      </c>
      <c r="G109" s="10">
        <f t="shared" ca="1" si="3"/>
        <v>0.30746337812452051</v>
      </c>
      <c r="L109" s="10"/>
    </row>
    <row r="110" spans="1:12" x14ac:dyDescent="0.2">
      <c r="A110" s="9">
        <v>18</v>
      </c>
      <c r="B110" s="9">
        <v>1</v>
      </c>
      <c r="C110" s="9">
        <f ca="1"/>
        <v>26</v>
      </c>
      <c r="D110" s="10">
        <f ca="1"/>
        <v>18.607898495211895</v>
      </c>
      <c r="E110" s="10">
        <f t="shared" ca="1" si="2"/>
        <v>0.6078984952118951</v>
      </c>
      <c r="G110" s="10">
        <f t="shared" ca="1" si="3"/>
        <v>0.28360781451993688</v>
      </c>
      <c r="L110" s="10"/>
    </row>
    <row r="111" spans="1:12" x14ac:dyDescent="0.2">
      <c r="A111" s="9">
        <v>18</v>
      </c>
      <c r="B111" s="9">
        <v>1</v>
      </c>
      <c r="C111" s="9">
        <f ca="1"/>
        <v>27</v>
      </c>
      <c r="D111" s="10">
        <f ca="1"/>
        <v>19.291117606863956</v>
      </c>
      <c r="E111" s="10">
        <f t="shared" ca="1" si="2"/>
        <v>1.2911176068639563</v>
      </c>
      <c r="G111" s="10">
        <f t="shared" ca="1" si="3"/>
        <v>0.18720849951963059</v>
      </c>
      <c r="L111" s="10"/>
    </row>
    <row r="112" spans="1:12" x14ac:dyDescent="0.2">
      <c r="A112" s="9">
        <v>21</v>
      </c>
      <c r="B112" s="9">
        <v>1</v>
      </c>
      <c r="C112" s="9">
        <f ca="1"/>
        <v>30</v>
      </c>
      <c r="D112" s="10">
        <f ca="1"/>
        <v>21.340774941820136</v>
      </c>
      <c r="E112" s="10">
        <f t="shared" ca="1" si="2"/>
        <v>0.34077494182013623</v>
      </c>
      <c r="G112" s="10">
        <f t="shared" ca="1" si="3"/>
        <v>0.30757565599758996</v>
      </c>
      <c r="L112" s="10"/>
    </row>
    <row r="113" spans="1:12" x14ac:dyDescent="0.2">
      <c r="A113" s="9">
        <v>21</v>
      </c>
      <c r="B113" s="9">
        <v>1</v>
      </c>
      <c r="C113" s="9">
        <f ca="1"/>
        <v>31</v>
      </c>
      <c r="D113" s="10">
        <f ca="1"/>
        <v>22.023994053472194</v>
      </c>
      <c r="E113" s="10">
        <f t="shared" ca="1" si="2"/>
        <v>1.0239940534721939</v>
      </c>
      <c r="G113" s="10">
        <f t="shared" ca="1" si="3"/>
        <v>0.22819645484299309</v>
      </c>
      <c r="L113" s="10"/>
    </row>
    <row r="114" spans="1:12" x14ac:dyDescent="0.2">
      <c r="A114" s="9">
        <v>18</v>
      </c>
      <c r="B114" s="9">
        <v>1</v>
      </c>
      <c r="C114" s="9">
        <f ca="1"/>
        <v>26</v>
      </c>
      <c r="D114" s="10">
        <f ca="1"/>
        <v>18.607898495211895</v>
      </c>
      <c r="E114" s="10">
        <f t="shared" ca="1" si="2"/>
        <v>0.6078984952118951</v>
      </c>
      <c r="G114" s="10">
        <f t="shared" ca="1" si="3"/>
        <v>0.28360781451993688</v>
      </c>
      <c r="L114" s="10"/>
    </row>
    <row r="115" spans="1:12" x14ac:dyDescent="0.2">
      <c r="A115" s="9">
        <v>18</v>
      </c>
      <c r="B115" s="9">
        <v>1</v>
      </c>
      <c r="C115" s="9">
        <f ca="1"/>
        <v>26</v>
      </c>
      <c r="D115" s="10">
        <f ca="1"/>
        <v>18.607898495211895</v>
      </c>
      <c r="E115" s="10">
        <f t="shared" ca="1" si="2"/>
        <v>0.6078984952118951</v>
      </c>
      <c r="G115" s="10">
        <f t="shared" ca="1" si="3"/>
        <v>0.28360781451993688</v>
      </c>
      <c r="L115" s="10"/>
    </row>
    <row r="116" spans="1:12" x14ac:dyDescent="0.2">
      <c r="A116" s="9">
        <v>19</v>
      </c>
      <c r="B116" s="9">
        <v>1</v>
      </c>
      <c r="C116" s="9">
        <f ca="1"/>
        <v>28</v>
      </c>
      <c r="D116" s="10">
        <f ca="1"/>
        <v>19.974336718516017</v>
      </c>
      <c r="E116" s="10">
        <f t="shared" ca="1" si="2"/>
        <v>0.97433671851601744</v>
      </c>
      <c r="G116" s="10">
        <f t="shared" ca="1" si="3"/>
        <v>0.23556229359930655</v>
      </c>
      <c r="L116" s="10"/>
    </row>
    <row r="117" spans="1:12" x14ac:dyDescent="0.2">
      <c r="A117" s="9">
        <v>19</v>
      </c>
      <c r="B117" s="9">
        <v>1</v>
      </c>
      <c r="C117" s="9">
        <f ca="1"/>
        <v>26</v>
      </c>
      <c r="D117" s="10">
        <f ca="1"/>
        <v>18.607898495211895</v>
      </c>
      <c r="E117" s="10">
        <f t="shared" ca="1" si="2"/>
        <v>-0.3921015047881049</v>
      </c>
      <c r="G117" s="10">
        <f t="shared" ca="1" si="3"/>
        <v>0.30389387162696274</v>
      </c>
      <c r="L117" s="10"/>
    </row>
    <row r="118" spans="1:12" x14ac:dyDescent="0.2">
      <c r="A118" s="9">
        <v>19</v>
      </c>
      <c r="B118" s="9">
        <v>1</v>
      </c>
      <c r="C118" s="9">
        <f ca="1"/>
        <v>29</v>
      </c>
      <c r="D118" s="10">
        <f ca="1"/>
        <v>20.657555830168075</v>
      </c>
      <c r="E118" s="10">
        <f t="shared" ca="1" si="2"/>
        <v>1.6575558301680751</v>
      </c>
      <c r="G118" s="10">
        <f t="shared" ca="1" si="3"/>
        <v>0.13246320078694085</v>
      </c>
      <c r="L118" s="10"/>
    </row>
    <row r="119" spans="1:12" x14ac:dyDescent="0.2">
      <c r="A119" s="9">
        <v>20</v>
      </c>
      <c r="B119" s="9">
        <v>1</v>
      </c>
      <c r="C119" s="9">
        <f ca="1"/>
        <v>28</v>
      </c>
      <c r="D119" s="10">
        <f ca="1"/>
        <v>19.974336718516017</v>
      </c>
      <c r="E119" s="10">
        <f t="shared" ca="1" si="2"/>
        <v>-2.5663281483982558E-2</v>
      </c>
      <c r="G119" s="10">
        <f t="shared" ca="1" si="3"/>
        <v>0.31915849397187074</v>
      </c>
      <c r="L119" s="10"/>
    </row>
    <row r="120" spans="1:12" x14ac:dyDescent="0.2">
      <c r="A120" s="9">
        <v>20</v>
      </c>
      <c r="B120" s="9">
        <v>1</v>
      </c>
      <c r="C120" s="9">
        <f ca="1"/>
        <v>27</v>
      </c>
      <c r="D120" s="10">
        <f ca="1"/>
        <v>19.291117606863956</v>
      </c>
      <c r="E120" s="10">
        <f t="shared" ca="1" si="2"/>
        <v>-0.70888239313604373</v>
      </c>
      <c r="G120" s="10">
        <f t="shared" ca="1" si="3"/>
        <v>0.2717877911689337</v>
      </c>
      <c r="L120" s="10"/>
    </row>
    <row r="121" spans="1:12" x14ac:dyDescent="0.2">
      <c r="A121" s="9">
        <v>17</v>
      </c>
      <c r="B121" s="9">
        <v>1</v>
      </c>
      <c r="C121" s="9">
        <f ca="1"/>
        <v>24</v>
      </c>
      <c r="D121" s="10">
        <f ca="1"/>
        <v>17.241460271907776</v>
      </c>
      <c r="E121" s="10">
        <f t="shared" ca="1" si="2"/>
        <v>0.2414602719077763</v>
      </c>
      <c r="G121" s="10">
        <f t="shared" ca="1" si="3"/>
        <v>0.31332258364370175</v>
      </c>
      <c r="L121" s="10"/>
    </row>
    <row r="122" spans="1:12" x14ac:dyDescent="0.2">
      <c r="A122" s="9">
        <v>16</v>
      </c>
      <c r="B122" s="9">
        <v>1</v>
      </c>
      <c r="C122" s="9">
        <f ca="1"/>
        <v>24</v>
      </c>
      <c r="D122" s="10">
        <f ca="1"/>
        <v>17.241460271907776</v>
      </c>
      <c r="E122" s="10">
        <f t="shared" ca="1" si="2"/>
        <v>1.2414602719077763</v>
      </c>
      <c r="G122" s="10">
        <f t="shared" ca="1" si="3"/>
        <v>0.19489962071960723</v>
      </c>
      <c r="L122" s="10"/>
    </row>
    <row r="123" spans="1:12" x14ac:dyDescent="0.2">
      <c r="A123" s="9">
        <v>17</v>
      </c>
      <c r="B123" s="9">
        <v>1</v>
      </c>
      <c r="C123" s="9">
        <f ca="1"/>
        <v>24</v>
      </c>
      <c r="D123" s="10">
        <f ca="1"/>
        <v>17.241460271907776</v>
      </c>
      <c r="E123" s="10">
        <f t="shared" ca="1" si="2"/>
        <v>0.2414602719077763</v>
      </c>
      <c r="G123" s="10">
        <f t="shared" ca="1" si="3"/>
        <v>0.31332258364370175</v>
      </c>
      <c r="L123" s="10"/>
    </row>
    <row r="124" spans="1:12" x14ac:dyDescent="0.2">
      <c r="A124" s="9">
        <v>17</v>
      </c>
      <c r="B124" s="9">
        <v>1</v>
      </c>
      <c r="C124" s="9">
        <f ca="1"/>
        <v>22</v>
      </c>
      <c r="D124" s="10">
        <f ca="1"/>
        <v>15.875022048603658</v>
      </c>
      <c r="E124" s="10">
        <f t="shared" ca="1" si="2"/>
        <v>-1.1249779513963425</v>
      </c>
      <c r="G124" s="10">
        <f t="shared" ca="1" si="3"/>
        <v>0.21288069180319472</v>
      </c>
      <c r="L124" s="10"/>
    </row>
    <row r="125" spans="1:12" x14ac:dyDescent="0.2">
      <c r="A125" s="9">
        <v>15</v>
      </c>
      <c r="B125" s="9">
        <v>1</v>
      </c>
      <c r="C125" s="9">
        <f ca="1"/>
        <v>19</v>
      </c>
      <c r="D125" s="10">
        <f ca="1"/>
        <v>13.825364713647479</v>
      </c>
      <c r="E125" s="10">
        <f t="shared" ca="1" si="2"/>
        <v>-1.1746352863525207</v>
      </c>
      <c r="G125" s="10">
        <f t="shared" ca="1" si="3"/>
        <v>0.20523871008550823</v>
      </c>
      <c r="L125" s="10"/>
    </row>
    <row r="126" spans="1:12" x14ac:dyDescent="0.2">
      <c r="A126" s="9">
        <v>15</v>
      </c>
      <c r="B126" s="9">
        <v>1</v>
      </c>
      <c r="C126" s="9">
        <f ca="1"/>
        <v>20</v>
      </c>
      <c r="D126" s="10">
        <f ca="1"/>
        <v>14.508583825299539</v>
      </c>
      <c r="E126" s="10">
        <f t="shared" ca="1" si="2"/>
        <v>-0.49141617470046128</v>
      </c>
      <c r="G126" s="10">
        <f t="shared" ca="1" si="3"/>
        <v>0.29547583692562635</v>
      </c>
      <c r="L126" s="10"/>
    </row>
    <row r="127" spans="1:12" x14ac:dyDescent="0.2">
      <c r="A127" s="9">
        <v>14</v>
      </c>
      <c r="B127" s="9">
        <v>1</v>
      </c>
      <c r="C127" s="9">
        <f ca="1"/>
        <v>17</v>
      </c>
      <c r="D127" s="10">
        <f ca="1"/>
        <v>12.458926490343359</v>
      </c>
      <c r="E127" s="10">
        <f t="shared" ca="1" si="2"/>
        <v>-1.5410735096566412</v>
      </c>
      <c r="G127" s="10">
        <f t="shared" ca="1" si="3"/>
        <v>0.14924443441661395</v>
      </c>
      <c r="L127" s="10"/>
    </row>
    <row r="128" spans="1:12" x14ac:dyDescent="0.2">
      <c r="A128" s="9">
        <v>9</v>
      </c>
      <c r="B128" s="9">
        <v>1</v>
      </c>
      <c r="C128" s="9">
        <f ca="1"/>
        <v>12</v>
      </c>
      <c r="D128" s="10">
        <f ca="1"/>
        <v>9.04283093208306</v>
      </c>
      <c r="E128" s="10">
        <f t="shared" ca="1" si="2"/>
        <v>4.2830932083059992E-2</v>
      </c>
      <c r="G128" s="10">
        <f t="shared" ca="1" si="3"/>
        <v>0.31903836846290684</v>
      </c>
      <c r="L128" s="10"/>
    </row>
    <row r="129" spans="1:12" x14ac:dyDescent="0.2">
      <c r="A129" s="9">
        <v>14</v>
      </c>
      <c r="B129" s="9">
        <v>1</v>
      </c>
      <c r="C129" s="9">
        <f ca="1"/>
        <v>19</v>
      </c>
      <c r="D129" s="10">
        <f ca="1"/>
        <v>13.825364713647479</v>
      </c>
      <c r="E129" s="10">
        <f t="shared" ca="1" si="2"/>
        <v>-0.17463528635252068</v>
      </c>
      <c r="G129" s="10">
        <f t="shared" ca="1" si="3"/>
        <v>0.31612416936198534</v>
      </c>
      <c r="L129" s="10"/>
    </row>
    <row r="130" spans="1:12" x14ac:dyDescent="0.2">
      <c r="A130" s="9">
        <v>13</v>
      </c>
      <c r="B130" s="9">
        <v>1</v>
      </c>
      <c r="C130" s="9">
        <f ca="1"/>
        <v>18</v>
      </c>
      <c r="D130" s="10">
        <f ca="1"/>
        <v>13.142145601995418</v>
      </c>
      <c r="E130" s="10">
        <f t="shared" ca="1" si="2"/>
        <v>0.14214560199541815</v>
      </c>
      <c r="G130" s="10">
        <f t="shared" ca="1" si="3"/>
        <v>0.31716750413300532</v>
      </c>
      <c r="L130" s="10"/>
    </row>
    <row r="131" spans="1:12" x14ac:dyDescent="0.2">
      <c r="A131" s="9">
        <v>11</v>
      </c>
      <c r="B131" s="9">
        <v>1</v>
      </c>
      <c r="C131" s="9">
        <f ca="1"/>
        <v>14</v>
      </c>
      <c r="D131" s="10">
        <f ca="1"/>
        <v>10.409269155387181</v>
      </c>
      <c r="E131" s="10">
        <f t="shared" ref="E131:E194" ca="1" si="4">D131-A131</f>
        <v>-0.59073084461281944</v>
      </c>
      <c r="G131" s="10">
        <f t="shared" ref="G131:G194" ca="1" si="5">_xlfn.NORM.DIST(E131,0,$F$2,FALSE)</f>
        <v>0.28548233893943797</v>
      </c>
      <c r="L131" s="10"/>
    </row>
    <row r="132" spans="1:12" x14ac:dyDescent="0.2">
      <c r="A132" s="9">
        <v>11</v>
      </c>
      <c r="B132" s="9">
        <v>1</v>
      </c>
      <c r="C132" s="9">
        <f ca="1"/>
        <v>15</v>
      </c>
      <c r="D132" s="10">
        <f ca="1"/>
        <v>11.09248826703924</v>
      </c>
      <c r="E132" s="10">
        <f t="shared" ca="1" si="4"/>
        <v>9.2488267039239958E-2</v>
      </c>
      <c r="G132" s="10">
        <f t="shared" ca="1" si="5"/>
        <v>0.31835277839425191</v>
      </c>
      <c r="L132" s="10"/>
    </row>
    <row r="133" spans="1:12" x14ac:dyDescent="0.2">
      <c r="A133" s="9">
        <v>12</v>
      </c>
      <c r="B133" s="9">
        <v>1</v>
      </c>
      <c r="C133" s="9">
        <f ca="1"/>
        <v>18</v>
      </c>
      <c r="D133" s="10">
        <f ca="1"/>
        <v>13.142145601995418</v>
      </c>
      <c r="E133" s="10">
        <f t="shared" ca="1" si="4"/>
        <v>1.1421456019954181</v>
      </c>
      <c r="G133" s="10">
        <f t="shared" ca="1" si="5"/>
        <v>0.21024457151414655</v>
      </c>
      <c r="L133" s="10"/>
    </row>
    <row r="134" spans="1:12" x14ac:dyDescent="0.2">
      <c r="A134" s="9">
        <v>12</v>
      </c>
      <c r="B134" s="9">
        <v>1</v>
      </c>
      <c r="C134" s="9">
        <f ca="1"/>
        <v>18</v>
      </c>
      <c r="D134" s="10">
        <f ca="1"/>
        <v>13.142145601995418</v>
      </c>
      <c r="E134" s="10">
        <f t="shared" ca="1" si="4"/>
        <v>1.1421456019954181</v>
      </c>
      <c r="G134" s="10">
        <f t="shared" ca="1" si="5"/>
        <v>0.21024457151414655</v>
      </c>
      <c r="L134" s="10"/>
    </row>
    <row r="135" spans="1:12" x14ac:dyDescent="0.2">
      <c r="A135" s="9">
        <v>11</v>
      </c>
      <c r="B135" s="9">
        <v>1</v>
      </c>
      <c r="C135" s="9">
        <f ca="1"/>
        <v>15</v>
      </c>
      <c r="D135" s="10">
        <f ca="1"/>
        <v>11.09248826703924</v>
      </c>
      <c r="E135" s="10">
        <f t="shared" ca="1" si="4"/>
        <v>9.2488267039239958E-2</v>
      </c>
      <c r="G135" s="10">
        <f t="shared" ca="1" si="5"/>
        <v>0.31835277839425191</v>
      </c>
      <c r="L135" s="10"/>
    </row>
    <row r="136" spans="1:12" x14ac:dyDescent="0.2">
      <c r="A136" s="9">
        <v>11</v>
      </c>
      <c r="B136" s="9">
        <v>1</v>
      </c>
      <c r="C136" s="9">
        <f ca="1"/>
        <v>17</v>
      </c>
      <c r="D136" s="10">
        <f ca="1"/>
        <v>12.458926490343359</v>
      </c>
      <c r="E136" s="10">
        <f t="shared" ca="1" si="4"/>
        <v>1.4589264903433588</v>
      </c>
      <c r="G136" s="10">
        <f t="shared" ca="1" si="5"/>
        <v>0.16149629011123415</v>
      </c>
      <c r="L136" s="10"/>
    </row>
    <row r="137" spans="1:12" x14ac:dyDescent="0.2">
      <c r="A137" s="9">
        <v>11</v>
      </c>
      <c r="B137" s="9">
        <v>1</v>
      </c>
      <c r="C137" s="9">
        <f ca="1"/>
        <v>16</v>
      </c>
      <c r="D137" s="10">
        <f ca="1"/>
        <v>11.775707378691299</v>
      </c>
      <c r="E137" s="10">
        <f t="shared" ca="1" si="4"/>
        <v>0.77570737869129935</v>
      </c>
      <c r="G137" s="10">
        <f t="shared" ca="1" si="5"/>
        <v>0.26329124156712214</v>
      </c>
      <c r="L137" s="10"/>
    </row>
    <row r="138" spans="1:12" x14ac:dyDescent="0.2">
      <c r="A138" s="9">
        <v>12</v>
      </c>
      <c r="B138" s="9">
        <v>1</v>
      </c>
      <c r="C138" s="9">
        <f ca="1"/>
        <v>18</v>
      </c>
      <c r="D138" s="10">
        <f ca="1"/>
        <v>13.142145601995418</v>
      </c>
      <c r="E138" s="10">
        <f t="shared" ca="1" si="4"/>
        <v>1.1421456019954181</v>
      </c>
      <c r="G138" s="10">
        <f t="shared" ca="1" si="5"/>
        <v>0.21024457151414655</v>
      </c>
      <c r="L138" s="10"/>
    </row>
    <row r="139" spans="1:12" x14ac:dyDescent="0.2">
      <c r="A139" s="9">
        <v>14</v>
      </c>
      <c r="B139" s="9">
        <v>1</v>
      </c>
      <c r="C139" s="9">
        <f ca="1"/>
        <v>17</v>
      </c>
      <c r="D139" s="10">
        <f ca="1"/>
        <v>12.458926490343359</v>
      </c>
      <c r="E139" s="10">
        <f t="shared" ca="1" si="4"/>
        <v>-1.5410735096566412</v>
      </c>
      <c r="G139" s="10">
        <f t="shared" ca="1" si="5"/>
        <v>0.14924443441661395</v>
      </c>
      <c r="L139" s="10"/>
    </row>
    <row r="140" spans="1:12" x14ac:dyDescent="0.2">
      <c r="A140" s="9">
        <v>13</v>
      </c>
      <c r="B140" s="9">
        <v>1</v>
      </c>
      <c r="C140" s="9">
        <f ca="1"/>
        <v>19</v>
      </c>
      <c r="D140" s="10">
        <f ca="1"/>
        <v>13.825364713647479</v>
      </c>
      <c r="E140" s="10">
        <f t="shared" ca="1" si="4"/>
        <v>0.82536471364747932</v>
      </c>
      <c r="G140" s="10">
        <f t="shared" ca="1" si="5"/>
        <v>0.25667424064304967</v>
      </c>
      <c r="L140" s="10"/>
    </row>
    <row r="141" spans="1:12" x14ac:dyDescent="0.2">
      <c r="A141" s="9">
        <v>13</v>
      </c>
      <c r="B141" s="9">
        <v>1</v>
      </c>
      <c r="C141" s="9">
        <f ca="1"/>
        <v>19</v>
      </c>
      <c r="D141" s="10">
        <f ca="1"/>
        <v>13.825364713647479</v>
      </c>
      <c r="E141" s="10">
        <f t="shared" ca="1" si="4"/>
        <v>0.82536471364747932</v>
      </c>
      <c r="G141" s="10">
        <f t="shared" ca="1" si="5"/>
        <v>0.25667424064304967</v>
      </c>
      <c r="L141" s="10"/>
    </row>
    <row r="142" spans="1:12" x14ac:dyDescent="0.2">
      <c r="A142" s="9">
        <v>13</v>
      </c>
      <c r="B142" s="9">
        <v>1</v>
      </c>
      <c r="C142" s="9">
        <f ca="1"/>
        <v>17</v>
      </c>
      <c r="D142" s="10">
        <f ca="1"/>
        <v>12.458926490343359</v>
      </c>
      <c r="E142" s="10">
        <f t="shared" ca="1" si="4"/>
        <v>-0.54107350965664125</v>
      </c>
      <c r="G142" s="10">
        <f t="shared" ca="1" si="5"/>
        <v>0.29066547731752662</v>
      </c>
      <c r="L142" s="10"/>
    </row>
    <row r="143" spans="1:12" x14ac:dyDescent="0.2">
      <c r="A143" s="9">
        <v>21</v>
      </c>
      <c r="B143" s="9">
        <v>1</v>
      </c>
      <c r="C143" s="9">
        <f ca="1"/>
        <v>29</v>
      </c>
      <c r="D143" s="10">
        <f ca="1"/>
        <v>20.657555830168075</v>
      </c>
      <c r="E143" s="10">
        <f t="shared" ca="1" si="4"/>
        <v>-0.34244416983192494</v>
      </c>
      <c r="G143" s="10">
        <f t="shared" ca="1" si="5"/>
        <v>0.30746337812452051</v>
      </c>
      <c r="L143" s="10"/>
    </row>
    <row r="144" spans="1:12" x14ac:dyDescent="0.2">
      <c r="A144" s="9">
        <v>19</v>
      </c>
      <c r="B144" s="9">
        <v>1</v>
      </c>
      <c r="C144" s="9">
        <f ca="1"/>
        <v>27</v>
      </c>
      <c r="D144" s="10">
        <f ca="1"/>
        <v>19.291117606863956</v>
      </c>
      <c r="E144" s="10">
        <f t="shared" ca="1" si="4"/>
        <v>0.29111760686395627</v>
      </c>
      <c r="G144" s="10">
        <f t="shared" ca="1" si="5"/>
        <v>0.31068098494392388</v>
      </c>
      <c r="L144" s="10"/>
    </row>
    <row r="145" spans="1:12" x14ac:dyDescent="0.2">
      <c r="A145" s="9">
        <v>23</v>
      </c>
      <c r="B145" s="9">
        <v>1</v>
      </c>
      <c r="C145" s="9">
        <f ca="1"/>
        <v>31</v>
      </c>
      <c r="D145" s="10">
        <f ca="1"/>
        <v>22.023994053472194</v>
      </c>
      <c r="E145" s="10">
        <f t="shared" ca="1" si="4"/>
        <v>-0.97600594652780615</v>
      </c>
      <c r="G145" s="10">
        <f t="shared" ca="1" si="5"/>
        <v>0.23531690641077893</v>
      </c>
      <c r="L145" s="10"/>
    </row>
    <row r="146" spans="1:12" x14ac:dyDescent="0.2">
      <c r="A146" s="9">
        <v>23</v>
      </c>
      <c r="B146" s="9">
        <v>1</v>
      </c>
      <c r="C146" s="9">
        <f ca="1"/>
        <v>32</v>
      </c>
      <c r="D146" s="10">
        <f ca="1"/>
        <v>22.707213165124255</v>
      </c>
      <c r="E146" s="10">
        <f t="shared" ca="1" si="4"/>
        <v>-0.29278683487574497</v>
      </c>
      <c r="G146" s="10">
        <f t="shared" ca="1" si="5"/>
        <v>0.31058405673494627</v>
      </c>
      <c r="L146" s="10"/>
    </row>
    <row r="147" spans="1:12" x14ac:dyDescent="0.2">
      <c r="A147" s="9">
        <v>19</v>
      </c>
      <c r="B147" s="9">
        <v>1</v>
      </c>
      <c r="C147" s="9">
        <f ca="1"/>
        <v>27</v>
      </c>
      <c r="D147" s="10">
        <f ca="1"/>
        <v>19.291117606863956</v>
      </c>
      <c r="E147" s="10">
        <f t="shared" ca="1" si="4"/>
        <v>0.29111760686395627</v>
      </c>
      <c r="G147" s="10">
        <f t="shared" ca="1" si="5"/>
        <v>0.31068098494392388</v>
      </c>
      <c r="L147" s="10"/>
    </row>
    <row r="148" spans="1:12" x14ac:dyDescent="0.2">
      <c r="A148" s="9">
        <v>19</v>
      </c>
      <c r="B148" s="9">
        <v>1</v>
      </c>
      <c r="C148" s="9">
        <f ca="1"/>
        <v>26</v>
      </c>
      <c r="D148" s="10">
        <f ca="1"/>
        <v>18.607898495211895</v>
      </c>
      <c r="E148" s="10">
        <f t="shared" ca="1" si="4"/>
        <v>-0.3921015047881049</v>
      </c>
      <c r="G148" s="10">
        <f t="shared" ca="1" si="5"/>
        <v>0.30389387162696274</v>
      </c>
      <c r="L148" s="10"/>
    </row>
    <row r="149" spans="1:12" x14ac:dyDescent="0.2">
      <c r="A149" s="9">
        <v>18</v>
      </c>
      <c r="B149" s="9">
        <v>1</v>
      </c>
      <c r="C149" s="9">
        <f ca="1"/>
        <v>26</v>
      </c>
      <c r="D149" s="10">
        <f ca="1"/>
        <v>18.607898495211895</v>
      </c>
      <c r="E149" s="10">
        <f t="shared" ca="1" si="4"/>
        <v>0.6078984952118951</v>
      </c>
      <c r="G149" s="10">
        <f t="shared" ca="1" si="5"/>
        <v>0.28360781451993688</v>
      </c>
      <c r="L149" s="10"/>
    </row>
    <row r="150" spans="1:12" x14ac:dyDescent="0.2">
      <c r="A150" s="9">
        <v>19</v>
      </c>
      <c r="B150" s="9">
        <v>1</v>
      </c>
      <c r="C150" s="9">
        <f ca="1"/>
        <v>25</v>
      </c>
      <c r="D150" s="10">
        <f ca="1"/>
        <v>17.924679383559837</v>
      </c>
      <c r="E150" s="10">
        <f t="shared" ca="1" si="4"/>
        <v>-1.0753206164401625</v>
      </c>
      <c r="G150" s="10">
        <f t="shared" ca="1" si="5"/>
        <v>0.22045887184038612</v>
      </c>
      <c r="L150" s="10"/>
    </row>
    <row r="151" spans="1:12" x14ac:dyDescent="0.2">
      <c r="A151" s="9">
        <v>19</v>
      </c>
      <c r="B151" s="9">
        <v>1</v>
      </c>
      <c r="C151" s="9">
        <f ca="1"/>
        <v>25</v>
      </c>
      <c r="D151" s="10">
        <f ca="1"/>
        <v>17.924679383559837</v>
      </c>
      <c r="E151" s="10">
        <f t="shared" ca="1" si="4"/>
        <v>-1.0753206164401625</v>
      </c>
      <c r="G151" s="10">
        <f t="shared" ca="1" si="5"/>
        <v>0.22045887184038612</v>
      </c>
      <c r="L151" s="10"/>
    </row>
    <row r="152" spans="1:12" x14ac:dyDescent="0.2">
      <c r="A152" s="9">
        <v>14</v>
      </c>
      <c r="B152" s="9">
        <v>1</v>
      </c>
      <c r="C152" s="9">
        <f ca="1"/>
        <v>17</v>
      </c>
      <c r="D152" s="10">
        <f ca="1"/>
        <v>12.458926490343359</v>
      </c>
      <c r="E152" s="10">
        <f t="shared" ca="1" si="4"/>
        <v>-1.5410735096566412</v>
      </c>
      <c r="G152" s="10">
        <f t="shared" ca="1" si="5"/>
        <v>0.14924443441661395</v>
      </c>
      <c r="L152" s="10"/>
    </row>
    <row r="153" spans="1:12" x14ac:dyDescent="0.2">
      <c r="A153" s="9">
        <v>15</v>
      </c>
      <c r="B153" s="9">
        <v>1</v>
      </c>
      <c r="C153" s="9">
        <f ca="1"/>
        <v>17</v>
      </c>
      <c r="D153" s="10">
        <f ca="1"/>
        <v>12.458926490343359</v>
      </c>
      <c r="E153" s="10">
        <f t="shared" ca="1" si="4"/>
        <v>-2.5410735096566412</v>
      </c>
      <c r="G153" s="10">
        <f t="shared" ca="1" si="5"/>
        <v>4.0395128664178985E-2</v>
      </c>
      <c r="L153" s="10"/>
    </row>
    <row r="154" spans="1:12" x14ac:dyDescent="0.2">
      <c r="A154" s="9">
        <v>14</v>
      </c>
      <c r="B154" s="9">
        <v>1</v>
      </c>
      <c r="C154" s="9">
        <f ca="1"/>
        <v>20</v>
      </c>
      <c r="D154" s="10">
        <f ca="1"/>
        <v>14.508583825299539</v>
      </c>
      <c r="E154" s="10">
        <f t="shared" ca="1" si="4"/>
        <v>0.50858382529953872</v>
      </c>
      <c r="G154" s="10">
        <f t="shared" ca="1" si="5"/>
        <v>0.29385631906225068</v>
      </c>
      <c r="L154" s="10"/>
    </row>
    <row r="155" spans="1:12" x14ac:dyDescent="0.2">
      <c r="A155" s="9">
        <v>12</v>
      </c>
      <c r="B155" s="9">
        <v>1</v>
      </c>
      <c r="C155" s="9">
        <f ca="1"/>
        <v>18</v>
      </c>
      <c r="D155" s="10">
        <f ca="1"/>
        <v>13.142145601995418</v>
      </c>
      <c r="E155" s="10">
        <f t="shared" ca="1" si="4"/>
        <v>1.1421456019954181</v>
      </c>
      <c r="G155" s="10">
        <f t="shared" ca="1" si="5"/>
        <v>0.21024457151414655</v>
      </c>
      <c r="L155" s="10"/>
    </row>
    <row r="156" spans="1:12" x14ac:dyDescent="0.2">
      <c r="A156" s="9">
        <v>18</v>
      </c>
      <c r="B156" s="9">
        <v>1</v>
      </c>
      <c r="C156" s="9">
        <f ca="1"/>
        <v>26</v>
      </c>
      <c r="D156" s="10">
        <f ca="1"/>
        <v>18.607898495211895</v>
      </c>
      <c r="E156" s="10">
        <f t="shared" ca="1" si="4"/>
        <v>0.6078984952118951</v>
      </c>
      <c r="G156" s="10">
        <f t="shared" ca="1" si="5"/>
        <v>0.28360781451993688</v>
      </c>
      <c r="L156" s="10"/>
    </row>
    <row r="157" spans="1:12" x14ac:dyDescent="0.2">
      <c r="A157" s="9">
        <v>16</v>
      </c>
      <c r="B157" s="9">
        <v>1</v>
      </c>
      <c r="C157" s="9">
        <f ca="1"/>
        <v>26</v>
      </c>
      <c r="D157" s="10">
        <f ca="1"/>
        <v>18.607898495211895</v>
      </c>
      <c r="E157" s="10">
        <f t="shared" ca="1" si="4"/>
        <v>2.6078984952118951</v>
      </c>
      <c r="G157" s="10">
        <f t="shared" ca="1" si="5"/>
        <v>3.6181717224349638E-2</v>
      </c>
      <c r="L157" s="10"/>
    </row>
    <row r="158" spans="1:12" x14ac:dyDescent="0.2">
      <c r="A158" s="9">
        <v>17</v>
      </c>
      <c r="B158" s="9">
        <v>1</v>
      </c>
      <c r="C158" s="9">
        <f ca="1"/>
        <v>27</v>
      </c>
      <c r="D158" s="10">
        <f ca="1"/>
        <v>19.291117606863956</v>
      </c>
      <c r="E158" s="10">
        <f t="shared" ca="1" si="4"/>
        <v>2.2911176068639563</v>
      </c>
      <c r="G158" s="10">
        <f t="shared" ca="1" si="5"/>
        <v>5.9465162689867283E-2</v>
      </c>
      <c r="L158" s="10"/>
    </row>
    <row r="159" spans="1:12" x14ac:dyDescent="0.2">
      <c r="A159" s="9">
        <v>18</v>
      </c>
      <c r="B159" s="9">
        <v>1</v>
      </c>
      <c r="C159" s="9">
        <f ca="1"/>
        <v>28</v>
      </c>
      <c r="D159" s="10">
        <f ca="1"/>
        <v>19.974336718516017</v>
      </c>
      <c r="E159" s="10">
        <f t="shared" ca="1" si="4"/>
        <v>1.9743367185160174</v>
      </c>
      <c r="G159" s="10">
        <f t="shared" ca="1" si="5"/>
        <v>9.1649753525670924E-2</v>
      </c>
      <c r="L159" s="10"/>
    </row>
    <row r="160" spans="1:12" x14ac:dyDescent="0.2">
      <c r="A160" s="9">
        <v>16</v>
      </c>
      <c r="B160" s="9">
        <v>1</v>
      </c>
      <c r="C160" s="9">
        <f ca="1"/>
        <v>25</v>
      </c>
      <c r="D160" s="10">
        <f ca="1"/>
        <v>17.924679383559837</v>
      </c>
      <c r="E160" s="10">
        <f t="shared" ca="1" si="4"/>
        <v>1.9246793835598375</v>
      </c>
      <c r="G160" s="10">
        <f t="shared" ca="1" si="5"/>
        <v>9.7510391399401958E-2</v>
      </c>
      <c r="L160" s="10"/>
    </row>
    <row r="161" spans="1:12" x14ac:dyDescent="0.2">
      <c r="A161" s="9">
        <v>18</v>
      </c>
      <c r="B161" s="9">
        <v>1</v>
      </c>
      <c r="C161" s="9">
        <f ca="1"/>
        <v>25</v>
      </c>
      <c r="D161" s="10">
        <f ca="1"/>
        <v>17.924679383559837</v>
      </c>
      <c r="E161" s="10">
        <f t="shared" ca="1" si="4"/>
        <v>-7.5320616440162524E-2</v>
      </c>
      <c r="G161" s="10">
        <f t="shared" ca="1" si="5"/>
        <v>0.3186465302206829</v>
      </c>
      <c r="L161" s="10"/>
    </row>
    <row r="162" spans="1:12" x14ac:dyDescent="0.2">
      <c r="A162" s="9">
        <v>18</v>
      </c>
      <c r="B162" s="9">
        <v>1</v>
      </c>
      <c r="C162" s="9">
        <f ca="1"/>
        <v>24</v>
      </c>
      <c r="D162" s="10">
        <f ca="1"/>
        <v>17.241460271907776</v>
      </c>
      <c r="E162" s="10">
        <f t="shared" ca="1" si="4"/>
        <v>-0.7585397280922237</v>
      </c>
      <c r="G162" s="10">
        <f t="shared" ca="1" si="5"/>
        <v>0.2655208098682208</v>
      </c>
      <c r="L162" s="10"/>
    </row>
    <row r="163" spans="1:12" x14ac:dyDescent="0.2">
      <c r="A163" s="9">
        <v>20</v>
      </c>
      <c r="B163" s="9">
        <v>1</v>
      </c>
      <c r="C163" s="9">
        <f ca="1"/>
        <v>27</v>
      </c>
      <c r="D163" s="10">
        <f ca="1"/>
        <v>19.291117606863956</v>
      </c>
      <c r="E163" s="10">
        <f t="shared" ca="1" si="4"/>
        <v>-0.70888239313604373</v>
      </c>
      <c r="G163" s="10">
        <f t="shared" ca="1" si="5"/>
        <v>0.2717877911689337</v>
      </c>
      <c r="L163" s="10"/>
    </row>
    <row r="164" spans="1:12" x14ac:dyDescent="0.2">
      <c r="A164" s="9">
        <v>19</v>
      </c>
      <c r="B164" s="9">
        <v>1</v>
      </c>
      <c r="C164" s="9">
        <f ca="1"/>
        <v>25</v>
      </c>
      <c r="D164" s="10">
        <f ca="1"/>
        <v>17.924679383559837</v>
      </c>
      <c r="E164" s="10">
        <f t="shared" ca="1" si="4"/>
        <v>-1.0753206164401625</v>
      </c>
      <c r="G164" s="10">
        <f t="shared" ca="1" si="5"/>
        <v>0.22045887184038612</v>
      </c>
      <c r="L164" s="10"/>
    </row>
    <row r="165" spans="1:12" x14ac:dyDescent="0.2">
      <c r="A165" s="9">
        <v>20</v>
      </c>
      <c r="B165" s="9">
        <v>1</v>
      </c>
      <c r="C165" s="9">
        <f ca="1"/>
        <v>26</v>
      </c>
      <c r="D165" s="10">
        <f ca="1"/>
        <v>18.607898495211895</v>
      </c>
      <c r="E165" s="10">
        <f t="shared" ca="1" si="4"/>
        <v>-1.3921015047881049</v>
      </c>
      <c r="G165" s="10">
        <f t="shared" ca="1" si="5"/>
        <v>0.17165317899794366</v>
      </c>
      <c r="L165" s="10"/>
    </row>
    <row r="166" spans="1:12" x14ac:dyDescent="0.2">
      <c r="A166" s="9">
        <v>18</v>
      </c>
      <c r="B166" s="9">
        <v>1</v>
      </c>
      <c r="C166" s="9">
        <f ca="1"/>
        <v>23</v>
      </c>
      <c r="D166" s="10">
        <f ca="1"/>
        <v>16.558241160255715</v>
      </c>
      <c r="E166" s="10">
        <f t="shared" ca="1" si="4"/>
        <v>-1.4417588397442849</v>
      </c>
      <c r="G166" s="10">
        <f t="shared" ca="1" si="5"/>
        <v>0.16409158276943275</v>
      </c>
      <c r="L166" s="10"/>
    </row>
    <row r="167" spans="1:12" x14ac:dyDescent="0.2">
      <c r="A167" s="9">
        <v>21</v>
      </c>
      <c r="B167" s="9">
        <v>1</v>
      </c>
      <c r="C167" s="9">
        <f ca="1"/>
        <v>26</v>
      </c>
      <c r="D167" s="10">
        <f ca="1"/>
        <v>18.607898495211895</v>
      </c>
      <c r="E167" s="10">
        <f t="shared" ca="1" si="4"/>
        <v>-2.3921015047881049</v>
      </c>
      <c r="G167" s="10">
        <f t="shared" ca="1" si="5"/>
        <v>5.1110239922417852E-2</v>
      </c>
      <c r="L167" s="10"/>
    </row>
    <row r="168" spans="1:12" x14ac:dyDescent="0.2">
      <c r="A168" s="9">
        <v>19</v>
      </c>
      <c r="B168" s="9">
        <v>1</v>
      </c>
      <c r="C168" s="9">
        <f ca="1"/>
        <v>26</v>
      </c>
      <c r="D168" s="10">
        <f ca="1"/>
        <v>18.607898495211895</v>
      </c>
      <c r="E168" s="10">
        <f t="shared" ca="1" si="4"/>
        <v>-0.3921015047881049</v>
      </c>
      <c r="G168" s="10">
        <f t="shared" ca="1" si="5"/>
        <v>0.30389387162696274</v>
      </c>
      <c r="L168" s="10"/>
    </row>
    <row r="169" spans="1:12" x14ac:dyDescent="0.2">
      <c r="A169" s="9">
        <v>19</v>
      </c>
      <c r="B169" s="9">
        <v>1</v>
      </c>
      <c r="C169" s="9">
        <f ca="1"/>
        <v>26</v>
      </c>
      <c r="D169" s="10">
        <f ca="1"/>
        <v>18.607898495211895</v>
      </c>
      <c r="E169" s="10">
        <f t="shared" ca="1" si="4"/>
        <v>-0.3921015047881049</v>
      </c>
      <c r="G169" s="10">
        <f t="shared" ca="1" si="5"/>
        <v>0.30389387162696274</v>
      </c>
      <c r="L169" s="10"/>
    </row>
    <row r="170" spans="1:12" x14ac:dyDescent="0.2">
      <c r="A170" s="9">
        <v>19</v>
      </c>
      <c r="B170" s="9">
        <v>1</v>
      </c>
      <c r="C170" s="9">
        <f ca="1"/>
        <v>26</v>
      </c>
      <c r="D170" s="10">
        <f ca="1"/>
        <v>18.607898495211895</v>
      </c>
      <c r="E170" s="10">
        <f t="shared" ca="1" si="4"/>
        <v>-0.3921015047881049</v>
      </c>
      <c r="G170" s="10">
        <f t="shared" ca="1" si="5"/>
        <v>0.30389387162696274</v>
      </c>
      <c r="L170" s="10"/>
    </row>
    <row r="171" spans="1:12" x14ac:dyDescent="0.2">
      <c r="A171" s="9">
        <v>20</v>
      </c>
      <c r="B171" s="9">
        <v>1</v>
      </c>
      <c r="C171" s="9">
        <f ca="1"/>
        <v>25</v>
      </c>
      <c r="D171" s="10">
        <f ca="1"/>
        <v>17.924679383559837</v>
      </c>
      <c r="E171" s="10">
        <f t="shared" ca="1" si="4"/>
        <v>-2.0753206164401625</v>
      </c>
      <c r="G171" s="10">
        <f t="shared" ca="1" si="5"/>
        <v>8.0402976672096699E-2</v>
      </c>
      <c r="L171" s="10"/>
    </row>
    <row r="172" spans="1:12" x14ac:dyDescent="0.2">
      <c r="A172" s="9">
        <v>20</v>
      </c>
      <c r="B172" s="9">
        <v>1</v>
      </c>
      <c r="C172" s="9">
        <f ca="1"/>
        <v>27</v>
      </c>
      <c r="D172" s="10">
        <f ca="1"/>
        <v>19.291117606863956</v>
      </c>
      <c r="E172" s="10">
        <f t="shared" ca="1" si="4"/>
        <v>-0.70888239313604373</v>
      </c>
      <c r="G172" s="10">
        <f t="shared" ca="1" si="5"/>
        <v>0.2717877911689337</v>
      </c>
      <c r="L172" s="10"/>
    </row>
    <row r="173" spans="1:12" x14ac:dyDescent="0.2">
      <c r="A173" s="9">
        <v>19</v>
      </c>
      <c r="B173" s="9">
        <v>1</v>
      </c>
      <c r="C173" s="9">
        <f ca="1"/>
        <v>25</v>
      </c>
      <c r="D173" s="10">
        <f ca="1"/>
        <v>17.924679383559837</v>
      </c>
      <c r="E173" s="10">
        <f t="shared" ca="1" si="4"/>
        <v>-1.0753206164401625</v>
      </c>
      <c r="G173" s="10">
        <f t="shared" ca="1" si="5"/>
        <v>0.22045887184038612</v>
      </c>
      <c r="L173" s="10"/>
    </row>
    <row r="174" spans="1:12" x14ac:dyDescent="0.2">
      <c r="A174" s="9">
        <v>20</v>
      </c>
      <c r="B174" s="9">
        <v>1</v>
      </c>
      <c r="C174" s="9">
        <f ca="1"/>
        <v>27</v>
      </c>
      <c r="D174" s="10">
        <f ca="1"/>
        <v>19.291117606863956</v>
      </c>
      <c r="E174" s="10">
        <f t="shared" ca="1" si="4"/>
        <v>-0.70888239313604373</v>
      </c>
      <c r="G174" s="10">
        <f t="shared" ca="1" si="5"/>
        <v>0.2717877911689337</v>
      </c>
      <c r="L174" s="10"/>
    </row>
    <row r="175" spans="1:12" x14ac:dyDescent="0.2">
      <c r="A175" s="9">
        <v>15</v>
      </c>
      <c r="B175" s="9">
        <v>1</v>
      </c>
      <c r="C175" s="9">
        <f ca="1"/>
        <v>20</v>
      </c>
      <c r="D175" s="10">
        <f ca="1"/>
        <v>14.508583825299539</v>
      </c>
      <c r="E175" s="10">
        <f t="shared" ca="1" si="4"/>
        <v>-0.49141617470046128</v>
      </c>
      <c r="G175" s="10">
        <f t="shared" ca="1" si="5"/>
        <v>0.29547583692562635</v>
      </c>
      <c r="L175" s="10"/>
    </row>
    <row r="176" spans="1:12" x14ac:dyDescent="0.2">
      <c r="A176" s="9">
        <v>16</v>
      </c>
      <c r="B176" s="9">
        <v>1</v>
      </c>
      <c r="C176" s="9">
        <f ca="1"/>
        <v>20</v>
      </c>
      <c r="D176" s="10">
        <f ca="1"/>
        <v>14.508583825299539</v>
      </c>
      <c r="E176" s="10">
        <f t="shared" ca="1" si="4"/>
        <v>-1.4914161747004613</v>
      </c>
      <c r="G176" s="10">
        <f t="shared" ca="1" si="5"/>
        <v>0.15661561802916329</v>
      </c>
      <c r="L176" s="10"/>
    </row>
    <row r="177" spans="1:12" x14ac:dyDescent="0.2">
      <c r="A177" s="9">
        <v>15</v>
      </c>
      <c r="B177" s="9">
        <v>1</v>
      </c>
      <c r="C177" s="9">
        <f ca="1"/>
        <v>19</v>
      </c>
      <c r="D177" s="10">
        <f ca="1"/>
        <v>13.825364713647479</v>
      </c>
      <c r="E177" s="10">
        <f t="shared" ca="1" si="4"/>
        <v>-1.1746352863525207</v>
      </c>
      <c r="G177" s="10">
        <f t="shared" ca="1" si="5"/>
        <v>0.20523871008550823</v>
      </c>
      <c r="L177" s="10"/>
    </row>
    <row r="178" spans="1:12" x14ac:dyDescent="0.2">
      <c r="A178" s="9">
        <v>15</v>
      </c>
      <c r="B178" s="9">
        <v>1</v>
      </c>
      <c r="C178" s="9">
        <f ca="1"/>
        <v>17</v>
      </c>
      <c r="D178" s="10">
        <f ca="1"/>
        <v>12.458926490343359</v>
      </c>
      <c r="E178" s="10">
        <f t="shared" ca="1" si="4"/>
        <v>-2.5410735096566412</v>
      </c>
      <c r="G178" s="10">
        <f t="shared" ca="1" si="5"/>
        <v>4.0395128664178985E-2</v>
      </c>
      <c r="L178" s="10"/>
    </row>
    <row r="179" spans="1:12" x14ac:dyDescent="0.2">
      <c r="A179" s="9">
        <v>16</v>
      </c>
      <c r="B179" s="9">
        <v>1</v>
      </c>
      <c r="C179" s="9">
        <f ca="1"/>
        <v>20</v>
      </c>
      <c r="D179" s="10">
        <f ca="1"/>
        <v>14.508583825299539</v>
      </c>
      <c r="E179" s="10">
        <f t="shared" ca="1" si="4"/>
        <v>-1.4914161747004613</v>
      </c>
      <c r="G179" s="10">
        <f t="shared" ca="1" si="5"/>
        <v>0.15661561802916329</v>
      </c>
      <c r="L179" s="10"/>
    </row>
    <row r="180" spans="1:12" x14ac:dyDescent="0.2">
      <c r="A180" s="9">
        <v>14</v>
      </c>
      <c r="B180" s="9">
        <v>1</v>
      </c>
      <c r="C180" s="9">
        <f ca="1"/>
        <v>17</v>
      </c>
      <c r="D180" s="10">
        <f ca="1"/>
        <v>12.458926490343359</v>
      </c>
      <c r="E180" s="10">
        <f t="shared" ca="1" si="4"/>
        <v>-1.5410735096566412</v>
      </c>
      <c r="G180" s="10">
        <f t="shared" ca="1" si="5"/>
        <v>0.14924443441661395</v>
      </c>
      <c r="L180" s="10"/>
    </row>
    <row r="181" spans="1:12" x14ac:dyDescent="0.2">
      <c r="A181" s="9">
        <v>21</v>
      </c>
      <c r="B181" s="9">
        <v>1</v>
      </c>
      <c r="C181" s="9">
        <f ca="1"/>
        <v>29</v>
      </c>
      <c r="D181" s="10">
        <f ca="1"/>
        <v>20.657555830168075</v>
      </c>
      <c r="E181" s="10">
        <f t="shared" ca="1" si="4"/>
        <v>-0.34244416983192494</v>
      </c>
      <c r="G181" s="10">
        <f t="shared" ca="1" si="5"/>
        <v>0.30746337812452051</v>
      </c>
      <c r="L181" s="10"/>
    </row>
    <row r="182" spans="1:12" x14ac:dyDescent="0.2">
      <c r="A182" s="9">
        <v>21</v>
      </c>
      <c r="B182" s="9">
        <v>1</v>
      </c>
      <c r="C182" s="9">
        <f ca="1"/>
        <v>27</v>
      </c>
      <c r="D182" s="10">
        <f ca="1"/>
        <v>19.291117606863956</v>
      </c>
      <c r="E182" s="10">
        <f t="shared" ca="1" si="4"/>
        <v>-1.7088823931360437</v>
      </c>
      <c r="G182" s="10">
        <f t="shared" ca="1" si="5"/>
        <v>0.12533471414208935</v>
      </c>
      <c r="L182" s="10"/>
    </row>
    <row r="183" spans="1:12" x14ac:dyDescent="0.2">
      <c r="A183" s="9">
        <v>21</v>
      </c>
      <c r="B183" s="9">
        <v>1</v>
      </c>
      <c r="C183" s="9">
        <f ca="1"/>
        <v>31</v>
      </c>
      <c r="D183" s="10">
        <f ca="1"/>
        <v>22.023994053472194</v>
      </c>
      <c r="E183" s="10">
        <f t="shared" ca="1" si="4"/>
        <v>1.0239940534721939</v>
      </c>
      <c r="G183" s="10">
        <f t="shared" ca="1" si="5"/>
        <v>0.22819645484299309</v>
      </c>
      <c r="L183" s="10"/>
    </row>
    <row r="184" spans="1:12" x14ac:dyDescent="0.2">
      <c r="A184" s="9">
        <v>21</v>
      </c>
      <c r="B184" s="9">
        <v>1</v>
      </c>
      <c r="C184" s="9">
        <f ca="1"/>
        <v>31</v>
      </c>
      <c r="D184" s="10">
        <f ca="1"/>
        <v>22.023994053472194</v>
      </c>
      <c r="E184" s="10">
        <f t="shared" ca="1" si="4"/>
        <v>1.0239940534721939</v>
      </c>
      <c r="G184" s="10">
        <f t="shared" ca="1" si="5"/>
        <v>0.22819645484299309</v>
      </c>
      <c r="L184" s="10"/>
    </row>
    <row r="185" spans="1:12" x14ac:dyDescent="0.2">
      <c r="A185" s="9">
        <v>18</v>
      </c>
      <c r="B185" s="9">
        <v>1</v>
      </c>
      <c r="C185" s="9">
        <f ca="1"/>
        <v>26</v>
      </c>
      <c r="D185" s="10">
        <f ca="1"/>
        <v>18.607898495211895</v>
      </c>
      <c r="E185" s="10">
        <f t="shared" ca="1" si="4"/>
        <v>0.6078984952118951</v>
      </c>
      <c r="G185" s="10">
        <f t="shared" ca="1" si="5"/>
        <v>0.28360781451993688</v>
      </c>
      <c r="L185" s="10"/>
    </row>
    <row r="186" spans="1:12" x14ac:dyDescent="0.2">
      <c r="A186" s="9">
        <v>18</v>
      </c>
      <c r="B186" s="9">
        <v>1</v>
      </c>
      <c r="C186" s="9">
        <f ca="1"/>
        <v>26</v>
      </c>
      <c r="D186" s="10">
        <f ca="1"/>
        <v>18.607898495211895</v>
      </c>
      <c r="E186" s="10">
        <f t="shared" ca="1" si="4"/>
        <v>0.6078984952118951</v>
      </c>
      <c r="G186" s="10">
        <f t="shared" ca="1" si="5"/>
        <v>0.28360781451993688</v>
      </c>
      <c r="L186" s="10"/>
    </row>
    <row r="187" spans="1:12" x14ac:dyDescent="0.2">
      <c r="A187" s="9">
        <v>19</v>
      </c>
      <c r="B187" s="9">
        <v>1</v>
      </c>
      <c r="C187" s="9">
        <f ca="1"/>
        <v>28</v>
      </c>
      <c r="D187" s="10">
        <f ca="1"/>
        <v>19.974336718516017</v>
      </c>
      <c r="E187" s="10">
        <f t="shared" ca="1" si="4"/>
        <v>0.97433671851601744</v>
      </c>
      <c r="G187" s="10">
        <f t="shared" ca="1" si="5"/>
        <v>0.23556229359930655</v>
      </c>
      <c r="L187" s="10"/>
    </row>
    <row r="188" spans="1:12" x14ac:dyDescent="0.2">
      <c r="A188" s="9">
        <v>21</v>
      </c>
      <c r="B188" s="9">
        <v>1</v>
      </c>
      <c r="C188" s="9">
        <f ca="1"/>
        <v>27</v>
      </c>
      <c r="D188" s="10">
        <f ca="1"/>
        <v>19.291117606863956</v>
      </c>
      <c r="E188" s="10">
        <f t="shared" ca="1" si="4"/>
        <v>-1.7088823931360437</v>
      </c>
      <c r="G188" s="10">
        <f t="shared" ca="1" si="5"/>
        <v>0.12533471414208935</v>
      </c>
      <c r="L188" s="10"/>
    </row>
    <row r="189" spans="1:12" x14ac:dyDescent="0.2">
      <c r="A189" s="9">
        <v>21</v>
      </c>
      <c r="B189" s="9">
        <v>1</v>
      </c>
      <c r="C189" s="9">
        <f ca="1"/>
        <v>29</v>
      </c>
      <c r="D189" s="10">
        <f ca="1"/>
        <v>20.657555830168075</v>
      </c>
      <c r="E189" s="10">
        <f t="shared" ca="1" si="4"/>
        <v>-0.34244416983192494</v>
      </c>
      <c r="G189" s="10">
        <f t="shared" ca="1" si="5"/>
        <v>0.30746337812452051</v>
      </c>
      <c r="L189" s="10"/>
    </row>
    <row r="190" spans="1:12" x14ac:dyDescent="0.2">
      <c r="A190" s="9">
        <v>21</v>
      </c>
      <c r="B190" s="9">
        <v>1</v>
      </c>
      <c r="C190" s="9">
        <f ca="1"/>
        <v>31</v>
      </c>
      <c r="D190" s="10">
        <f ca="1"/>
        <v>22.023994053472194</v>
      </c>
      <c r="E190" s="10">
        <f t="shared" ca="1" si="4"/>
        <v>1.0239940534721939</v>
      </c>
      <c r="G190" s="10">
        <f t="shared" ca="1" si="5"/>
        <v>0.22819645484299309</v>
      </c>
      <c r="L190" s="10"/>
    </row>
    <row r="191" spans="1:12" x14ac:dyDescent="0.2">
      <c r="A191" s="9">
        <v>22</v>
      </c>
      <c r="B191" s="9">
        <v>1</v>
      </c>
      <c r="C191" s="9">
        <f ca="1"/>
        <v>31</v>
      </c>
      <c r="D191" s="10">
        <f ca="1"/>
        <v>22.023994053472194</v>
      </c>
      <c r="E191" s="10">
        <f t="shared" ca="1" si="4"/>
        <v>2.3994053472193855E-2</v>
      </c>
      <c r="G191" s="10">
        <f t="shared" ca="1" si="5"/>
        <v>0.31916696345814999</v>
      </c>
      <c r="L191" s="10"/>
    </row>
    <row r="192" spans="1:12" x14ac:dyDescent="0.2">
      <c r="A192" s="9">
        <v>18</v>
      </c>
      <c r="B192" s="9">
        <v>1</v>
      </c>
      <c r="C192" s="9">
        <f ca="1"/>
        <v>26</v>
      </c>
      <c r="D192" s="10">
        <f ca="1"/>
        <v>18.607898495211895</v>
      </c>
      <c r="E192" s="10">
        <f t="shared" ca="1" si="4"/>
        <v>0.6078984952118951</v>
      </c>
      <c r="G192" s="10">
        <f t="shared" ca="1" si="5"/>
        <v>0.28360781451993688</v>
      </c>
      <c r="L192" s="10"/>
    </row>
    <row r="193" spans="1:12" x14ac:dyDescent="0.2">
      <c r="A193" s="9">
        <v>18</v>
      </c>
      <c r="B193" s="9">
        <v>1</v>
      </c>
      <c r="C193" s="9">
        <f ca="1"/>
        <v>26</v>
      </c>
      <c r="D193" s="10">
        <f ca="1"/>
        <v>18.607898495211895</v>
      </c>
      <c r="E193" s="10">
        <f t="shared" ca="1" si="4"/>
        <v>0.6078984952118951</v>
      </c>
      <c r="G193" s="10">
        <f t="shared" ca="1" si="5"/>
        <v>0.28360781451993688</v>
      </c>
      <c r="L193" s="10"/>
    </row>
    <row r="194" spans="1:12" x14ac:dyDescent="0.2">
      <c r="A194" s="9">
        <v>18</v>
      </c>
      <c r="B194" s="9">
        <v>1</v>
      </c>
      <c r="C194" s="9">
        <f ca="1"/>
        <v>27</v>
      </c>
      <c r="D194" s="10">
        <f ca="1"/>
        <v>19.291117606863956</v>
      </c>
      <c r="E194" s="10">
        <f t="shared" ca="1" si="4"/>
        <v>1.2911176068639563</v>
      </c>
      <c r="G194" s="10">
        <f t="shared" ca="1" si="5"/>
        <v>0.18720849951963059</v>
      </c>
      <c r="L194" s="10"/>
    </row>
    <row r="195" spans="1:12" x14ac:dyDescent="0.2">
      <c r="A195" s="9">
        <v>24</v>
      </c>
      <c r="B195" s="9">
        <v>1</v>
      </c>
      <c r="C195" s="9">
        <f ca="1"/>
        <v>30</v>
      </c>
      <c r="D195" s="10">
        <f ca="1"/>
        <v>21.340774941820136</v>
      </c>
      <c r="E195" s="10">
        <f t="shared" ref="E195:E235" ca="1" si="6">D195-A195</f>
        <v>-2.6592250581798638</v>
      </c>
      <c r="G195" s="10">
        <f t="shared" ref="G195:G235" ca="1" si="7">_xlfn.NORM.DIST(E195,0,$F$2,FALSE)</f>
        <v>3.3181916685722804E-2</v>
      </c>
      <c r="L195" s="10"/>
    </row>
    <row r="196" spans="1:12" x14ac:dyDescent="0.2">
      <c r="A196" s="9">
        <v>24</v>
      </c>
      <c r="B196" s="9">
        <v>1</v>
      </c>
      <c r="C196" s="9">
        <f ca="1"/>
        <v>33</v>
      </c>
      <c r="D196" s="10">
        <f ca="1"/>
        <v>23.390432276776316</v>
      </c>
      <c r="E196" s="10">
        <f t="shared" ca="1" si="6"/>
        <v>-0.6095677232236838</v>
      </c>
      <c r="G196" s="10">
        <f t="shared" ca="1" si="7"/>
        <v>0.28342335743776725</v>
      </c>
      <c r="L196" s="10"/>
    </row>
    <row r="197" spans="1:12" x14ac:dyDescent="0.2">
      <c r="A197" s="9">
        <v>26</v>
      </c>
      <c r="B197" s="9">
        <v>1</v>
      </c>
      <c r="C197" s="9">
        <f ca="1"/>
        <v>35</v>
      </c>
      <c r="D197" s="10">
        <f ca="1"/>
        <v>24.756870500080435</v>
      </c>
      <c r="E197" s="10">
        <f t="shared" ca="1" si="6"/>
        <v>-1.243129499919565</v>
      </c>
      <c r="G197" s="10">
        <f t="shared" ca="1" si="7"/>
        <v>0.19464101454310373</v>
      </c>
      <c r="L197" s="10"/>
    </row>
    <row r="198" spans="1:12" x14ac:dyDescent="0.2">
      <c r="A198" s="9">
        <v>28</v>
      </c>
      <c r="B198" s="9">
        <v>1</v>
      </c>
      <c r="C198" s="9">
        <f ca="1"/>
        <v>37</v>
      </c>
      <c r="D198" s="10">
        <f ca="1"/>
        <v>26.123308723384554</v>
      </c>
      <c r="E198" s="10">
        <f t="shared" ca="1" si="6"/>
        <v>-1.8766912766154462</v>
      </c>
      <c r="G198" s="10">
        <f t="shared" ca="1" si="7"/>
        <v>0.10337466032027857</v>
      </c>
      <c r="L198" s="10"/>
    </row>
    <row r="199" spans="1:12" x14ac:dyDescent="0.2">
      <c r="A199" s="9">
        <v>26</v>
      </c>
      <c r="B199" s="9">
        <v>1</v>
      </c>
      <c r="C199" s="9">
        <f ca="1"/>
        <v>35</v>
      </c>
      <c r="D199" s="10">
        <f ca="1"/>
        <v>24.756870500080435</v>
      </c>
      <c r="E199" s="10">
        <f t="shared" ca="1" si="6"/>
        <v>-1.243129499919565</v>
      </c>
      <c r="G199" s="10">
        <f t="shared" ca="1" si="7"/>
        <v>0.19464101454310373</v>
      </c>
      <c r="L199" s="10"/>
    </row>
    <row r="200" spans="1:12" x14ac:dyDescent="0.2">
      <c r="A200" s="9">
        <v>11</v>
      </c>
      <c r="B200" s="9">
        <v>1</v>
      </c>
      <c r="C200" s="9">
        <f ca="1"/>
        <v>15</v>
      </c>
      <c r="D200" s="10">
        <f ca="1"/>
        <v>11.09248826703924</v>
      </c>
      <c r="E200" s="10">
        <f t="shared" ca="1" si="6"/>
        <v>9.2488267039239958E-2</v>
      </c>
      <c r="G200" s="10">
        <f t="shared" ca="1" si="7"/>
        <v>0.31835277839425191</v>
      </c>
      <c r="L200" s="10"/>
    </row>
    <row r="201" spans="1:12" x14ac:dyDescent="0.2">
      <c r="A201" s="9">
        <v>13</v>
      </c>
      <c r="B201" s="9">
        <v>1</v>
      </c>
      <c r="C201" s="9">
        <f ca="1"/>
        <v>18</v>
      </c>
      <c r="D201" s="10">
        <f ca="1"/>
        <v>13.142145601995418</v>
      </c>
      <c r="E201" s="10">
        <f t="shared" ca="1" si="6"/>
        <v>0.14214560199541815</v>
      </c>
      <c r="G201" s="10">
        <f t="shared" ca="1" si="7"/>
        <v>0.31716750413300532</v>
      </c>
      <c r="L201" s="10"/>
    </row>
    <row r="202" spans="1:12" x14ac:dyDescent="0.2">
      <c r="A202" s="9">
        <v>15</v>
      </c>
      <c r="B202" s="9">
        <v>1</v>
      </c>
      <c r="C202" s="9">
        <f ca="1"/>
        <v>20</v>
      </c>
      <c r="D202" s="10">
        <f ca="1"/>
        <v>14.508583825299539</v>
      </c>
      <c r="E202" s="10">
        <f t="shared" ca="1" si="6"/>
        <v>-0.49141617470046128</v>
      </c>
      <c r="G202" s="10">
        <f t="shared" ca="1" si="7"/>
        <v>0.29547583692562635</v>
      </c>
      <c r="L202" s="10"/>
    </row>
    <row r="203" spans="1:12" x14ac:dyDescent="0.2">
      <c r="A203" s="9">
        <v>16</v>
      </c>
      <c r="B203" s="9">
        <v>1</v>
      </c>
      <c r="C203" s="9">
        <f ca="1"/>
        <v>20</v>
      </c>
      <c r="D203" s="10">
        <f ca="1"/>
        <v>14.508583825299539</v>
      </c>
      <c r="E203" s="10">
        <f t="shared" ca="1" si="6"/>
        <v>-1.4914161747004613</v>
      </c>
      <c r="G203" s="10">
        <f t="shared" ca="1" si="7"/>
        <v>0.15661561802916329</v>
      </c>
      <c r="L203" s="10"/>
    </row>
    <row r="204" spans="1:12" x14ac:dyDescent="0.2">
      <c r="A204" s="9">
        <v>17</v>
      </c>
      <c r="B204" s="9">
        <v>1</v>
      </c>
      <c r="C204" s="9">
        <f ca="1"/>
        <v>22</v>
      </c>
      <c r="D204" s="10">
        <f ca="1"/>
        <v>15.875022048603658</v>
      </c>
      <c r="E204" s="10">
        <f t="shared" ca="1" si="6"/>
        <v>-1.1249779513963425</v>
      </c>
      <c r="G204" s="10">
        <f t="shared" ca="1" si="7"/>
        <v>0.21288069180319472</v>
      </c>
      <c r="L204" s="10"/>
    </row>
    <row r="205" spans="1:12" x14ac:dyDescent="0.2">
      <c r="A205" s="9">
        <v>15</v>
      </c>
      <c r="B205" s="9">
        <v>1</v>
      </c>
      <c r="C205" s="9">
        <f ca="1"/>
        <v>17</v>
      </c>
      <c r="D205" s="10">
        <f ca="1"/>
        <v>12.458926490343359</v>
      </c>
      <c r="E205" s="10">
        <f t="shared" ca="1" si="6"/>
        <v>-2.5410735096566412</v>
      </c>
      <c r="G205" s="10">
        <f t="shared" ca="1" si="7"/>
        <v>4.0395128664178985E-2</v>
      </c>
      <c r="L205" s="10"/>
    </row>
    <row r="206" spans="1:12" x14ac:dyDescent="0.2">
      <c r="A206" s="9">
        <v>15</v>
      </c>
      <c r="B206" s="9">
        <v>1</v>
      </c>
      <c r="C206" s="9">
        <f ca="1"/>
        <v>19</v>
      </c>
      <c r="D206" s="10">
        <f ca="1"/>
        <v>13.825364713647479</v>
      </c>
      <c r="E206" s="10">
        <f t="shared" ca="1" si="6"/>
        <v>-1.1746352863525207</v>
      </c>
      <c r="G206" s="10">
        <f t="shared" ca="1" si="7"/>
        <v>0.20523871008550823</v>
      </c>
      <c r="L206" s="10"/>
    </row>
    <row r="207" spans="1:12" x14ac:dyDescent="0.2">
      <c r="A207" s="9">
        <v>15</v>
      </c>
      <c r="B207" s="9">
        <v>1</v>
      </c>
      <c r="C207" s="9">
        <f ca="1"/>
        <v>18</v>
      </c>
      <c r="D207" s="10">
        <f ca="1"/>
        <v>13.142145601995418</v>
      </c>
      <c r="E207" s="10">
        <f t="shared" ca="1" si="6"/>
        <v>-1.8578543980045819</v>
      </c>
      <c r="G207" s="10">
        <f t="shared" ca="1" si="7"/>
        <v>0.10572920124505396</v>
      </c>
      <c r="L207" s="10"/>
    </row>
    <row r="208" spans="1:12" x14ac:dyDescent="0.2">
      <c r="A208" s="9">
        <v>16</v>
      </c>
      <c r="B208" s="9">
        <v>1</v>
      </c>
      <c r="C208" s="9">
        <f ca="1"/>
        <v>20</v>
      </c>
      <c r="D208" s="10">
        <f ca="1"/>
        <v>14.508583825299539</v>
      </c>
      <c r="E208" s="10">
        <f t="shared" ca="1" si="6"/>
        <v>-1.4914161747004613</v>
      </c>
      <c r="G208" s="10">
        <f t="shared" ca="1" si="7"/>
        <v>0.15661561802916329</v>
      </c>
      <c r="L208" s="10"/>
    </row>
    <row r="209" spans="1:12" x14ac:dyDescent="0.2">
      <c r="A209" s="9">
        <v>21</v>
      </c>
      <c r="B209" s="9">
        <v>1</v>
      </c>
      <c r="C209" s="9">
        <f ca="1"/>
        <v>29</v>
      </c>
      <c r="D209" s="10">
        <f ca="1"/>
        <v>20.657555830168075</v>
      </c>
      <c r="E209" s="10">
        <f t="shared" ca="1" si="6"/>
        <v>-0.34244416983192494</v>
      </c>
      <c r="G209" s="10">
        <f t="shared" ca="1" si="7"/>
        <v>0.30746337812452051</v>
      </c>
      <c r="L209" s="10"/>
    </row>
    <row r="210" spans="1:12" x14ac:dyDescent="0.2">
      <c r="A210" s="9">
        <v>19</v>
      </c>
      <c r="B210" s="9">
        <v>1</v>
      </c>
      <c r="C210" s="9">
        <f ca="1"/>
        <v>26</v>
      </c>
      <c r="D210" s="10">
        <f ca="1"/>
        <v>18.607898495211895</v>
      </c>
      <c r="E210" s="10">
        <f t="shared" ca="1" si="6"/>
        <v>-0.3921015047881049</v>
      </c>
      <c r="G210" s="10">
        <f t="shared" ca="1" si="7"/>
        <v>0.30389387162696274</v>
      </c>
      <c r="L210" s="10"/>
    </row>
    <row r="211" spans="1:12" x14ac:dyDescent="0.2">
      <c r="A211" s="9">
        <v>21</v>
      </c>
      <c r="B211" s="9">
        <v>1</v>
      </c>
      <c r="C211" s="9">
        <f ca="1"/>
        <v>29</v>
      </c>
      <c r="D211" s="10">
        <f ca="1"/>
        <v>20.657555830168075</v>
      </c>
      <c r="E211" s="10">
        <f t="shared" ca="1" si="6"/>
        <v>-0.34244416983192494</v>
      </c>
      <c r="G211" s="10">
        <f t="shared" ca="1" si="7"/>
        <v>0.30746337812452051</v>
      </c>
      <c r="L211" s="10"/>
    </row>
    <row r="212" spans="1:12" x14ac:dyDescent="0.2">
      <c r="A212" s="9">
        <v>22</v>
      </c>
      <c r="B212" s="9">
        <v>1</v>
      </c>
      <c r="C212" s="9">
        <f ca="1"/>
        <v>29</v>
      </c>
      <c r="D212" s="10">
        <f ca="1"/>
        <v>20.657555830168075</v>
      </c>
      <c r="E212" s="10">
        <f t="shared" ca="1" si="6"/>
        <v>-1.3424441698319249</v>
      </c>
      <c r="G212" s="10">
        <f t="shared" ca="1" si="7"/>
        <v>0.17927994451859014</v>
      </c>
      <c r="L212" s="10"/>
    </row>
    <row r="213" spans="1:12" x14ac:dyDescent="0.2">
      <c r="A213" s="9">
        <v>17</v>
      </c>
      <c r="B213" s="9">
        <v>1</v>
      </c>
      <c r="C213" s="9">
        <f ca="1"/>
        <v>24</v>
      </c>
      <c r="D213" s="10">
        <f ca="1"/>
        <v>17.241460271907776</v>
      </c>
      <c r="E213" s="10">
        <f t="shared" ca="1" si="6"/>
        <v>0.2414602719077763</v>
      </c>
      <c r="G213" s="10">
        <f t="shared" ca="1" si="7"/>
        <v>0.31332258364370175</v>
      </c>
      <c r="L213" s="10"/>
    </row>
    <row r="214" spans="1:12" x14ac:dyDescent="0.2">
      <c r="A214" s="9">
        <v>33</v>
      </c>
      <c r="B214" s="9">
        <v>1</v>
      </c>
      <c r="C214" s="9">
        <f ca="1"/>
        <v>44</v>
      </c>
      <c r="D214" s="10">
        <f ca="1"/>
        <v>30.905842504948971</v>
      </c>
      <c r="E214" s="10">
        <f t="shared" ca="1" si="6"/>
        <v>-2.0941574950510287</v>
      </c>
      <c r="G214" s="10">
        <f t="shared" ca="1" si="7"/>
        <v>7.8406519233685218E-2</v>
      </c>
      <c r="L214" s="10"/>
    </row>
    <row r="215" spans="1:12" x14ac:dyDescent="0.2">
      <c r="A215" s="9">
        <v>21</v>
      </c>
      <c r="B215" s="9">
        <v>1</v>
      </c>
      <c r="C215" s="9">
        <f ca="1"/>
        <v>29</v>
      </c>
      <c r="D215" s="10">
        <f ca="1"/>
        <v>20.657555830168075</v>
      </c>
      <c r="E215" s="10">
        <f t="shared" ca="1" si="6"/>
        <v>-0.34244416983192494</v>
      </c>
      <c r="G215" s="10">
        <f t="shared" ca="1" si="7"/>
        <v>0.30746337812452051</v>
      </c>
      <c r="L215" s="10"/>
    </row>
    <row r="216" spans="1:12" x14ac:dyDescent="0.2">
      <c r="A216" s="9">
        <v>19</v>
      </c>
      <c r="B216" s="9">
        <v>1</v>
      </c>
      <c r="C216" s="9">
        <f ca="1"/>
        <v>26</v>
      </c>
      <c r="D216" s="10">
        <f ca="1"/>
        <v>18.607898495211895</v>
      </c>
      <c r="E216" s="10">
        <f t="shared" ca="1" si="6"/>
        <v>-0.3921015047881049</v>
      </c>
      <c r="G216" s="10">
        <f t="shared" ca="1" si="7"/>
        <v>0.30389387162696274</v>
      </c>
      <c r="L216" s="10"/>
    </row>
    <row r="217" spans="1:12" x14ac:dyDescent="0.2">
      <c r="A217" s="9">
        <v>22</v>
      </c>
      <c r="B217" s="9">
        <v>1</v>
      </c>
      <c r="C217" s="9">
        <f ca="1"/>
        <v>29</v>
      </c>
      <c r="D217" s="10">
        <f ca="1"/>
        <v>20.657555830168075</v>
      </c>
      <c r="E217" s="10">
        <f t="shared" ca="1" si="6"/>
        <v>-1.3424441698319249</v>
      </c>
      <c r="G217" s="10">
        <f t="shared" ca="1" si="7"/>
        <v>0.17927994451859014</v>
      </c>
      <c r="L217" s="10"/>
    </row>
    <row r="218" spans="1:12" x14ac:dyDescent="0.2">
      <c r="A218" s="9">
        <v>21</v>
      </c>
      <c r="B218" s="9">
        <v>1</v>
      </c>
      <c r="C218" s="9">
        <f ca="1"/>
        <v>29</v>
      </c>
      <c r="D218" s="10">
        <f ca="1"/>
        <v>20.657555830168075</v>
      </c>
      <c r="E218" s="10">
        <f t="shared" ca="1" si="6"/>
        <v>-0.34244416983192494</v>
      </c>
      <c r="G218" s="10">
        <f t="shared" ca="1" si="7"/>
        <v>0.30746337812452051</v>
      </c>
      <c r="L218" s="10"/>
    </row>
    <row r="219" spans="1:12" x14ac:dyDescent="0.2">
      <c r="A219" s="9">
        <v>21</v>
      </c>
      <c r="B219" s="9">
        <v>1</v>
      </c>
      <c r="C219" s="9">
        <f ca="1"/>
        <v>29</v>
      </c>
      <c r="D219" s="10">
        <f ca="1"/>
        <v>20.657555830168075</v>
      </c>
      <c r="E219" s="10">
        <f t="shared" ca="1" si="6"/>
        <v>-0.34244416983192494</v>
      </c>
      <c r="G219" s="10">
        <f t="shared" ca="1" si="7"/>
        <v>0.30746337812452051</v>
      </c>
      <c r="L219" s="10"/>
    </row>
    <row r="220" spans="1:12" x14ac:dyDescent="0.2">
      <c r="A220" s="9">
        <v>21</v>
      </c>
      <c r="B220" s="9">
        <v>1</v>
      </c>
      <c r="C220" s="9">
        <f ca="1"/>
        <v>29</v>
      </c>
      <c r="D220" s="10">
        <f ca="1"/>
        <v>20.657555830168075</v>
      </c>
      <c r="E220" s="10">
        <f t="shared" ca="1" si="6"/>
        <v>-0.34244416983192494</v>
      </c>
      <c r="G220" s="10">
        <f t="shared" ca="1" si="7"/>
        <v>0.30746337812452051</v>
      </c>
      <c r="L220" s="10"/>
    </row>
    <row r="221" spans="1:12" x14ac:dyDescent="0.2">
      <c r="A221" s="9">
        <v>16</v>
      </c>
      <c r="B221" s="9">
        <v>1</v>
      </c>
      <c r="C221" s="9">
        <f ca="1"/>
        <v>23</v>
      </c>
      <c r="D221" s="10">
        <f ca="1"/>
        <v>16.558241160255715</v>
      </c>
      <c r="E221" s="10">
        <f t="shared" ca="1" si="6"/>
        <v>0.55824116025571513</v>
      </c>
      <c r="G221" s="10">
        <f t="shared" ca="1" si="7"/>
        <v>0.28891457937292003</v>
      </c>
      <c r="L221" s="10"/>
    </row>
    <row r="222" spans="1:12" x14ac:dyDescent="0.2">
      <c r="A222" s="9">
        <v>17</v>
      </c>
      <c r="B222" s="9">
        <v>1</v>
      </c>
      <c r="C222" s="9">
        <f ca="1"/>
        <v>24</v>
      </c>
      <c r="D222" s="10">
        <f ca="1"/>
        <v>17.241460271907776</v>
      </c>
      <c r="E222" s="10">
        <f t="shared" ca="1" si="6"/>
        <v>0.2414602719077763</v>
      </c>
      <c r="G222" s="10">
        <f t="shared" ca="1" si="7"/>
        <v>0.31332258364370175</v>
      </c>
      <c r="L222" s="10"/>
    </row>
    <row r="223" spans="1:12" x14ac:dyDescent="0.2">
      <c r="A223" s="9">
        <v>35</v>
      </c>
      <c r="B223" s="9">
        <v>1</v>
      </c>
      <c r="C223" s="9">
        <f ca="1"/>
        <v>44</v>
      </c>
      <c r="D223" s="10">
        <f ca="1"/>
        <v>30.905842504948971</v>
      </c>
      <c r="E223" s="10">
        <f t="shared" ca="1" si="6"/>
        <v>-4.0941574950510287</v>
      </c>
      <c r="G223" s="10">
        <f t="shared" ca="1" si="7"/>
        <v>1.4912266665311721E-3</v>
      </c>
      <c r="L223" s="10"/>
    </row>
    <row r="224" spans="1:12" x14ac:dyDescent="0.2">
      <c r="A224" s="9">
        <v>29</v>
      </c>
      <c r="B224" s="9">
        <v>1</v>
      </c>
      <c r="C224" s="9">
        <f ca="1"/>
        <v>41</v>
      </c>
      <c r="D224" s="10">
        <f ca="1"/>
        <v>28.856185169992791</v>
      </c>
      <c r="E224" s="10">
        <f t="shared" ca="1" si="6"/>
        <v>-0.14381483000720863</v>
      </c>
      <c r="G224" s="10">
        <f t="shared" ca="1" si="7"/>
        <v>0.31711903972216288</v>
      </c>
      <c r="L224" s="10"/>
    </row>
    <row r="225" spans="1:12" x14ac:dyDescent="0.2">
      <c r="A225" s="9">
        <v>21</v>
      </c>
      <c r="B225" s="9">
        <v>1</v>
      </c>
      <c r="C225" s="9">
        <f ca="1"/>
        <v>29</v>
      </c>
      <c r="D225" s="10">
        <f ca="1"/>
        <v>20.657555830168075</v>
      </c>
      <c r="E225" s="10">
        <f t="shared" ca="1" si="6"/>
        <v>-0.34244416983192494</v>
      </c>
      <c r="G225" s="10">
        <f t="shared" ca="1" si="7"/>
        <v>0.30746337812452051</v>
      </c>
      <c r="L225" s="10"/>
    </row>
    <row r="226" spans="1:12" x14ac:dyDescent="0.2">
      <c r="A226" s="9">
        <v>19</v>
      </c>
      <c r="B226" s="9">
        <v>1</v>
      </c>
      <c r="C226" s="9">
        <f ca="1"/>
        <v>26</v>
      </c>
      <c r="D226" s="10">
        <f ca="1"/>
        <v>18.607898495211895</v>
      </c>
      <c r="E226" s="10">
        <f t="shared" ca="1" si="6"/>
        <v>-0.3921015047881049</v>
      </c>
      <c r="G226" s="10">
        <f t="shared" ca="1" si="7"/>
        <v>0.30389387162696274</v>
      </c>
      <c r="L226" s="10"/>
    </row>
    <row r="227" spans="1:12" x14ac:dyDescent="0.2">
      <c r="A227" s="9">
        <v>20</v>
      </c>
      <c r="B227" s="9">
        <v>1</v>
      </c>
      <c r="C227" s="9">
        <f ca="1"/>
        <v>28</v>
      </c>
      <c r="D227" s="10">
        <f ca="1"/>
        <v>19.974336718516017</v>
      </c>
      <c r="E227" s="10">
        <f t="shared" ca="1" si="6"/>
        <v>-2.5663281483982558E-2</v>
      </c>
      <c r="G227" s="10">
        <f t="shared" ca="1" si="7"/>
        <v>0.31915849397187074</v>
      </c>
      <c r="L227" s="10"/>
    </row>
    <row r="228" spans="1:12" x14ac:dyDescent="0.2">
      <c r="A228" s="9">
        <v>20</v>
      </c>
      <c r="B228" s="9">
        <v>1</v>
      </c>
      <c r="C228" s="9">
        <f ca="1"/>
        <v>29</v>
      </c>
      <c r="D228" s="10">
        <f ca="1"/>
        <v>20.657555830168075</v>
      </c>
      <c r="E228" s="10">
        <f t="shared" ca="1" si="6"/>
        <v>0.65755583016807506</v>
      </c>
      <c r="G228" s="10">
        <f t="shared" ca="1" si="7"/>
        <v>0.2779593195039412</v>
      </c>
      <c r="L228" s="10"/>
    </row>
    <row r="229" spans="1:12" x14ac:dyDescent="0.2">
      <c r="A229" s="9">
        <v>21</v>
      </c>
      <c r="B229" s="9">
        <v>1</v>
      </c>
      <c r="C229" s="9">
        <f ca="1"/>
        <v>29</v>
      </c>
      <c r="D229" s="10">
        <f ca="1"/>
        <v>20.657555830168075</v>
      </c>
      <c r="E229" s="10">
        <f t="shared" ca="1" si="6"/>
        <v>-0.34244416983192494</v>
      </c>
      <c r="G229" s="10">
        <f t="shared" ca="1" si="7"/>
        <v>0.30746337812452051</v>
      </c>
      <c r="L229" s="10"/>
    </row>
    <row r="230" spans="1:12" x14ac:dyDescent="0.2">
      <c r="A230" s="9">
        <v>18</v>
      </c>
      <c r="B230" s="9">
        <v>1</v>
      </c>
      <c r="C230" s="9">
        <f ca="1"/>
        <v>29</v>
      </c>
      <c r="D230" s="10">
        <f ca="1"/>
        <v>20.657555830168075</v>
      </c>
      <c r="E230" s="10">
        <f t="shared" ca="1" si="6"/>
        <v>2.6575558301680751</v>
      </c>
      <c r="G230" s="10">
        <f t="shared" ca="1" si="7"/>
        <v>3.327632904268165E-2</v>
      </c>
      <c r="L230" s="10"/>
    </row>
    <row r="231" spans="1:12" x14ac:dyDescent="0.2">
      <c r="A231" s="9">
        <v>19</v>
      </c>
      <c r="B231" s="9">
        <v>1</v>
      </c>
      <c r="C231" s="9">
        <f ca="1"/>
        <v>28</v>
      </c>
      <c r="D231" s="10">
        <f ca="1"/>
        <v>19.974336718516017</v>
      </c>
      <c r="E231" s="10">
        <f t="shared" ca="1" si="6"/>
        <v>0.97433671851601744</v>
      </c>
      <c r="G231" s="10">
        <f t="shared" ca="1" si="7"/>
        <v>0.23556229359930655</v>
      </c>
      <c r="L231" s="10"/>
    </row>
    <row r="232" spans="1:12" x14ac:dyDescent="0.2">
      <c r="A232" s="9">
        <v>21</v>
      </c>
      <c r="B232" s="9">
        <v>1</v>
      </c>
      <c r="C232" s="9">
        <f ca="1"/>
        <v>29</v>
      </c>
      <c r="D232" s="10">
        <f ca="1"/>
        <v>20.657555830168075</v>
      </c>
      <c r="E232" s="10">
        <f t="shared" ca="1" si="6"/>
        <v>-0.34244416983192494</v>
      </c>
      <c r="G232" s="10">
        <f t="shared" ca="1" si="7"/>
        <v>0.30746337812452051</v>
      </c>
      <c r="L232" s="10"/>
    </row>
    <row r="233" spans="1:12" x14ac:dyDescent="0.2">
      <c r="A233" s="9">
        <v>16</v>
      </c>
      <c r="B233" s="9">
        <v>1</v>
      </c>
      <c r="C233" s="9">
        <f ca="1"/>
        <v>26</v>
      </c>
      <c r="D233" s="10">
        <f ca="1"/>
        <v>18.607898495211895</v>
      </c>
      <c r="E233" s="10">
        <f t="shared" ca="1" si="6"/>
        <v>2.6078984952118951</v>
      </c>
      <c r="G233" s="10">
        <f t="shared" ca="1" si="7"/>
        <v>3.6181717224349638E-2</v>
      </c>
      <c r="L233" s="10"/>
    </row>
    <row r="234" spans="1:12" x14ac:dyDescent="0.2">
      <c r="A234" s="9">
        <v>18</v>
      </c>
      <c r="B234" s="9">
        <v>1</v>
      </c>
      <c r="C234" s="9">
        <f ca="1"/>
        <v>26</v>
      </c>
      <c r="D234" s="10">
        <f ca="1"/>
        <v>18.607898495211895</v>
      </c>
      <c r="E234" s="10">
        <f t="shared" ca="1" si="6"/>
        <v>0.6078984952118951</v>
      </c>
      <c r="G234" s="10">
        <f t="shared" ca="1" si="7"/>
        <v>0.28360781451993688</v>
      </c>
      <c r="L234" s="10"/>
    </row>
    <row r="235" spans="1:12" x14ac:dyDescent="0.2">
      <c r="A235" s="9">
        <v>17</v>
      </c>
      <c r="B235" s="9">
        <v>1</v>
      </c>
      <c r="C235" s="9">
        <f ca="1"/>
        <v>26</v>
      </c>
      <c r="D235" s="10">
        <f ca="1"/>
        <v>18.607898495211895</v>
      </c>
      <c r="E235" s="10">
        <f t="shared" ca="1" si="6"/>
        <v>1.6078984952118951</v>
      </c>
      <c r="G235" s="10">
        <f t="shared" ca="1" si="7"/>
        <v>0.13952132892333158</v>
      </c>
      <c r="L235" s="10"/>
    </row>
  </sheetData>
  <hyperlinks>
    <hyperlink ref="K23" r:id="rId1" xr:uid="{E06C1CAE-B55D-9141-9EAD-5E16EECAAF1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9B2E-FA0D-8C48-8DAC-A4AD9E158130}">
  <sheetPr codeName="Sheet7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209</v>
      </c>
    </row>
    <row r="2" spans="1:1" x14ac:dyDescent="0.3">
      <c r="A2" s="1" t="s">
        <v>208</v>
      </c>
    </row>
    <row r="3" spans="1:1" x14ac:dyDescent="0.3">
      <c r="A3" s="1" t="s">
        <v>207</v>
      </c>
    </row>
    <row r="4" spans="1:1" x14ac:dyDescent="0.3">
      <c r="A4" s="1" t="s">
        <v>206</v>
      </c>
    </row>
    <row r="5" spans="1:1" x14ac:dyDescent="0.3">
      <c r="A5" s="1" t="s">
        <v>205</v>
      </c>
    </row>
    <row r="6" spans="1:1" x14ac:dyDescent="0.3">
      <c r="A6" s="1" t="s">
        <v>204</v>
      </c>
    </row>
    <row r="7" spans="1:1" x14ac:dyDescent="0.3">
      <c r="A7" s="1" t="s">
        <v>203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9B715-3A50-B144-921F-7C125AD12030}">
  <sheetPr codeName="Sheet8">
    <tabColor rgb="FFFF0000"/>
  </sheetPr>
  <dimension ref="B2:G34"/>
  <sheetViews>
    <sheetView workbookViewId="0"/>
  </sheetViews>
  <sheetFormatPr baseColWidth="10" defaultRowHeight="16" x14ac:dyDescent="0.2"/>
  <cols>
    <col min="1" max="16384" width="10.83203125" style="8"/>
  </cols>
  <sheetData>
    <row r="2" spans="2:7" x14ac:dyDescent="0.2">
      <c r="B2" s="8" t="s">
        <v>217</v>
      </c>
      <c r="C2" s="8">
        <v>1</v>
      </c>
      <c r="D2" s="8">
        <v>1</v>
      </c>
      <c r="E2" s="8">
        <v>1</v>
      </c>
      <c r="F2" s="8">
        <v>1</v>
      </c>
      <c r="G2" s="8">
        <v>1</v>
      </c>
    </row>
    <row r="3" spans="2:7" x14ac:dyDescent="0.2">
      <c r="B3" s="8" t="s">
        <v>216</v>
      </c>
      <c r="C3" s="8">
        <v>10</v>
      </c>
      <c r="D3" s="8">
        <v>20</v>
      </c>
      <c r="E3" s="8">
        <v>30</v>
      </c>
      <c r="F3" s="8">
        <v>40</v>
      </c>
      <c r="G3" s="8">
        <v>50</v>
      </c>
    </row>
    <row r="4" spans="2:7" x14ac:dyDescent="0.2">
      <c r="B4" s="26" t="s">
        <v>215</v>
      </c>
      <c r="C4" s="26" t="s">
        <v>214</v>
      </c>
      <c r="D4" s="26" t="s">
        <v>213</v>
      </c>
      <c r="E4" s="26" t="s">
        <v>212</v>
      </c>
      <c r="F4" s="26" t="s">
        <v>211</v>
      </c>
      <c r="G4" s="26" t="s">
        <v>210</v>
      </c>
    </row>
    <row r="5" spans="2:7" x14ac:dyDescent="0.2">
      <c r="B5" s="26">
        <v>1</v>
      </c>
      <c r="C5" s="25">
        <f t="shared" ref="C5:G14" ca="1" si="0">a + b*t+_xlfn.NORM.INV(RAND(),0,SQRT(AVERAGE(b)*AVERAGE(t)))</f>
        <v>9.903915563242661</v>
      </c>
      <c r="D5" s="25">
        <f t="shared" ca="1" si="0"/>
        <v>21.375949661712674</v>
      </c>
      <c r="E5" s="25">
        <f t="shared" ca="1" si="0"/>
        <v>34.164970434051263</v>
      </c>
      <c r="F5" s="25">
        <f t="shared" ca="1" si="0"/>
        <v>47.867834051835345</v>
      </c>
      <c r="G5" s="25">
        <f t="shared" ca="1" si="0"/>
        <v>48.488460584190591</v>
      </c>
    </row>
    <row r="6" spans="2:7" x14ac:dyDescent="0.2">
      <c r="B6" s="26">
        <v>2</v>
      </c>
      <c r="C6" s="25">
        <f t="shared" ca="1" si="0"/>
        <v>13.39792826256995</v>
      </c>
      <c r="D6" s="25">
        <f t="shared" ca="1" si="0"/>
        <v>18.618700700510828</v>
      </c>
      <c r="E6" s="25">
        <f t="shared" ca="1" si="0"/>
        <v>24.823788405247083</v>
      </c>
      <c r="F6" s="25">
        <f t="shared" ca="1" si="0"/>
        <v>42.459459931907823</v>
      </c>
      <c r="G6" s="25">
        <f t="shared" ca="1" si="0"/>
        <v>48.179927121360365</v>
      </c>
    </row>
    <row r="7" spans="2:7" x14ac:dyDescent="0.2">
      <c r="B7" s="26">
        <v>3</v>
      </c>
      <c r="C7" s="25">
        <f t="shared" ca="1" si="0"/>
        <v>11.679697458239723</v>
      </c>
      <c r="D7" s="25">
        <f t="shared" ca="1" si="0"/>
        <v>19.39733039908872</v>
      </c>
      <c r="E7" s="25">
        <f t="shared" ca="1" si="0"/>
        <v>26.996581211420693</v>
      </c>
      <c r="F7" s="25">
        <f t="shared" ca="1" si="0"/>
        <v>41.321897529907382</v>
      </c>
      <c r="G7" s="25">
        <f t="shared" ca="1" si="0"/>
        <v>54.531985281837486</v>
      </c>
    </row>
    <row r="8" spans="2:7" x14ac:dyDescent="0.2">
      <c r="B8" s="26">
        <v>4</v>
      </c>
      <c r="C8" s="25">
        <f t="shared" ca="1" si="0"/>
        <v>8.9477911404407209</v>
      </c>
      <c r="D8" s="25">
        <f t="shared" ca="1" si="0"/>
        <v>24.488179332281611</v>
      </c>
      <c r="E8" s="25">
        <f t="shared" ca="1" si="0"/>
        <v>31.540434693772497</v>
      </c>
      <c r="F8" s="25">
        <f t="shared" ca="1" si="0"/>
        <v>45.606460765690031</v>
      </c>
      <c r="G8" s="25">
        <f t="shared" ca="1" si="0"/>
        <v>44.280153304618757</v>
      </c>
    </row>
    <row r="9" spans="2:7" x14ac:dyDescent="0.2">
      <c r="B9" s="26">
        <v>5</v>
      </c>
      <c r="C9" s="25">
        <f t="shared" ca="1" si="0"/>
        <v>9.8230682868099084</v>
      </c>
      <c r="D9" s="25">
        <f t="shared" ca="1" si="0"/>
        <v>21.694707150474535</v>
      </c>
      <c r="E9" s="25">
        <f t="shared" ca="1" si="0"/>
        <v>32.600571284894187</v>
      </c>
      <c r="F9" s="25">
        <f t="shared" ca="1" si="0"/>
        <v>41.621131425885324</v>
      </c>
      <c r="G9" s="25">
        <f t="shared" ca="1" si="0"/>
        <v>56.953395598772154</v>
      </c>
    </row>
    <row r="10" spans="2:7" x14ac:dyDescent="0.2">
      <c r="B10" s="26">
        <v>6</v>
      </c>
      <c r="C10" s="25">
        <f t="shared" ca="1" si="0"/>
        <v>16.796470287812838</v>
      </c>
      <c r="D10" s="25">
        <f t="shared" ca="1" si="0"/>
        <v>25.911271540856394</v>
      </c>
      <c r="E10" s="25">
        <f t="shared" ca="1" si="0"/>
        <v>39.228145984969466</v>
      </c>
      <c r="F10" s="25">
        <f t="shared" ca="1" si="0"/>
        <v>45.48493651862546</v>
      </c>
      <c r="G10" s="25">
        <f t="shared" ca="1" si="0"/>
        <v>58.149738640342697</v>
      </c>
    </row>
    <row r="11" spans="2:7" x14ac:dyDescent="0.2">
      <c r="B11" s="26">
        <v>7</v>
      </c>
      <c r="C11" s="25">
        <f t="shared" ca="1" si="0"/>
        <v>14.385257557650782</v>
      </c>
      <c r="D11" s="25">
        <f t="shared" ca="1" si="0"/>
        <v>27.130173874475027</v>
      </c>
      <c r="E11" s="25">
        <f t="shared" ca="1" si="0"/>
        <v>35.160089549601835</v>
      </c>
      <c r="F11" s="25">
        <f t="shared" ca="1" si="0"/>
        <v>45.233665175849239</v>
      </c>
      <c r="G11" s="25">
        <f t="shared" ca="1" si="0"/>
        <v>58.128725194587076</v>
      </c>
    </row>
    <row r="12" spans="2:7" x14ac:dyDescent="0.2">
      <c r="B12" s="26">
        <v>8</v>
      </c>
      <c r="C12" s="25">
        <f t="shared" ca="1" si="0"/>
        <v>19.686995900504439</v>
      </c>
      <c r="D12" s="25">
        <f t="shared" ca="1" si="0"/>
        <v>32.398598625978707</v>
      </c>
      <c r="E12" s="25">
        <f t="shared" ca="1" si="0"/>
        <v>45.383074526555177</v>
      </c>
      <c r="F12" s="25">
        <f t="shared" ca="1" si="0"/>
        <v>56.364969317829598</v>
      </c>
      <c r="G12" s="25">
        <f t="shared" ca="1" si="0"/>
        <v>49.867666267599098</v>
      </c>
    </row>
    <row r="13" spans="2:7" x14ac:dyDescent="0.2">
      <c r="B13" s="26">
        <v>9</v>
      </c>
      <c r="C13" s="25">
        <f t="shared" ca="1" si="0"/>
        <v>22.990039036291769</v>
      </c>
      <c r="D13" s="25">
        <f t="shared" ca="1" si="0"/>
        <v>37.256492544701658</v>
      </c>
      <c r="E13" s="25">
        <f t="shared" ca="1" si="0"/>
        <v>32.332863700730087</v>
      </c>
      <c r="F13" s="25">
        <f t="shared" ca="1" si="0"/>
        <v>53.433713817559628</v>
      </c>
      <c r="G13" s="25">
        <f t="shared" ca="1" si="0"/>
        <v>54.399248709928273</v>
      </c>
    </row>
    <row r="14" spans="2:7" x14ac:dyDescent="0.2">
      <c r="B14" s="26">
        <v>10</v>
      </c>
      <c r="C14" s="25">
        <f t="shared" ca="1" si="0"/>
        <v>16.521139125862259</v>
      </c>
      <c r="D14" s="25">
        <f t="shared" ca="1" si="0"/>
        <v>24.95225242615545</v>
      </c>
      <c r="E14" s="25">
        <f t="shared" ca="1" si="0"/>
        <v>39.174152071404478</v>
      </c>
      <c r="F14" s="25">
        <f t="shared" ca="1" si="0"/>
        <v>52.930157423464586</v>
      </c>
      <c r="G14" s="25">
        <f t="shared" ca="1" si="0"/>
        <v>57.334205081643255</v>
      </c>
    </row>
    <row r="15" spans="2:7" x14ac:dyDescent="0.2">
      <c r="B15" s="26">
        <v>11</v>
      </c>
      <c r="C15" s="25">
        <f t="shared" ref="C15:G24" ca="1" si="1">a + b*t+_xlfn.NORM.INV(RAND(),0,SQRT(AVERAGE(b)*AVERAGE(t)))</f>
        <v>23.824528342769998</v>
      </c>
      <c r="D15" s="25">
        <f t="shared" ca="1" si="1"/>
        <v>31.601703822498301</v>
      </c>
      <c r="E15" s="25">
        <f t="shared" ca="1" si="1"/>
        <v>39.918597197326207</v>
      </c>
      <c r="F15" s="25">
        <f t="shared" ca="1" si="1"/>
        <v>47.755091380718433</v>
      </c>
      <c r="G15" s="25">
        <f t="shared" ca="1" si="1"/>
        <v>61.766108519619799</v>
      </c>
    </row>
    <row r="16" spans="2:7" x14ac:dyDescent="0.2">
      <c r="B16" s="26">
        <v>12</v>
      </c>
      <c r="C16" s="25">
        <f t="shared" ca="1" si="1"/>
        <v>28.53522860856145</v>
      </c>
      <c r="D16" s="25">
        <f t="shared" ca="1" si="1"/>
        <v>31.659087539443068</v>
      </c>
      <c r="E16" s="25">
        <f t="shared" ca="1" si="1"/>
        <v>48.329277384825879</v>
      </c>
      <c r="F16" s="25">
        <f t="shared" ca="1" si="1"/>
        <v>49.454910446890864</v>
      </c>
      <c r="G16" s="25">
        <f t="shared" ca="1" si="1"/>
        <v>62.749413346923291</v>
      </c>
    </row>
    <row r="17" spans="2:7" x14ac:dyDescent="0.2">
      <c r="B17" s="26">
        <v>13</v>
      </c>
      <c r="C17" s="25">
        <f t="shared" ca="1" si="1"/>
        <v>27.905233802459925</v>
      </c>
      <c r="D17" s="25">
        <f t="shared" ca="1" si="1"/>
        <v>34.368191521107263</v>
      </c>
      <c r="E17" s="25">
        <f t="shared" ca="1" si="1"/>
        <v>40.067051155523153</v>
      </c>
      <c r="F17" s="25">
        <f t="shared" ca="1" si="1"/>
        <v>49.054226386752518</v>
      </c>
      <c r="G17" s="25">
        <f t="shared" ca="1" si="1"/>
        <v>57.71047688239527</v>
      </c>
    </row>
    <row r="18" spans="2:7" x14ac:dyDescent="0.2">
      <c r="B18" s="26">
        <v>14</v>
      </c>
      <c r="C18" s="25">
        <f t="shared" ca="1" si="1"/>
        <v>21.909249153307591</v>
      </c>
      <c r="D18" s="25">
        <f t="shared" ca="1" si="1"/>
        <v>32.065810818901902</v>
      </c>
      <c r="E18" s="25">
        <f t="shared" ca="1" si="1"/>
        <v>41.773148695404686</v>
      </c>
      <c r="F18" s="25">
        <f t="shared" ca="1" si="1"/>
        <v>51.50512491163343</v>
      </c>
      <c r="G18" s="25">
        <f t="shared" ca="1" si="1"/>
        <v>61.191794844920125</v>
      </c>
    </row>
    <row r="19" spans="2:7" x14ac:dyDescent="0.2">
      <c r="B19" s="26">
        <v>15</v>
      </c>
      <c r="C19" s="25">
        <f t="shared" ca="1" si="1"/>
        <v>24.766990208322166</v>
      </c>
      <c r="D19" s="25">
        <f t="shared" ca="1" si="1"/>
        <v>38.461162598413942</v>
      </c>
      <c r="E19" s="25">
        <f t="shared" ca="1" si="1"/>
        <v>40.068489329485246</v>
      </c>
      <c r="F19" s="25">
        <f t="shared" ca="1" si="1"/>
        <v>48.283408581560565</v>
      </c>
      <c r="G19" s="25">
        <f t="shared" ca="1" si="1"/>
        <v>68.264139184980323</v>
      </c>
    </row>
    <row r="20" spans="2:7" x14ac:dyDescent="0.2">
      <c r="B20" s="26">
        <v>16</v>
      </c>
      <c r="C20" s="25">
        <f t="shared" ca="1" si="1"/>
        <v>23.359751759715987</v>
      </c>
      <c r="D20" s="25">
        <f t="shared" ca="1" si="1"/>
        <v>39.251941818169705</v>
      </c>
      <c r="E20" s="25">
        <f t="shared" ca="1" si="1"/>
        <v>43.426118694968899</v>
      </c>
      <c r="F20" s="25">
        <f t="shared" ca="1" si="1"/>
        <v>50.297773023662401</v>
      </c>
      <c r="G20" s="25">
        <f t="shared" ca="1" si="1"/>
        <v>67.256474178004467</v>
      </c>
    </row>
    <row r="21" spans="2:7" x14ac:dyDescent="0.2">
      <c r="B21" s="26">
        <v>17</v>
      </c>
      <c r="C21" s="25">
        <f t="shared" ca="1" si="1"/>
        <v>26.631734330110195</v>
      </c>
      <c r="D21" s="25">
        <f t="shared" ca="1" si="1"/>
        <v>38.100505050307746</v>
      </c>
      <c r="E21" s="25">
        <f t="shared" ca="1" si="1"/>
        <v>50.415051746673349</v>
      </c>
      <c r="F21" s="25">
        <f t="shared" ca="1" si="1"/>
        <v>58.691512423378185</v>
      </c>
      <c r="G21" s="25">
        <f t="shared" ca="1" si="1"/>
        <v>69.056387135083256</v>
      </c>
    </row>
    <row r="22" spans="2:7" x14ac:dyDescent="0.2">
      <c r="B22" s="26">
        <v>18</v>
      </c>
      <c r="C22" s="25">
        <f t="shared" ca="1" si="1"/>
        <v>33.108628778773856</v>
      </c>
      <c r="D22" s="25">
        <f t="shared" ca="1" si="1"/>
        <v>36.533518980646114</v>
      </c>
      <c r="E22" s="25">
        <f t="shared" ca="1" si="1"/>
        <v>42.992778273816398</v>
      </c>
      <c r="F22" s="25">
        <f t="shared" ca="1" si="1"/>
        <v>58.274576833209601</v>
      </c>
      <c r="G22" s="25">
        <f t="shared" ca="1" si="1"/>
        <v>72.974560479855029</v>
      </c>
    </row>
    <row r="23" spans="2:7" x14ac:dyDescent="0.2">
      <c r="B23" s="26">
        <v>19</v>
      </c>
      <c r="C23" s="25">
        <f t="shared" ca="1" si="1"/>
        <v>32.360020482841563</v>
      </c>
      <c r="D23" s="25">
        <f t="shared" ca="1" si="1"/>
        <v>36.875091652641295</v>
      </c>
      <c r="E23" s="25">
        <f t="shared" ca="1" si="1"/>
        <v>46.085474518780224</v>
      </c>
      <c r="F23" s="25">
        <f t="shared" ca="1" si="1"/>
        <v>58.250531457877834</v>
      </c>
      <c r="G23" s="25">
        <f t="shared" ca="1" si="1"/>
        <v>68.778184665700181</v>
      </c>
    </row>
    <row r="24" spans="2:7" x14ac:dyDescent="0.2">
      <c r="B24" s="26">
        <v>20</v>
      </c>
      <c r="C24" s="25">
        <f t="shared" ca="1" si="1"/>
        <v>28.008454546315928</v>
      </c>
      <c r="D24" s="25">
        <f t="shared" ca="1" si="1"/>
        <v>41.576131701708121</v>
      </c>
      <c r="E24" s="25">
        <f t="shared" ca="1" si="1"/>
        <v>55.501051636750894</v>
      </c>
      <c r="F24" s="25">
        <f t="shared" ca="1" si="1"/>
        <v>62.024714472631864</v>
      </c>
      <c r="G24" s="25">
        <f t="shared" ca="1" si="1"/>
        <v>75.993324004668281</v>
      </c>
    </row>
    <row r="25" spans="2:7" x14ac:dyDescent="0.2">
      <c r="B25" s="26">
        <v>21</v>
      </c>
      <c r="C25" s="25">
        <f t="shared" ref="C25:G34" ca="1" si="2">a + b*t+_xlfn.NORM.INV(RAND(),0,SQRT(AVERAGE(b)*AVERAGE(t)))</f>
        <v>30.070769750810936</v>
      </c>
      <c r="D25" s="25">
        <f t="shared" ca="1" si="2"/>
        <v>44.114826103475401</v>
      </c>
      <c r="E25" s="25">
        <f t="shared" ca="1" si="2"/>
        <v>50.857160148759561</v>
      </c>
      <c r="F25" s="25">
        <f t="shared" ca="1" si="2"/>
        <v>66.385413674230151</v>
      </c>
      <c r="G25" s="25">
        <f t="shared" ca="1" si="2"/>
        <v>78.456639101436366</v>
      </c>
    </row>
    <row r="26" spans="2:7" x14ac:dyDescent="0.2">
      <c r="B26" s="26">
        <v>22</v>
      </c>
      <c r="C26" s="25">
        <f t="shared" ca="1" si="2"/>
        <v>33.282576574640679</v>
      </c>
      <c r="D26" s="25">
        <f t="shared" ca="1" si="2"/>
        <v>46.111707905797246</v>
      </c>
      <c r="E26" s="25">
        <f t="shared" ca="1" si="2"/>
        <v>57.457172624325523</v>
      </c>
      <c r="F26" s="25">
        <f t="shared" ca="1" si="2"/>
        <v>60.974779757541903</v>
      </c>
      <c r="G26" s="25">
        <f t="shared" ca="1" si="2"/>
        <v>75.861033834870497</v>
      </c>
    </row>
    <row r="27" spans="2:7" x14ac:dyDescent="0.2">
      <c r="B27" s="26">
        <v>23</v>
      </c>
      <c r="C27" s="25">
        <f t="shared" ca="1" si="2"/>
        <v>32.479541905801895</v>
      </c>
      <c r="D27" s="25">
        <f t="shared" ca="1" si="2"/>
        <v>42.521305181292426</v>
      </c>
      <c r="E27" s="25">
        <f t="shared" ca="1" si="2"/>
        <v>50.725530003396869</v>
      </c>
      <c r="F27" s="25">
        <f t="shared" ca="1" si="2"/>
        <v>67.470517536080678</v>
      </c>
      <c r="G27" s="25">
        <f t="shared" ca="1" si="2"/>
        <v>71.732221062114348</v>
      </c>
    </row>
    <row r="28" spans="2:7" x14ac:dyDescent="0.2">
      <c r="B28" s="26">
        <v>24</v>
      </c>
      <c r="C28" s="25">
        <f t="shared" ca="1" si="2"/>
        <v>38.672229022815927</v>
      </c>
      <c r="D28" s="25">
        <f t="shared" ca="1" si="2"/>
        <v>34.360358835501671</v>
      </c>
      <c r="E28" s="25">
        <f t="shared" ca="1" si="2"/>
        <v>58.591046332057068</v>
      </c>
      <c r="F28" s="25">
        <f t="shared" ca="1" si="2"/>
        <v>66.751577852620841</v>
      </c>
      <c r="G28" s="25">
        <f t="shared" ca="1" si="2"/>
        <v>64.940527936429021</v>
      </c>
    </row>
    <row r="29" spans="2:7" x14ac:dyDescent="0.2">
      <c r="B29" s="26">
        <v>25</v>
      </c>
      <c r="C29" s="25">
        <f t="shared" ca="1" si="2"/>
        <v>31.477604629328106</v>
      </c>
      <c r="D29" s="25">
        <f t="shared" ca="1" si="2"/>
        <v>50.608075908922871</v>
      </c>
      <c r="E29" s="25">
        <f t="shared" ca="1" si="2"/>
        <v>42.543754836467187</v>
      </c>
      <c r="F29" s="25">
        <f t="shared" ca="1" si="2"/>
        <v>61.104398020523035</v>
      </c>
      <c r="G29" s="25">
        <f t="shared" ca="1" si="2"/>
        <v>73.814667233778465</v>
      </c>
    </row>
    <row r="30" spans="2:7" x14ac:dyDescent="0.2">
      <c r="B30" s="26">
        <v>26</v>
      </c>
      <c r="C30" s="25">
        <f t="shared" ca="1" si="2"/>
        <v>39.113636706682989</v>
      </c>
      <c r="D30" s="25">
        <f t="shared" ca="1" si="2"/>
        <v>49.811069172036369</v>
      </c>
      <c r="E30" s="25">
        <f t="shared" ca="1" si="2"/>
        <v>48.331755580960632</v>
      </c>
      <c r="F30" s="25">
        <f t="shared" ca="1" si="2"/>
        <v>68.393905089855181</v>
      </c>
      <c r="G30" s="25">
        <f t="shared" ca="1" si="2"/>
        <v>87.600310887409449</v>
      </c>
    </row>
    <row r="31" spans="2:7" x14ac:dyDescent="0.2">
      <c r="B31" s="26">
        <v>27</v>
      </c>
      <c r="C31" s="25">
        <f t="shared" ca="1" si="2"/>
        <v>32.669698049459107</v>
      </c>
      <c r="D31" s="25">
        <f t="shared" ca="1" si="2"/>
        <v>47.261819484988003</v>
      </c>
      <c r="E31" s="25">
        <f t="shared" ca="1" si="2"/>
        <v>47.673514855105864</v>
      </c>
      <c r="F31" s="25">
        <f t="shared" ca="1" si="2"/>
        <v>68.159515800460284</v>
      </c>
      <c r="G31" s="25">
        <f t="shared" ca="1" si="2"/>
        <v>79.645454486388275</v>
      </c>
    </row>
    <row r="32" spans="2:7" x14ac:dyDescent="0.2">
      <c r="B32" s="26">
        <v>28</v>
      </c>
      <c r="C32" s="25">
        <f t="shared" ca="1" si="2"/>
        <v>43.047878282193295</v>
      </c>
      <c r="D32" s="25">
        <f t="shared" ca="1" si="2"/>
        <v>50.279124926402119</v>
      </c>
      <c r="E32" s="25">
        <f t="shared" ca="1" si="2"/>
        <v>54.465019539933621</v>
      </c>
      <c r="F32" s="25">
        <f t="shared" ca="1" si="2"/>
        <v>68.052307786928097</v>
      </c>
      <c r="G32" s="25">
        <f t="shared" ca="1" si="2"/>
        <v>74.951819334901629</v>
      </c>
    </row>
    <row r="33" spans="2:7" x14ac:dyDescent="0.2">
      <c r="B33" s="26">
        <v>29</v>
      </c>
      <c r="C33" s="25">
        <f t="shared" ca="1" si="2"/>
        <v>35.223179755425591</v>
      </c>
      <c r="D33" s="25">
        <f t="shared" ca="1" si="2"/>
        <v>47.509190704968034</v>
      </c>
      <c r="E33" s="25">
        <f t="shared" ca="1" si="2"/>
        <v>61.604729182190816</v>
      </c>
      <c r="F33" s="25">
        <f t="shared" ca="1" si="2"/>
        <v>69.013507944823644</v>
      </c>
      <c r="G33" s="25">
        <f t="shared" ca="1" si="2"/>
        <v>80.226573251306149</v>
      </c>
    </row>
    <row r="34" spans="2:7" x14ac:dyDescent="0.2">
      <c r="B34" s="26">
        <v>30</v>
      </c>
      <c r="C34" s="25">
        <f t="shared" ca="1" si="2"/>
        <v>36.667062387517682</v>
      </c>
      <c r="D34" s="25">
        <f t="shared" ca="1" si="2"/>
        <v>47.373271526799684</v>
      </c>
      <c r="E34" s="25">
        <f t="shared" ca="1" si="2"/>
        <v>57.857070652022728</v>
      </c>
      <c r="F34" s="25">
        <f t="shared" ca="1" si="2"/>
        <v>73.301339962068582</v>
      </c>
      <c r="G34" s="25">
        <f t="shared" ca="1" si="2"/>
        <v>81.824855151773079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766A3-B94B-DD49-9103-603342D8BDA3}">
  <sheetPr codeName="Sheet9">
    <tabColor rgb="FFFF0000"/>
  </sheetPr>
  <dimension ref="B2:G34"/>
  <sheetViews>
    <sheetView workbookViewId="0"/>
  </sheetViews>
  <sheetFormatPr baseColWidth="10" defaultRowHeight="16" x14ac:dyDescent="0.2"/>
  <cols>
    <col min="1" max="16384" width="10.83203125" style="8"/>
  </cols>
  <sheetData>
    <row r="2" spans="2:7" x14ac:dyDescent="0.2">
      <c r="B2" s="8" t="s">
        <v>217</v>
      </c>
      <c r="C2" s="8">
        <v>1</v>
      </c>
      <c r="D2" s="8">
        <v>2</v>
      </c>
      <c r="E2" s="8">
        <v>3</v>
      </c>
      <c r="F2" s="8">
        <v>4</v>
      </c>
      <c r="G2" s="8">
        <v>5</v>
      </c>
    </row>
    <row r="3" spans="2:7" x14ac:dyDescent="0.2">
      <c r="B3" s="8" t="s">
        <v>216</v>
      </c>
      <c r="C3" s="8">
        <v>1</v>
      </c>
      <c r="D3" s="8">
        <v>1</v>
      </c>
      <c r="E3" s="8">
        <v>1</v>
      </c>
      <c r="F3" s="8">
        <v>1</v>
      </c>
      <c r="G3" s="8">
        <v>1</v>
      </c>
    </row>
    <row r="4" spans="2:7" x14ac:dyDescent="0.2">
      <c r="B4" s="26" t="s">
        <v>215</v>
      </c>
      <c r="C4" s="26" t="s">
        <v>214</v>
      </c>
      <c r="D4" s="26" t="s">
        <v>213</v>
      </c>
      <c r="E4" s="26" t="s">
        <v>212</v>
      </c>
      <c r="F4" s="26" t="s">
        <v>211</v>
      </c>
      <c r="G4" s="26" t="s">
        <v>210</v>
      </c>
    </row>
    <row r="5" spans="2:7" x14ac:dyDescent="0.2">
      <c r="B5" s="26">
        <v>1</v>
      </c>
      <c r="C5" s="25">
        <f t="shared" ref="C5:G14" ca="1" si="0">a + b*t+_xlfn.NORM.INV(RAND(),0,SQRT(AVERAGE(b)*AVERAGE(t)))</f>
        <v>0.97195874857696274</v>
      </c>
      <c r="D5" s="25">
        <f t="shared" ca="1" si="0"/>
        <v>-5.9497965595531213</v>
      </c>
      <c r="E5" s="25">
        <f t="shared" ca="1" si="0"/>
        <v>15.091889805674604</v>
      </c>
      <c r="F5" s="25">
        <f t="shared" ca="1" si="0"/>
        <v>13.175574928839087</v>
      </c>
      <c r="G5" s="25">
        <f t="shared" ca="1" si="0"/>
        <v>12.991476190250829</v>
      </c>
    </row>
    <row r="6" spans="2:7" x14ac:dyDescent="0.2">
      <c r="B6" s="26">
        <v>2</v>
      </c>
      <c r="C6" s="25">
        <f t="shared" ca="1" si="0"/>
        <v>-5.0610098986906404</v>
      </c>
      <c r="D6" s="25">
        <f t="shared" ca="1" si="0"/>
        <v>2.1147074724412369</v>
      </c>
      <c r="E6" s="25">
        <f t="shared" ca="1" si="0"/>
        <v>11.904727595553744</v>
      </c>
      <c r="F6" s="25">
        <f t="shared" ca="1" si="0"/>
        <v>19.570301361139993</v>
      </c>
      <c r="G6" s="25">
        <f t="shared" ca="1" si="0"/>
        <v>7.8531216568051683</v>
      </c>
    </row>
    <row r="7" spans="2:7" x14ac:dyDescent="0.2">
      <c r="B7" s="26">
        <v>3</v>
      </c>
      <c r="C7" s="25">
        <f t="shared" ca="1" si="0"/>
        <v>7.4143708583898507</v>
      </c>
      <c r="D7" s="25">
        <f t="shared" ca="1" si="0"/>
        <v>15.743108169027325</v>
      </c>
      <c r="E7" s="25">
        <f t="shared" ca="1" si="0"/>
        <v>6.6497523969251233</v>
      </c>
      <c r="F7" s="25">
        <f t="shared" ca="1" si="0"/>
        <v>10.604818815416136</v>
      </c>
      <c r="G7" s="25">
        <f t="shared" ca="1" si="0"/>
        <v>6.455014942724123</v>
      </c>
    </row>
    <row r="8" spans="2:7" x14ac:dyDescent="0.2">
      <c r="B8" s="26">
        <v>4</v>
      </c>
      <c r="C8" s="25">
        <f t="shared" ca="1" si="0"/>
        <v>10.507382587082661</v>
      </c>
      <c r="D8" s="25">
        <f t="shared" ca="1" si="0"/>
        <v>6.5164821411940741</v>
      </c>
      <c r="E8" s="25">
        <f t="shared" ca="1" si="0"/>
        <v>9.1488089393043825</v>
      </c>
      <c r="F8" s="25">
        <f t="shared" ca="1" si="0"/>
        <v>6.9151191483568191</v>
      </c>
      <c r="G8" s="25">
        <f t="shared" ca="1" si="0"/>
        <v>18.502167157724436</v>
      </c>
    </row>
    <row r="9" spans="2:7" x14ac:dyDescent="0.2">
      <c r="B9" s="26">
        <v>5</v>
      </c>
      <c r="C9" s="25">
        <f t="shared" ca="1" si="0"/>
        <v>10.873760945422404</v>
      </c>
      <c r="D9" s="25">
        <f t="shared" ca="1" si="0"/>
        <v>19.075517243100116</v>
      </c>
      <c r="E9" s="25">
        <f t="shared" ca="1" si="0"/>
        <v>8.7735088296214627</v>
      </c>
      <c r="F9" s="25">
        <f t="shared" ca="1" si="0"/>
        <v>13.794528984075271</v>
      </c>
      <c r="G9" s="25">
        <f t="shared" ca="1" si="0"/>
        <v>22.139670357772488</v>
      </c>
    </row>
    <row r="10" spans="2:7" x14ac:dyDescent="0.2">
      <c r="B10" s="26">
        <v>6</v>
      </c>
      <c r="C10" s="25">
        <f t="shared" ca="1" si="0"/>
        <v>1.8066547522987317</v>
      </c>
      <c r="D10" s="25">
        <f t="shared" ca="1" si="0"/>
        <v>13.024575635061032</v>
      </c>
      <c r="E10" s="25">
        <f t="shared" ca="1" si="0"/>
        <v>19.399333100927773</v>
      </c>
      <c r="F10" s="25">
        <f t="shared" ca="1" si="0"/>
        <v>20.378053294952224</v>
      </c>
      <c r="G10" s="25">
        <f t="shared" ca="1" si="0"/>
        <v>44.522790675394702</v>
      </c>
    </row>
    <row r="11" spans="2:7" x14ac:dyDescent="0.2">
      <c r="B11" s="26">
        <v>7</v>
      </c>
      <c r="C11" s="25">
        <f t="shared" ca="1" si="0"/>
        <v>11.649373976018916</v>
      </c>
      <c r="D11" s="25">
        <f t="shared" ca="1" si="0"/>
        <v>29.442439736900035</v>
      </c>
      <c r="E11" s="25">
        <f t="shared" ca="1" si="0"/>
        <v>19.051755890048671</v>
      </c>
      <c r="F11" s="25">
        <f t="shared" ca="1" si="0"/>
        <v>24.682840509239817</v>
      </c>
      <c r="G11" s="25">
        <f t="shared" ca="1" si="0"/>
        <v>22.546744432521276</v>
      </c>
    </row>
    <row r="12" spans="2:7" x14ac:dyDescent="0.2">
      <c r="B12" s="26">
        <v>8</v>
      </c>
      <c r="C12" s="25">
        <f t="shared" ca="1" si="0"/>
        <v>9.1865646852730052</v>
      </c>
      <c r="D12" s="25">
        <f t="shared" ca="1" si="0"/>
        <v>6.0123515881729013</v>
      </c>
      <c r="E12" s="25">
        <f t="shared" ca="1" si="0"/>
        <v>23.648940073025585</v>
      </c>
      <c r="F12" s="25">
        <f t="shared" ca="1" si="0"/>
        <v>30.853056830809539</v>
      </c>
      <c r="G12" s="25">
        <f t="shared" ca="1" si="0"/>
        <v>37.961641034795555</v>
      </c>
    </row>
    <row r="13" spans="2:7" x14ac:dyDescent="0.2">
      <c r="B13" s="26">
        <v>9</v>
      </c>
      <c r="C13" s="25">
        <f t="shared" ca="1" si="0"/>
        <v>6.2049207221362632</v>
      </c>
      <c r="D13" s="25">
        <f t="shared" ca="1" si="0"/>
        <v>15.881877230103683</v>
      </c>
      <c r="E13" s="25">
        <f t="shared" ca="1" si="0"/>
        <v>11.688476343971928</v>
      </c>
      <c r="F13" s="25">
        <f t="shared" ca="1" si="0"/>
        <v>26.058281743044908</v>
      </c>
      <c r="G13" s="25">
        <f t="shared" ca="1" si="0"/>
        <v>37.147822583549925</v>
      </c>
    </row>
    <row r="14" spans="2:7" x14ac:dyDescent="0.2">
      <c r="B14" s="26">
        <v>10</v>
      </c>
      <c r="C14" s="25">
        <f t="shared" ca="1" si="0"/>
        <v>10.359103830413323</v>
      </c>
      <c r="D14" s="25">
        <f t="shared" ca="1" si="0"/>
        <v>23.699778396301419</v>
      </c>
      <c r="E14" s="25">
        <f t="shared" ca="1" si="0"/>
        <v>31.915293499970844</v>
      </c>
      <c r="F14" s="25">
        <f t="shared" ca="1" si="0"/>
        <v>46.163915765657023</v>
      </c>
      <c r="G14" s="25">
        <f t="shared" ca="1" si="0"/>
        <v>58.702418729874545</v>
      </c>
    </row>
    <row r="15" spans="2:7" x14ac:dyDescent="0.2">
      <c r="B15" s="26">
        <v>11</v>
      </c>
      <c r="C15" s="25">
        <f t="shared" ref="C15:G24" ca="1" si="1">a + b*t+_xlfn.NORM.INV(RAND(),0,SQRT(AVERAGE(b)*AVERAGE(t)))</f>
        <v>10.545354895423531</v>
      </c>
      <c r="D15" s="25">
        <f t="shared" ca="1" si="1"/>
        <v>27.801953564245231</v>
      </c>
      <c r="E15" s="25">
        <f t="shared" ca="1" si="1"/>
        <v>42.518048005540685</v>
      </c>
      <c r="F15" s="25">
        <f t="shared" ca="1" si="1"/>
        <v>49.41340193459888</v>
      </c>
      <c r="G15" s="25">
        <f t="shared" ca="1" si="1"/>
        <v>55.745745152824227</v>
      </c>
    </row>
    <row r="16" spans="2:7" x14ac:dyDescent="0.2">
      <c r="B16" s="26">
        <v>12</v>
      </c>
      <c r="C16" s="25">
        <f t="shared" ca="1" si="1"/>
        <v>17.610429365474751</v>
      </c>
      <c r="D16" s="25">
        <f t="shared" ca="1" si="1"/>
        <v>17.794350361148823</v>
      </c>
      <c r="E16" s="25">
        <f t="shared" ca="1" si="1"/>
        <v>32.827655068986388</v>
      </c>
      <c r="F16" s="25">
        <f t="shared" ca="1" si="1"/>
        <v>54.634940066340135</v>
      </c>
      <c r="G16" s="25">
        <f t="shared" ca="1" si="1"/>
        <v>64.38788282122816</v>
      </c>
    </row>
    <row r="17" spans="2:7" x14ac:dyDescent="0.2">
      <c r="B17" s="26">
        <v>13</v>
      </c>
      <c r="C17" s="25">
        <f t="shared" ca="1" si="1"/>
        <v>13.75089094846366</v>
      </c>
      <c r="D17" s="25">
        <f t="shared" ca="1" si="1"/>
        <v>21.785054059012644</v>
      </c>
      <c r="E17" s="25">
        <f t="shared" ca="1" si="1"/>
        <v>48.338517549311334</v>
      </c>
      <c r="F17" s="25">
        <f t="shared" ca="1" si="1"/>
        <v>51.763511165689522</v>
      </c>
      <c r="G17" s="25">
        <f t="shared" ca="1" si="1"/>
        <v>61.11040547786375</v>
      </c>
    </row>
    <row r="18" spans="2:7" x14ac:dyDescent="0.2">
      <c r="B18" s="26">
        <v>14</v>
      </c>
      <c r="C18" s="25">
        <f t="shared" ca="1" si="1"/>
        <v>14.862720919969201</v>
      </c>
      <c r="D18" s="25">
        <f t="shared" ca="1" si="1"/>
        <v>40.877173969397617</v>
      </c>
      <c r="E18" s="25">
        <f t="shared" ca="1" si="1"/>
        <v>41.368435645883494</v>
      </c>
      <c r="F18" s="25">
        <f t="shared" ca="1" si="1"/>
        <v>55.799555668528782</v>
      </c>
      <c r="G18" s="25">
        <f t="shared" ca="1" si="1"/>
        <v>62.861735086826229</v>
      </c>
    </row>
    <row r="19" spans="2:7" x14ac:dyDescent="0.2">
      <c r="B19" s="26">
        <v>15</v>
      </c>
      <c r="C19" s="25">
        <f t="shared" ca="1" si="1"/>
        <v>11.041860483985449</v>
      </c>
      <c r="D19" s="25">
        <f t="shared" ca="1" si="1"/>
        <v>32.734266404223206</v>
      </c>
      <c r="E19" s="25">
        <f t="shared" ca="1" si="1"/>
        <v>46.680379320711445</v>
      </c>
      <c r="F19" s="25">
        <f t="shared" ca="1" si="1"/>
        <v>62.006719495071387</v>
      </c>
      <c r="G19" s="25">
        <f t="shared" ca="1" si="1"/>
        <v>80.883073363389073</v>
      </c>
    </row>
    <row r="20" spans="2:7" x14ac:dyDescent="0.2">
      <c r="B20" s="26">
        <v>16</v>
      </c>
      <c r="C20" s="25">
        <f t="shared" ca="1" si="1"/>
        <v>5.1355149881536128</v>
      </c>
      <c r="D20" s="25">
        <f t="shared" ca="1" si="1"/>
        <v>35.935401504848713</v>
      </c>
      <c r="E20" s="25">
        <f t="shared" ca="1" si="1"/>
        <v>45.613822492729192</v>
      </c>
      <c r="F20" s="25">
        <f t="shared" ca="1" si="1"/>
        <v>68.984465768655383</v>
      </c>
      <c r="G20" s="25">
        <f t="shared" ca="1" si="1"/>
        <v>71.707410475890896</v>
      </c>
    </row>
    <row r="21" spans="2:7" x14ac:dyDescent="0.2">
      <c r="B21" s="26">
        <v>17</v>
      </c>
      <c r="C21" s="25">
        <f t="shared" ca="1" si="1"/>
        <v>15.970471329522137</v>
      </c>
      <c r="D21" s="25">
        <f t="shared" ca="1" si="1"/>
        <v>29.2291040751144</v>
      </c>
      <c r="E21" s="25">
        <f t="shared" ca="1" si="1"/>
        <v>54.882170521729378</v>
      </c>
      <c r="F21" s="25">
        <f t="shared" ca="1" si="1"/>
        <v>80.269317113081257</v>
      </c>
      <c r="G21" s="25">
        <f t="shared" ca="1" si="1"/>
        <v>84.440440357486196</v>
      </c>
    </row>
    <row r="22" spans="2:7" x14ac:dyDescent="0.2">
      <c r="B22" s="26">
        <v>18</v>
      </c>
      <c r="C22" s="25">
        <f t="shared" ca="1" si="1"/>
        <v>13.228174666863339</v>
      </c>
      <c r="D22" s="25">
        <f t="shared" ca="1" si="1"/>
        <v>29.108075107438616</v>
      </c>
      <c r="E22" s="25">
        <f t="shared" ca="1" si="1"/>
        <v>58.533740201710756</v>
      </c>
      <c r="F22" s="25">
        <f t="shared" ca="1" si="1"/>
        <v>79.819310431625368</v>
      </c>
      <c r="G22" s="25">
        <f t="shared" ca="1" si="1"/>
        <v>85.300855967012183</v>
      </c>
    </row>
    <row r="23" spans="2:7" x14ac:dyDescent="0.2">
      <c r="B23" s="26">
        <v>19</v>
      </c>
      <c r="C23" s="25">
        <f t="shared" ca="1" si="1"/>
        <v>16.229428846410372</v>
      </c>
      <c r="D23" s="25">
        <f t="shared" ca="1" si="1"/>
        <v>37.066699690209646</v>
      </c>
      <c r="E23" s="25">
        <f t="shared" ca="1" si="1"/>
        <v>46.683718060217863</v>
      </c>
      <c r="F23" s="25">
        <f t="shared" ca="1" si="1"/>
        <v>80.318328311575442</v>
      </c>
      <c r="G23" s="25">
        <f t="shared" ca="1" si="1"/>
        <v>101.31187015421229</v>
      </c>
    </row>
    <row r="24" spans="2:7" x14ac:dyDescent="0.2">
      <c r="B24" s="26">
        <v>20</v>
      </c>
      <c r="C24" s="25">
        <f t="shared" ca="1" si="1"/>
        <v>19.037416441226529</v>
      </c>
      <c r="D24" s="25">
        <f t="shared" ca="1" si="1"/>
        <v>34.807296709474613</v>
      </c>
      <c r="E24" s="25">
        <f t="shared" ca="1" si="1"/>
        <v>68.967770536958028</v>
      </c>
      <c r="F24" s="25">
        <f t="shared" ca="1" si="1"/>
        <v>64.874441377187239</v>
      </c>
      <c r="G24" s="25">
        <f t="shared" ca="1" si="1"/>
        <v>99.011099602085864</v>
      </c>
    </row>
    <row r="25" spans="2:7" x14ac:dyDescent="0.2">
      <c r="B25" s="26">
        <v>21</v>
      </c>
      <c r="C25" s="25">
        <f t="shared" ref="C25:G34" ca="1" si="2">a + b*t+_xlfn.NORM.INV(RAND(),0,SQRT(AVERAGE(b)*AVERAGE(t)))</f>
        <v>11.945940589641049</v>
      </c>
      <c r="D25" s="25">
        <f t="shared" ca="1" si="2"/>
        <v>45.043345289491896</v>
      </c>
      <c r="E25" s="25">
        <f t="shared" ca="1" si="2"/>
        <v>67.283666059051441</v>
      </c>
      <c r="F25" s="25">
        <f t="shared" ca="1" si="2"/>
        <v>76.778144227023304</v>
      </c>
      <c r="G25" s="25">
        <f t="shared" ca="1" si="2"/>
        <v>105.69626515695828</v>
      </c>
    </row>
    <row r="26" spans="2:7" x14ac:dyDescent="0.2">
      <c r="B26" s="26">
        <v>22</v>
      </c>
      <c r="C26" s="25">
        <f t="shared" ca="1" si="2"/>
        <v>24.959253233383244</v>
      </c>
      <c r="D26" s="25">
        <f t="shared" ca="1" si="2"/>
        <v>42.880825098531894</v>
      </c>
      <c r="E26" s="25">
        <f t="shared" ca="1" si="2"/>
        <v>52.656257138859459</v>
      </c>
      <c r="F26" s="25">
        <f t="shared" ca="1" si="2"/>
        <v>83.986431400236299</v>
      </c>
      <c r="G26" s="25">
        <f t="shared" ca="1" si="2"/>
        <v>113.85705476700049</v>
      </c>
    </row>
    <row r="27" spans="2:7" x14ac:dyDescent="0.2">
      <c r="B27" s="26">
        <v>23</v>
      </c>
      <c r="C27" s="25">
        <f t="shared" ca="1" si="2"/>
        <v>26.040055335314459</v>
      </c>
      <c r="D27" s="25">
        <f t="shared" ca="1" si="2"/>
        <v>52.818336502681369</v>
      </c>
      <c r="E27" s="25">
        <f t="shared" ca="1" si="2"/>
        <v>62.158972218171449</v>
      </c>
      <c r="F27" s="25">
        <f t="shared" ca="1" si="2"/>
        <v>93.521038304017964</v>
      </c>
      <c r="G27" s="25">
        <f t="shared" ca="1" si="2"/>
        <v>123.40156374527085</v>
      </c>
    </row>
    <row r="28" spans="2:7" x14ac:dyDescent="0.2">
      <c r="B28" s="26">
        <v>24</v>
      </c>
      <c r="C28" s="25">
        <f t="shared" ca="1" si="2"/>
        <v>31.488838024051017</v>
      </c>
      <c r="D28" s="25">
        <f t="shared" ca="1" si="2"/>
        <v>45.538235545784737</v>
      </c>
      <c r="E28" s="25">
        <f t="shared" ca="1" si="2"/>
        <v>78.42378840958942</v>
      </c>
      <c r="F28" s="25">
        <f t="shared" ca="1" si="2"/>
        <v>102.54407690523128</v>
      </c>
      <c r="G28" s="25">
        <f t="shared" ca="1" si="2"/>
        <v>106.95528121337735</v>
      </c>
    </row>
    <row r="29" spans="2:7" x14ac:dyDescent="0.2">
      <c r="B29" s="26">
        <v>25</v>
      </c>
      <c r="C29" s="25">
        <f t="shared" ca="1" si="2"/>
        <v>33.636711266455791</v>
      </c>
      <c r="D29" s="25">
        <f t="shared" ca="1" si="2"/>
        <v>62.253673465359384</v>
      </c>
      <c r="E29" s="25">
        <f t="shared" ca="1" si="2"/>
        <v>74.975713422857837</v>
      </c>
      <c r="F29" s="25">
        <f t="shared" ca="1" si="2"/>
        <v>92.208850358054832</v>
      </c>
      <c r="G29" s="25">
        <f t="shared" ca="1" si="2"/>
        <v>122.86003384728329</v>
      </c>
    </row>
    <row r="30" spans="2:7" x14ac:dyDescent="0.2">
      <c r="B30" s="26">
        <v>26</v>
      </c>
      <c r="C30" s="25">
        <f t="shared" ca="1" si="2"/>
        <v>16.80338798254645</v>
      </c>
      <c r="D30" s="25">
        <f t="shared" ca="1" si="2"/>
        <v>53.53666896525467</v>
      </c>
      <c r="E30" s="25">
        <f t="shared" ca="1" si="2"/>
        <v>71.585007659796076</v>
      </c>
      <c r="F30" s="25">
        <f t="shared" ca="1" si="2"/>
        <v>116.41419058178057</v>
      </c>
      <c r="G30" s="25">
        <f t="shared" ca="1" si="2"/>
        <v>131.46101969326963</v>
      </c>
    </row>
    <row r="31" spans="2:7" x14ac:dyDescent="0.2">
      <c r="B31" s="26">
        <v>27</v>
      </c>
      <c r="C31" s="25">
        <f t="shared" ca="1" si="2"/>
        <v>27.131538605555868</v>
      </c>
      <c r="D31" s="25">
        <f t="shared" ca="1" si="2"/>
        <v>54.596374277417155</v>
      </c>
      <c r="E31" s="25">
        <f t="shared" ca="1" si="2"/>
        <v>96.881570471381764</v>
      </c>
      <c r="F31" s="25">
        <f t="shared" ca="1" si="2"/>
        <v>112.31367530011502</v>
      </c>
      <c r="G31" s="25">
        <f t="shared" ca="1" si="2"/>
        <v>127.16871976295504</v>
      </c>
    </row>
    <row r="32" spans="2:7" x14ac:dyDescent="0.2">
      <c r="B32" s="26">
        <v>28</v>
      </c>
      <c r="C32" s="25">
        <f t="shared" ca="1" si="2"/>
        <v>29.592728235126032</v>
      </c>
      <c r="D32" s="25">
        <f t="shared" ca="1" si="2"/>
        <v>62.713440969166747</v>
      </c>
      <c r="E32" s="25">
        <f t="shared" ca="1" si="2"/>
        <v>92.031146304644807</v>
      </c>
      <c r="F32" s="25">
        <f t="shared" ca="1" si="2"/>
        <v>115.25153011303371</v>
      </c>
      <c r="G32" s="25">
        <f t="shared" ca="1" si="2"/>
        <v>132.20405829786313</v>
      </c>
    </row>
    <row r="33" spans="2:7" x14ac:dyDescent="0.2">
      <c r="B33" s="26">
        <v>29</v>
      </c>
      <c r="C33" s="25">
        <f t="shared" ca="1" si="2"/>
        <v>38.947479355284209</v>
      </c>
      <c r="D33" s="25">
        <f t="shared" ca="1" si="2"/>
        <v>58.633925509068568</v>
      </c>
      <c r="E33" s="25">
        <f t="shared" ca="1" si="2"/>
        <v>78.638600488959952</v>
      </c>
      <c r="F33" s="25">
        <f t="shared" ca="1" si="2"/>
        <v>117.59894597011561</v>
      </c>
      <c r="G33" s="25">
        <f t="shared" ca="1" si="2"/>
        <v>143.90392352988937</v>
      </c>
    </row>
    <row r="34" spans="2:7" x14ac:dyDescent="0.2">
      <c r="B34" s="26">
        <v>30</v>
      </c>
      <c r="C34" s="25">
        <f t="shared" ca="1" si="2"/>
        <v>29.36532376771542</v>
      </c>
      <c r="D34" s="25">
        <f t="shared" ca="1" si="2"/>
        <v>66.613763419347734</v>
      </c>
      <c r="E34" s="25">
        <f t="shared" ca="1" si="2"/>
        <v>96.948048161469799</v>
      </c>
      <c r="F34" s="25">
        <f t="shared" ca="1" si="2"/>
        <v>121.88702438924234</v>
      </c>
      <c r="G34" s="25">
        <f t="shared" ca="1" si="2"/>
        <v>162.41309643184289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E1425-102F-AD40-BCB2-D53BA7F0FC22}">
  <sheetPr codeName="Sheet10">
    <tabColor rgb="FFFF0000"/>
  </sheetPr>
  <dimension ref="B2:G34"/>
  <sheetViews>
    <sheetView workbookViewId="0"/>
  </sheetViews>
  <sheetFormatPr baseColWidth="10" defaultRowHeight="16" x14ac:dyDescent="0.2"/>
  <cols>
    <col min="1" max="16384" width="10.83203125" style="8"/>
  </cols>
  <sheetData>
    <row r="2" spans="2:7" x14ac:dyDescent="0.2">
      <c r="B2" s="8" t="s">
        <v>217</v>
      </c>
      <c r="C2" s="8">
        <v>1</v>
      </c>
      <c r="D2" s="8">
        <v>2</v>
      </c>
      <c r="E2" s="8">
        <v>3</v>
      </c>
      <c r="F2" s="8">
        <v>4</v>
      </c>
      <c r="G2" s="8">
        <v>5</v>
      </c>
    </row>
    <row r="3" spans="2:7" x14ac:dyDescent="0.2">
      <c r="B3" s="8" t="s">
        <v>216</v>
      </c>
      <c r="C3" s="8">
        <v>10</v>
      </c>
      <c r="D3" s="8">
        <v>20</v>
      </c>
      <c r="E3" s="8">
        <v>30</v>
      </c>
      <c r="F3" s="8">
        <v>40</v>
      </c>
      <c r="G3" s="8">
        <v>50</v>
      </c>
    </row>
    <row r="4" spans="2:7" x14ac:dyDescent="0.2">
      <c r="B4" s="26" t="s">
        <v>215</v>
      </c>
      <c r="C4" s="26" t="s">
        <v>214</v>
      </c>
      <c r="D4" s="26" t="s">
        <v>213</v>
      </c>
      <c r="E4" s="26" t="s">
        <v>212</v>
      </c>
      <c r="F4" s="26" t="s">
        <v>211</v>
      </c>
      <c r="G4" s="26" t="s">
        <v>210</v>
      </c>
    </row>
    <row r="5" spans="2:7" x14ac:dyDescent="0.2">
      <c r="B5" s="26">
        <v>1</v>
      </c>
      <c r="C5" s="25">
        <f t="shared" ref="C5:G14" ca="1" si="0">a + b*t+_xlfn.NORM.INV(RAND(),0,SQRT(AVERAGE(b)*AVERAGE(t)))</f>
        <v>14.936170634946334</v>
      </c>
      <c r="D5" s="25">
        <f t="shared" ca="1" si="0"/>
        <v>16.135718087364339</v>
      </c>
      <c r="E5" s="25">
        <f t="shared" ca="1" si="0"/>
        <v>37.662163168007439</v>
      </c>
      <c r="F5" s="25">
        <f t="shared" ca="1" si="0"/>
        <v>31.786865582941065</v>
      </c>
      <c r="G5" s="25">
        <f t="shared" ca="1" si="0"/>
        <v>54.64088757362493</v>
      </c>
    </row>
    <row r="6" spans="2:7" x14ac:dyDescent="0.2">
      <c r="B6" s="26">
        <v>2</v>
      </c>
      <c r="C6" s="25">
        <f t="shared" ca="1" si="0"/>
        <v>12.240391307820596</v>
      </c>
      <c r="D6" s="25">
        <f t="shared" ca="1" si="0"/>
        <v>23.987730319309257</v>
      </c>
      <c r="E6" s="25">
        <f t="shared" ca="1" si="0"/>
        <v>45.351709890213328</v>
      </c>
      <c r="F6" s="25">
        <f t="shared" ca="1" si="0"/>
        <v>50.726244615308104</v>
      </c>
      <c r="G6" s="25">
        <f t="shared" ca="1" si="0"/>
        <v>61.49844649923962</v>
      </c>
    </row>
    <row r="7" spans="2:7" x14ac:dyDescent="0.2">
      <c r="B7" s="26">
        <v>3</v>
      </c>
      <c r="C7" s="25">
        <f t="shared" ca="1" si="0"/>
        <v>10.311017065449539</v>
      </c>
      <c r="D7" s="25">
        <f t="shared" ca="1" si="0"/>
        <v>20.574664229195996</v>
      </c>
      <c r="E7" s="25">
        <f t="shared" ca="1" si="0"/>
        <v>37.900952777469399</v>
      </c>
      <c r="F7" s="25">
        <f t="shared" ca="1" si="0"/>
        <v>60.136595782037361</v>
      </c>
      <c r="G7" s="25">
        <f t="shared" ca="1" si="0"/>
        <v>58.295714756538956</v>
      </c>
    </row>
    <row r="8" spans="2:7" x14ac:dyDescent="0.2">
      <c r="B8" s="26">
        <v>4</v>
      </c>
      <c r="C8" s="25">
        <f t="shared" ca="1" si="0"/>
        <v>9.6694197111332301</v>
      </c>
      <c r="D8" s="25">
        <f t="shared" ca="1" si="0"/>
        <v>21.552077251046732</v>
      </c>
      <c r="E8" s="25">
        <f t="shared" ca="1" si="0"/>
        <v>55.410319698143496</v>
      </c>
      <c r="F8" s="25">
        <f t="shared" ca="1" si="0"/>
        <v>57.287117946032026</v>
      </c>
      <c r="G8" s="25">
        <f t="shared" ca="1" si="0"/>
        <v>69.250395649768237</v>
      </c>
    </row>
    <row r="9" spans="2:7" x14ac:dyDescent="0.2">
      <c r="B9" s="26">
        <v>5</v>
      </c>
      <c r="C9" s="25">
        <f t="shared" ca="1" si="0"/>
        <v>11.709287352971772</v>
      </c>
      <c r="D9" s="25">
        <f t="shared" ca="1" si="0"/>
        <v>18.624394969397542</v>
      </c>
      <c r="E9" s="25">
        <f t="shared" ca="1" si="0"/>
        <v>38.661084409586898</v>
      </c>
      <c r="F9" s="25">
        <f t="shared" ca="1" si="0"/>
        <v>52.72860799313807</v>
      </c>
      <c r="G9" s="25">
        <f t="shared" ca="1" si="0"/>
        <v>79.178403693431491</v>
      </c>
    </row>
    <row r="10" spans="2:7" x14ac:dyDescent="0.2">
      <c r="B10" s="26">
        <v>6</v>
      </c>
      <c r="C10" s="25">
        <f t="shared" ca="1" si="0"/>
        <v>10.864274396197164</v>
      </c>
      <c r="D10" s="25">
        <f t="shared" ca="1" si="0"/>
        <v>30.148516119240561</v>
      </c>
      <c r="E10" s="25">
        <f t="shared" ca="1" si="0"/>
        <v>44.934169193146985</v>
      </c>
      <c r="F10" s="25">
        <f t="shared" ca="1" si="0"/>
        <v>53.642341101542627</v>
      </c>
      <c r="G10" s="25">
        <f t="shared" ca="1" si="0"/>
        <v>76.539153774778583</v>
      </c>
    </row>
    <row r="11" spans="2:7" x14ac:dyDescent="0.2">
      <c r="B11" s="26">
        <v>7</v>
      </c>
      <c r="C11" s="25">
        <f t="shared" ca="1" si="0"/>
        <v>17.329685601689437</v>
      </c>
      <c r="D11" s="25">
        <f t="shared" ca="1" si="0"/>
        <v>30.692382840151126</v>
      </c>
      <c r="E11" s="25">
        <f t="shared" ca="1" si="0"/>
        <v>57.872488856267466</v>
      </c>
      <c r="F11" s="25">
        <f t="shared" ca="1" si="0"/>
        <v>72.273177114509181</v>
      </c>
      <c r="G11" s="25">
        <f t="shared" ca="1" si="0"/>
        <v>79.676229179906585</v>
      </c>
    </row>
    <row r="12" spans="2:7" x14ac:dyDescent="0.2">
      <c r="B12" s="26">
        <v>8</v>
      </c>
      <c r="C12" s="25">
        <f t="shared" ca="1" si="0"/>
        <v>21.022241907327071</v>
      </c>
      <c r="D12" s="25">
        <f t="shared" ca="1" si="0"/>
        <v>28.436744286126874</v>
      </c>
      <c r="E12" s="25">
        <f t="shared" ca="1" si="0"/>
        <v>41.358751331063978</v>
      </c>
      <c r="F12" s="25">
        <f t="shared" ca="1" si="0"/>
        <v>65.214142208603491</v>
      </c>
      <c r="G12" s="25">
        <f t="shared" ca="1" si="0"/>
        <v>80.724293166317764</v>
      </c>
    </row>
    <row r="13" spans="2:7" x14ac:dyDescent="0.2">
      <c r="B13" s="26">
        <v>9</v>
      </c>
      <c r="C13" s="25">
        <f t="shared" ca="1" si="0"/>
        <v>29.707453409968878</v>
      </c>
      <c r="D13" s="25">
        <f t="shared" ca="1" si="0"/>
        <v>47.976528840957172</v>
      </c>
      <c r="E13" s="25">
        <f t="shared" ca="1" si="0"/>
        <v>44.113248938422295</v>
      </c>
      <c r="F13" s="25">
        <f t="shared" ca="1" si="0"/>
        <v>80.622815674364446</v>
      </c>
      <c r="G13" s="25">
        <f t="shared" ca="1" si="0"/>
        <v>93.267147315752538</v>
      </c>
    </row>
    <row r="14" spans="2:7" x14ac:dyDescent="0.2">
      <c r="B14" s="26">
        <v>10</v>
      </c>
      <c r="C14" s="25">
        <f t="shared" ca="1" si="0"/>
        <v>14.071989969734149</v>
      </c>
      <c r="D14" s="25">
        <f t="shared" ca="1" si="0"/>
        <v>45.473991211445551</v>
      </c>
      <c r="E14" s="25">
        <f t="shared" ca="1" si="0"/>
        <v>45.720866893826582</v>
      </c>
      <c r="F14" s="25">
        <f t="shared" ca="1" si="0"/>
        <v>81.543859317710812</v>
      </c>
      <c r="G14" s="25">
        <f t="shared" ca="1" si="0"/>
        <v>85.170645748615499</v>
      </c>
    </row>
    <row r="15" spans="2:7" x14ac:dyDescent="0.2">
      <c r="B15" s="26">
        <v>11</v>
      </c>
      <c r="C15" s="25">
        <f t="shared" ref="C15:G24" ca="1" si="1">a + b*t+_xlfn.NORM.INV(RAND(),0,SQRT(AVERAGE(b)*AVERAGE(t)))</f>
        <v>16.953044870496061</v>
      </c>
      <c r="D15" s="25">
        <f t="shared" ca="1" si="1"/>
        <v>41.307133660217609</v>
      </c>
      <c r="E15" s="25">
        <f t="shared" ca="1" si="1"/>
        <v>69.286211544541558</v>
      </c>
      <c r="F15" s="25">
        <f t="shared" ca="1" si="1"/>
        <v>79.458561525638473</v>
      </c>
      <c r="G15" s="25">
        <f t="shared" ca="1" si="1"/>
        <v>118.20689572852123</v>
      </c>
    </row>
    <row r="16" spans="2:7" x14ac:dyDescent="0.2">
      <c r="B16" s="26">
        <v>12</v>
      </c>
      <c r="C16" s="25">
        <f t="shared" ca="1" si="1"/>
        <v>27.198471290981118</v>
      </c>
      <c r="D16" s="25">
        <f t="shared" ca="1" si="1"/>
        <v>51.617478100049759</v>
      </c>
      <c r="E16" s="25">
        <f t="shared" ca="1" si="1"/>
        <v>59.278130631039716</v>
      </c>
      <c r="F16" s="25">
        <f t="shared" ca="1" si="1"/>
        <v>78.475303646768822</v>
      </c>
      <c r="G16" s="25">
        <f t="shared" ca="1" si="1"/>
        <v>111.16069791271823</v>
      </c>
    </row>
    <row r="17" spans="2:7" x14ac:dyDescent="0.2">
      <c r="B17" s="26">
        <v>13</v>
      </c>
      <c r="C17" s="25">
        <f t="shared" ca="1" si="1"/>
        <v>19.367925854934111</v>
      </c>
      <c r="D17" s="25">
        <f t="shared" ca="1" si="1"/>
        <v>56.283155622891179</v>
      </c>
      <c r="E17" s="25">
        <f t="shared" ca="1" si="1"/>
        <v>70.301264909094471</v>
      </c>
      <c r="F17" s="25">
        <f t="shared" ca="1" si="1"/>
        <v>98.784695026404961</v>
      </c>
      <c r="G17" s="25">
        <f t="shared" ca="1" si="1"/>
        <v>118.03518749642946</v>
      </c>
    </row>
    <row r="18" spans="2:7" x14ac:dyDescent="0.2">
      <c r="B18" s="26">
        <v>14</v>
      </c>
      <c r="C18" s="25">
        <f t="shared" ca="1" si="1"/>
        <v>26.387288047121633</v>
      </c>
      <c r="D18" s="25">
        <f t="shared" ca="1" si="1"/>
        <v>56.544400763736547</v>
      </c>
      <c r="E18" s="25">
        <f t="shared" ca="1" si="1"/>
        <v>69.928210871062845</v>
      </c>
      <c r="F18" s="25">
        <f t="shared" ca="1" si="1"/>
        <v>95.341340041583052</v>
      </c>
      <c r="G18" s="25">
        <f t="shared" ca="1" si="1"/>
        <v>118.30887577646651</v>
      </c>
    </row>
    <row r="19" spans="2:7" x14ac:dyDescent="0.2">
      <c r="B19" s="26">
        <v>15</v>
      </c>
      <c r="C19" s="25">
        <f t="shared" ca="1" si="1"/>
        <v>31.811604055112724</v>
      </c>
      <c r="D19" s="25">
        <f t="shared" ca="1" si="1"/>
        <v>48.570903834072418</v>
      </c>
      <c r="E19" s="25">
        <f t="shared" ca="1" si="1"/>
        <v>87.354889700417502</v>
      </c>
      <c r="F19" s="25">
        <f t="shared" ca="1" si="1"/>
        <v>99.750536136994256</v>
      </c>
      <c r="G19" s="25">
        <f t="shared" ca="1" si="1"/>
        <v>131.74842425493441</v>
      </c>
    </row>
    <row r="20" spans="2:7" x14ac:dyDescent="0.2">
      <c r="B20" s="26">
        <v>16</v>
      </c>
      <c r="C20" s="25">
        <f t="shared" ca="1" si="1"/>
        <v>22.325565348409523</v>
      </c>
      <c r="D20" s="25">
        <f t="shared" ca="1" si="1"/>
        <v>35.803045212677375</v>
      </c>
      <c r="E20" s="25">
        <f t="shared" ca="1" si="1"/>
        <v>81.057177247373517</v>
      </c>
      <c r="F20" s="25">
        <f t="shared" ca="1" si="1"/>
        <v>96.605226843360157</v>
      </c>
      <c r="G20" s="25">
        <f t="shared" ca="1" si="1"/>
        <v>113.12995070631479</v>
      </c>
    </row>
    <row r="21" spans="2:7" x14ac:dyDescent="0.2">
      <c r="B21" s="26">
        <v>17</v>
      </c>
      <c r="C21" s="25">
        <f t="shared" ca="1" si="1"/>
        <v>28.384704002212267</v>
      </c>
      <c r="D21" s="25">
        <f t="shared" ca="1" si="1"/>
        <v>41.795858807965573</v>
      </c>
      <c r="E21" s="25">
        <f t="shared" ca="1" si="1"/>
        <v>70.620843827921433</v>
      </c>
      <c r="F21" s="25">
        <f t="shared" ca="1" si="1"/>
        <v>111.61059142914642</v>
      </c>
      <c r="G21" s="25">
        <f t="shared" ca="1" si="1"/>
        <v>134.58549939099444</v>
      </c>
    </row>
    <row r="22" spans="2:7" x14ac:dyDescent="0.2">
      <c r="B22" s="26">
        <v>18</v>
      </c>
      <c r="C22" s="25">
        <f t="shared" ca="1" si="1"/>
        <v>33.189966474388804</v>
      </c>
      <c r="D22" s="25">
        <f t="shared" ca="1" si="1"/>
        <v>48.719324955964595</v>
      </c>
      <c r="E22" s="25">
        <f t="shared" ca="1" si="1"/>
        <v>96.566702446809899</v>
      </c>
      <c r="F22" s="25">
        <f t="shared" ca="1" si="1"/>
        <v>112.39194777691442</v>
      </c>
      <c r="G22" s="25">
        <f t="shared" ca="1" si="1"/>
        <v>141.39709832267849</v>
      </c>
    </row>
    <row r="23" spans="2:7" x14ac:dyDescent="0.2">
      <c r="B23" s="26">
        <v>19</v>
      </c>
      <c r="C23" s="25">
        <f t="shared" ca="1" si="1"/>
        <v>39.31478834460286</v>
      </c>
      <c r="D23" s="25">
        <f t="shared" ca="1" si="1"/>
        <v>49.123250960412193</v>
      </c>
      <c r="E23" s="25">
        <f t="shared" ca="1" si="1"/>
        <v>88.358999135683433</v>
      </c>
      <c r="F23" s="25">
        <f t="shared" ca="1" si="1"/>
        <v>113.07838611133334</v>
      </c>
      <c r="G23" s="25">
        <f t="shared" ca="1" si="1"/>
        <v>152.21067788626752</v>
      </c>
    </row>
    <row r="24" spans="2:7" x14ac:dyDescent="0.2">
      <c r="B24" s="26">
        <v>20</v>
      </c>
      <c r="C24" s="25">
        <f t="shared" ca="1" si="1"/>
        <v>21.553315833111974</v>
      </c>
      <c r="D24" s="25">
        <f t="shared" ca="1" si="1"/>
        <v>63.346676976232914</v>
      </c>
      <c r="E24" s="25">
        <f t="shared" ca="1" si="1"/>
        <v>88.804857653961193</v>
      </c>
      <c r="F24" s="25">
        <f t="shared" ca="1" si="1"/>
        <v>121.60834619038661</v>
      </c>
      <c r="G24" s="25">
        <f t="shared" ca="1" si="1"/>
        <v>159.7726330651349</v>
      </c>
    </row>
    <row r="25" spans="2:7" x14ac:dyDescent="0.2">
      <c r="B25" s="26">
        <v>21</v>
      </c>
      <c r="C25" s="25">
        <f t="shared" ref="C25:G34" ca="1" si="2">a + b*t+_xlfn.NORM.INV(RAND(),0,SQRT(AVERAGE(b)*AVERAGE(t)))</f>
        <v>22.727087304480364</v>
      </c>
      <c r="D25" s="25">
        <f t="shared" ca="1" si="2"/>
        <v>59.568749254742386</v>
      </c>
      <c r="E25" s="25">
        <f t="shared" ca="1" si="2"/>
        <v>77.739453263069379</v>
      </c>
      <c r="F25" s="25">
        <f t="shared" ca="1" si="2"/>
        <v>114.052792985575</v>
      </c>
      <c r="G25" s="25">
        <f t="shared" ca="1" si="2"/>
        <v>147.99752152403914</v>
      </c>
    </row>
    <row r="26" spans="2:7" x14ac:dyDescent="0.2">
      <c r="B26" s="26">
        <v>22</v>
      </c>
      <c r="C26" s="25">
        <f t="shared" ca="1" si="2"/>
        <v>41.249867915377898</v>
      </c>
      <c r="D26" s="25">
        <f t="shared" ca="1" si="2"/>
        <v>69.632357168320496</v>
      </c>
      <c r="E26" s="25">
        <f t="shared" ca="1" si="2"/>
        <v>93.634200190843231</v>
      </c>
      <c r="F26" s="25">
        <f t="shared" ca="1" si="2"/>
        <v>139.68852817152933</v>
      </c>
      <c r="G26" s="25">
        <f t="shared" ca="1" si="2"/>
        <v>163.65666281193774</v>
      </c>
    </row>
    <row r="27" spans="2:7" x14ac:dyDescent="0.2">
      <c r="B27" s="26">
        <v>23</v>
      </c>
      <c r="C27" s="25">
        <f t="shared" ca="1" si="2"/>
        <v>35.379095190418447</v>
      </c>
      <c r="D27" s="25">
        <f t="shared" ca="1" si="2"/>
        <v>68.237141650132202</v>
      </c>
      <c r="E27" s="25">
        <f t="shared" ca="1" si="2"/>
        <v>97.754654627759379</v>
      </c>
      <c r="F27" s="25">
        <f t="shared" ca="1" si="2"/>
        <v>127.9784291892564</v>
      </c>
      <c r="G27" s="25">
        <f t="shared" ca="1" si="2"/>
        <v>169.40259559287102</v>
      </c>
    </row>
    <row r="28" spans="2:7" x14ac:dyDescent="0.2">
      <c r="B28" s="26">
        <v>24</v>
      </c>
      <c r="C28" s="25">
        <f t="shared" ca="1" si="2"/>
        <v>32.452287230443673</v>
      </c>
      <c r="D28" s="25">
        <f t="shared" ca="1" si="2"/>
        <v>70.240216506243158</v>
      </c>
      <c r="E28" s="25">
        <f t="shared" ca="1" si="2"/>
        <v>103.94893151519449</v>
      </c>
      <c r="F28" s="25">
        <f t="shared" ca="1" si="2"/>
        <v>130.02274413580386</v>
      </c>
      <c r="G28" s="25">
        <f t="shared" ca="1" si="2"/>
        <v>177.52292996554041</v>
      </c>
    </row>
    <row r="29" spans="2:7" x14ac:dyDescent="0.2">
      <c r="B29" s="26">
        <v>25</v>
      </c>
      <c r="C29" s="25">
        <f t="shared" ca="1" si="2"/>
        <v>29.899363867774337</v>
      </c>
      <c r="D29" s="25">
        <f t="shared" ca="1" si="2"/>
        <v>78.690241618940462</v>
      </c>
      <c r="E29" s="25">
        <f t="shared" ca="1" si="2"/>
        <v>103.05610472343376</v>
      </c>
      <c r="F29" s="25">
        <f t="shared" ca="1" si="2"/>
        <v>143.37400788966667</v>
      </c>
      <c r="G29" s="25">
        <f t="shared" ca="1" si="2"/>
        <v>172.16921196308618</v>
      </c>
    </row>
    <row r="30" spans="2:7" x14ac:dyDescent="0.2">
      <c r="B30" s="26">
        <v>26</v>
      </c>
      <c r="C30" s="25">
        <f t="shared" ca="1" si="2"/>
        <v>48.611922818100311</v>
      </c>
      <c r="D30" s="25">
        <f t="shared" ca="1" si="2"/>
        <v>75.62192150590846</v>
      </c>
      <c r="E30" s="25">
        <f t="shared" ca="1" si="2"/>
        <v>100.42654996934526</v>
      </c>
      <c r="F30" s="25">
        <f t="shared" ca="1" si="2"/>
        <v>126.32350894828733</v>
      </c>
      <c r="G30" s="25">
        <f t="shared" ca="1" si="2"/>
        <v>165.50218261565792</v>
      </c>
    </row>
    <row r="31" spans="2:7" x14ac:dyDescent="0.2">
      <c r="B31" s="26">
        <v>27</v>
      </c>
      <c r="C31" s="25">
        <f t="shared" ca="1" si="2"/>
        <v>41.747948011982878</v>
      </c>
      <c r="D31" s="25">
        <f t="shared" ca="1" si="2"/>
        <v>64.488097212325499</v>
      </c>
      <c r="E31" s="25">
        <f t="shared" ca="1" si="2"/>
        <v>92.227326530926234</v>
      </c>
      <c r="F31" s="25">
        <f t="shared" ca="1" si="2"/>
        <v>140.94389976134536</v>
      </c>
      <c r="G31" s="25">
        <f t="shared" ca="1" si="2"/>
        <v>186.80209905793785</v>
      </c>
    </row>
    <row r="32" spans="2:7" x14ac:dyDescent="0.2">
      <c r="B32" s="26">
        <v>28</v>
      </c>
      <c r="C32" s="25">
        <f t="shared" ca="1" si="2"/>
        <v>41.874992365196945</v>
      </c>
      <c r="D32" s="25">
        <f t="shared" ca="1" si="2"/>
        <v>84.188348043279603</v>
      </c>
      <c r="E32" s="25">
        <f t="shared" ca="1" si="2"/>
        <v>116.82037963375721</v>
      </c>
      <c r="F32" s="25">
        <f t="shared" ca="1" si="2"/>
        <v>146.67228298159026</v>
      </c>
      <c r="G32" s="25">
        <f t="shared" ca="1" si="2"/>
        <v>190.92741087573171</v>
      </c>
    </row>
    <row r="33" spans="2:7" x14ac:dyDescent="0.2">
      <c r="B33" s="26">
        <v>29</v>
      </c>
      <c r="C33" s="25">
        <f t="shared" ca="1" si="2"/>
        <v>42.311573087589032</v>
      </c>
      <c r="D33" s="25">
        <f t="shared" ca="1" si="2"/>
        <v>86.653408296026413</v>
      </c>
      <c r="E33" s="25">
        <f t="shared" ca="1" si="2"/>
        <v>120.06032503854102</v>
      </c>
      <c r="F33" s="25">
        <f t="shared" ca="1" si="2"/>
        <v>156.75331788979693</v>
      </c>
      <c r="G33" s="25">
        <f t="shared" ca="1" si="2"/>
        <v>204.04116564864853</v>
      </c>
    </row>
    <row r="34" spans="2:7" x14ac:dyDescent="0.2">
      <c r="B34" s="26">
        <v>30</v>
      </c>
      <c r="C34" s="25">
        <f t="shared" ca="1" si="2"/>
        <v>39.441617157264204</v>
      </c>
      <c r="D34" s="25">
        <f t="shared" ca="1" si="2"/>
        <v>86.961538284243659</v>
      </c>
      <c r="E34" s="25">
        <f t="shared" ca="1" si="2"/>
        <v>124.6328659631392</v>
      </c>
      <c r="F34" s="25">
        <f t="shared" ca="1" si="2"/>
        <v>161.42416278991215</v>
      </c>
      <c r="G34" s="25">
        <f t="shared" ca="1" si="2"/>
        <v>196.9701383765364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915F7-576F-2B4C-8947-D211CBB5E2B7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AFF89-3BDD-8548-B249-A192766FB9B4}">
  <sheetPr codeName="Sheet1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7C4B0-9D61-FA43-9E2D-37DFACA1DB98}">
  <sheetPr codeName="Sheet2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C3382-4104-5C4E-BE0D-BB30DCBCC393}">
  <sheetPr codeName="Sheet3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8FF7C-34EA-D746-90BD-EB1BEBC4F9E2}">
  <sheetPr codeName="Sheet31">
    <tabColor rgb="FF002060"/>
  </sheetPr>
  <dimension ref="A1:A6"/>
  <sheetViews>
    <sheetView workbookViewId="0"/>
  </sheetViews>
  <sheetFormatPr baseColWidth="10" defaultRowHeight="21" x14ac:dyDescent="0.25"/>
  <cols>
    <col min="1" max="2" width="10.83203125" style="5"/>
    <col min="3" max="3" width="15.6640625" style="5" bestFit="1" customWidth="1"/>
    <col min="4" max="4" width="12.1640625" style="5" bestFit="1" customWidth="1"/>
    <col min="5" max="16384" width="10.83203125" style="5"/>
  </cols>
  <sheetData>
    <row r="1" spans="1:1" x14ac:dyDescent="0.25">
      <c r="A1" s="5" t="s">
        <v>222</v>
      </c>
    </row>
    <row r="2" spans="1:1" x14ac:dyDescent="0.25">
      <c r="A2" s="5" t="s">
        <v>185</v>
      </c>
    </row>
    <row r="3" spans="1:1" x14ac:dyDescent="0.25">
      <c r="A3" s="5" t="s">
        <v>221</v>
      </c>
    </row>
    <row r="4" spans="1:1" x14ac:dyDescent="0.25">
      <c r="A4" s="5" t="s">
        <v>220</v>
      </c>
    </row>
    <row r="5" spans="1:1" x14ac:dyDescent="0.25">
      <c r="A5" s="5" t="s">
        <v>219</v>
      </c>
    </row>
    <row r="6" spans="1:1" x14ac:dyDescent="0.25">
      <c r="A6" s="5" t="s">
        <v>218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2D81D-5C3F-4341-B864-7BAAD0872C78}">
  <sheetPr codeName="Sheet32">
    <tabColor rgb="FFC00000"/>
  </sheetPr>
  <dimension ref="B2:E27"/>
  <sheetViews>
    <sheetView topLeftCell="B1" workbookViewId="0"/>
  </sheetViews>
  <sheetFormatPr baseColWidth="10" defaultRowHeight="21" x14ac:dyDescent="0.25"/>
  <cols>
    <col min="1" max="1" width="10.83203125" style="5"/>
    <col min="2" max="2" width="15.6640625" style="5" bestFit="1" customWidth="1"/>
    <col min="3" max="3" width="12.1640625" style="5" bestFit="1" customWidth="1"/>
    <col min="4" max="7" width="10.83203125" style="5"/>
    <col min="8" max="8" width="15.6640625" style="5" bestFit="1" customWidth="1"/>
    <col min="9" max="9" width="12.1640625" style="5" bestFit="1" customWidth="1"/>
    <col min="10" max="16384" width="10.83203125" style="5"/>
  </cols>
  <sheetData>
    <row r="2" spans="2:5" x14ac:dyDescent="0.25">
      <c r="B2" s="5" t="s">
        <v>222</v>
      </c>
    </row>
    <row r="3" spans="2:5" x14ac:dyDescent="0.25">
      <c r="B3" s="6" t="s">
        <v>225</v>
      </c>
      <c r="C3" s="6"/>
    </row>
    <row r="4" spans="2:5" x14ac:dyDescent="0.25">
      <c r="B4" s="5" t="s">
        <v>224</v>
      </c>
    </row>
    <row r="5" spans="2:5" x14ac:dyDescent="0.25">
      <c r="B5" s="5" t="s">
        <v>223</v>
      </c>
    </row>
    <row r="7" spans="2:5" x14ac:dyDescent="0.25">
      <c r="B7" s="7" t="s">
        <v>9</v>
      </c>
      <c r="C7" s="7" t="s">
        <v>10</v>
      </c>
      <c r="E7" s="7" t="s">
        <v>222</v>
      </c>
    </row>
    <row r="8" spans="2:5" x14ac:dyDescent="0.25">
      <c r="B8" s="5" t="s">
        <v>11</v>
      </c>
      <c r="C8" s="5" t="s">
        <v>11</v>
      </c>
      <c r="E8" s="5" cm="1">
        <f t="array" ref="E8">SUM((B8:B27=C8:C27)*(C8:C27="Sick"))/SUM((C8:C27="Sick")*1)</f>
        <v>0.66666666666666663</v>
      </c>
    </row>
    <row r="9" spans="2:5" x14ac:dyDescent="0.25">
      <c r="B9" s="5" t="s">
        <v>12</v>
      </c>
      <c r="C9" s="5" t="s">
        <v>11</v>
      </c>
    </row>
    <row r="10" spans="2:5" x14ac:dyDescent="0.25">
      <c r="B10" s="5" t="s">
        <v>12</v>
      </c>
      <c r="C10" s="5" t="s">
        <v>11</v>
      </c>
    </row>
    <row r="11" spans="2:5" x14ac:dyDescent="0.25">
      <c r="B11" s="5" t="s">
        <v>12</v>
      </c>
      <c r="C11" s="5" t="s">
        <v>12</v>
      </c>
    </row>
    <row r="12" spans="2:5" x14ac:dyDescent="0.25">
      <c r="B12" s="5" t="s">
        <v>11</v>
      </c>
      <c r="C12" s="5" t="s">
        <v>12</v>
      </c>
    </row>
    <row r="13" spans="2:5" x14ac:dyDescent="0.25">
      <c r="B13" s="5" t="s">
        <v>12</v>
      </c>
      <c r="C13" s="5" t="s">
        <v>12</v>
      </c>
    </row>
    <row r="14" spans="2:5" x14ac:dyDescent="0.25">
      <c r="B14" s="5" t="s">
        <v>11</v>
      </c>
      <c r="C14" s="5" t="s">
        <v>11</v>
      </c>
    </row>
    <row r="15" spans="2:5" x14ac:dyDescent="0.25">
      <c r="B15" s="5" t="s">
        <v>12</v>
      </c>
      <c r="C15" s="5" t="s">
        <v>12</v>
      </c>
    </row>
    <row r="16" spans="2:5" x14ac:dyDescent="0.25">
      <c r="B16" s="5" t="s">
        <v>11</v>
      </c>
      <c r="C16" s="5" t="s">
        <v>11</v>
      </c>
    </row>
    <row r="17" spans="2:3" x14ac:dyDescent="0.25">
      <c r="B17" s="5" t="s">
        <v>12</v>
      </c>
      <c r="C17" s="5" t="s">
        <v>11</v>
      </c>
    </row>
    <row r="18" spans="2:3" x14ac:dyDescent="0.25">
      <c r="B18" s="5" t="s">
        <v>11</v>
      </c>
      <c r="C18" s="5" t="s">
        <v>11</v>
      </c>
    </row>
    <row r="19" spans="2:3" x14ac:dyDescent="0.25">
      <c r="B19" s="5" t="s">
        <v>11</v>
      </c>
      <c r="C19" s="5" t="s">
        <v>11</v>
      </c>
    </row>
    <row r="20" spans="2:3" x14ac:dyDescent="0.25">
      <c r="B20" s="5" t="s">
        <v>11</v>
      </c>
      <c r="C20" s="5" t="s">
        <v>12</v>
      </c>
    </row>
    <row r="21" spans="2:3" x14ac:dyDescent="0.25">
      <c r="B21" s="5" t="s">
        <v>12</v>
      </c>
      <c r="C21" s="5" t="s">
        <v>12</v>
      </c>
    </row>
    <row r="22" spans="2:3" x14ac:dyDescent="0.25">
      <c r="B22" s="5" t="s">
        <v>12</v>
      </c>
      <c r="C22" s="5" t="s">
        <v>11</v>
      </c>
    </row>
    <row r="23" spans="2:3" x14ac:dyDescent="0.25">
      <c r="B23" s="5" t="s">
        <v>11</v>
      </c>
      <c r="C23" s="5" t="s">
        <v>11</v>
      </c>
    </row>
    <row r="24" spans="2:3" x14ac:dyDescent="0.25">
      <c r="B24" s="5" t="s">
        <v>12</v>
      </c>
      <c r="C24" s="5" t="s">
        <v>12</v>
      </c>
    </row>
    <row r="25" spans="2:3" x14ac:dyDescent="0.25">
      <c r="B25" s="5" t="s">
        <v>12</v>
      </c>
      <c r="C25" s="5" t="s">
        <v>12</v>
      </c>
    </row>
    <row r="26" spans="2:3" x14ac:dyDescent="0.25">
      <c r="B26" s="5" t="s">
        <v>11</v>
      </c>
      <c r="C26" s="5" t="s">
        <v>11</v>
      </c>
    </row>
    <row r="27" spans="2:3" x14ac:dyDescent="0.25">
      <c r="B27" s="5" t="s">
        <v>11</v>
      </c>
      <c r="C27" s="5" t="s">
        <v>11</v>
      </c>
    </row>
  </sheetData>
  <hyperlinks>
    <hyperlink ref="B3" r:id="rId1" xr:uid="{319662B4-2618-ED4B-BA39-563B921AE1BE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3CF7-7360-994A-9F98-E367897BBFFD}">
  <sheetPr codeName="Sheet33">
    <tabColor rgb="FFC00000"/>
  </sheetPr>
  <dimension ref="B2:K27"/>
  <sheetViews>
    <sheetView workbookViewId="0"/>
  </sheetViews>
  <sheetFormatPr baseColWidth="10" defaultRowHeight="21" x14ac:dyDescent="0.25"/>
  <cols>
    <col min="1" max="1" width="10.83203125" style="5"/>
    <col min="2" max="2" width="15.6640625" style="5" bestFit="1" customWidth="1"/>
    <col min="3" max="3" width="12.1640625" style="5" bestFit="1" customWidth="1"/>
    <col min="4" max="7" width="10.83203125" style="5"/>
    <col min="8" max="8" width="15.6640625" style="5" bestFit="1" customWidth="1"/>
    <col min="9" max="9" width="12.1640625" style="5" bestFit="1" customWidth="1"/>
    <col min="10" max="16384" width="10.83203125" style="5"/>
  </cols>
  <sheetData>
    <row r="2" spans="2:11" x14ac:dyDescent="0.25">
      <c r="B2" s="5" t="s">
        <v>185</v>
      </c>
    </row>
    <row r="3" spans="2:11" x14ac:dyDescent="0.25">
      <c r="B3" s="6" t="s">
        <v>187</v>
      </c>
      <c r="C3" s="6"/>
    </row>
    <row r="4" spans="2:11" x14ac:dyDescent="0.25">
      <c r="B4" s="5" t="s">
        <v>188</v>
      </c>
    </row>
    <row r="5" spans="2:11" x14ac:dyDescent="0.25">
      <c r="B5" s="5" t="s">
        <v>189</v>
      </c>
    </row>
    <row r="7" spans="2:11" x14ac:dyDescent="0.25">
      <c r="B7" s="7" t="s">
        <v>9</v>
      </c>
      <c r="C7" s="7" t="s">
        <v>10</v>
      </c>
      <c r="E7" s="7" t="s">
        <v>185</v>
      </c>
    </row>
    <row r="8" spans="2:11" x14ac:dyDescent="0.25">
      <c r="B8" s="5" t="s">
        <v>11</v>
      </c>
      <c r="C8" s="5" t="s">
        <v>11</v>
      </c>
      <c r="E8" s="5" cm="1">
        <f t="array" ref="E8">SUM((B8:B27=C8:C27)*(C8:C27="Healthy"))/SUM((C8:C27="Healthy")*1)</f>
        <v>0.77777777777777779</v>
      </c>
    </row>
    <row r="9" spans="2:11" x14ac:dyDescent="0.25">
      <c r="B9" s="5" t="s">
        <v>12</v>
      </c>
      <c r="C9" s="5" t="s">
        <v>11</v>
      </c>
    </row>
    <row r="10" spans="2:11" x14ac:dyDescent="0.25">
      <c r="B10" s="5" t="s">
        <v>11</v>
      </c>
      <c r="C10" s="5" t="s">
        <v>11</v>
      </c>
    </row>
    <row r="11" spans="2:11" x14ac:dyDescent="0.25">
      <c r="B11" s="5" t="s">
        <v>12</v>
      </c>
      <c r="C11" s="5" t="s">
        <v>12</v>
      </c>
      <c r="K11" s="5" t="s">
        <v>193</v>
      </c>
    </row>
    <row r="12" spans="2:11" x14ac:dyDescent="0.25">
      <c r="B12" s="5" t="s">
        <v>11</v>
      </c>
      <c r="C12" s="5" t="s">
        <v>12</v>
      </c>
    </row>
    <row r="13" spans="2:11" x14ac:dyDescent="0.25">
      <c r="B13" s="5" t="s">
        <v>12</v>
      </c>
      <c r="C13" s="5" t="s">
        <v>12</v>
      </c>
    </row>
    <row r="14" spans="2:11" x14ac:dyDescent="0.25">
      <c r="B14" s="5" t="s">
        <v>11</v>
      </c>
      <c r="C14" s="5" t="s">
        <v>11</v>
      </c>
    </row>
    <row r="15" spans="2:11" x14ac:dyDescent="0.25">
      <c r="B15" s="5" t="s">
        <v>12</v>
      </c>
      <c r="C15" s="5" t="s">
        <v>12</v>
      </c>
    </row>
    <row r="16" spans="2:11" x14ac:dyDescent="0.25">
      <c r="B16" s="5" t="s">
        <v>11</v>
      </c>
      <c r="C16" s="5" t="s">
        <v>11</v>
      </c>
    </row>
    <row r="17" spans="2:3" x14ac:dyDescent="0.25">
      <c r="B17" s="5" t="s">
        <v>12</v>
      </c>
      <c r="C17" s="5" t="s">
        <v>11</v>
      </c>
    </row>
    <row r="18" spans="2:3" x14ac:dyDescent="0.25">
      <c r="B18" s="5" t="s">
        <v>11</v>
      </c>
      <c r="C18" s="5" t="s">
        <v>11</v>
      </c>
    </row>
    <row r="19" spans="2:3" x14ac:dyDescent="0.25">
      <c r="B19" s="5" t="s">
        <v>11</v>
      </c>
      <c r="C19" s="5" t="s">
        <v>11</v>
      </c>
    </row>
    <row r="20" spans="2:3" x14ac:dyDescent="0.25">
      <c r="B20" s="5" t="s">
        <v>11</v>
      </c>
      <c r="C20" s="5" t="s">
        <v>12</v>
      </c>
    </row>
    <row r="21" spans="2:3" x14ac:dyDescent="0.25">
      <c r="B21" s="5" t="s">
        <v>12</v>
      </c>
      <c r="C21" s="5" t="s">
        <v>12</v>
      </c>
    </row>
    <row r="22" spans="2:3" x14ac:dyDescent="0.25">
      <c r="B22" s="5" t="s">
        <v>12</v>
      </c>
      <c r="C22" s="5" t="s">
        <v>11</v>
      </c>
    </row>
    <row r="23" spans="2:3" x14ac:dyDescent="0.25">
      <c r="B23" s="5" t="s">
        <v>11</v>
      </c>
      <c r="C23" s="5" t="s">
        <v>11</v>
      </c>
    </row>
    <row r="24" spans="2:3" x14ac:dyDescent="0.25">
      <c r="B24" s="5" t="s">
        <v>12</v>
      </c>
      <c r="C24" s="5" t="s">
        <v>12</v>
      </c>
    </row>
    <row r="25" spans="2:3" x14ac:dyDescent="0.25">
      <c r="B25" s="5" t="s">
        <v>12</v>
      </c>
      <c r="C25" s="5" t="s">
        <v>12</v>
      </c>
    </row>
    <row r="26" spans="2:3" x14ac:dyDescent="0.25">
      <c r="B26" s="5" t="s">
        <v>11</v>
      </c>
      <c r="C26" s="5" t="s">
        <v>11</v>
      </c>
    </row>
    <row r="27" spans="2:3" x14ac:dyDescent="0.25">
      <c r="B27" s="5" t="s">
        <v>12</v>
      </c>
      <c r="C27" s="5" t="s">
        <v>12</v>
      </c>
    </row>
  </sheetData>
  <hyperlinks>
    <hyperlink ref="B3" r:id="rId1" xr:uid="{3A288EAF-BB22-6A4C-AA07-FE4A9D89FE53}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39FCA-E055-B04A-97BB-901107AAD899}">
  <sheetPr codeName="Sheet34">
    <tabColor rgb="FFFF0000"/>
  </sheetPr>
  <dimension ref="A2:K1002"/>
  <sheetViews>
    <sheetView workbookViewId="0"/>
  </sheetViews>
  <sheetFormatPr baseColWidth="10" defaultRowHeight="16" x14ac:dyDescent="0.2"/>
  <cols>
    <col min="1" max="11" width="10.83203125" style="27"/>
    <col min="12" max="16384" width="10.83203125" style="2"/>
  </cols>
  <sheetData>
    <row r="2" spans="1:11" x14ac:dyDescent="0.2">
      <c r="B2" s="27" t="s">
        <v>231</v>
      </c>
      <c r="C2" s="27" t="s">
        <v>10</v>
      </c>
      <c r="J2" s="30" t="s">
        <v>228</v>
      </c>
      <c r="K2" s="30" t="s">
        <v>229</v>
      </c>
    </row>
    <row r="3" spans="1:11" x14ac:dyDescent="0.2">
      <c r="A3" s="27">
        <v>1</v>
      </c>
      <c r="B3" s="27">
        <f t="shared" ref="B3:B66" ca="1" si="0">IF(C3="Bomb",_xlfn.NORM.INV(RAND(),0.7,0.1),_xlfn.NORM.INV(RAND(),0.6,0.15))</f>
        <v>0.85227613443259065</v>
      </c>
      <c r="C3" s="27" t="str">
        <f ca="1">IF(RAND()&lt;0.5,"Bomb","Bird")</f>
        <v>Bomb</v>
      </c>
      <c r="E3" s="27" t="s">
        <v>230</v>
      </c>
      <c r="J3" s="28">
        <f ca="1">F7</f>
        <v>0</v>
      </c>
      <c r="K3" s="28">
        <f ca="1">E7</f>
        <v>1</v>
      </c>
    </row>
    <row r="4" spans="1:11" x14ac:dyDescent="0.2">
      <c r="A4" s="27">
        <v>2</v>
      </c>
      <c r="B4" s="27">
        <f t="shared" ca="1" si="0"/>
        <v>0.59749310359769781</v>
      </c>
      <c r="C4" s="27" t="s">
        <v>227</v>
      </c>
      <c r="E4" s="28">
        <v>0.03</v>
      </c>
      <c r="I4" s="28">
        <v>0.03</v>
      </c>
      <c r="J4" s="29">
        <f t="dataTable" ref="J4:K36" dt2D="0" dtr="0" r1="E4" ca="1"/>
        <v>0</v>
      </c>
      <c r="K4" s="29">
        <v>1</v>
      </c>
    </row>
    <row r="5" spans="1:11" x14ac:dyDescent="0.2">
      <c r="A5" s="27">
        <v>3</v>
      </c>
      <c r="B5" s="27">
        <f t="shared" ca="1" si="0"/>
        <v>0.81223106571904968</v>
      </c>
      <c r="C5" s="27" t="s">
        <v>226</v>
      </c>
      <c r="I5" s="28">
        <v>0.06</v>
      </c>
      <c r="J5" s="29">
        <v>0</v>
      </c>
      <c r="K5" s="29">
        <v>1</v>
      </c>
    </row>
    <row r="6" spans="1:11" x14ac:dyDescent="0.2">
      <c r="A6" s="27">
        <v>4</v>
      </c>
      <c r="B6" s="27">
        <f t="shared" ca="1" si="0"/>
        <v>0.66615339452633049</v>
      </c>
      <c r="C6" s="27" t="s">
        <v>227</v>
      </c>
      <c r="E6" s="30" t="s">
        <v>229</v>
      </c>
      <c r="F6" s="30" t="s">
        <v>228</v>
      </c>
      <c r="I6" s="28">
        <v>0.09</v>
      </c>
      <c r="J6" s="29">
        <v>0</v>
      </c>
      <c r="K6" s="29">
        <v>1</v>
      </c>
    </row>
    <row r="7" spans="1:11" x14ac:dyDescent="0.2">
      <c r="A7" s="27">
        <v>5</v>
      </c>
      <c r="B7" s="27">
        <f t="shared" ca="1" si="0"/>
        <v>0.83769181158565253</v>
      </c>
      <c r="C7" s="27" t="s">
        <v>227</v>
      </c>
      <c r="E7" s="29">
        <f ca="1">COUNTIFS(B:B,"&gt;" &amp;E4,C:C,"="&amp;"Bomb")/COUNTIFS(C:C,"="&amp;"Bomb")</f>
        <v>1</v>
      </c>
      <c r="F7" s="29">
        <f ca="1">COUNTIFS(B:B,"&lt;" &amp;E4,C:C,"="&amp;"Bird")/COUNTIFS(C:C,"="&amp;"Bird")</f>
        <v>0</v>
      </c>
      <c r="I7" s="28">
        <v>0.12</v>
      </c>
      <c r="J7" s="29">
        <v>0</v>
      </c>
      <c r="K7" s="29">
        <v>1</v>
      </c>
    </row>
    <row r="8" spans="1:11" x14ac:dyDescent="0.2">
      <c r="A8" s="27">
        <v>6</v>
      </c>
      <c r="B8" s="27">
        <f t="shared" ca="1" si="0"/>
        <v>0.7313071613586809</v>
      </c>
      <c r="C8" s="27" t="s">
        <v>227</v>
      </c>
      <c r="I8" s="28">
        <v>0.15</v>
      </c>
      <c r="J8" s="29">
        <v>1.9455252918287938E-3</v>
      </c>
      <c r="K8" s="29">
        <v>1</v>
      </c>
    </row>
    <row r="9" spans="1:11" x14ac:dyDescent="0.2">
      <c r="A9" s="27">
        <v>7</v>
      </c>
      <c r="B9" s="27">
        <f t="shared" ca="1" si="0"/>
        <v>0.75361409373743227</v>
      </c>
      <c r="C9" s="27" t="s">
        <v>227</v>
      </c>
      <c r="I9" s="28">
        <v>0.18</v>
      </c>
      <c r="J9" s="29">
        <v>0</v>
      </c>
      <c r="K9" s="29">
        <v>1</v>
      </c>
    </row>
    <row r="10" spans="1:11" x14ac:dyDescent="0.2">
      <c r="A10" s="27">
        <v>8</v>
      </c>
      <c r="B10" s="27">
        <f t="shared" ca="1" si="0"/>
        <v>0.62326836449527212</v>
      </c>
      <c r="C10" s="27" t="s">
        <v>226</v>
      </c>
      <c r="I10" s="28">
        <v>0.21</v>
      </c>
      <c r="J10" s="29">
        <v>1.9455252918287938E-3</v>
      </c>
      <c r="K10" s="29">
        <v>1</v>
      </c>
    </row>
    <row r="11" spans="1:11" x14ac:dyDescent="0.2">
      <c r="A11" s="27">
        <v>9</v>
      </c>
      <c r="B11" s="27">
        <f t="shared" ca="1" si="0"/>
        <v>0.71841390078172784</v>
      </c>
      <c r="C11" s="27" t="s">
        <v>226</v>
      </c>
      <c r="I11" s="28">
        <v>0.24</v>
      </c>
      <c r="J11" s="29">
        <v>3.8986354775828458E-3</v>
      </c>
      <c r="K11" s="29">
        <v>1</v>
      </c>
    </row>
    <row r="12" spans="1:11" x14ac:dyDescent="0.2">
      <c r="A12" s="27">
        <v>10</v>
      </c>
      <c r="B12" s="27">
        <f t="shared" ca="1" si="0"/>
        <v>0.58148886089271346</v>
      </c>
      <c r="C12" s="27" t="s">
        <v>226</v>
      </c>
      <c r="I12" s="28">
        <v>0.27</v>
      </c>
      <c r="J12" s="29">
        <v>1.7543859649122806E-2</v>
      </c>
      <c r="K12" s="29">
        <v>1</v>
      </c>
    </row>
    <row r="13" spans="1:11" x14ac:dyDescent="0.2">
      <c r="A13" s="27">
        <v>11</v>
      </c>
      <c r="B13" s="27">
        <f t="shared" ca="1" si="0"/>
        <v>0.55367328111310843</v>
      </c>
      <c r="C13" s="27" t="s">
        <v>226</v>
      </c>
      <c r="I13" s="28">
        <v>0.3</v>
      </c>
      <c r="J13" s="29">
        <v>1.7509727626459144E-2</v>
      </c>
      <c r="K13" s="29">
        <v>1</v>
      </c>
    </row>
    <row r="14" spans="1:11" x14ac:dyDescent="0.2">
      <c r="A14" s="27">
        <v>12</v>
      </c>
      <c r="B14" s="27">
        <f t="shared" ca="1" si="0"/>
        <v>0.63041980855315849</v>
      </c>
      <c r="C14" s="27" t="s">
        <v>226</v>
      </c>
      <c r="I14" s="28">
        <v>0.33</v>
      </c>
      <c r="J14" s="29">
        <v>4.0935672514619881E-2</v>
      </c>
      <c r="K14" s="29">
        <v>1</v>
      </c>
    </row>
    <row r="15" spans="1:11" x14ac:dyDescent="0.2">
      <c r="A15" s="27">
        <v>13</v>
      </c>
      <c r="B15" s="27">
        <f t="shared" ca="1" si="0"/>
        <v>0.77384685701422495</v>
      </c>
      <c r="C15" s="27" t="s">
        <v>227</v>
      </c>
      <c r="I15" s="28">
        <v>0.36</v>
      </c>
      <c r="J15" s="29">
        <v>4.6692607003891051E-2</v>
      </c>
      <c r="K15" s="29">
        <v>0.99794238683127567</v>
      </c>
    </row>
    <row r="16" spans="1:11" x14ac:dyDescent="0.2">
      <c r="A16" s="27">
        <v>14</v>
      </c>
      <c r="B16" s="27">
        <f t="shared" ca="1" si="0"/>
        <v>0.52236404792868352</v>
      </c>
      <c r="C16" s="27" t="s">
        <v>227</v>
      </c>
      <c r="I16" s="28">
        <v>0.39</v>
      </c>
      <c r="J16" s="29">
        <v>9.9221789883268477E-2</v>
      </c>
      <c r="K16" s="29">
        <v>1</v>
      </c>
    </row>
    <row r="17" spans="1:11" x14ac:dyDescent="0.2">
      <c r="A17" s="27">
        <v>15</v>
      </c>
      <c r="B17" s="27">
        <f t="shared" ca="1" si="0"/>
        <v>0.68394950300013957</v>
      </c>
      <c r="C17" s="27" t="s">
        <v>227</v>
      </c>
      <c r="I17" s="28">
        <v>0.42</v>
      </c>
      <c r="J17" s="29">
        <v>0.11673151750972763</v>
      </c>
      <c r="K17" s="29">
        <v>0.99794238683127567</v>
      </c>
    </row>
    <row r="18" spans="1:11" x14ac:dyDescent="0.2">
      <c r="A18" s="27">
        <v>16</v>
      </c>
      <c r="B18" s="27">
        <f t="shared" ca="1" si="0"/>
        <v>0.8584970292564349</v>
      </c>
      <c r="C18" s="27" t="s">
        <v>226</v>
      </c>
      <c r="I18" s="28">
        <v>0.45</v>
      </c>
      <c r="J18" s="29">
        <v>0.15399610136452241</v>
      </c>
      <c r="K18" s="29">
        <v>0.9958932238193019</v>
      </c>
    </row>
    <row r="19" spans="1:11" x14ac:dyDescent="0.2">
      <c r="A19" s="27">
        <v>17</v>
      </c>
      <c r="B19" s="27">
        <f t="shared" ca="1" si="0"/>
        <v>0.79409137665817187</v>
      </c>
      <c r="C19" s="27" t="s">
        <v>227</v>
      </c>
      <c r="I19" s="28">
        <v>0.48</v>
      </c>
      <c r="J19" s="29">
        <v>0.21832358674463936</v>
      </c>
      <c r="K19" s="29">
        <v>0.98357289527720737</v>
      </c>
    </row>
    <row r="20" spans="1:11" x14ac:dyDescent="0.2">
      <c r="A20" s="27">
        <v>18</v>
      </c>
      <c r="B20" s="27">
        <f t="shared" ca="1" si="0"/>
        <v>0.86458004059081661</v>
      </c>
      <c r="C20" s="27" t="s">
        <v>226</v>
      </c>
      <c r="I20" s="28">
        <v>0.51</v>
      </c>
      <c r="J20" s="29">
        <v>0.27095516569200778</v>
      </c>
      <c r="K20" s="29">
        <v>0.97125256673511295</v>
      </c>
    </row>
    <row r="21" spans="1:11" x14ac:dyDescent="0.2">
      <c r="A21" s="27">
        <v>19</v>
      </c>
      <c r="B21" s="27">
        <f t="shared" ca="1" si="0"/>
        <v>0.74383420491827612</v>
      </c>
      <c r="C21" s="27" t="s">
        <v>227</v>
      </c>
      <c r="I21" s="28">
        <v>0.54</v>
      </c>
      <c r="J21" s="29">
        <v>0.30739299610894943</v>
      </c>
      <c r="K21" s="29">
        <v>0.94032921810699588</v>
      </c>
    </row>
    <row r="22" spans="1:11" x14ac:dyDescent="0.2">
      <c r="A22" s="27">
        <v>20</v>
      </c>
      <c r="B22" s="27">
        <f t="shared" ca="1" si="0"/>
        <v>0.64481217626574239</v>
      </c>
      <c r="C22" s="27" t="s">
        <v>227</v>
      </c>
      <c r="I22" s="28">
        <v>0.56999999999999995</v>
      </c>
      <c r="J22" s="29">
        <v>0.40740740740740738</v>
      </c>
      <c r="K22" s="29">
        <v>0.88911704312114992</v>
      </c>
    </row>
    <row r="23" spans="1:11" x14ac:dyDescent="0.2">
      <c r="A23" s="27">
        <v>21</v>
      </c>
      <c r="B23" s="27">
        <f t="shared" ca="1" si="0"/>
        <v>0.69107207915307556</v>
      </c>
      <c r="C23" s="27" t="s">
        <v>227</v>
      </c>
      <c r="I23" s="28">
        <v>0.6</v>
      </c>
      <c r="J23" s="29">
        <v>0.50389105058365757</v>
      </c>
      <c r="K23" s="29">
        <v>0.86213991769547327</v>
      </c>
    </row>
    <row r="24" spans="1:11" x14ac:dyDescent="0.2">
      <c r="A24" s="27">
        <v>22</v>
      </c>
      <c r="B24" s="27">
        <f t="shared" ca="1" si="0"/>
        <v>0.79969305172748595</v>
      </c>
      <c r="C24" s="27" t="s">
        <v>226</v>
      </c>
      <c r="I24" s="28">
        <v>0.63</v>
      </c>
      <c r="J24" s="29">
        <v>0.52436647173489281</v>
      </c>
      <c r="K24" s="29">
        <v>0.78644763860369615</v>
      </c>
    </row>
    <row r="25" spans="1:11" x14ac:dyDescent="0.2">
      <c r="A25" s="27">
        <v>23</v>
      </c>
      <c r="B25" s="27">
        <f t="shared" ca="1" si="0"/>
        <v>0.63508264718500718</v>
      </c>
      <c r="C25" s="27" t="s">
        <v>227</v>
      </c>
      <c r="I25" s="28">
        <v>0.66</v>
      </c>
      <c r="J25" s="29">
        <v>0.67056530214424948</v>
      </c>
      <c r="K25" s="29">
        <v>0.67351129363449691</v>
      </c>
    </row>
    <row r="26" spans="1:11" x14ac:dyDescent="0.2">
      <c r="A26" s="27">
        <v>24</v>
      </c>
      <c r="B26" s="27">
        <f t="shared" ca="1" si="0"/>
        <v>0.59698986416726652</v>
      </c>
      <c r="C26" s="27" t="s">
        <v>227</v>
      </c>
      <c r="I26" s="28">
        <v>0.69</v>
      </c>
      <c r="J26" s="29">
        <v>0.75048732943469787</v>
      </c>
      <c r="K26" s="29">
        <v>0.52156057494866526</v>
      </c>
    </row>
    <row r="27" spans="1:11" x14ac:dyDescent="0.2">
      <c r="A27" s="27">
        <v>25</v>
      </c>
      <c r="B27" s="27">
        <f t="shared" ca="1" si="0"/>
        <v>0.68182094145410865</v>
      </c>
      <c r="C27" s="27" t="s">
        <v>227</v>
      </c>
      <c r="I27" s="28">
        <v>0.72</v>
      </c>
      <c r="J27" s="29">
        <v>0.77777777777777779</v>
      </c>
      <c r="K27" s="29">
        <v>0.4209445585215606</v>
      </c>
    </row>
    <row r="28" spans="1:11" x14ac:dyDescent="0.2">
      <c r="A28" s="27">
        <v>26</v>
      </c>
      <c r="B28" s="27">
        <f t="shared" ca="1" si="0"/>
        <v>0.59107588031201053</v>
      </c>
      <c r="C28" s="27" t="s">
        <v>227</v>
      </c>
      <c r="I28" s="28">
        <v>0.75</v>
      </c>
      <c r="J28" s="29">
        <v>0.82846003898635479</v>
      </c>
      <c r="K28" s="29">
        <v>0.32238193018480493</v>
      </c>
    </row>
    <row r="29" spans="1:11" x14ac:dyDescent="0.2">
      <c r="A29" s="27">
        <v>27</v>
      </c>
      <c r="B29" s="27">
        <f t="shared" ca="1" si="0"/>
        <v>0.86637260841958463</v>
      </c>
      <c r="C29" s="27" t="s">
        <v>226</v>
      </c>
      <c r="I29" s="28">
        <v>0.78</v>
      </c>
      <c r="J29" s="29">
        <v>0.87354085603112841</v>
      </c>
      <c r="K29" s="29">
        <v>0.23045267489711935</v>
      </c>
    </row>
    <row r="30" spans="1:11" x14ac:dyDescent="0.2">
      <c r="A30" s="27">
        <v>28</v>
      </c>
      <c r="B30" s="27">
        <f t="shared" ca="1" si="0"/>
        <v>0.77404198148749792</v>
      </c>
      <c r="C30" s="27" t="s">
        <v>227</v>
      </c>
      <c r="I30" s="28">
        <v>0.81</v>
      </c>
      <c r="J30" s="29">
        <v>0.9278752436647173</v>
      </c>
      <c r="K30" s="29">
        <v>0.15605749486652978</v>
      </c>
    </row>
    <row r="31" spans="1:11" x14ac:dyDescent="0.2">
      <c r="A31" s="27">
        <v>29</v>
      </c>
      <c r="B31" s="27">
        <f t="shared" ca="1" si="0"/>
        <v>0.7404884350344656</v>
      </c>
      <c r="C31" s="27" t="s">
        <v>226</v>
      </c>
      <c r="I31" s="28">
        <v>0.84</v>
      </c>
      <c r="J31" s="29">
        <v>0.9377431906614786</v>
      </c>
      <c r="K31" s="29">
        <v>4.9382716049382713E-2</v>
      </c>
    </row>
    <row r="32" spans="1:11" x14ac:dyDescent="0.2">
      <c r="A32" s="27">
        <v>30</v>
      </c>
      <c r="B32" s="27">
        <f t="shared" ca="1" si="0"/>
        <v>0.78206197381347287</v>
      </c>
      <c r="C32" s="27" t="s">
        <v>227</v>
      </c>
      <c r="I32" s="28">
        <v>0.87</v>
      </c>
      <c r="J32" s="29">
        <v>0.95525291828793779</v>
      </c>
      <c r="K32" s="29">
        <v>3.9094650205761319E-2</v>
      </c>
    </row>
    <row r="33" spans="1:11" x14ac:dyDescent="0.2">
      <c r="A33" s="27">
        <v>31</v>
      </c>
      <c r="B33" s="27">
        <f t="shared" ca="1" si="0"/>
        <v>0.82564584848475331</v>
      </c>
      <c r="C33" s="27" t="s">
        <v>227</v>
      </c>
      <c r="I33" s="28">
        <v>0.9</v>
      </c>
      <c r="J33" s="29">
        <v>0.98443579766536971</v>
      </c>
      <c r="K33" s="29">
        <v>1.8518518518518517E-2</v>
      </c>
    </row>
    <row r="34" spans="1:11" x14ac:dyDescent="0.2">
      <c r="A34" s="27">
        <v>32</v>
      </c>
      <c r="B34" s="27">
        <f t="shared" ca="1" si="0"/>
        <v>0.70983716342219694</v>
      </c>
      <c r="C34" s="27" t="s">
        <v>226</v>
      </c>
      <c r="I34" s="28">
        <v>0.93</v>
      </c>
      <c r="J34" s="29">
        <v>0.98638132295719849</v>
      </c>
      <c r="K34" s="29">
        <v>1.2345679012345678E-2</v>
      </c>
    </row>
    <row r="35" spans="1:11" x14ac:dyDescent="0.2">
      <c r="A35" s="27">
        <v>33</v>
      </c>
      <c r="B35" s="27">
        <f t="shared" ca="1" si="0"/>
        <v>0.66014100825998778</v>
      </c>
      <c r="C35" s="27" t="s">
        <v>226</v>
      </c>
      <c r="I35" s="28">
        <v>0.96</v>
      </c>
      <c r="J35" s="29">
        <v>0.98832684824902728</v>
      </c>
      <c r="K35" s="29">
        <v>0</v>
      </c>
    </row>
    <row r="36" spans="1:11" x14ac:dyDescent="0.2">
      <c r="A36" s="27">
        <v>34</v>
      </c>
      <c r="B36" s="27">
        <f t="shared" ca="1" si="0"/>
        <v>0.4946641323017158</v>
      </c>
      <c r="C36" s="27" t="s">
        <v>226</v>
      </c>
      <c r="I36" s="28">
        <v>0.99</v>
      </c>
      <c r="J36" s="29">
        <v>0.99805068226120852</v>
      </c>
      <c r="K36" s="29">
        <v>0</v>
      </c>
    </row>
    <row r="37" spans="1:11" x14ac:dyDescent="0.2">
      <c r="A37" s="27">
        <v>35</v>
      </c>
      <c r="B37" s="27">
        <f t="shared" ca="1" si="0"/>
        <v>0.56393229837770886</v>
      </c>
      <c r="C37" s="27" t="s">
        <v>227</v>
      </c>
      <c r="I37" s="28"/>
    </row>
    <row r="38" spans="1:11" x14ac:dyDescent="0.2">
      <c r="A38" s="27">
        <v>36</v>
      </c>
      <c r="B38" s="27">
        <f t="shared" ca="1" si="0"/>
        <v>0.77826964285802924</v>
      </c>
      <c r="C38" s="27" t="s">
        <v>226</v>
      </c>
    </row>
    <row r="39" spans="1:11" x14ac:dyDescent="0.2">
      <c r="A39" s="27">
        <v>37</v>
      </c>
      <c r="B39" s="27">
        <f t="shared" ca="1" si="0"/>
        <v>0.42523197863723539</v>
      </c>
      <c r="C39" s="27" t="s">
        <v>226</v>
      </c>
    </row>
    <row r="40" spans="1:11" x14ac:dyDescent="0.2">
      <c r="A40" s="27">
        <v>38</v>
      </c>
      <c r="B40" s="27">
        <f t="shared" ca="1" si="0"/>
        <v>0.81264039825592582</v>
      </c>
      <c r="C40" s="27" t="s">
        <v>227</v>
      </c>
    </row>
    <row r="41" spans="1:11" x14ac:dyDescent="0.2">
      <c r="A41" s="27">
        <v>39</v>
      </c>
      <c r="B41" s="27">
        <f t="shared" ca="1" si="0"/>
        <v>0.70076854784381759</v>
      </c>
      <c r="C41" s="27" t="s">
        <v>226</v>
      </c>
    </row>
    <row r="42" spans="1:11" x14ac:dyDescent="0.2">
      <c r="A42" s="27">
        <v>40</v>
      </c>
      <c r="B42" s="27">
        <f t="shared" ca="1" si="0"/>
        <v>0.75738508763963208</v>
      </c>
      <c r="C42" s="27" t="s">
        <v>227</v>
      </c>
    </row>
    <row r="43" spans="1:11" x14ac:dyDescent="0.2">
      <c r="A43" s="27">
        <v>41</v>
      </c>
      <c r="B43" s="27">
        <f t="shared" ca="1" si="0"/>
        <v>0.71330701776537864</v>
      </c>
      <c r="C43" s="27" t="s">
        <v>226</v>
      </c>
    </row>
    <row r="44" spans="1:11" x14ac:dyDescent="0.2">
      <c r="A44" s="27">
        <v>42</v>
      </c>
      <c r="B44" s="27">
        <f t="shared" ca="1" si="0"/>
        <v>0.71063101757775171</v>
      </c>
      <c r="C44" s="27" t="s">
        <v>226</v>
      </c>
    </row>
    <row r="45" spans="1:11" x14ac:dyDescent="0.2">
      <c r="A45" s="27">
        <v>43</v>
      </c>
      <c r="B45" s="27">
        <f t="shared" ca="1" si="0"/>
        <v>0.85739884144758993</v>
      </c>
      <c r="C45" s="27" t="s">
        <v>226</v>
      </c>
    </row>
    <row r="46" spans="1:11" x14ac:dyDescent="0.2">
      <c r="A46" s="27">
        <v>44</v>
      </c>
      <c r="B46" s="27">
        <f t="shared" ca="1" si="0"/>
        <v>0.43230163786758302</v>
      </c>
      <c r="C46" s="27" t="s">
        <v>226</v>
      </c>
    </row>
    <row r="47" spans="1:11" x14ac:dyDescent="0.2">
      <c r="A47" s="27">
        <v>45</v>
      </c>
      <c r="B47" s="27">
        <f t="shared" ca="1" si="0"/>
        <v>0.38689704322314139</v>
      </c>
      <c r="C47" s="27" t="s">
        <v>226</v>
      </c>
    </row>
    <row r="48" spans="1:11" x14ac:dyDescent="0.2">
      <c r="A48" s="27">
        <v>46</v>
      </c>
      <c r="B48" s="27">
        <f t="shared" ca="1" si="0"/>
        <v>0.74702316080464515</v>
      </c>
      <c r="C48" s="27" t="s">
        <v>227</v>
      </c>
    </row>
    <row r="49" spans="1:3" x14ac:dyDescent="0.2">
      <c r="A49" s="27">
        <v>47</v>
      </c>
      <c r="B49" s="27">
        <f t="shared" ca="1" si="0"/>
        <v>0.73067435106202439</v>
      </c>
      <c r="C49" s="27" t="s">
        <v>227</v>
      </c>
    </row>
    <row r="50" spans="1:3" x14ac:dyDescent="0.2">
      <c r="A50" s="27">
        <v>48</v>
      </c>
      <c r="B50" s="27">
        <f t="shared" ca="1" si="0"/>
        <v>0.41249179169223671</v>
      </c>
      <c r="C50" s="27" t="s">
        <v>226</v>
      </c>
    </row>
    <row r="51" spans="1:3" x14ac:dyDescent="0.2">
      <c r="A51" s="27">
        <v>49</v>
      </c>
      <c r="B51" s="27">
        <f t="shared" ca="1" si="0"/>
        <v>0.66525709048032478</v>
      </c>
      <c r="C51" s="27" t="s">
        <v>227</v>
      </c>
    </row>
    <row r="52" spans="1:3" x14ac:dyDescent="0.2">
      <c r="A52" s="27">
        <v>50</v>
      </c>
      <c r="B52" s="27">
        <f t="shared" ca="1" si="0"/>
        <v>0.71033182683091012</v>
      </c>
      <c r="C52" s="27" t="s">
        <v>227</v>
      </c>
    </row>
    <row r="53" spans="1:3" x14ac:dyDescent="0.2">
      <c r="A53" s="27">
        <v>51</v>
      </c>
      <c r="B53" s="27">
        <f t="shared" ca="1" si="0"/>
        <v>0.60485545274717856</v>
      </c>
      <c r="C53" s="27" t="s">
        <v>227</v>
      </c>
    </row>
    <row r="54" spans="1:3" x14ac:dyDescent="0.2">
      <c r="A54" s="27">
        <v>52</v>
      </c>
      <c r="B54" s="27">
        <f t="shared" ca="1" si="0"/>
        <v>0.68580599842106893</v>
      </c>
      <c r="C54" s="27" t="s">
        <v>226</v>
      </c>
    </row>
    <row r="55" spans="1:3" x14ac:dyDescent="0.2">
      <c r="A55" s="27">
        <v>53</v>
      </c>
      <c r="B55" s="27">
        <f t="shared" ca="1" si="0"/>
        <v>0.48008951092546459</v>
      </c>
      <c r="C55" s="27" t="s">
        <v>226</v>
      </c>
    </row>
    <row r="56" spans="1:3" x14ac:dyDescent="0.2">
      <c r="A56" s="27">
        <v>54</v>
      </c>
      <c r="B56" s="27">
        <f t="shared" ca="1" si="0"/>
        <v>0.6430688492768607</v>
      </c>
      <c r="C56" s="27" t="s">
        <v>227</v>
      </c>
    </row>
    <row r="57" spans="1:3" x14ac:dyDescent="0.2">
      <c r="A57" s="27">
        <v>55</v>
      </c>
      <c r="B57" s="27">
        <f t="shared" ca="1" si="0"/>
        <v>0.8629947879643084</v>
      </c>
      <c r="C57" s="27" t="s">
        <v>227</v>
      </c>
    </row>
    <row r="58" spans="1:3" x14ac:dyDescent="0.2">
      <c r="A58" s="27">
        <v>56</v>
      </c>
      <c r="B58" s="27">
        <f t="shared" ca="1" si="0"/>
        <v>0.75028830298304938</v>
      </c>
      <c r="C58" s="27" t="s">
        <v>227</v>
      </c>
    </row>
    <row r="59" spans="1:3" x14ac:dyDescent="0.2">
      <c r="A59" s="27">
        <v>57</v>
      </c>
      <c r="B59" s="27">
        <f t="shared" ca="1" si="0"/>
        <v>0.53173562102273964</v>
      </c>
      <c r="C59" s="27" t="s">
        <v>226</v>
      </c>
    </row>
    <row r="60" spans="1:3" x14ac:dyDescent="0.2">
      <c r="A60" s="27">
        <v>58</v>
      </c>
      <c r="B60" s="27">
        <f t="shared" ca="1" si="0"/>
        <v>0.78331512950912963</v>
      </c>
      <c r="C60" s="27" t="s">
        <v>227</v>
      </c>
    </row>
    <row r="61" spans="1:3" x14ac:dyDescent="0.2">
      <c r="A61" s="27">
        <v>59</v>
      </c>
      <c r="B61" s="27">
        <f t="shared" ca="1" si="0"/>
        <v>0.54877770078071542</v>
      </c>
      <c r="C61" s="27" t="s">
        <v>227</v>
      </c>
    </row>
    <row r="62" spans="1:3" x14ac:dyDescent="0.2">
      <c r="A62" s="27">
        <v>60</v>
      </c>
      <c r="B62" s="27">
        <f t="shared" ca="1" si="0"/>
        <v>0.40537944709595364</v>
      </c>
      <c r="C62" s="27" t="s">
        <v>226</v>
      </c>
    </row>
    <row r="63" spans="1:3" x14ac:dyDescent="0.2">
      <c r="A63" s="27">
        <v>61</v>
      </c>
      <c r="B63" s="27">
        <f t="shared" ca="1" si="0"/>
        <v>0.41292314151824616</v>
      </c>
      <c r="C63" s="27" t="s">
        <v>226</v>
      </c>
    </row>
    <row r="64" spans="1:3" x14ac:dyDescent="0.2">
      <c r="A64" s="27">
        <v>62</v>
      </c>
      <c r="B64" s="27">
        <f t="shared" ca="1" si="0"/>
        <v>0.60263116464281863</v>
      </c>
      <c r="C64" s="27" t="s">
        <v>226</v>
      </c>
    </row>
    <row r="65" spans="1:3" x14ac:dyDescent="0.2">
      <c r="A65" s="27">
        <v>63</v>
      </c>
      <c r="B65" s="27">
        <f t="shared" ca="1" si="0"/>
        <v>0.7034574397852229</v>
      </c>
      <c r="C65" s="27" t="s">
        <v>227</v>
      </c>
    </row>
    <row r="66" spans="1:3" x14ac:dyDescent="0.2">
      <c r="A66" s="27">
        <v>64</v>
      </c>
      <c r="B66" s="27">
        <f t="shared" ca="1" si="0"/>
        <v>0.89169052568773854</v>
      </c>
      <c r="C66" s="27" t="s">
        <v>227</v>
      </c>
    </row>
    <row r="67" spans="1:3" x14ac:dyDescent="0.2">
      <c r="A67" s="27">
        <v>65</v>
      </c>
      <c r="B67" s="27">
        <f t="shared" ref="B67:B130" ca="1" si="1">IF(C67="Bomb",_xlfn.NORM.INV(RAND(),0.7,0.1),_xlfn.NORM.INV(RAND(),0.6,0.15))</f>
        <v>0.5437833025947042</v>
      </c>
      <c r="C67" s="27" t="s">
        <v>227</v>
      </c>
    </row>
    <row r="68" spans="1:3" x14ac:dyDescent="0.2">
      <c r="A68" s="27">
        <v>66</v>
      </c>
      <c r="B68" s="27">
        <f t="shared" ca="1" si="1"/>
        <v>0.77482556206515341</v>
      </c>
      <c r="C68" s="27" t="s">
        <v>227</v>
      </c>
    </row>
    <row r="69" spans="1:3" x14ac:dyDescent="0.2">
      <c r="A69" s="27">
        <v>67</v>
      </c>
      <c r="B69" s="27">
        <f t="shared" ca="1" si="1"/>
        <v>0.75038871326448853</v>
      </c>
      <c r="C69" s="27" t="s">
        <v>227</v>
      </c>
    </row>
    <row r="70" spans="1:3" x14ac:dyDescent="0.2">
      <c r="A70" s="27">
        <v>68</v>
      </c>
      <c r="B70" s="27">
        <f t="shared" ca="1" si="1"/>
        <v>0.35009283899491084</v>
      </c>
      <c r="C70" s="27" t="s">
        <v>226</v>
      </c>
    </row>
    <row r="71" spans="1:3" x14ac:dyDescent="0.2">
      <c r="A71" s="27">
        <v>69</v>
      </c>
      <c r="B71" s="27">
        <f t="shared" ca="1" si="1"/>
        <v>0.56662400722498363</v>
      </c>
      <c r="C71" s="27" t="s">
        <v>226</v>
      </c>
    </row>
    <row r="72" spans="1:3" x14ac:dyDescent="0.2">
      <c r="A72" s="27">
        <v>70</v>
      </c>
      <c r="B72" s="27">
        <f t="shared" ca="1" si="1"/>
        <v>0.58525099715601703</v>
      </c>
      <c r="C72" s="27" t="s">
        <v>226</v>
      </c>
    </row>
    <row r="73" spans="1:3" x14ac:dyDescent="0.2">
      <c r="A73" s="27">
        <v>71</v>
      </c>
      <c r="B73" s="27">
        <f t="shared" ca="1" si="1"/>
        <v>0.76380183656797196</v>
      </c>
      <c r="C73" s="27" t="s">
        <v>226</v>
      </c>
    </row>
    <row r="74" spans="1:3" x14ac:dyDescent="0.2">
      <c r="A74" s="27">
        <v>72</v>
      </c>
      <c r="B74" s="27">
        <f t="shared" ca="1" si="1"/>
        <v>0.49786089199159</v>
      </c>
      <c r="C74" s="27" t="s">
        <v>226</v>
      </c>
    </row>
    <row r="75" spans="1:3" x14ac:dyDescent="0.2">
      <c r="A75" s="27">
        <v>73</v>
      </c>
      <c r="B75" s="27">
        <f t="shared" ca="1" si="1"/>
        <v>0.67914070044609798</v>
      </c>
      <c r="C75" s="27" t="s">
        <v>227</v>
      </c>
    </row>
    <row r="76" spans="1:3" x14ac:dyDescent="0.2">
      <c r="A76" s="27">
        <v>74</v>
      </c>
      <c r="B76" s="27">
        <f t="shared" ca="1" si="1"/>
        <v>0.86723588100094673</v>
      </c>
      <c r="C76" s="27" t="s">
        <v>227</v>
      </c>
    </row>
    <row r="77" spans="1:3" x14ac:dyDescent="0.2">
      <c r="A77" s="27">
        <v>75</v>
      </c>
      <c r="B77" s="27">
        <f t="shared" ca="1" si="1"/>
        <v>0.81172613663151372</v>
      </c>
      <c r="C77" s="27" t="s">
        <v>227</v>
      </c>
    </row>
    <row r="78" spans="1:3" x14ac:dyDescent="0.2">
      <c r="A78" s="27">
        <v>76</v>
      </c>
      <c r="B78" s="27">
        <f t="shared" ca="1" si="1"/>
        <v>0.61203063703513938</v>
      </c>
      <c r="C78" s="27" t="s">
        <v>227</v>
      </c>
    </row>
    <row r="79" spans="1:3" x14ac:dyDescent="0.2">
      <c r="A79" s="27">
        <v>77</v>
      </c>
      <c r="B79" s="27">
        <f t="shared" ca="1" si="1"/>
        <v>0.38556153836344326</v>
      </c>
      <c r="C79" s="27" t="s">
        <v>226</v>
      </c>
    </row>
    <row r="80" spans="1:3" x14ac:dyDescent="0.2">
      <c r="A80" s="27">
        <v>78</v>
      </c>
      <c r="B80" s="27">
        <f t="shared" ca="1" si="1"/>
        <v>0.74950951265688337</v>
      </c>
      <c r="C80" s="27" t="s">
        <v>227</v>
      </c>
    </row>
    <row r="81" spans="1:3" x14ac:dyDescent="0.2">
      <c r="A81" s="27">
        <v>79</v>
      </c>
      <c r="B81" s="27">
        <f t="shared" ca="1" si="1"/>
        <v>0.60442409638460837</v>
      </c>
      <c r="C81" s="27" t="s">
        <v>226</v>
      </c>
    </row>
    <row r="82" spans="1:3" x14ac:dyDescent="0.2">
      <c r="A82" s="27">
        <v>80</v>
      </c>
      <c r="B82" s="27">
        <f t="shared" ca="1" si="1"/>
        <v>0.78136302366903831</v>
      </c>
      <c r="C82" s="27" t="s">
        <v>227</v>
      </c>
    </row>
    <row r="83" spans="1:3" x14ac:dyDescent="0.2">
      <c r="A83" s="27">
        <v>81</v>
      </c>
      <c r="B83" s="27">
        <f t="shared" ca="1" si="1"/>
        <v>0.67440212572559788</v>
      </c>
      <c r="C83" s="27" t="s">
        <v>227</v>
      </c>
    </row>
    <row r="84" spans="1:3" x14ac:dyDescent="0.2">
      <c r="A84" s="27">
        <v>82</v>
      </c>
      <c r="B84" s="27">
        <f t="shared" ca="1" si="1"/>
        <v>0.47285968165454328</v>
      </c>
      <c r="C84" s="27" t="s">
        <v>226</v>
      </c>
    </row>
    <row r="85" spans="1:3" x14ac:dyDescent="0.2">
      <c r="A85" s="27">
        <v>83</v>
      </c>
      <c r="B85" s="27">
        <f t="shared" ca="1" si="1"/>
        <v>0.56259823812131671</v>
      </c>
      <c r="C85" s="27" t="s">
        <v>227</v>
      </c>
    </row>
    <row r="86" spans="1:3" x14ac:dyDescent="0.2">
      <c r="A86" s="27">
        <v>84</v>
      </c>
      <c r="B86" s="27">
        <f t="shared" ca="1" si="1"/>
        <v>0.6491489432846459</v>
      </c>
      <c r="C86" s="27" t="s">
        <v>227</v>
      </c>
    </row>
    <row r="87" spans="1:3" x14ac:dyDescent="0.2">
      <c r="A87" s="27">
        <v>85</v>
      </c>
      <c r="B87" s="27">
        <f t="shared" ca="1" si="1"/>
        <v>0.66154317018883402</v>
      </c>
      <c r="C87" s="27" t="s">
        <v>226</v>
      </c>
    </row>
    <row r="88" spans="1:3" x14ac:dyDescent="0.2">
      <c r="A88" s="27">
        <v>86</v>
      </c>
      <c r="B88" s="27">
        <f t="shared" ca="1" si="1"/>
        <v>0.34263124393983724</v>
      </c>
      <c r="C88" s="27" t="s">
        <v>226</v>
      </c>
    </row>
    <row r="89" spans="1:3" x14ac:dyDescent="0.2">
      <c r="A89" s="27">
        <v>87</v>
      </c>
      <c r="B89" s="27">
        <f t="shared" ca="1" si="1"/>
        <v>0.4584811744139452</v>
      </c>
      <c r="C89" s="27" t="s">
        <v>226</v>
      </c>
    </row>
    <row r="90" spans="1:3" x14ac:dyDescent="0.2">
      <c r="A90" s="27">
        <v>88</v>
      </c>
      <c r="B90" s="27">
        <f t="shared" ca="1" si="1"/>
        <v>0.59566510431147823</v>
      </c>
      <c r="C90" s="27" t="s">
        <v>226</v>
      </c>
    </row>
    <row r="91" spans="1:3" x14ac:dyDescent="0.2">
      <c r="A91" s="27">
        <v>89</v>
      </c>
      <c r="B91" s="27">
        <f t="shared" ca="1" si="1"/>
        <v>0.89824248259457073</v>
      </c>
      <c r="C91" s="27" t="s">
        <v>226</v>
      </c>
    </row>
    <row r="92" spans="1:3" x14ac:dyDescent="0.2">
      <c r="A92" s="27">
        <v>90</v>
      </c>
      <c r="B92" s="27">
        <f t="shared" ca="1" si="1"/>
        <v>0.95740421265961795</v>
      </c>
      <c r="C92" s="27" t="s">
        <v>227</v>
      </c>
    </row>
    <row r="93" spans="1:3" x14ac:dyDescent="0.2">
      <c r="A93" s="27">
        <v>91</v>
      </c>
      <c r="B93" s="27">
        <f t="shared" ca="1" si="1"/>
        <v>0.71027435740356282</v>
      </c>
      <c r="C93" s="27" t="s">
        <v>227</v>
      </c>
    </row>
    <row r="94" spans="1:3" x14ac:dyDescent="0.2">
      <c r="A94" s="27">
        <v>92</v>
      </c>
      <c r="B94" s="27">
        <f t="shared" ca="1" si="1"/>
        <v>0.51777319634818042</v>
      </c>
      <c r="C94" s="27" t="s">
        <v>226</v>
      </c>
    </row>
    <row r="95" spans="1:3" x14ac:dyDescent="0.2">
      <c r="A95" s="27">
        <v>93</v>
      </c>
      <c r="B95" s="27">
        <f t="shared" ca="1" si="1"/>
        <v>0.59685487113194635</v>
      </c>
      <c r="C95" s="27" t="s">
        <v>227</v>
      </c>
    </row>
    <row r="96" spans="1:3" x14ac:dyDescent="0.2">
      <c r="A96" s="27">
        <v>94</v>
      </c>
      <c r="B96" s="27">
        <f t="shared" ca="1" si="1"/>
        <v>0.90350992794128782</v>
      </c>
      <c r="C96" s="27" t="s">
        <v>227</v>
      </c>
    </row>
    <row r="97" spans="1:3" x14ac:dyDescent="0.2">
      <c r="A97" s="27">
        <v>95</v>
      </c>
      <c r="B97" s="27">
        <f t="shared" ca="1" si="1"/>
        <v>0.47125651998622564</v>
      </c>
      <c r="C97" s="27" t="s">
        <v>226</v>
      </c>
    </row>
    <row r="98" spans="1:3" x14ac:dyDescent="0.2">
      <c r="A98" s="27">
        <v>96</v>
      </c>
      <c r="B98" s="27">
        <f t="shared" ca="1" si="1"/>
        <v>0.49234013979327029</v>
      </c>
      <c r="C98" s="27" t="s">
        <v>226</v>
      </c>
    </row>
    <row r="99" spans="1:3" x14ac:dyDescent="0.2">
      <c r="A99" s="27">
        <v>97</v>
      </c>
      <c r="B99" s="27">
        <f t="shared" ca="1" si="1"/>
        <v>0.67987465129640035</v>
      </c>
      <c r="C99" s="27" t="s">
        <v>227</v>
      </c>
    </row>
    <row r="100" spans="1:3" x14ac:dyDescent="0.2">
      <c r="A100" s="27">
        <v>98</v>
      </c>
      <c r="B100" s="27">
        <f t="shared" ca="1" si="1"/>
        <v>0.50285178016111221</v>
      </c>
      <c r="C100" s="27" t="s">
        <v>227</v>
      </c>
    </row>
    <row r="101" spans="1:3" x14ac:dyDescent="0.2">
      <c r="A101" s="27">
        <v>99</v>
      </c>
      <c r="B101" s="27">
        <f t="shared" ca="1" si="1"/>
        <v>0.71391682114680288</v>
      </c>
      <c r="C101" s="27" t="s">
        <v>227</v>
      </c>
    </row>
    <row r="102" spans="1:3" x14ac:dyDescent="0.2">
      <c r="A102" s="27">
        <v>100</v>
      </c>
      <c r="B102" s="27">
        <f t="shared" ca="1" si="1"/>
        <v>0.76235431615606497</v>
      </c>
      <c r="C102" s="27" t="s">
        <v>226</v>
      </c>
    </row>
    <row r="103" spans="1:3" x14ac:dyDescent="0.2">
      <c r="A103" s="27">
        <v>101</v>
      </c>
      <c r="B103" s="27">
        <f t="shared" ca="1" si="1"/>
        <v>0.7841460546180028</v>
      </c>
      <c r="C103" s="27" t="s">
        <v>227</v>
      </c>
    </row>
    <row r="104" spans="1:3" x14ac:dyDescent="0.2">
      <c r="A104" s="27">
        <v>102</v>
      </c>
      <c r="B104" s="27">
        <f t="shared" ca="1" si="1"/>
        <v>0.61566738079647987</v>
      </c>
      <c r="C104" s="27" t="s">
        <v>226</v>
      </c>
    </row>
    <row r="105" spans="1:3" x14ac:dyDescent="0.2">
      <c r="A105" s="27">
        <v>103</v>
      </c>
      <c r="B105" s="27">
        <f t="shared" ca="1" si="1"/>
        <v>0.71536963839622247</v>
      </c>
      <c r="C105" s="27" t="s">
        <v>226</v>
      </c>
    </row>
    <row r="106" spans="1:3" x14ac:dyDescent="0.2">
      <c r="A106" s="27">
        <v>104</v>
      </c>
      <c r="B106" s="27">
        <f t="shared" ca="1" si="1"/>
        <v>0.59212283422930523</v>
      </c>
      <c r="C106" s="27" t="s">
        <v>226</v>
      </c>
    </row>
    <row r="107" spans="1:3" x14ac:dyDescent="0.2">
      <c r="A107" s="27">
        <v>105</v>
      </c>
      <c r="B107" s="27">
        <f t="shared" ca="1" si="1"/>
        <v>0.68396636186303572</v>
      </c>
      <c r="C107" s="27" t="s">
        <v>227</v>
      </c>
    </row>
    <row r="108" spans="1:3" x14ac:dyDescent="0.2">
      <c r="A108" s="27">
        <v>106</v>
      </c>
      <c r="B108" s="27">
        <f t="shared" ca="1" si="1"/>
        <v>0.84302133513041488</v>
      </c>
      <c r="C108" s="27" t="s">
        <v>226</v>
      </c>
    </row>
    <row r="109" spans="1:3" x14ac:dyDescent="0.2">
      <c r="A109" s="27">
        <v>107</v>
      </c>
      <c r="B109" s="27">
        <f t="shared" ca="1" si="1"/>
        <v>0.27678332683649598</v>
      </c>
      <c r="C109" s="27" t="s">
        <v>226</v>
      </c>
    </row>
    <row r="110" spans="1:3" x14ac:dyDescent="0.2">
      <c r="A110" s="27">
        <v>108</v>
      </c>
      <c r="B110" s="27">
        <f t="shared" ca="1" si="1"/>
        <v>0.4740592078328168</v>
      </c>
      <c r="C110" s="27" t="s">
        <v>226</v>
      </c>
    </row>
    <row r="111" spans="1:3" x14ac:dyDescent="0.2">
      <c r="A111" s="27">
        <v>109</v>
      </c>
      <c r="B111" s="27">
        <f t="shared" ca="1" si="1"/>
        <v>0.30921604971175121</v>
      </c>
      <c r="C111" s="27" t="s">
        <v>226</v>
      </c>
    </row>
    <row r="112" spans="1:3" x14ac:dyDescent="0.2">
      <c r="A112" s="27">
        <v>110</v>
      </c>
      <c r="B112" s="27">
        <f t="shared" ca="1" si="1"/>
        <v>0.58310867413252832</v>
      </c>
      <c r="C112" s="27" t="s">
        <v>226</v>
      </c>
    </row>
    <row r="113" spans="1:3" x14ac:dyDescent="0.2">
      <c r="A113" s="27">
        <v>111</v>
      </c>
      <c r="B113" s="27">
        <f t="shared" ca="1" si="1"/>
        <v>0.68829707259902473</v>
      </c>
      <c r="C113" s="27" t="s">
        <v>227</v>
      </c>
    </row>
    <row r="114" spans="1:3" x14ac:dyDescent="0.2">
      <c r="A114" s="27">
        <v>112</v>
      </c>
      <c r="B114" s="27">
        <f t="shared" ca="1" si="1"/>
        <v>0.55274506942294221</v>
      </c>
      <c r="C114" s="27" t="s">
        <v>226</v>
      </c>
    </row>
    <row r="115" spans="1:3" x14ac:dyDescent="0.2">
      <c r="A115" s="27">
        <v>113</v>
      </c>
      <c r="B115" s="27">
        <f t="shared" ca="1" si="1"/>
        <v>0.77846503617512597</v>
      </c>
      <c r="C115" s="27" t="s">
        <v>226</v>
      </c>
    </row>
    <row r="116" spans="1:3" x14ac:dyDescent="0.2">
      <c r="A116" s="27">
        <v>114</v>
      </c>
      <c r="B116" s="27">
        <f t="shared" ca="1" si="1"/>
        <v>0.84115533001991971</v>
      </c>
      <c r="C116" s="27" t="s">
        <v>226</v>
      </c>
    </row>
    <row r="117" spans="1:3" x14ac:dyDescent="0.2">
      <c r="A117" s="27">
        <v>115</v>
      </c>
      <c r="B117" s="27">
        <f t="shared" ca="1" si="1"/>
        <v>0.72500343187888472</v>
      </c>
      <c r="C117" s="27" t="s">
        <v>226</v>
      </c>
    </row>
    <row r="118" spans="1:3" x14ac:dyDescent="0.2">
      <c r="A118" s="27">
        <v>116</v>
      </c>
      <c r="B118" s="27">
        <f t="shared" ca="1" si="1"/>
        <v>0.34941223940237703</v>
      </c>
      <c r="C118" s="27" t="s">
        <v>226</v>
      </c>
    </row>
    <row r="119" spans="1:3" x14ac:dyDescent="0.2">
      <c r="A119" s="27">
        <v>117</v>
      </c>
      <c r="B119" s="27">
        <f t="shared" ca="1" si="1"/>
        <v>0.42016634484670623</v>
      </c>
      <c r="C119" s="27" t="s">
        <v>226</v>
      </c>
    </row>
    <row r="120" spans="1:3" x14ac:dyDescent="0.2">
      <c r="A120" s="27">
        <v>118</v>
      </c>
      <c r="B120" s="27">
        <f t="shared" ca="1" si="1"/>
        <v>0.56860898187409425</v>
      </c>
      <c r="C120" s="27" t="s">
        <v>226</v>
      </c>
    </row>
    <row r="121" spans="1:3" x14ac:dyDescent="0.2">
      <c r="A121" s="27">
        <v>119</v>
      </c>
      <c r="B121" s="27">
        <f t="shared" ca="1" si="1"/>
        <v>0.75569016235063879</v>
      </c>
      <c r="C121" s="27" t="s">
        <v>226</v>
      </c>
    </row>
    <row r="122" spans="1:3" x14ac:dyDescent="0.2">
      <c r="A122" s="27">
        <v>120</v>
      </c>
      <c r="B122" s="27">
        <f t="shared" ca="1" si="1"/>
        <v>0.88331292300512854</v>
      </c>
      <c r="C122" s="27" t="s">
        <v>227</v>
      </c>
    </row>
    <row r="123" spans="1:3" x14ac:dyDescent="0.2">
      <c r="A123" s="27">
        <v>121</v>
      </c>
      <c r="B123" s="27">
        <f t="shared" ca="1" si="1"/>
        <v>0.63619717517730345</v>
      </c>
      <c r="C123" s="27" t="s">
        <v>227</v>
      </c>
    </row>
    <row r="124" spans="1:3" x14ac:dyDescent="0.2">
      <c r="A124" s="27">
        <v>122</v>
      </c>
      <c r="B124" s="27">
        <f t="shared" ca="1" si="1"/>
        <v>0.66360292743045068</v>
      </c>
      <c r="C124" s="27" t="s">
        <v>226</v>
      </c>
    </row>
    <row r="125" spans="1:3" x14ac:dyDescent="0.2">
      <c r="A125" s="27">
        <v>123</v>
      </c>
      <c r="B125" s="27">
        <f t="shared" ca="1" si="1"/>
        <v>0.82143456806614845</v>
      </c>
      <c r="C125" s="27" t="s">
        <v>227</v>
      </c>
    </row>
    <row r="126" spans="1:3" x14ac:dyDescent="0.2">
      <c r="A126" s="27">
        <v>124</v>
      </c>
      <c r="B126" s="27">
        <f t="shared" ca="1" si="1"/>
        <v>0.71517508915216921</v>
      </c>
      <c r="C126" s="27" t="s">
        <v>227</v>
      </c>
    </row>
    <row r="127" spans="1:3" x14ac:dyDescent="0.2">
      <c r="A127" s="27">
        <v>125</v>
      </c>
      <c r="B127" s="27">
        <f t="shared" ca="1" si="1"/>
        <v>0.35157000018005174</v>
      </c>
      <c r="C127" s="27" t="s">
        <v>226</v>
      </c>
    </row>
    <row r="128" spans="1:3" x14ac:dyDescent="0.2">
      <c r="A128" s="27">
        <v>126</v>
      </c>
      <c r="B128" s="27">
        <f t="shared" ca="1" si="1"/>
        <v>0.37342770245480045</v>
      </c>
      <c r="C128" s="27" t="s">
        <v>226</v>
      </c>
    </row>
    <row r="129" spans="1:3" x14ac:dyDescent="0.2">
      <c r="A129" s="27">
        <v>127</v>
      </c>
      <c r="B129" s="27">
        <f t="shared" ca="1" si="1"/>
        <v>0.78839779924139486</v>
      </c>
      <c r="C129" s="27" t="s">
        <v>226</v>
      </c>
    </row>
    <row r="130" spans="1:3" x14ac:dyDescent="0.2">
      <c r="A130" s="27">
        <v>128</v>
      </c>
      <c r="B130" s="27">
        <f t="shared" ca="1" si="1"/>
        <v>0.4979204759197724</v>
      </c>
      <c r="C130" s="27" t="s">
        <v>226</v>
      </c>
    </row>
    <row r="131" spans="1:3" x14ac:dyDescent="0.2">
      <c r="A131" s="27">
        <v>129</v>
      </c>
      <c r="B131" s="27">
        <f t="shared" ref="B131:B194" ca="1" si="2">IF(C131="Bomb",_xlfn.NORM.INV(RAND(),0.7,0.1),_xlfn.NORM.INV(RAND(),0.6,0.15))</f>
        <v>0.83912630002935384</v>
      </c>
      <c r="C131" s="27" t="s">
        <v>226</v>
      </c>
    </row>
    <row r="132" spans="1:3" x14ac:dyDescent="0.2">
      <c r="A132" s="27">
        <v>130</v>
      </c>
      <c r="B132" s="27">
        <f t="shared" ca="1" si="2"/>
        <v>0.5986501866830255</v>
      </c>
      <c r="C132" s="27" t="s">
        <v>227</v>
      </c>
    </row>
    <row r="133" spans="1:3" x14ac:dyDescent="0.2">
      <c r="A133" s="27">
        <v>131</v>
      </c>
      <c r="B133" s="27">
        <f t="shared" ca="1" si="2"/>
        <v>0.6507017487746154</v>
      </c>
      <c r="C133" s="27" t="s">
        <v>227</v>
      </c>
    </row>
    <row r="134" spans="1:3" x14ac:dyDescent="0.2">
      <c r="A134" s="27">
        <v>132</v>
      </c>
      <c r="B134" s="27">
        <f t="shared" ca="1" si="2"/>
        <v>0.79559503511718832</v>
      </c>
      <c r="C134" s="27" t="s">
        <v>227</v>
      </c>
    </row>
    <row r="135" spans="1:3" x14ac:dyDescent="0.2">
      <c r="A135" s="27">
        <v>133</v>
      </c>
      <c r="B135" s="27">
        <f t="shared" ca="1" si="2"/>
        <v>0.63807429294078721</v>
      </c>
      <c r="C135" s="27" t="s">
        <v>227</v>
      </c>
    </row>
    <row r="136" spans="1:3" x14ac:dyDescent="0.2">
      <c r="A136" s="27">
        <v>134</v>
      </c>
      <c r="B136" s="27">
        <f t="shared" ca="1" si="2"/>
        <v>0.77072076814756119</v>
      </c>
      <c r="C136" s="27" t="s">
        <v>226</v>
      </c>
    </row>
    <row r="137" spans="1:3" x14ac:dyDescent="0.2">
      <c r="A137" s="27">
        <v>135</v>
      </c>
      <c r="B137" s="27">
        <f t="shared" ca="1" si="2"/>
        <v>0.66012134122105393</v>
      </c>
      <c r="C137" s="27" t="s">
        <v>227</v>
      </c>
    </row>
    <row r="138" spans="1:3" x14ac:dyDescent="0.2">
      <c r="A138" s="27">
        <v>136</v>
      </c>
      <c r="B138" s="27">
        <f t="shared" ca="1" si="2"/>
        <v>0.74963070043200708</v>
      </c>
      <c r="C138" s="27" t="s">
        <v>227</v>
      </c>
    </row>
    <row r="139" spans="1:3" x14ac:dyDescent="0.2">
      <c r="A139" s="27">
        <v>137</v>
      </c>
      <c r="B139" s="27">
        <f t="shared" ca="1" si="2"/>
        <v>0.5927131711082313</v>
      </c>
      <c r="C139" s="27" t="s">
        <v>226</v>
      </c>
    </row>
    <row r="140" spans="1:3" x14ac:dyDescent="0.2">
      <c r="A140" s="27">
        <v>138</v>
      </c>
      <c r="B140" s="27">
        <f t="shared" ca="1" si="2"/>
        <v>0.74290501505650064</v>
      </c>
      <c r="C140" s="27" t="s">
        <v>227</v>
      </c>
    </row>
    <row r="141" spans="1:3" x14ac:dyDescent="0.2">
      <c r="A141" s="27">
        <v>139</v>
      </c>
      <c r="B141" s="27">
        <f t="shared" ca="1" si="2"/>
        <v>0.79053753454986453</v>
      </c>
      <c r="C141" s="27" t="s">
        <v>226</v>
      </c>
    </row>
    <row r="142" spans="1:3" x14ac:dyDescent="0.2">
      <c r="A142" s="27">
        <v>140</v>
      </c>
      <c r="B142" s="27">
        <f t="shared" ca="1" si="2"/>
        <v>0.66504458769794239</v>
      </c>
      <c r="C142" s="27" t="s">
        <v>226</v>
      </c>
    </row>
    <row r="143" spans="1:3" x14ac:dyDescent="0.2">
      <c r="A143" s="27">
        <v>141</v>
      </c>
      <c r="B143" s="27">
        <f t="shared" ca="1" si="2"/>
        <v>0.65401631169854557</v>
      </c>
      <c r="C143" s="27" t="s">
        <v>226</v>
      </c>
    </row>
    <row r="144" spans="1:3" x14ac:dyDescent="0.2">
      <c r="A144" s="27">
        <v>142</v>
      </c>
      <c r="B144" s="27">
        <f t="shared" ca="1" si="2"/>
        <v>0.75172369948029405</v>
      </c>
      <c r="C144" s="27" t="s">
        <v>227</v>
      </c>
    </row>
    <row r="145" spans="1:3" x14ac:dyDescent="0.2">
      <c r="A145" s="27">
        <v>143</v>
      </c>
      <c r="B145" s="27">
        <f t="shared" ca="1" si="2"/>
        <v>0.76305807284441474</v>
      </c>
      <c r="C145" s="27" t="s">
        <v>226</v>
      </c>
    </row>
    <row r="146" spans="1:3" x14ac:dyDescent="0.2">
      <c r="A146" s="27">
        <v>144</v>
      </c>
      <c r="B146" s="27">
        <f t="shared" ca="1" si="2"/>
        <v>0.71988012654873645</v>
      </c>
      <c r="C146" s="27" t="s">
        <v>227</v>
      </c>
    </row>
    <row r="147" spans="1:3" x14ac:dyDescent="0.2">
      <c r="A147" s="27">
        <v>145</v>
      </c>
      <c r="B147" s="27">
        <f t="shared" ca="1" si="2"/>
        <v>0.57666271503682121</v>
      </c>
      <c r="C147" s="27" t="s">
        <v>226</v>
      </c>
    </row>
    <row r="148" spans="1:3" x14ac:dyDescent="0.2">
      <c r="A148" s="27">
        <v>146</v>
      </c>
      <c r="B148" s="27">
        <f t="shared" ca="1" si="2"/>
        <v>0.639245123327564</v>
      </c>
      <c r="C148" s="27" t="s">
        <v>226</v>
      </c>
    </row>
    <row r="149" spans="1:3" x14ac:dyDescent="0.2">
      <c r="A149" s="27">
        <v>147</v>
      </c>
      <c r="B149" s="27">
        <f t="shared" ca="1" si="2"/>
        <v>0.77156872294060919</v>
      </c>
      <c r="C149" s="27" t="s">
        <v>227</v>
      </c>
    </row>
    <row r="150" spans="1:3" x14ac:dyDescent="0.2">
      <c r="A150" s="27">
        <v>148</v>
      </c>
      <c r="B150" s="27">
        <f t="shared" ca="1" si="2"/>
        <v>0.52590442449169528</v>
      </c>
      <c r="C150" s="27" t="s">
        <v>226</v>
      </c>
    </row>
    <row r="151" spans="1:3" x14ac:dyDescent="0.2">
      <c r="A151" s="27">
        <v>149</v>
      </c>
      <c r="B151" s="27">
        <f t="shared" ca="1" si="2"/>
        <v>0.50509560018644739</v>
      </c>
      <c r="C151" s="27" t="s">
        <v>226</v>
      </c>
    </row>
    <row r="152" spans="1:3" x14ac:dyDescent="0.2">
      <c r="A152" s="27">
        <v>150</v>
      </c>
      <c r="B152" s="27">
        <f t="shared" ca="1" si="2"/>
        <v>0.51461313982983603</v>
      </c>
      <c r="C152" s="27" t="s">
        <v>226</v>
      </c>
    </row>
    <row r="153" spans="1:3" x14ac:dyDescent="0.2">
      <c r="A153" s="27">
        <v>151</v>
      </c>
      <c r="B153" s="27">
        <f t="shared" ca="1" si="2"/>
        <v>0.72742523748725429</v>
      </c>
      <c r="C153" s="27" t="s">
        <v>227</v>
      </c>
    </row>
    <row r="154" spans="1:3" x14ac:dyDescent="0.2">
      <c r="A154" s="27">
        <v>152</v>
      </c>
      <c r="B154" s="27">
        <f t="shared" ca="1" si="2"/>
        <v>0.79823666426172801</v>
      </c>
      <c r="C154" s="27" t="s">
        <v>227</v>
      </c>
    </row>
    <row r="155" spans="1:3" x14ac:dyDescent="0.2">
      <c r="A155" s="27">
        <v>153</v>
      </c>
      <c r="B155" s="27">
        <f t="shared" ca="1" si="2"/>
        <v>0.65618935874991446</v>
      </c>
      <c r="C155" s="27" t="s">
        <v>227</v>
      </c>
    </row>
    <row r="156" spans="1:3" x14ac:dyDescent="0.2">
      <c r="A156" s="27">
        <v>154</v>
      </c>
      <c r="B156" s="27">
        <f t="shared" ca="1" si="2"/>
        <v>0.51007679697531338</v>
      </c>
      <c r="C156" s="27" t="s">
        <v>226</v>
      </c>
    </row>
    <row r="157" spans="1:3" x14ac:dyDescent="0.2">
      <c r="A157" s="27">
        <v>155</v>
      </c>
      <c r="B157" s="27">
        <f t="shared" ca="1" si="2"/>
        <v>0.77618885069665666</v>
      </c>
      <c r="C157" s="27" t="s">
        <v>227</v>
      </c>
    </row>
    <row r="158" spans="1:3" x14ac:dyDescent="0.2">
      <c r="A158" s="27">
        <v>156</v>
      </c>
      <c r="B158" s="27">
        <f t="shared" ca="1" si="2"/>
        <v>0.6878812298086896</v>
      </c>
      <c r="C158" s="27" t="s">
        <v>227</v>
      </c>
    </row>
    <row r="159" spans="1:3" x14ac:dyDescent="0.2">
      <c r="A159" s="27">
        <v>157</v>
      </c>
      <c r="B159" s="27">
        <f t="shared" ca="1" si="2"/>
        <v>0.496875542671808</v>
      </c>
      <c r="C159" s="27" t="s">
        <v>226</v>
      </c>
    </row>
    <row r="160" spans="1:3" x14ac:dyDescent="0.2">
      <c r="A160" s="27">
        <v>158</v>
      </c>
      <c r="B160" s="27">
        <f t="shared" ca="1" si="2"/>
        <v>0.64968879075259867</v>
      </c>
      <c r="C160" s="27" t="s">
        <v>226</v>
      </c>
    </row>
    <row r="161" spans="1:3" x14ac:dyDescent="0.2">
      <c r="A161" s="27">
        <v>159</v>
      </c>
      <c r="B161" s="27">
        <f t="shared" ca="1" si="2"/>
        <v>0.60501308245333274</v>
      </c>
      <c r="C161" s="27" t="s">
        <v>227</v>
      </c>
    </row>
    <row r="162" spans="1:3" x14ac:dyDescent="0.2">
      <c r="A162" s="27">
        <v>160</v>
      </c>
      <c r="B162" s="27">
        <f t="shared" ca="1" si="2"/>
        <v>0.7609012804691857</v>
      </c>
      <c r="C162" s="27" t="s">
        <v>227</v>
      </c>
    </row>
    <row r="163" spans="1:3" x14ac:dyDescent="0.2">
      <c r="A163" s="27">
        <v>161</v>
      </c>
      <c r="B163" s="27">
        <f t="shared" ca="1" si="2"/>
        <v>0.49974268089806029</v>
      </c>
      <c r="C163" s="27" t="s">
        <v>227</v>
      </c>
    </row>
    <row r="164" spans="1:3" x14ac:dyDescent="0.2">
      <c r="A164" s="27">
        <v>162</v>
      </c>
      <c r="B164" s="27">
        <f t="shared" ca="1" si="2"/>
        <v>0.70847860350751002</v>
      </c>
      <c r="C164" s="27" t="s">
        <v>226</v>
      </c>
    </row>
    <row r="165" spans="1:3" x14ac:dyDescent="0.2">
      <c r="A165" s="27">
        <v>163</v>
      </c>
      <c r="B165" s="27">
        <f t="shared" ca="1" si="2"/>
        <v>0.66628325289976242</v>
      </c>
      <c r="C165" s="27" t="s">
        <v>226</v>
      </c>
    </row>
    <row r="166" spans="1:3" x14ac:dyDescent="0.2">
      <c r="A166" s="27">
        <v>164</v>
      </c>
      <c r="B166" s="27">
        <f t="shared" ca="1" si="2"/>
        <v>0.62870701399887663</v>
      </c>
      <c r="C166" s="27" t="s">
        <v>226</v>
      </c>
    </row>
    <row r="167" spans="1:3" x14ac:dyDescent="0.2">
      <c r="A167" s="27">
        <v>165</v>
      </c>
      <c r="B167" s="27">
        <f t="shared" ca="1" si="2"/>
        <v>0.37484106822957663</v>
      </c>
      <c r="C167" s="27" t="s">
        <v>226</v>
      </c>
    </row>
    <row r="168" spans="1:3" x14ac:dyDescent="0.2">
      <c r="A168" s="27">
        <v>166</v>
      </c>
      <c r="B168" s="27">
        <f t="shared" ca="1" si="2"/>
        <v>0.77932265199376349</v>
      </c>
      <c r="C168" s="27" t="s">
        <v>227</v>
      </c>
    </row>
    <row r="169" spans="1:3" x14ac:dyDescent="0.2">
      <c r="A169" s="27">
        <v>167</v>
      </c>
      <c r="B169" s="27">
        <f t="shared" ca="1" si="2"/>
        <v>0.95717866409328511</v>
      </c>
      <c r="C169" s="27" t="s">
        <v>227</v>
      </c>
    </row>
    <row r="170" spans="1:3" x14ac:dyDescent="0.2">
      <c r="A170" s="27">
        <v>168</v>
      </c>
      <c r="B170" s="27">
        <f t="shared" ca="1" si="2"/>
        <v>0.60219327515429999</v>
      </c>
      <c r="C170" s="27" t="s">
        <v>227</v>
      </c>
    </row>
    <row r="171" spans="1:3" x14ac:dyDescent="0.2">
      <c r="A171" s="27">
        <v>169</v>
      </c>
      <c r="B171" s="27">
        <f t="shared" ca="1" si="2"/>
        <v>0.48517922735380953</v>
      </c>
      <c r="C171" s="27" t="s">
        <v>226</v>
      </c>
    </row>
    <row r="172" spans="1:3" x14ac:dyDescent="0.2">
      <c r="A172" s="27">
        <v>170</v>
      </c>
      <c r="B172" s="27">
        <f t="shared" ca="1" si="2"/>
        <v>0.4715470900497446</v>
      </c>
      <c r="C172" s="27" t="s">
        <v>226</v>
      </c>
    </row>
    <row r="173" spans="1:3" x14ac:dyDescent="0.2">
      <c r="A173" s="27">
        <v>171</v>
      </c>
      <c r="B173" s="27">
        <f t="shared" ca="1" si="2"/>
        <v>0.71794424259726786</v>
      </c>
      <c r="C173" s="27" t="s">
        <v>227</v>
      </c>
    </row>
    <row r="174" spans="1:3" x14ac:dyDescent="0.2">
      <c r="A174" s="27">
        <v>172</v>
      </c>
      <c r="B174" s="27">
        <f t="shared" ca="1" si="2"/>
        <v>0.85667701902136462</v>
      </c>
      <c r="C174" s="27" t="s">
        <v>227</v>
      </c>
    </row>
    <row r="175" spans="1:3" x14ac:dyDescent="0.2">
      <c r="A175" s="27">
        <v>173</v>
      </c>
      <c r="B175" s="27">
        <f t="shared" ca="1" si="2"/>
        <v>0.69583770574067572</v>
      </c>
      <c r="C175" s="27" t="s">
        <v>227</v>
      </c>
    </row>
    <row r="176" spans="1:3" x14ac:dyDescent="0.2">
      <c r="A176" s="27">
        <v>174</v>
      </c>
      <c r="B176" s="27">
        <f t="shared" ca="1" si="2"/>
        <v>0.67742978865118642</v>
      </c>
      <c r="C176" s="27" t="s">
        <v>226</v>
      </c>
    </row>
    <row r="177" spans="1:3" x14ac:dyDescent="0.2">
      <c r="A177" s="27">
        <v>175</v>
      </c>
      <c r="B177" s="27">
        <f t="shared" ca="1" si="2"/>
        <v>0.79082172261204053</v>
      </c>
      <c r="C177" s="27" t="s">
        <v>227</v>
      </c>
    </row>
    <row r="178" spans="1:3" x14ac:dyDescent="0.2">
      <c r="A178" s="27">
        <v>176</v>
      </c>
      <c r="B178" s="27">
        <f t="shared" ca="1" si="2"/>
        <v>0.55821410764447976</v>
      </c>
      <c r="C178" s="27" t="s">
        <v>227</v>
      </c>
    </row>
    <row r="179" spans="1:3" x14ac:dyDescent="0.2">
      <c r="A179" s="27">
        <v>177</v>
      </c>
      <c r="B179" s="27">
        <f t="shared" ca="1" si="2"/>
        <v>0.6795846747414106</v>
      </c>
      <c r="C179" s="27" t="s">
        <v>226</v>
      </c>
    </row>
    <row r="180" spans="1:3" x14ac:dyDescent="0.2">
      <c r="A180" s="27">
        <v>178</v>
      </c>
      <c r="B180" s="27">
        <f t="shared" ca="1" si="2"/>
        <v>0.53261770205402581</v>
      </c>
      <c r="C180" s="27" t="s">
        <v>226</v>
      </c>
    </row>
    <row r="181" spans="1:3" x14ac:dyDescent="0.2">
      <c r="A181" s="27">
        <v>179</v>
      </c>
      <c r="B181" s="27">
        <f t="shared" ca="1" si="2"/>
        <v>0.77969999433682424</v>
      </c>
      <c r="C181" s="27" t="s">
        <v>227</v>
      </c>
    </row>
    <row r="182" spans="1:3" x14ac:dyDescent="0.2">
      <c r="A182" s="27">
        <v>180</v>
      </c>
      <c r="B182" s="27">
        <f t="shared" ca="1" si="2"/>
        <v>0.80702279542600786</v>
      </c>
      <c r="C182" s="27" t="s">
        <v>227</v>
      </c>
    </row>
    <row r="183" spans="1:3" x14ac:dyDescent="0.2">
      <c r="A183" s="27">
        <v>181</v>
      </c>
      <c r="B183" s="27">
        <f t="shared" ca="1" si="2"/>
        <v>0.83337801738262574</v>
      </c>
      <c r="C183" s="27" t="s">
        <v>227</v>
      </c>
    </row>
    <row r="184" spans="1:3" x14ac:dyDescent="0.2">
      <c r="A184" s="27">
        <v>182</v>
      </c>
      <c r="B184" s="27">
        <f t="shared" ca="1" si="2"/>
        <v>0.65977325853502189</v>
      </c>
      <c r="C184" s="27" t="s">
        <v>227</v>
      </c>
    </row>
    <row r="185" spans="1:3" x14ac:dyDescent="0.2">
      <c r="A185" s="27">
        <v>183</v>
      </c>
      <c r="B185" s="27">
        <f t="shared" ca="1" si="2"/>
        <v>0.67842549748252146</v>
      </c>
      <c r="C185" s="27" t="s">
        <v>226</v>
      </c>
    </row>
    <row r="186" spans="1:3" x14ac:dyDescent="0.2">
      <c r="A186" s="27">
        <v>184</v>
      </c>
      <c r="B186" s="27">
        <f t="shared" ca="1" si="2"/>
        <v>0.8431025943465793</v>
      </c>
      <c r="C186" s="27" t="s">
        <v>227</v>
      </c>
    </row>
    <row r="187" spans="1:3" x14ac:dyDescent="0.2">
      <c r="A187" s="27">
        <v>185</v>
      </c>
      <c r="B187" s="27">
        <f t="shared" ca="1" si="2"/>
        <v>0.77988805858613874</v>
      </c>
      <c r="C187" s="27" t="s">
        <v>226</v>
      </c>
    </row>
    <row r="188" spans="1:3" x14ac:dyDescent="0.2">
      <c r="A188" s="27">
        <v>186</v>
      </c>
      <c r="B188" s="27">
        <f t="shared" ca="1" si="2"/>
        <v>0.69737400207344424</v>
      </c>
      <c r="C188" s="27" t="s">
        <v>227</v>
      </c>
    </row>
    <row r="189" spans="1:3" x14ac:dyDescent="0.2">
      <c r="A189" s="27">
        <v>187</v>
      </c>
      <c r="B189" s="27">
        <f t="shared" ca="1" si="2"/>
        <v>0.47204598465299807</v>
      </c>
      <c r="C189" s="27" t="s">
        <v>226</v>
      </c>
    </row>
    <row r="190" spans="1:3" x14ac:dyDescent="0.2">
      <c r="A190" s="27">
        <v>188</v>
      </c>
      <c r="B190" s="27">
        <f t="shared" ca="1" si="2"/>
        <v>0.6951759106311598</v>
      </c>
      <c r="C190" s="27" t="s">
        <v>227</v>
      </c>
    </row>
    <row r="191" spans="1:3" x14ac:dyDescent="0.2">
      <c r="A191" s="27">
        <v>189</v>
      </c>
      <c r="B191" s="27">
        <f t="shared" ca="1" si="2"/>
        <v>0.6675477870857679</v>
      </c>
      <c r="C191" s="27" t="s">
        <v>227</v>
      </c>
    </row>
    <row r="192" spans="1:3" x14ac:dyDescent="0.2">
      <c r="A192" s="27">
        <v>190</v>
      </c>
      <c r="B192" s="27">
        <f t="shared" ca="1" si="2"/>
        <v>0.70706960845021283</v>
      </c>
      <c r="C192" s="27" t="s">
        <v>226</v>
      </c>
    </row>
    <row r="193" spans="1:3" x14ac:dyDescent="0.2">
      <c r="A193" s="27">
        <v>191</v>
      </c>
      <c r="B193" s="27">
        <f t="shared" ca="1" si="2"/>
        <v>0.76359224238657619</v>
      </c>
      <c r="C193" s="27" t="s">
        <v>227</v>
      </c>
    </row>
    <row r="194" spans="1:3" x14ac:dyDescent="0.2">
      <c r="A194" s="27">
        <v>192</v>
      </c>
      <c r="B194" s="27">
        <f t="shared" ca="1" si="2"/>
        <v>0.33422084217260223</v>
      </c>
      <c r="C194" s="27" t="s">
        <v>226</v>
      </c>
    </row>
    <row r="195" spans="1:3" x14ac:dyDescent="0.2">
      <c r="A195" s="27">
        <v>193</v>
      </c>
      <c r="B195" s="27">
        <f t="shared" ref="B195:B258" ca="1" si="3">IF(C195="Bomb",_xlfn.NORM.INV(RAND(),0.7,0.1),_xlfn.NORM.INV(RAND(),0.6,0.15))</f>
        <v>0.70050794478799949</v>
      </c>
      <c r="C195" s="27" t="s">
        <v>227</v>
      </c>
    </row>
    <row r="196" spans="1:3" x14ac:dyDescent="0.2">
      <c r="A196" s="27">
        <v>194</v>
      </c>
      <c r="B196" s="27">
        <f t="shared" ca="1" si="3"/>
        <v>0.57723389962865368</v>
      </c>
      <c r="C196" s="27" t="s">
        <v>226</v>
      </c>
    </row>
    <row r="197" spans="1:3" x14ac:dyDescent="0.2">
      <c r="A197" s="27">
        <v>195</v>
      </c>
      <c r="B197" s="27">
        <f t="shared" ca="1" si="3"/>
        <v>0.56308900019400232</v>
      </c>
      <c r="C197" s="27" t="s">
        <v>226</v>
      </c>
    </row>
    <row r="198" spans="1:3" x14ac:dyDescent="0.2">
      <c r="A198" s="27">
        <v>196</v>
      </c>
      <c r="B198" s="27">
        <f t="shared" ca="1" si="3"/>
        <v>0.69738586429492033</v>
      </c>
      <c r="C198" s="27" t="s">
        <v>227</v>
      </c>
    </row>
    <row r="199" spans="1:3" x14ac:dyDescent="0.2">
      <c r="A199" s="27">
        <v>197</v>
      </c>
      <c r="B199" s="27">
        <f t="shared" ca="1" si="3"/>
        <v>0.74673962146555273</v>
      </c>
      <c r="C199" s="27" t="s">
        <v>226</v>
      </c>
    </row>
    <row r="200" spans="1:3" x14ac:dyDescent="0.2">
      <c r="A200" s="27">
        <v>198</v>
      </c>
      <c r="B200" s="27">
        <f t="shared" ca="1" si="3"/>
        <v>0.58518450919629583</v>
      </c>
      <c r="C200" s="27" t="s">
        <v>227</v>
      </c>
    </row>
    <row r="201" spans="1:3" x14ac:dyDescent="0.2">
      <c r="A201" s="27">
        <v>199</v>
      </c>
      <c r="B201" s="27">
        <f t="shared" ca="1" si="3"/>
        <v>0.66694659768627607</v>
      </c>
      <c r="C201" s="27" t="s">
        <v>226</v>
      </c>
    </row>
    <row r="202" spans="1:3" x14ac:dyDescent="0.2">
      <c r="A202" s="27">
        <v>200</v>
      </c>
      <c r="B202" s="27">
        <f t="shared" ca="1" si="3"/>
        <v>0.8484785394412836</v>
      </c>
      <c r="C202" s="27" t="s">
        <v>227</v>
      </c>
    </row>
    <row r="203" spans="1:3" x14ac:dyDescent="0.2">
      <c r="A203" s="27">
        <v>201</v>
      </c>
      <c r="B203" s="27">
        <f t="shared" ca="1" si="3"/>
        <v>0.63876162018340865</v>
      </c>
      <c r="C203" s="27" t="s">
        <v>226</v>
      </c>
    </row>
    <row r="204" spans="1:3" x14ac:dyDescent="0.2">
      <c r="A204" s="27">
        <v>202</v>
      </c>
      <c r="B204" s="27">
        <f t="shared" ca="1" si="3"/>
        <v>0.66002756646927818</v>
      </c>
      <c r="C204" s="27" t="s">
        <v>227</v>
      </c>
    </row>
    <row r="205" spans="1:3" x14ac:dyDescent="0.2">
      <c r="A205" s="27">
        <v>203</v>
      </c>
      <c r="B205" s="27">
        <f t="shared" ca="1" si="3"/>
        <v>0.87282169950641553</v>
      </c>
      <c r="C205" s="27" t="s">
        <v>226</v>
      </c>
    </row>
    <row r="206" spans="1:3" x14ac:dyDescent="0.2">
      <c r="A206" s="27">
        <v>204</v>
      </c>
      <c r="B206" s="27">
        <f t="shared" ca="1" si="3"/>
        <v>0.23775997525801273</v>
      </c>
      <c r="C206" s="27" t="s">
        <v>226</v>
      </c>
    </row>
    <row r="207" spans="1:3" x14ac:dyDescent="0.2">
      <c r="A207" s="27">
        <v>205</v>
      </c>
      <c r="B207" s="27">
        <f t="shared" ca="1" si="3"/>
        <v>0.64000468567800961</v>
      </c>
      <c r="C207" s="27" t="s">
        <v>226</v>
      </c>
    </row>
    <row r="208" spans="1:3" x14ac:dyDescent="0.2">
      <c r="A208" s="27">
        <v>206</v>
      </c>
      <c r="B208" s="27">
        <f t="shared" ca="1" si="3"/>
        <v>0.5675063834326004</v>
      </c>
      <c r="C208" s="27" t="s">
        <v>227</v>
      </c>
    </row>
    <row r="209" spans="1:3" x14ac:dyDescent="0.2">
      <c r="A209" s="27">
        <v>207</v>
      </c>
      <c r="B209" s="27">
        <f t="shared" ca="1" si="3"/>
        <v>0.74780593303293952</v>
      </c>
      <c r="C209" s="27" t="s">
        <v>227</v>
      </c>
    </row>
    <row r="210" spans="1:3" x14ac:dyDescent="0.2">
      <c r="A210" s="27">
        <v>208</v>
      </c>
      <c r="B210" s="27">
        <f t="shared" ca="1" si="3"/>
        <v>0.66747621565170379</v>
      </c>
      <c r="C210" s="27" t="s">
        <v>227</v>
      </c>
    </row>
    <row r="211" spans="1:3" x14ac:dyDescent="0.2">
      <c r="A211" s="27">
        <v>209</v>
      </c>
      <c r="B211" s="27">
        <f t="shared" ca="1" si="3"/>
        <v>0.45609643726040505</v>
      </c>
      <c r="C211" s="27" t="s">
        <v>226</v>
      </c>
    </row>
    <row r="212" spans="1:3" x14ac:dyDescent="0.2">
      <c r="A212" s="27">
        <v>210</v>
      </c>
      <c r="B212" s="27">
        <f t="shared" ca="1" si="3"/>
        <v>0.40891237252150403</v>
      </c>
      <c r="C212" s="27" t="s">
        <v>226</v>
      </c>
    </row>
    <row r="213" spans="1:3" x14ac:dyDescent="0.2">
      <c r="A213" s="27">
        <v>211</v>
      </c>
      <c r="B213" s="27">
        <f t="shared" ca="1" si="3"/>
        <v>0.30064681978490115</v>
      </c>
      <c r="C213" s="27" t="s">
        <v>226</v>
      </c>
    </row>
    <row r="214" spans="1:3" x14ac:dyDescent="0.2">
      <c r="A214" s="27">
        <v>212</v>
      </c>
      <c r="B214" s="27">
        <f t="shared" ca="1" si="3"/>
        <v>0.55316759372088831</v>
      </c>
      <c r="C214" s="27" t="s">
        <v>226</v>
      </c>
    </row>
    <row r="215" spans="1:3" x14ac:dyDescent="0.2">
      <c r="A215" s="27">
        <v>213</v>
      </c>
      <c r="B215" s="27">
        <f t="shared" ca="1" si="3"/>
        <v>0.83974443824203293</v>
      </c>
      <c r="C215" s="27" t="s">
        <v>226</v>
      </c>
    </row>
    <row r="216" spans="1:3" x14ac:dyDescent="0.2">
      <c r="A216" s="27">
        <v>214</v>
      </c>
      <c r="B216" s="27">
        <f t="shared" ca="1" si="3"/>
        <v>0.73862800231565506</v>
      </c>
      <c r="C216" s="27" t="s">
        <v>226</v>
      </c>
    </row>
    <row r="217" spans="1:3" x14ac:dyDescent="0.2">
      <c r="A217" s="27">
        <v>215</v>
      </c>
      <c r="B217" s="27">
        <f t="shared" ca="1" si="3"/>
        <v>0.68325939044374184</v>
      </c>
      <c r="C217" s="27" t="s">
        <v>227</v>
      </c>
    </row>
    <row r="218" spans="1:3" x14ac:dyDescent="0.2">
      <c r="A218" s="27">
        <v>216</v>
      </c>
      <c r="B218" s="27">
        <f t="shared" ca="1" si="3"/>
        <v>0.71589711895726449</v>
      </c>
      <c r="C218" s="27" t="s">
        <v>227</v>
      </c>
    </row>
    <row r="219" spans="1:3" x14ac:dyDescent="0.2">
      <c r="A219" s="27">
        <v>217</v>
      </c>
      <c r="B219" s="27">
        <f t="shared" ca="1" si="3"/>
        <v>0.95131624348464927</v>
      </c>
      <c r="C219" s="27" t="s">
        <v>227</v>
      </c>
    </row>
    <row r="220" spans="1:3" x14ac:dyDescent="0.2">
      <c r="A220" s="27">
        <v>218</v>
      </c>
      <c r="B220" s="27">
        <f t="shared" ca="1" si="3"/>
        <v>0.62820548675293408</v>
      </c>
      <c r="C220" s="27" t="s">
        <v>226</v>
      </c>
    </row>
    <row r="221" spans="1:3" x14ac:dyDescent="0.2">
      <c r="A221" s="27">
        <v>219</v>
      </c>
      <c r="B221" s="27">
        <f t="shared" ca="1" si="3"/>
        <v>0.66717367045928255</v>
      </c>
      <c r="C221" s="27" t="s">
        <v>227</v>
      </c>
    </row>
    <row r="222" spans="1:3" x14ac:dyDescent="0.2">
      <c r="A222" s="27">
        <v>220</v>
      </c>
      <c r="B222" s="27">
        <f t="shared" ca="1" si="3"/>
        <v>0.62604989534897915</v>
      </c>
      <c r="C222" s="27" t="s">
        <v>226</v>
      </c>
    </row>
    <row r="223" spans="1:3" x14ac:dyDescent="0.2">
      <c r="A223" s="27">
        <v>221</v>
      </c>
      <c r="B223" s="27">
        <f t="shared" ca="1" si="3"/>
        <v>0.75058679491209301</v>
      </c>
      <c r="C223" s="27" t="s">
        <v>227</v>
      </c>
    </row>
    <row r="224" spans="1:3" x14ac:dyDescent="0.2">
      <c r="A224" s="27">
        <v>222</v>
      </c>
      <c r="B224" s="27">
        <f t="shared" ca="1" si="3"/>
        <v>0.61350207329340667</v>
      </c>
      <c r="C224" s="27" t="s">
        <v>227</v>
      </c>
    </row>
    <row r="225" spans="1:3" x14ac:dyDescent="0.2">
      <c r="A225" s="27">
        <v>223</v>
      </c>
      <c r="B225" s="27">
        <f t="shared" ca="1" si="3"/>
        <v>0.52141343623062419</v>
      </c>
      <c r="C225" s="27" t="s">
        <v>226</v>
      </c>
    </row>
    <row r="226" spans="1:3" x14ac:dyDescent="0.2">
      <c r="A226" s="27">
        <v>224</v>
      </c>
      <c r="B226" s="27">
        <f t="shared" ca="1" si="3"/>
        <v>0.5643430952658639</v>
      </c>
      <c r="C226" s="27" t="s">
        <v>226</v>
      </c>
    </row>
    <row r="227" spans="1:3" x14ac:dyDescent="0.2">
      <c r="A227" s="27">
        <v>225</v>
      </c>
      <c r="B227" s="27">
        <f t="shared" ca="1" si="3"/>
        <v>0.66350271032364272</v>
      </c>
      <c r="C227" s="27" t="s">
        <v>227</v>
      </c>
    </row>
    <row r="228" spans="1:3" x14ac:dyDescent="0.2">
      <c r="A228" s="27">
        <v>226</v>
      </c>
      <c r="B228" s="27">
        <f t="shared" ca="1" si="3"/>
        <v>0.64143243148768136</v>
      </c>
      <c r="C228" s="27" t="s">
        <v>226</v>
      </c>
    </row>
    <row r="229" spans="1:3" x14ac:dyDescent="0.2">
      <c r="A229" s="27">
        <v>227</v>
      </c>
      <c r="B229" s="27">
        <f t="shared" ca="1" si="3"/>
        <v>0.57896981758205823</v>
      </c>
      <c r="C229" s="27" t="s">
        <v>226</v>
      </c>
    </row>
    <row r="230" spans="1:3" x14ac:dyDescent="0.2">
      <c r="A230" s="27">
        <v>228</v>
      </c>
      <c r="B230" s="27">
        <f t="shared" ca="1" si="3"/>
        <v>0.50526590280184125</v>
      </c>
      <c r="C230" s="27" t="s">
        <v>226</v>
      </c>
    </row>
    <row r="231" spans="1:3" x14ac:dyDescent="0.2">
      <c r="A231" s="27">
        <v>229</v>
      </c>
      <c r="B231" s="27">
        <f t="shared" ca="1" si="3"/>
        <v>0.51339099661754017</v>
      </c>
      <c r="C231" s="27" t="s">
        <v>226</v>
      </c>
    </row>
    <row r="232" spans="1:3" x14ac:dyDescent="0.2">
      <c r="A232" s="27">
        <v>230</v>
      </c>
      <c r="B232" s="27">
        <f t="shared" ca="1" si="3"/>
        <v>0.9247926892937588</v>
      </c>
      <c r="C232" s="27" t="s">
        <v>227</v>
      </c>
    </row>
    <row r="233" spans="1:3" x14ac:dyDescent="0.2">
      <c r="A233" s="27">
        <v>231</v>
      </c>
      <c r="B233" s="27">
        <f t="shared" ca="1" si="3"/>
        <v>0.75781092707762432</v>
      </c>
      <c r="C233" s="27" t="s">
        <v>227</v>
      </c>
    </row>
    <row r="234" spans="1:3" x14ac:dyDescent="0.2">
      <c r="A234" s="27">
        <v>232</v>
      </c>
      <c r="B234" s="27">
        <f t="shared" ca="1" si="3"/>
        <v>0.70884129207300517</v>
      </c>
      <c r="C234" s="27" t="s">
        <v>226</v>
      </c>
    </row>
    <row r="235" spans="1:3" x14ac:dyDescent="0.2">
      <c r="A235" s="27">
        <v>233</v>
      </c>
      <c r="B235" s="27">
        <f t="shared" ca="1" si="3"/>
        <v>0.52501070004905814</v>
      </c>
      <c r="C235" s="27" t="s">
        <v>226</v>
      </c>
    </row>
    <row r="236" spans="1:3" x14ac:dyDescent="0.2">
      <c r="A236" s="27">
        <v>234</v>
      </c>
      <c r="B236" s="27">
        <f t="shared" ca="1" si="3"/>
        <v>0.81336148711301948</v>
      </c>
      <c r="C236" s="27" t="s">
        <v>227</v>
      </c>
    </row>
    <row r="237" spans="1:3" x14ac:dyDescent="0.2">
      <c r="A237" s="27">
        <v>235</v>
      </c>
      <c r="B237" s="27">
        <f t="shared" ca="1" si="3"/>
        <v>0.62746150167354764</v>
      </c>
      <c r="C237" s="27" t="s">
        <v>226</v>
      </c>
    </row>
    <row r="238" spans="1:3" x14ac:dyDescent="0.2">
      <c r="A238" s="27">
        <v>236</v>
      </c>
      <c r="B238" s="27">
        <f t="shared" ca="1" si="3"/>
        <v>0.58609137647262022</v>
      </c>
      <c r="C238" s="27" t="s">
        <v>227</v>
      </c>
    </row>
    <row r="239" spans="1:3" x14ac:dyDescent="0.2">
      <c r="A239" s="27">
        <v>237</v>
      </c>
      <c r="B239" s="27">
        <f t="shared" ca="1" si="3"/>
        <v>0.84575214100147378</v>
      </c>
      <c r="C239" s="27" t="s">
        <v>226</v>
      </c>
    </row>
    <row r="240" spans="1:3" x14ac:dyDescent="0.2">
      <c r="A240" s="27">
        <v>238</v>
      </c>
      <c r="B240" s="27">
        <f t="shared" ca="1" si="3"/>
        <v>0.7506758518686929</v>
      </c>
      <c r="C240" s="27" t="s">
        <v>227</v>
      </c>
    </row>
    <row r="241" spans="1:3" x14ac:dyDescent="0.2">
      <c r="A241" s="27">
        <v>239</v>
      </c>
      <c r="B241" s="27">
        <f t="shared" ca="1" si="3"/>
        <v>0.66169125404049833</v>
      </c>
      <c r="C241" s="27" t="s">
        <v>226</v>
      </c>
    </row>
    <row r="242" spans="1:3" x14ac:dyDescent="0.2">
      <c r="A242" s="27">
        <v>240</v>
      </c>
      <c r="B242" s="27">
        <f t="shared" ca="1" si="3"/>
        <v>0.33344743941718302</v>
      </c>
      <c r="C242" s="27" t="s">
        <v>226</v>
      </c>
    </row>
    <row r="243" spans="1:3" x14ac:dyDescent="0.2">
      <c r="A243" s="27">
        <v>241</v>
      </c>
      <c r="B243" s="27">
        <f t="shared" ca="1" si="3"/>
        <v>0.63320330917357359</v>
      </c>
      <c r="C243" s="27" t="s">
        <v>227</v>
      </c>
    </row>
    <row r="244" spans="1:3" x14ac:dyDescent="0.2">
      <c r="A244" s="27">
        <v>242</v>
      </c>
      <c r="B244" s="27">
        <f t="shared" ca="1" si="3"/>
        <v>0.46060157751784059</v>
      </c>
      <c r="C244" s="27" t="s">
        <v>227</v>
      </c>
    </row>
    <row r="245" spans="1:3" x14ac:dyDescent="0.2">
      <c r="A245" s="27">
        <v>243</v>
      </c>
      <c r="B245" s="27">
        <f t="shared" ca="1" si="3"/>
        <v>0.61233145041024506</v>
      </c>
      <c r="C245" s="27" t="s">
        <v>227</v>
      </c>
    </row>
    <row r="246" spans="1:3" x14ac:dyDescent="0.2">
      <c r="A246" s="27">
        <v>244</v>
      </c>
      <c r="B246" s="27">
        <f t="shared" ca="1" si="3"/>
        <v>0.82245837790998422</v>
      </c>
      <c r="C246" s="27" t="s">
        <v>226</v>
      </c>
    </row>
    <row r="247" spans="1:3" x14ac:dyDescent="0.2">
      <c r="A247" s="27">
        <v>245</v>
      </c>
      <c r="B247" s="27">
        <f t="shared" ca="1" si="3"/>
        <v>0.47360443087296467</v>
      </c>
      <c r="C247" s="27" t="s">
        <v>227</v>
      </c>
    </row>
    <row r="248" spans="1:3" x14ac:dyDescent="0.2">
      <c r="A248" s="27">
        <v>246</v>
      </c>
      <c r="B248" s="27">
        <f t="shared" ca="1" si="3"/>
        <v>0.69009903978487386</v>
      </c>
      <c r="C248" s="27" t="s">
        <v>227</v>
      </c>
    </row>
    <row r="249" spans="1:3" x14ac:dyDescent="0.2">
      <c r="A249" s="27">
        <v>247</v>
      </c>
      <c r="B249" s="27">
        <f t="shared" ca="1" si="3"/>
        <v>0.66183272288175732</v>
      </c>
      <c r="C249" s="27" t="s">
        <v>226</v>
      </c>
    </row>
    <row r="250" spans="1:3" x14ac:dyDescent="0.2">
      <c r="A250" s="27">
        <v>248</v>
      </c>
      <c r="B250" s="27">
        <f t="shared" ca="1" si="3"/>
        <v>0.81956581466127387</v>
      </c>
      <c r="C250" s="27" t="s">
        <v>227</v>
      </c>
    </row>
    <row r="251" spans="1:3" x14ac:dyDescent="0.2">
      <c r="A251" s="27">
        <v>249</v>
      </c>
      <c r="B251" s="27">
        <f t="shared" ca="1" si="3"/>
        <v>0.52036992846943808</v>
      </c>
      <c r="C251" s="27" t="s">
        <v>226</v>
      </c>
    </row>
    <row r="252" spans="1:3" x14ac:dyDescent="0.2">
      <c r="A252" s="27">
        <v>250</v>
      </c>
      <c r="B252" s="27">
        <f t="shared" ca="1" si="3"/>
        <v>0.66797987905854528</v>
      </c>
      <c r="C252" s="27" t="s">
        <v>227</v>
      </c>
    </row>
    <row r="253" spans="1:3" x14ac:dyDescent="0.2">
      <c r="A253" s="27">
        <v>251</v>
      </c>
      <c r="B253" s="27">
        <f t="shared" ca="1" si="3"/>
        <v>0.33202806988986933</v>
      </c>
      <c r="C253" s="27" t="s">
        <v>226</v>
      </c>
    </row>
    <row r="254" spans="1:3" x14ac:dyDescent="0.2">
      <c r="A254" s="27">
        <v>252</v>
      </c>
      <c r="B254" s="27">
        <f t="shared" ca="1" si="3"/>
        <v>0.68857737845833156</v>
      </c>
      <c r="C254" s="27" t="s">
        <v>227</v>
      </c>
    </row>
    <row r="255" spans="1:3" x14ac:dyDescent="0.2">
      <c r="A255" s="27">
        <v>253</v>
      </c>
      <c r="B255" s="27">
        <f t="shared" ca="1" si="3"/>
        <v>0.76954434893589896</v>
      </c>
      <c r="C255" s="27" t="s">
        <v>227</v>
      </c>
    </row>
    <row r="256" spans="1:3" x14ac:dyDescent="0.2">
      <c r="A256" s="27">
        <v>254</v>
      </c>
      <c r="B256" s="27">
        <f t="shared" ca="1" si="3"/>
        <v>0.67110451634366908</v>
      </c>
      <c r="C256" s="27" t="s">
        <v>227</v>
      </c>
    </row>
    <row r="257" spans="1:3" x14ac:dyDescent="0.2">
      <c r="A257" s="27">
        <v>255</v>
      </c>
      <c r="B257" s="27">
        <f t="shared" ca="1" si="3"/>
        <v>0.90751607885411367</v>
      </c>
      <c r="C257" s="27" t="s">
        <v>226</v>
      </c>
    </row>
    <row r="258" spans="1:3" x14ac:dyDescent="0.2">
      <c r="A258" s="27">
        <v>256</v>
      </c>
      <c r="B258" s="27">
        <f t="shared" ca="1" si="3"/>
        <v>0.73319503954725618</v>
      </c>
      <c r="C258" s="27" t="s">
        <v>226</v>
      </c>
    </row>
    <row r="259" spans="1:3" x14ac:dyDescent="0.2">
      <c r="A259" s="27">
        <v>257</v>
      </c>
      <c r="B259" s="27">
        <f t="shared" ref="B259:B322" ca="1" si="4">IF(C259="Bomb",_xlfn.NORM.INV(RAND(),0.7,0.1),_xlfn.NORM.INV(RAND(),0.6,0.15))</f>
        <v>0.44969758509216351</v>
      </c>
      <c r="C259" s="27" t="s">
        <v>226</v>
      </c>
    </row>
    <row r="260" spans="1:3" x14ac:dyDescent="0.2">
      <c r="A260" s="27">
        <v>258</v>
      </c>
      <c r="B260" s="27">
        <f t="shared" ca="1" si="4"/>
        <v>0.80611847692904171</v>
      </c>
      <c r="C260" s="27" t="s">
        <v>226</v>
      </c>
    </row>
    <row r="261" spans="1:3" x14ac:dyDescent="0.2">
      <c r="A261" s="27">
        <v>259</v>
      </c>
      <c r="B261" s="27">
        <f t="shared" ca="1" si="4"/>
        <v>0.58666533870819315</v>
      </c>
      <c r="C261" s="27" t="s">
        <v>226</v>
      </c>
    </row>
    <row r="262" spans="1:3" x14ac:dyDescent="0.2">
      <c r="A262" s="27">
        <v>260</v>
      </c>
      <c r="B262" s="27">
        <f t="shared" ca="1" si="4"/>
        <v>0.55142824458834561</v>
      </c>
      <c r="C262" s="27" t="s">
        <v>227</v>
      </c>
    </row>
    <row r="263" spans="1:3" x14ac:dyDescent="0.2">
      <c r="A263" s="27">
        <v>261</v>
      </c>
      <c r="B263" s="27">
        <f t="shared" ca="1" si="4"/>
        <v>0.83997422270385869</v>
      </c>
      <c r="C263" s="27" t="s">
        <v>227</v>
      </c>
    </row>
    <row r="264" spans="1:3" x14ac:dyDescent="0.2">
      <c r="A264" s="27">
        <v>262</v>
      </c>
      <c r="B264" s="27">
        <f t="shared" ca="1" si="4"/>
        <v>0.57572586771244738</v>
      </c>
      <c r="C264" s="27" t="s">
        <v>227</v>
      </c>
    </row>
    <row r="265" spans="1:3" x14ac:dyDescent="0.2">
      <c r="A265" s="27">
        <v>263</v>
      </c>
      <c r="B265" s="27">
        <f t="shared" ca="1" si="4"/>
        <v>0.68344362996046515</v>
      </c>
      <c r="C265" s="27" t="s">
        <v>227</v>
      </c>
    </row>
    <row r="266" spans="1:3" x14ac:dyDescent="0.2">
      <c r="A266" s="27">
        <v>264</v>
      </c>
      <c r="B266" s="27">
        <f t="shared" ca="1" si="4"/>
        <v>0.56666255801518672</v>
      </c>
      <c r="C266" s="27" t="s">
        <v>226</v>
      </c>
    </row>
    <row r="267" spans="1:3" x14ac:dyDescent="0.2">
      <c r="A267" s="27">
        <v>265</v>
      </c>
      <c r="B267" s="27">
        <f t="shared" ca="1" si="4"/>
        <v>0.61637693670942029</v>
      </c>
      <c r="C267" s="27" t="s">
        <v>227</v>
      </c>
    </row>
    <row r="268" spans="1:3" x14ac:dyDescent="0.2">
      <c r="A268" s="27">
        <v>266</v>
      </c>
      <c r="B268" s="27">
        <f t="shared" ca="1" si="4"/>
        <v>0.59578012339643194</v>
      </c>
      <c r="C268" s="27" t="s">
        <v>227</v>
      </c>
    </row>
    <row r="269" spans="1:3" x14ac:dyDescent="0.2">
      <c r="A269" s="27">
        <v>267</v>
      </c>
      <c r="B269" s="27">
        <f t="shared" ca="1" si="4"/>
        <v>0.75981787757499331</v>
      </c>
      <c r="C269" s="27" t="s">
        <v>226</v>
      </c>
    </row>
    <row r="270" spans="1:3" x14ac:dyDescent="0.2">
      <c r="A270" s="27">
        <v>268</v>
      </c>
      <c r="B270" s="27">
        <f t="shared" ca="1" si="4"/>
        <v>0.65824898526580489</v>
      </c>
      <c r="C270" s="27" t="s">
        <v>226</v>
      </c>
    </row>
    <row r="271" spans="1:3" x14ac:dyDescent="0.2">
      <c r="A271" s="27">
        <v>269</v>
      </c>
      <c r="B271" s="27">
        <f t="shared" ca="1" si="4"/>
        <v>0.76027376099395227</v>
      </c>
      <c r="C271" s="27" t="s">
        <v>227</v>
      </c>
    </row>
    <row r="272" spans="1:3" x14ac:dyDescent="0.2">
      <c r="A272" s="27">
        <v>270</v>
      </c>
      <c r="B272" s="27">
        <f t="shared" ca="1" si="4"/>
        <v>0.85706539242466406</v>
      </c>
      <c r="C272" s="27" t="s">
        <v>227</v>
      </c>
    </row>
    <row r="273" spans="1:3" x14ac:dyDescent="0.2">
      <c r="A273" s="27">
        <v>271</v>
      </c>
      <c r="B273" s="27">
        <f t="shared" ca="1" si="4"/>
        <v>0.7679811559920855</v>
      </c>
      <c r="C273" s="27" t="s">
        <v>226</v>
      </c>
    </row>
    <row r="274" spans="1:3" x14ac:dyDescent="0.2">
      <c r="A274" s="27">
        <v>272</v>
      </c>
      <c r="B274" s="27">
        <f t="shared" ca="1" si="4"/>
        <v>0.3687833831715045</v>
      </c>
      <c r="C274" s="27" t="s">
        <v>226</v>
      </c>
    </row>
    <row r="275" spans="1:3" x14ac:dyDescent="0.2">
      <c r="A275" s="27">
        <v>273</v>
      </c>
      <c r="B275" s="27">
        <f t="shared" ca="1" si="4"/>
        <v>0.59441949459293852</v>
      </c>
      <c r="C275" s="27" t="s">
        <v>227</v>
      </c>
    </row>
    <row r="276" spans="1:3" x14ac:dyDescent="0.2">
      <c r="A276" s="27">
        <v>274</v>
      </c>
      <c r="B276" s="27">
        <f t="shared" ca="1" si="4"/>
        <v>0.46097996795367235</v>
      </c>
      <c r="C276" s="27" t="s">
        <v>226</v>
      </c>
    </row>
    <row r="277" spans="1:3" x14ac:dyDescent="0.2">
      <c r="A277" s="27">
        <v>275</v>
      </c>
      <c r="B277" s="27">
        <f t="shared" ca="1" si="4"/>
        <v>0.70621524712521144</v>
      </c>
      <c r="C277" s="27" t="s">
        <v>226</v>
      </c>
    </row>
    <row r="278" spans="1:3" x14ac:dyDescent="0.2">
      <c r="A278" s="27">
        <v>276</v>
      </c>
      <c r="B278" s="27">
        <f t="shared" ca="1" si="4"/>
        <v>0.67291840906209777</v>
      </c>
      <c r="C278" s="27" t="s">
        <v>227</v>
      </c>
    </row>
    <row r="279" spans="1:3" x14ac:dyDescent="0.2">
      <c r="A279" s="27">
        <v>277</v>
      </c>
      <c r="B279" s="27">
        <f t="shared" ca="1" si="4"/>
        <v>0.74333707090470935</v>
      </c>
      <c r="C279" s="27" t="s">
        <v>227</v>
      </c>
    </row>
    <row r="280" spans="1:3" x14ac:dyDescent="0.2">
      <c r="A280" s="27">
        <v>278</v>
      </c>
      <c r="B280" s="27">
        <f t="shared" ca="1" si="4"/>
        <v>0.38284706855601502</v>
      </c>
      <c r="C280" s="27" t="s">
        <v>226</v>
      </c>
    </row>
    <row r="281" spans="1:3" x14ac:dyDescent="0.2">
      <c r="A281" s="27">
        <v>279</v>
      </c>
      <c r="B281" s="27">
        <f t="shared" ca="1" si="4"/>
        <v>0.56337577476558853</v>
      </c>
      <c r="C281" s="27" t="s">
        <v>226</v>
      </c>
    </row>
    <row r="282" spans="1:3" x14ac:dyDescent="0.2">
      <c r="A282" s="27">
        <v>280</v>
      </c>
      <c r="B282" s="27">
        <f t="shared" ca="1" si="4"/>
        <v>0.5609191299610089</v>
      </c>
      <c r="C282" s="27" t="s">
        <v>226</v>
      </c>
    </row>
    <row r="283" spans="1:3" x14ac:dyDescent="0.2">
      <c r="A283" s="27">
        <v>281</v>
      </c>
      <c r="B283" s="27">
        <f t="shared" ca="1" si="4"/>
        <v>0.63513358899082994</v>
      </c>
      <c r="C283" s="27" t="s">
        <v>226</v>
      </c>
    </row>
    <row r="284" spans="1:3" x14ac:dyDescent="0.2">
      <c r="A284" s="27">
        <v>282</v>
      </c>
      <c r="B284" s="27">
        <f t="shared" ca="1" si="4"/>
        <v>0.73909821711684565</v>
      </c>
      <c r="C284" s="27" t="s">
        <v>227</v>
      </c>
    </row>
    <row r="285" spans="1:3" x14ac:dyDescent="0.2">
      <c r="A285" s="27">
        <v>283</v>
      </c>
      <c r="B285" s="27">
        <f t="shared" ca="1" si="4"/>
        <v>0.60676573561580249</v>
      </c>
      <c r="C285" s="27" t="s">
        <v>227</v>
      </c>
    </row>
    <row r="286" spans="1:3" x14ac:dyDescent="0.2">
      <c r="A286" s="27">
        <v>284</v>
      </c>
      <c r="B286" s="27">
        <f t="shared" ca="1" si="4"/>
        <v>0.74216781634696005</v>
      </c>
      <c r="C286" s="27" t="s">
        <v>227</v>
      </c>
    </row>
    <row r="287" spans="1:3" x14ac:dyDescent="0.2">
      <c r="A287" s="27">
        <v>285</v>
      </c>
      <c r="B287" s="27">
        <f t="shared" ca="1" si="4"/>
        <v>0.40006802748131931</v>
      </c>
      <c r="C287" s="27" t="s">
        <v>226</v>
      </c>
    </row>
    <row r="288" spans="1:3" x14ac:dyDescent="0.2">
      <c r="A288" s="27">
        <v>286</v>
      </c>
      <c r="B288" s="27">
        <f t="shared" ca="1" si="4"/>
        <v>0.83838895528817714</v>
      </c>
      <c r="C288" s="27" t="s">
        <v>227</v>
      </c>
    </row>
    <row r="289" spans="1:3" x14ac:dyDescent="0.2">
      <c r="A289" s="27">
        <v>287</v>
      </c>
      <c r="B289" s="27">
        <f t="shared" ca="1" si="4"/>
        <v>0.73416987037363213</v>
      </c>
      <c r="C289" s="27" t="s">
        <v>227</v>
      </c>
    </row>
    <row r="290" spans="1:3" x14ac:dyDescent="0.2">
      <c r="A290" s="27">
        <v>288</v>
      </c>
      <c r="B290" s="27">
        <f t="shared" ca="1" si="4"/>
        <v>0.57574101410276479</v>
      </c>
      <c r="C290" s="27" t="s">
        <v>227</v>
      </c>
    </row>
    <row r="291" spans="1:3" x14ac:dyDescent="0.2">
      <c r="A291" s="27">
        <v>289</v>
      </c>
      <c r="B291" s="27">
        <f t="shared" ca="1" si="4"/>
        <v>0.7887618467008477</v>
      </c>
      <c r="C291" s="27" t="s">
        <v>227</v>
      </c>
    </row>
    <row r="292" spans="1:3" x14ac:dyDescent="0.2">
      <c r="A292" s="27">
        <v>290</v>
      </c>
      <c r="B292" s="27">
        <f t="shared" ca="1" si="4"/>
        <v>0.63374787823562262</v>
      </c>
      <c r="C292" s="27" t="s">
        <v>226</v>
      </c>
    </row>
    <row r="293" spans="1:3" x14ac:dyDescent="0.2">
      <c r="A293" s="27">
        <v>291</v>
      </c>
      <c r="B293" s="27">
        <f t="shared" ca="1" si="4"/>
        <v>0.51402634656011104</v>
      </c>
      <c r="C293" s="27" t="s">
        <v>227</v>
      </c>
    </row>
    <row r="294" spans="1:3" x14ac:dyDescent="0.2">
      <c r="A294" s="27">
        <v>292</v>
      </c>
      <c r="B294" s="27">
        <f t="shared" ca="1" si="4"/>
        <v>0.58760287369627329</v>
      </c>
      <c r="C294" s="27" t="s">
        <v>226</v>
      </c>
    </row>
    <row r="295" spans="1:3" x14ac:dyDescent="0.2">
      <c r="A295" s="27">
        <v>293</v>
      </c>
      <c r="B295" s="27">
        <f t="shared" ca="1" si="4"/>
        <v>0.68389270689132298</v>
      </c>
      <c r="C295" s="27" t="s">
        <v>227</v>
      </c>
    </row>
    <row r="296" spans="1:3" x14ac:dyDescent="0.2">
      <c r="A296" s="27">
        <v>294</v>
      </c>
      <c r="B296" s="27">
        <f t="shared" ca="1" si="4"/>
        <v>0.48645649655696821</v>
      </c>
      <c r="C296" s="27" t="s">
        <v>226</v>
      </c>
    </row>
    <row r="297" spans="1:3" x14ac:dyDescent="0.2">
      <c r="A297" s="27">
        <v>295</v>
      </c>
      <c r="B297" s="27">
        <f t="shared" ca="1" si="4"/>
        <v>0.59116808125345832</v>
      </c>
      <c r="C297" s="27" t="s">
        <v>226</v>
      </c>
    </row>
    <row r="298" spans="1:3" x14ac:dyDescent="0.2">
      <c r="A298" s="27">
        <v>296</v>
      </c>
      <c r="B298" s="27">
        <f t="shared" ca="1" si="4"/>
        <v>0.60344346209090038</v>
      </c>
      <c r="C298" s="27" t="s">
        <v>227</v>
      </c>
    </row>
    <row r="299" spans="1:3" x14ac:dyDescent="0.2">
      <c r="A299" s="27">
        <v>297</v>
      </c>
      <c r="B299" s="27">
        <f t="shared" ca="1" si="4"/>
        <v>0.91055565486154333</v>
      </c>
      <c r="C299" s="27" t="s">
        <v>227</v>
      </c>
    </row>
    <row r="300" spans="1:3" x14ac:dyDescent="0.2">
      <c r="A300" s="27">
        <v>298</v>
      </c>
      <c r="B300" s="27">
        <f t="shared" ca="1" si="4"/>
        <v>0.68178666466677307</v>
      </c>
      <c r="C300" s="27" t="s">
        <v>226</v>
      </c>
    </row>
    <row r="301" spans="1:3" x14ac:dyDescent="0.2">
      <c r="A301" s="27">
        <v>299</v>
      </c>
      <c r="B301" s="27">
        <f t="shared" ca="1" si="4"/>
        <v>0.46584690404042328</v>
      </c>
      <c r="C301" s="27" t="s">
        <v>227</v>
      </c>
    </row>
    <row r="302" spans="1:3" x14ac:dyDescent="0.2">
      <c r="A302" s="27">
        <v>300</v>
      </c>
      <c r="B302" s="27">
        <f t="shared" ca="1" si="4"/>
        <v>0.68921546973411629</v>
      </c>
      <c r="C302" s="27" t="s">
        <v>227</v>
      </c>
    </row>
    <row r="303" spans="1:3" x14ac:dyDescent="0.2">
      <c r="A303" s="27">
        <v>301</v>
      </c>
      <c r="B303" s="27">
        <f t="shared" ca="1" si="4"/>
        <v>0.57073389735422897</v>
      </c>
      <c r="C303" s="27" t="s">
        <v>227</v>
      </c>
    </row>
    <row r="304" spans="1:3" x14ac:dyDescent="0.2">
      <c r="A304" s="27">
        <v>302</v>
      </c>
      <c r="B304" s="27">
        <f t="shared" ca="1" si="4"/>
        <v>0.8703243455659464</v>
      </c>
      <c r="C304" s="27" t="s">
        <v>227</v>
      </c>
    </row>
    <row r="305" spans="1:3" x14ac:dyDescent="0.2">
      <c r="A305" s="27">
        <v>303</v>
      </c>
      <c r="B305" s="27">
        <f t="shared" ca="1" si="4"/>
        <v>0.66278287963397287</v>
      </c>
      <c r="C305" s="27" t="s">
        <v>227</v>
      </c>
    </row>
    <row r="306" spans="1:3" x14ac:dyDescent="0.2">
      <c r="A306" s="27">
        <v>304</v>
      </c>
      <c r="B306" s="27">
        <f t="shared" ca="1" si="4"/>
        <v>0.84674499775726764</v>
      </c>
      <c r="C306" s="27" t="s">
        <v>227</v>
      </c>
    </row>
    <row r="307" spans="1:3" x14ac:dyDescent="0.2">
      <c r="A307" s="27">
        <v>305</v>
      </c>
      <c r="B307" s="27">
        <f t="shared" ca="1" si="4"/>
        <v>1.0319406608356247</v>
      </c>
      <c r="C307" s="27" t="s">
        <v>226</v>
      </c>
    </row>
    <row r="308" spans="1:3" x14ac:dyDescent="0.2">
      <c r="A308" s="27">
        <v>306</v>
      </c>
      <c r="B308" s="27">
        <f t="shared" ca="1" si="4"/>
        <v>0.55314850765391455</v>
      </c>
      <c r="C308" s="27" t="s">
        <v>227</v>
      </c>
    </row>
    <row r="309" spans="1:3" x14ac:dyDescent="0.2">
      <c r="A309" s="27">
        <v>307</v>
      </c>
      <c r="B309" s="27">
        <f t="shared" ca="1" si="4"/>
        <v>0.84977509052202671</v>
      </c>
      <c r="C309" s="27" t="s">
        <v>226</v>
      </c>
    </row>
    <row r="310" spans="1:3" x14ac:dyDescent="0.2">
      <c r="A310" s="27">
        <v>308</v>
      </c>
      <c r="B310" s="27">
        <f t="shared" ca="1" si="4"/>
        <v>0.5127513218446379</v>
      </c>
      <c r="C310" s="27" t="s">
        <v>227</v>
      </c>
    </row>
    <row r="311" spans="1:3" x14ac:dyDescent="0.2">
      <c r="A311" s="27">
        <v>309</v>
      </c>
      <c r="B311" s="27">
        <f t="shared" ca="1" si="4"/>
        <v>0.83796573457081314</v>
      </c>
      <c r="C311" s="27" t="s">
        <v>227</v>
      </c>
    </row>
    <row r="312" spans="1:3" x14ac:dyDescent="0.2">
      <c r="A312" s="27">
        <v>310</v>
      </c>
      <c r="B312" s="27">
        <f t="shared" ca="1" si="4"/>
        <v>0.49160912908259052</v>
      </c>
      <c r="C312" s="27" t="s">
        <v>226</v>
      </c>
    </row>
    <row r="313" spans="1:3" x14ac:dyDescent="0.2">
      <c r="A313" s="27">
        <v>311</v>
      </c>
      <c r="B313" s="27">
        <f t="shared" ca="1" si="4"/>
        <v>0.73665991847184387</v>
      </c>
      <c r="C313" s="27" t="s">
        <v>227</v>
      </c>
    </row>
    <row r="314" spans="1:3" x14ac:dyDescent="0.2">
      <c r="A314" s="27">
        <v>312</v>
      </c>
      <c r="B314" s="27">
        <f t="shared" ca="1" si="4"/>
        <v>0.84956975993417383</v>
      </c>
      <c r="C314" s="27" t="s">
        <v>227</v>
      </c>
    </row>
    <row r="315" spans="1:3" x14ac:dyDescent="0.2">
      <c r="A315" s="27">
        <v>313</v>
      </c>
      <c r="B315" s="27">
        <f t="shared" ca="1" si="4"/>
        <v>0.60220232677801833</v>
      </c>
      <c r="C315" s="27" t="s">
        <v>226</v>
      </c>
    </row>
    <row r="316" spans="1:3" x14ac:dyDescent="0.2">
      <c r="A316" s="27">
        <v>314</v>
      </c>
      <c r="B316" s="27">
        <f t="shared" ca="1" si="4"/>
        <v>0.38439471291019411</v>
      </c>
      <c r="C316" s="27" t="s">
        <v>226</v>
      </c>
    </row>
    <row r="317" spans="1:3" x14ac:dyDescent="0.2">
      <c r="A317" s="27">
        <v>315</v>
      </c>
      <c r="B317" s="27">
        <f t="shared" ca="1" si="4"/>
        <v>0.86820511118280752</v>
      </c>
      <c r="C317" s="27" t="s">
        <v>227</v>
      </c>
    </row>
    <row r="318" spans="1:3" x14ac:dyDescent="0.2">
      <c r="A318" s="27">
        <v>316</v>
      </c>
      <c r="B318" s="27">
        <f t="shared" ca="1" si="4"/>
        <v>0.73180063642544857</v>
      </c>
      <c r="C318" s="27" t="s">
        <v>227</v>
      </c>
    </row>
    <row r="319" spans="1:3" x14ac:dyDescent="0.2">
      <c r="A319" s="27">
        <v>317</v>
      </c>
      <c r="B319" s="27">
        <f t="shared" ca="1" si="4"/>
        <v>0.63561434923229021</v>
      </c>
      <c r="C319" s="27" t="s">
        <v>226</v>
      </c>
    </row>
    <row r="320" spans="1:3" x14ac:dyDescent="0.2">
      <c r="A320" s="27">
        <v>318</v>
      </c>
      <c r="B320" s="27">
        <f t="shared" ca="1" si="4"/>
        <v>0.79041416681598509</v>
      </c>
      <c r="C320" s="27" t="s">
        <v>227</v>
      </c>
    </row>
    <row r="321" spans="1:3" x14ac:dyDescent="0.2">
      <c r="A321" s="27">
        <v>319</v>
      </c>
      <c r="B321" s="27">
        <f t="shared" ca="1" si="4"/>
        <v>0.39394076475349982</v>
      </c>
      <c r="C321" s="27" t="s">
        <v>226</v>
      </c>
    </row>
    <row r="322" spans="1:3" x14ac:dyDescent="0.2">
      <c r="A322" s="27">
        <v>320</v>
      </c>
      <c r="B322" s="27">
        <f t="shared" ca="1" si="4"/>
        <v>0.71663193862035146</v>
      </c>
      <c r="C322" s="27" t="s">
        <v>226</v>
      </c>
    </row>
    <row r="323" spans="1:3" x14ac:dyDescent="0.2">
      <c r="A323" s="27">
        <v>321</v>
      </c>
      <c r="B323" s="27">
        <f t="shared" ref="B323:B386" ca="1" si="5">IF(C323="Bomb",_xlfn.NORM.INV(RAND(),0.7,0.1),_xlfn.NORM.INV(RAND(),0.6,0.15))</f>
        <v>0.93909248654628596</v>
      </c>
      <c r="C323" s="27" t="s">
        <v>227</v>
      </c>
    </row>
    <row r="324" spans="1:3" x14ac:dyDescent="0.2">
      <c r="A324" s="27">
        <v>322</v>
      </c>
      <c r="B324" s="27">
        <f t="shared" ca="1" si="5"/>
        <v>0.81289939814371159</v>
      </c>
      <c r="C324" s="27" t="s">
        <v>227</v>
      </c>
    </row>
    <row r="325" spans="1:3" x14ac:dyDescent="0.2">
      <c r="A325" s="27">
        <v>323</v>
      </c>
      <c r="B325" s="27">
        <f t="shared" ca="1" si="5"/>
        <v>0.64803574012991516</v>
      </c>
      <c r="C325" s="27" t="s">
        <v>227</v>
      </c>
    </row>
    <row r="326" spans="1:3" x14ac:dyDescent="0.2">
      <c r="A326" s="27">
        <v>324</v>
      </c>
      <c r="B326" s="27">
        <f t="shared" ca="1" si="5"/>
        <v>0.68529215849491532</v>
      </c>
      <c r="C326" s="27" t="s">
        <v>226</v>
      </c>
    </row>
    <row r="327" spans="1:3" x14ac:dyDescent="0.2">
      <c r="A327" s="27">
        <v>325</v>
      </c>
      <c r="B327" s="27">
        <f t="shared" ca="1" si="5"/>
        <v>0.38374220274694015</v>
      </c>
      <c r="C327" s="27" t="s">
        <v>226</v>
      </c>
    </row>
    <row r="328" spans="1:3" x14ac:dyDescent="0.2">
      <c r="A328" s="27">
        <v>326</v>
      </c>
      <c r="B328" s="27">
        <f t="shared" ca="1" si="5"/>
        <v>0.67290523848728323</v>
      </c>
      <c r="C328" s="27" t="s">
        <v>227</v>
      </c>
    </row>
    <row r="329" spans="1:3" x14ac:dyDescent="0.2">
      <c r="A329" s="27">
        <v>327</v>
      </c>
      <c r="B329" s="27">
        <f t="shared" ca="1" si="5"/>
        <v>0.7230003939580083</v>
      </c>
      <c r="C329" s="27" t="s">
        <v>226</v>
      </c>
    </row>
    <row r="330" spans="1:3" x14ac:dyDescent="0.2">
      <c r="A330" s="27">
        <v>328</v>
      </c>
      <c r="B330" s="27">
        <f t="shared" ca="1" si="5"/>
        <v>0.56155249374332683</v>
      </c>
      <c r="C330" s="27" t="s">
        <v>226</v>
      </c>
    </row>
    <row r="331" spans="1:3" x14ac:dyDescent="0.2">
      <c r="A331" s="27">
        <v>329</v>
      </c>
      <c r="B331" s="27">
        <f t="shared" ca="1" si="5"/>
        <v>0.75328002753403556</v>
      </c>
      <c r="C331" s="27" t="s">
        <v>227</v>
      </c>
    </row>
    <row r="332" spans="1:3" x14ac:dyDescent="0.2">
      <c r="A332" s="27">
        <v>330</v>
      </c>
      <c r="B332" s="27">
        <f t="shared" ca="1" si="5"/>
        <v>0.49054389690651173</v>
      </c>
      <c r="C332" s="27" t="s">
        <v>226</v>
      </c>
    </row>
    <row r="333" spans="1:3" x14ac:dyDescent="0.2">
      <c r="A333" s="27">
        <v>331</v>
      </c>
      <c r="B333" s="27">
        <f t="shared" ca="1" si="5"/>
        <v>0.75838492243424738</v>
      </c>
      <c r="C333" s="27" t="s">
        <v>226</v>
      </c>
    </row>
    <row r="334" spans="1:3" x14ac:dyDescent="0.2">
      <c r="A334" s="27">
        <v>332</v>
      </c>
      <c r="B334" s="27">
        <f t="shared" ca="1" si="5"/>
        <v>0.56247142993005972</v>
      </c>
      <c r="C334" s="27" t="s">
        <v>227</v>
      </c>
    </row>
    <row r="335" spans="1:3" x14ac:dyDescent="0.2">
      <c r="A335" s="27">
        <v>333</v>
      </c>
      <c r="B335" s="27">
        <f t="shared" ca="1" si="5"/>
        <v>0.34947955758627047</v>
      </c>
      <c r="C335" s="27" t="s">
        <v>226</v>
      </c>
    </row>
    <row r="336" spans="1:3" x14ac:dyDescent="0.2">
      <c r="A336" s="27">
        <v>334</v>
      </c>
      <c r="B336" s="27">
        <f t="shared" ca="1" si="5"/>
        <v>0.4206128699610906</v>
      </c>
      <c r="C336" s="27" t="s">
        <v>226</v>
      </c>
    </row>
    <row r="337" spans="1:3" x14ac:dyDescent="0.2">
      <c r="A337" s="27">
        <v>335</v>
      </c>
      <c r="B337" s="27">
        <f t="shared" ca="1" si="5"/>
        <v>0.66450523320914101</v>
      </c>
      <c r="C337" s="27" t="s">
        <v>226</v>
      </c>
    </row>
    <row r="338" spans="1:3" x14ac:dyDescent="0.2">
      <c r="A338" s="27">
        <v>336</v>
      </c>
      <c r="B338" s="27">
        <f t="shared" ca="1" si="5"/>
        <v>0.73779492205649966</v>
      </c>
      <c r="C338" s="27" t="s">
        <v>227</v>
      </c>
    </row>
    <row r="339" spans="1:3" x14ac:dyDescent="0.2">
      <c r="A339" s="27">
        <v>337</v>
      </c>
      <c r="B339" s="27">
        <f t="shared" ca="1" si="5"/>
        <v>0.78128948420050726</v>
      </c>
      <c r="C339" s="27" t="s">
        <v>227</v>
      </c>
    </row>
    <row r="340" spans="1:3" x14ac:dyDescent="0.2">
      <c r="A340" s="27">
        <v>338</v>
      </c>
      <c r="B340" s="27">
        <f t="shared" ca="1" si="5"/>
        <v>0.79300305796571202</v>
      </c>
      <c r="C340" s="27" t="s">
        <v>227</v>
      </c>
    </row>
    <row r="341" spans="1:3" x14ac:dyDescent="0.2">
      <c r="A341" s="27">
        <v>339</v>
      </c>
      <c r="B341" s="27">
        <f t="shared" ca="1" si="5"/>
        <v>1.093971794068012</v>
      </c>
      <c r="C341" s="27" t="s">
        <v>226</v>
      </c>
    </row>
    <row r="342" spans="1:3" x14ac:dyDescent="0.2">
      <c r="A342" s="27">
        <v>340</v>
      </c>
      <c r="B342" s="27">
        <f t="shared" ca="1" si="5"/>
        <v>0.58396081477318873</v>
      </c>
      <c r="C342" s="27" t="s">
        <v>226</v>
      </c>
    </row>
    <row r="343" spans="1:3" x14ac:dyDescent="0.2">
      <c r="A343" s="27">
        <v>341</v>
      </c>
      <c r="B343" s="27">
        <f t="shared" ca="1" si="5"/>
        <v>0.47374578801487588</v>
      </c>
      <c r="C343" s="27" t="s">
        <v>226</v>
      </c>
    </row>
    <row r="344" spans="1:3" x14ac:dyDescent="0.2">
      <c r="A344" s="27">
        <v>342</v>
      </c>
      <c r="B344" s="27">
        <f t="shared" ca="1" si="5"/>
        <v>0.6273293838620293</v>
      </c>
      <c r="C344" s="27" t="s">
        <v>226</v>
      </c>
    </row>
    <row r="345" spans="1:3" x14ac:dyDescent="0.2">
      <c r="A345" s="27">
        <v>343</v>
      </c>
      <c r="B345" s="27">
        <f t="shared" ca="1" si="5"/>
        <v>0.59529243968878598</v>
      </c>
      <c r="C345" s="27" t="s">
        <v>227</v>
      </c>
    </row>
    <row r="346" spans="1:3" x14ac:dyDescent="0.2">
      <c r="A346" s="27">
        <v>344</v>
      </c>
      <c r="B346" s="27">
        <f t="shared" ca="1" si="5"/>
        <v>0.58233628190054953</v>
      </c>
      <c r="C346" s="27" t="s">
        <v>227</v>
      </c>
    </row>
    <row r="347" spans="1:3" x14ac:dyDescent="0.2">
      <c r="A347" s="27">
        <v>345</v>
      </c>
      <c r="B347" s="27">
        <f t="shared" ca="1" si="5"/>
        <v>0.76404163468773012</v>
      </c>
      <c r="C347" s="27" t="s">
        <v>226</v>
      </c>
    </row>
    <row r="348" spans="1:3" x14ac:dyDescent="0.2">
      <c r="A348" s="27">
        <v>346</v>
      </c>
      <c r="B348" s="27">
        <f t="shared" ca="1" si="5"/>
        <v>0.8007500109152127</v>
      </c>
      <c r="C348" s="27" t="s">
        <v>227</v>
      </c>
    </row>
    <row r="349" spans="1:3" x14ac:dyDescent="0.2">
      <c r="A349" s="27">
        <v>347</v>
      </c>
      <c r="B349" s="27">
        <f t="shared" ca="1" si="5"/>
        <v>0.67601240421941788</v>
      </c>
      <c r="C349" s="27" t="s">
        <v>226</v>
      </c>
    </row>
    <row r="350" spans="1:3" x14ac:dyDescent="0.2">
      <c r="A350" s="27">
        <v>348</v>
      </c>
      <c r="B350" s="27">
        <f t="shared" ca="1" si="5"/>
        <v>0.63207857054382643</v>
      </c>
      <c r="C350" s="27" t="s">
        <v>227</v>
      </c>
    </row>
    <row r="351" spans="1:3" x14ac:dyDescent="0.2">
      <c r="A351" s="27">
        <v>349</v>
      </c>
      <c r="B351" s="27">
        <f t="shared" ca="1" si="5"/>
        <v>0.65171814103780967</v>
      </c>
      <c r="C351" s="27" t="s">
        <v>227</v>
      </c>
    </row>
    <row r="352" spans="1:3" x14ac:dyDescent="0.2">
      <c r="A352" s="27">
        <v>350</v>
      </c>
      <c r="B352" s="27">
        <f t="shared" ca="1" si="5"/>
        <v>0.51205672858945595</v>
      </c>
      <c r="C352" s="27" t="s">
        <v>226</v>
      </c>
    </row>
    <row r="353" spans="1:3" x14ac:dyDescent="0.2">
      <c r="A353" s="27">
        <v>351</v>
      </c>
      <c r="B353" s="27">
        <f t="shared" ca="1" si="5"/>
        <v>0.22177745654189096</v>
      </c>
      <c r="C353" s="27" t="s">
        <v>226</v>
      </c>
    </row>
    <row r="354" spans="1:3" x14ac:dyDescent="0.2">
      <c r="A354" s="27">
        <v>352</v>
      </c>
      <c r="B354" s="27">
        <f t="shared" ca="1" si="5"/>
        <v>0.79746195260443964</v>
      </c>
      <c r="C354" s="27" t="s">
        <v>226</v>
      </c>
    </row>
    <row r="355" spans="1:3" x14ac:dyDescent="0.2">
      <c r="A355" s="27">
        <v>353</v>
      </c>
      <c r="B355" s="27">
        <f t="shared" ca="1" si="5"/>
        <v>0.73195925971481568</v>
      </c>
      <c r="C355" s="27" t="s">
        <v>227</v>
      </c>
    </row>
    <row r="356" spans="1:3" x14ac:dyDescent="0.2">
      <c r="A356" s="27">
        <v>354</v>
      </c>
      <c r="B356" s="27">
        <f t="shared" ca="1" si="5"/>
        <v>0.73471089447714577</v>
      </c>
      <c r="C356" s="27" t="s">
        <v>227</v>
      </c>
    </row>
    <row r="357" spans="1:3" x14ac:dyDescent="0.2">
      <c r="A357" s="27">
        <v>355</v>
      </c>
      <c r="B357" s="27">
        <f t="shared" ca="1" si="5"/>
        <v>0.76606818201770621</v>
      </c>
      <c r="C357" s="27" t="s">
        <v>227</v>
      </c>
    </row>
    <row r="358" spans="1:3" x14ac:dyDescent="0.2">
      <c r="A358" s="27">
        <v>356</v>
      </c>
      <c r="B358" s="27">
        <f t="shared" ca="1" si="5"/>
        <v>0.73289794205498204</v>
      </c>
      <c r="C358" s="27" t="s">
        <v>227</v>
      </c>
    </row>
    <row r="359" spans="1:3" x14ac:dyDescent="0.2">
      <c r="A359" s="27">
        <v>357</v>
      </c>
      <c r="B359" s="27">
        <f t="shared" ca="1" si="5"/>
        <v>0.7644793820259691</v>
      </c>
      <c r="C359" s="27" t="s">
        <v>226</v>
      </c>
    </row>
    <row r="360" spans="1:3" x14ac:dyDescent="0.2">
      <c r="A360" s="27">
        <v>358</v>
      </c>
      <c r="B360" s="27">
        <f t="shared" ca="1" si="5"/>
        <v>0.77657849331806417</v>
      </c>
      <c r="C360" s="27" t="s">
        <v>227</v>
      </c>
    </row>
    <row r="361" spans="1:3" x14ac:dyDescent="0.2">
      <c r="A361" s="27">
        <v>359</v>
      </c>
      <c r="B361" s="27">
        <f t="shared" ca="1" si="5"/>
        <v>0.36913087626387553</v>
      </c>
      <c r="C361" s="27" t="s">
        <v>226</v>
      </c>
    </row>
    <row r="362" spans="1:3" x14ac:dyDescent="0.2">
      <c r="A362" s="27">
        <v>360</v>
      </c>
      <c r="B362" s="27">
        <f t="shared" ca="1" si="5"/>
        <v>0.52614877367573765</v>
      </c>
      <c r="C362" s="27" t="s">
        <v>226</v>
      </c>
    </row>
    <row r="363" spans="1:3" x14ac:dyDescent="0.2">
      <c r="A363" s="27">
        <v>361</v>
      </c>
      <c r="B363" s="27">
        <f t="shared" ca="1" si="5"/>
        <v>0.71487553814473948</v>
      </c>
      <c r="C363" s="27" t="s">
        <v>227</v>
      </c>
    </row>
    <row r="364" spans="1:3" x14ac:dyDescent="0.2">
      <c r="A364" s="27">
        <v>362</v>
      </c>
      <c r="B364" s="27">
        <f t="shared" ca="1" si="5"/>
        <v>0.73641138454018162</v>
      </c>
      <c r="C364" s="27" t="s">
        <v>227</v>
      </c>
    </row>
    <row r="365" spans="1:3" x14ac:dyDescent="0.2">
      <c r="A365" s="27">
        <v>363</v>
      </c>
      <c r="B365" s="27">
        <f t="shared" ca="1" si="5"/>
        <v>0.46746905555550433</v>
      </c>
      <c r="C365" s="27" t="s">
        <v>226</v>
      </c>
    </row>
    <row r="366" spans="1:3" x14ac:dyDescent="0.2">
      <c r="A366" s="27">
        <v>364</v>
      </c>
      <c r="B366" s="27">
        <f t="shared" ca="1" si="5"/>
        <v>0.8805656255668024</v>
      </c>
      <c r="C366" s="27" t="s">
        <v>227</v>
      </c>
    </row>
    <row r="367" spans="1:3" x14ac:dyDescent="0.2">
      <c r="A367" s="27">
        <v>365</v>
      </c>
      <c r="B367" s="27">
        <f t="shared" ca="1" si="5"/>
        <v>0.76369772331721542</v>
      </c>
      <c r="C367" s="27" t="s">
        <v>226</v>
      </c>
    </row>
    <row r="368" spans="1:3" x14ac:dyDescent="0.2">
      <c r="A368" s="27">
        <v>366</v>
      </c>
      <c r="B368" s="27">
        <f t="shared" ca="1" si="5"/>
        <v>0.67843852281101724</v>
      </c>
      <c r="C368" s="27" t="s">
        <v>226</v>
      </c>
    </row>
    <row r="369" spans="1:3" x14ac:dyDescent="0.2">
      <c r="A369" s="27">
        <v>367</v>
      </c>
      <c r="B369" s="27">
        <f t="shared" ca="1" si="5"/>
        <v>0.83182029689463199</v>
      </c>
      <c r="C369" s="27" t="s">
        <v>227</v>
      </c>
    </row>
    <row r="370" spans="1:3" x14ac:dyDescent="0.2">
      <c r="A370" s="27">
        <v>368</v>
      </c>
      <c r="B370" s="27">
        <f t="shared" ca="1" si="5"/>
        <v>0.70304731244237273</v>
      </c>
      <c r="C370" s="27" t="s">
        <v>227</v>
      </c>
    </row>
    <row r="371" spans="1:3" x14ac:dyDescent="0.2">
      <c r="A371" s="27">
        <v>369</v>
      </c>
      <c r="B371" s="27">
        <f t="shared" ca="1" si="5"/>
        <v>0.61092386437489488</v>
      </c>
      <c r="C371" s="27" t="s">
        <v>226</v>
      </c>
    </row>
    <row r="372" spans="1:3" x14ac:dyDescent="0.2">
      <c r="A372" s="27">
        <v>370</v>
      </c>
      <c r="B372" s="27">
        <f t="shared" ca="1" si="5"/>
        <v>0.74972390013005719</v>
      </c>
      <c r="C372" s="27" t="s">
        <v>227</v>
      </c>
    </row>
    <row r="373" spans="1:3" x14ac:dyDescent="0.2">
      <c r="A373" s="27">
        <v>371</v>
      </c>
      <c r="B373" s="27">
        <f t="shared" ca="1" si="5"/>
        <v>0.72862121254149115</v>
      </c>
      <c r="C373" s="27" t="s">
        <v>227</v>
      </c>
    </row>
    <row r="374" spans="1:3" x14ac:dyDescent="0.2">
      <c r="A374" s="27">
        <v>372</v>
      </c>
      <c r="B374" s="27">
        <f t="shared" ca="1" si="5"/>
        <v>0.42209424104479465</v>
      </c>
      <c r="C374" s="27" t="s">
        <v>226</v>
      </c>
    </row>
    <row r="375" spans="1:3" x14ac:dyDescent="0.2">
      <c r="A375" s="27">
        <v>373</v>
      </c>
      <c r="B375" s="27">
        <f t="shared" ca="1" si="5"/>
        <v>0.68956552655112424</v>
      </c>
      <c r="C375" s="27" t="s">
        <v>227</v>
      </c>
    </row>
    <row r="376" spans="1:3" x14ac:dyDescent="0.2">
      <c r="A376" s="27">
        <v>374</v>
      </c>
      <c r="B376" s="27">
        <f t="shared" ca="1" si="5"/>
        <v>0.71251659978002591</v>
      </c>
      <c r="C376" s="27" t="s">
        <v>227</v>
      </c>
    </row>
    <row r="377" spans="1:3" x14ac:dyDescent="0.2">
      <c r="A377" s="27">
        <v>375</v>
      </c>
      <c r="B377" s="27">
        <f t="shared" ca="1" si="5"/>
        <v>0.87562368468894669</v>
      </c>
      <c r="C377" s="27" t="s">
        <v>226</v>
      </c>
    </row>
    <row r="378" spans="1:3" x14ac:dyDescent="0.2">
      <c r="A378" s="27">
        <v>376</v>
      </c>
      <c r="B378" s="27">
        <f t="shared" ca="1" si="5"/>
        <v>0.6916076869645621</v>
      </c>
      <c r="C378" s="27" t="s">
        <v>227</v>
      </c>
    </row>
    <row r="379" spans="1:3" x14ac:dyDescent="0.2">
      <c r="A379" s="27">
        <v>377</v>
      </c>
      <c r="B379" s="27">
        <f t="shared" ca="1" si="5"/>
        <v>0.84639073224780903</v>
      </c>
      <c r="C379" s="27" t="s">
        <v>227</v>
      </c>
    </row>
    <row r="380" spans="1:3" x14ac:dyDescent="0.2">
      <c r="A380" s="27">
        <v>378</v>
      </c>
      <c r="B380" s="27">
        <f t="shared" ca="1" si="5"/>
        <v>0.69094249989626011</v>
      </c>
      <c r="C380" s="27" t="s">
        <v>227</v>
      </c>
    </row>
    <row r="381" spans="1:3" x14ac:dyDescent="0.2">
      <c r="A381" s="27">
        <v>379</v>
      </c>
      <c r="B381" s="27">
        <f t="shared" ca="1" si="5"/>
        <v>0.64921504407303388</v>
      </c>
      <c r="C381" s="27" t="s">
        <v>227</v>
      </c>
    </row>
    <row r="382" spans="1:3" x14ac:dyDescent="0.2">
      <c r="A382" s="27">
        <v>380</v>
      </c>
      <c r="B382" s="27">
        <f t="shared" ca="1" si="5"/>
        <v>0.59702617608354924</v>
      </c>
      <c r="C382" s="27" t="s">
        <v>227</v>
      </c>
    </row>
    <row r="383" spans="1:3" x14ac:dyDescent="0.2">
      <c r="A383" s="27">
        <v>381</v>
      </c>
      <c r="B383" s="27">
        <f t="shared" ca="1" si="5"/>
        <v>0.60209818469166676</v>
      </c>
      <c r="C383" s="27" t="s">
        <v>227</v>
      </c>
    </row>
    <row r="384" spans="1:3" x14ac:dyDescent="0.2">
      <c r="A384" s="27">
        <v>382</v>
      </c>
      <c r="B384" s="27">
        <f t="shared" ca="1" si="5"/>
        <v>0.49018577540860886</v>
      </c>
      <c r="C384" s="27" t="s">
        <v>227</v>
      </c>
    </row>
    <row r="385" spans="1:3" x14ac:dyDescent="0.2">
      <c r="A385" s="27">
        <v>383</v>
      </c>
      <c r="B385" s="27">
        <f t="shared" ca="1" si="5"/>
        <v>0.74354925789503967</v>
      </c>
      <c r="C385" s="27" t="s">
        <v>226</v>
      </c>
    </row>
    <row r="386" spans="1:3" x14ac:dyDescent="0.2">
      <c r="A386" s="27">
        <v>384</v>
      </c>
      <c r="B386" s="27">
        <f t="shared" ca="1" si="5"/>
        <v>0.76250676120543937</v>
      </c>
      <c r="C386" s="27" t="s">
        <v>227</v>
      </c>
    </row>
    <row r="387" spans="1:3" x14ac:dyDescent="0.2">
      <c r="A387" s="27">
        <v>385</v>
      </c>
      <c r="B387" s="27">
        <f t="shared" ref="B387:B450" ca="1" si="6">IF(C387="Bomb",_xlfn.NORM.INV(RAND(),0.7,0.1),_xlfn.NORM.INV(RAND(),0.6,0.15))</f>
        <v>0.784668615521809</v>
      </c>
      <c r="C387" s="27" t="s">
        <v>226</v>
      </c>
    </row>
    <row r="388" spans="1:3" x14ac:dyDescent="0.2">
      <c r="A388" s="27">
        <v>386</v>
      </c>
      <c r="B388" s="27">
        <f t="shared" ca="1" si="6"/>
        <v>0.63787608633877213</v>
      </c>
      <c r="C388" s="27" t="s">
        <v>226</v>
      </c>
    </row>
    <row r="389" spans="1:3" x14ac:dyDescent="0.2">
      <c r="A389" s="27">
        <v>387</v>
      </c>
      <c r="B389" s="27">
        <f t="shared" ca="1" si="6"/>
        <v>0.6326188788188668</v>
      </c>
      <c r="C389" s="27" t="s">
        <v>226</v>
      </c>
    </row>
    <row r="390" spans="1:3" x14ac:dyDescent="0.2">
      <c r="A390" s="27">
        <v>388</v>
      </c>
      <c r="B390" s="27">
        <f t="shared" ca="1" si="6"/>
        <v>0.62845181114755622</v>
      </c>
      <c r="C390" s="27" t="s">
        <v>226</v>
      </c>
    </row>
    <row r="391" spans="1:3" x14ac:dyDescent="0.2">
      <c r="A391" s="27">
        <v>389</v>
      </c>
      <c r="B391" s="27">
        <f t="shared" ca="1" si="6"/>
        <v>0.31944665377750286</v>
      </c>
      <c r="C391" s="27" t="s">
        <v>226</v>
      </c>
    </row>
    <row r="392" spans="1:3" x14ac:dyDescent="0.2">
      <c r="A392" s="27">
        <v>390</v>
      </c>
      <c r="B392" s="27">
        <f t="shared" ca="1" si="6"/>
        <v>0.61001187807025736</v>
      </c>
      <c r="C392" s="27" t="s">
        <v>227</v>
      </c>
    </row>
    <row r="393" spans="1:3" x14ac:dyDescent="0.2">
      <c r="A393" s="27">
        <v>391</v>
      </c>
      <c r="B393" s="27">
        <f t="shared" ca="1" si="6"/>
        <v>0.76525553151054426</v>
      </c>
      <c r="C393" s="27" t="s">
        <v>227</v>
      </c>
    </row>
    <row r="394" spans="1:3" x14ac:dyDescent="0.2">
      <c r="A394" s="27">
        <v>392</v>
      </c>
      <c r="B394" s="27">
        <f t="shared" ca="1" si="6"/>
        <v>0.56398913294490916</v>
      </c>
      <c r="C394" s="27" t="s">
        <v>226</v>
      </c>
    </row>
    <row r="395" spans="1:3" x14ac:dyDescent="0.2">
      <c r="A395" s="27">
        <v>393</v>
      </c>
      <c r="B395" s="27">
        <f t="shared" ca="1" si="6"/>
        <v>0.40782200733104279</v>
      </c>
      <c r="C395" s="27" t="s">
        <v>226</v>
      </c>
    </row>
    <row r="396" spans="1:3" x14ac:dyDescent="0.2">
      <c r="A396" s="27">
        <v>394</v>
      </c>
      <c r="B396" s="27">
        <f t="shared" ca="1" si="6"/>
        <v>0.56985102521732989</v>
      </c>
      <c r="C396" s="27" t="s">
        <v>226</v>
      </c>
    </row>
    <row r="397" spans="1:3" x14ac:dyDescent="0.2">
      <c r="A397" s="27">
        <v>395</v>
      </c>
      <c r="B397" s="27">
        <f t="shared" ca="1" si="6"/>
        <v>0.6858293801674068</v>
      </c>
      <c r="C397" s="27" t="s">
        <v>227</v>
      </c>
    </row>
    <row r="398" spans="1:3" x14ac:dyDescent="0.2">
      <c r="A398" s="27">
        <v>396</v>
      </c>
      <c r="B398" s="27">
        <f t="shared" ca="1" si="6"/>
        <v>0.73577205981909244</v>
      </c>
      <c r="C398" s="27" t="s">
        <v>227</v>
      </c>
    </row>
    <row r="399" spans="1:3" x14ac:dyDescent="0.2">
      <c r="A399" s="27">
        <v>397</v>
      </c>
      <c r="B399" s="27">
        <f t="shared" ca="1" si="6"/>
        <v>0.32284358386425593</v>
      </c>
      <c r="C399" s="27" t="s">
        <v>226</v>
      </c>
    </row>
    <row r="400" spans="1:3" x14ac:dyDescent="0.2">
      <c r="A400" s="27">
        <v>398</v>
      </c>
      <c r="B400" s="27">
        <f t="shared" ca="1" si="6"/>
        <v>0.60421923072573758</v>
      </c>
      <c r="C400" s="27" t="s">
        <v>227</v>
      </c>
    </row>
    <row r="401" spans="1:3" x14ac:dyDescent="0.2">
      <c r="A401" s="27">
        <v>399</v>
      </c>
      <c r="B401" s="27">
        <f t="shared" ca="1" si="6"/>
        <v>0.4976255015149062</v>
      </c>
      <c r="C401" s="27" t="s">
        <v>226</v>
      </c>
    </row>
    <row r="402" spans="1:3" x14ac:dyDescent="0.2">
      <c r="A402" s="27">
        <v>400</v>
      </c>
      <c r="B402" s="27">
        <f t="shared" ca="1" si="6"/>
        <v>0.72645360614385579</v>
      </c>
      <c r="C402" s="27" t="s">
        <v>227</v>
      </c>
    </row>
    <row r="403" spans="1:3" x14ac:dyDescent="0.2">
      <c r="A403" s="27">
        <v>401</v>
      </c>
      <c r="B403" s="27">
        <f t="shared" ca="1" si="6"/>
        <v>0.58502903012528285</v>
      </c>
      <c r="C403" s="27" t="s">
        <v>226</v>
      </c>
    </row>
    <row r="404" spans="1:3" x14ac:dyDescent="0.2">
      <c r="A404" s="27">
        <v>402</v>
      </c>
      <c r="B404" s="27">
        <f t="shared" ca="1" si="6"/>
        <v>0.1966572736191568</v>
      </c>
      <c r="C404" s="27" t="s">
        <v>226</v>
      </c>
    </row>
    <row r="405" spans="1:3" x14ac:dyDescent="0.2">
      <c r="A405" s="27">
        <v>403</v>
      </c>
      <c r="B405" s="27">
        <f t="shared" ca="1" si="6"/>
        <v>0.17073218340245522</v>
      </c>
      <c r="C405" s="27" t="s">
        <v>226</v>
      </c>
    </row>
    <row r="406" spans="1:3" x14ac:dyDescent="0.2">
      <c r="A406" s="27">
        <v>404</v>
      </c>
      <c r="B406" s="27">
        <f t="shared" ca="1" si="6"/>
        <v>0.89668923539477152</v>
      </c>
      <c r="C406" s="27" t="s">
        <v>227</v>
      </c>
    </row>
    <row r="407" spans="1:3" x14ac:dyDescent="0.2">
      <c r="A407" s="27">
        <v>405</v>
      </c>
      <c r="B407" s="27">
        <f t="shared" ca="1" si="6"/>
        <v>0.70251933340062611</v>
      </c>
      <c r="C407" s="27" t="s">
        <v>227</v>
      </c>
    </row>
    <row r="408" spans="1:3" x14ac:dyDescent="0.2">
      <c r="A408" s="27">
        <v>406</v>
      </c>
      <c r="B408" s="27">
        <f t="shared" ca="1" si="6"/>
        <v>0.69049919877056776</v>
      </c>
      <c r="C408" s="27" t="s">
        <v>226</v>
      </c>
    </row>
    <row r="409" spans="1:3" x14ac:dyDescent="0.2">
      <c r="A409" s="27">
        <v>407</v>
      </c>
      <c r="B409" s="27">
        <f t="shared" ca="1" si="6"/>
        <v>0.63510106483199968</v>
      </c>
      <c r="C409" s="27" t="s">
        <v>226</v>
      </c>
    </row>
    <row r="410" spans="1:3" x14ac:dyDescent="0.2">
      <c r="A410" s="27">
        <v>408</v>
      </c>
      <c r="B410" s="27">
        <f t="shared" ca="1" si="6"/>
        <v>0.78020156979725575</v>
      </c>
      <c r="C410" s="27" t="s">
        <v>227</v>
      </c>
    </row>
    <row r="411" spans="1:3" x14ac:dyDescent="0.2">
      <c r="A411" s="27">
        <v>409</v>
      </c>
      <c r="B411" s="27">
        <f t="shared" ca="1" si="6"/>
        <v>0.75525531702377069</v>
      </c>
      <c r="C411" s="27" t="s">
        <v>227</v>
      </c>
    </row>
    <row r="412" spans="1:3" x14ac:dyDescent="0.2">
      <c r="A412" s="27">
        <v>410</v>
      </c>
      <c r="B412" s="27">
        <f t="shared" ca="1" si="6"/>
        <v>0.69958305178890257</v>
      </c>
      <c r="C412" s="27" t="s">
        <v>227</v>
      </c>
    </row>
    <row r="413" spans="1:3" x14ac:dyDescent="0.2">
      <c r="A413" s="27">
        <v>411</v>
      </c>
      <c r="B413" s="27">
        <f t="shared" ca="1" si="6"/>
        <v>0.49693776827319924</v>
      </c>
      <c r="C413" s="27" t="s">
        <v>226</v>
      </c>
    </row>
    <row r="414" spans="1:3" x14ac:dyDescent="0.2">
      <c r="A414" s="27">
        <v>412</v>
      </c>
      <c r="B414" s="27">
        <f t="shared" ca="1" si="6"/>
        <v>0.50885118601238499</v>
      </c>
      <c r="C414" s="27" t="s">
        <v>226</v>
      </c>
    </row>
    <row r="415" spans="1:3" x14ac:dyDescent="0.2">
      <c r="A415" s="27">
        <v>413</v>
      </c>
      <c r="B415" s="27">
        <f t="shared" ca="1" si="6"/>
        <v>0.59808157973046228</v>
      </c>
      <c r="C415" s="27" t="s">
        <v>227</v>
      </c>
    </row>
    <row r="416" spans="1:3" x14ac:dyDescent="0.2">
      <c r="A416" s="27">
        <v>414</v>
      </c>
      <c r="B416" s="27">
        <f t="shared" ca="1" si="6"/>
        <v>0.79931020275272924</v>
      </c>
      <c r="C416" s="27" t="s">
        <v>227</v>
      </c>
    </row>
    <row r="417" spans="1:3" x14ac:dyDescent="0.2">
      <c r="A417" s="27">
        <v>415</v>
      </c>
      <c r="B417" s="27">
        <f t="shared" ca="1" si="6"/>
        <v>0.60214902499572132</v>
      </c>
      <c r="C417" s="27" t="s">
        <v>226</v>
      </c>
    </row>
    <row r="418" spans="1:3" x14ac:dyDescent="0.2">
      <c r="A418" s="27">
        <v>416</v>
      </c>
      <c r="B418" s="27">
        <f t="shared" ca="1" si="6"/>
        <v>0.56579024309986137</v>
      </c>
      <c r="C418" s="27" t="s">
        <v>227</v>
      </c>
    </row>
    <row r="419" spans="1:3" x14ac:dyDescent="0.2">
      <c r="A419" s="27">
        <v>417</v>
      </c>
      <c r="B419" s="27">
        <f t="shared" ca="1" si="6"/>
        <v>0.68017541915931545</v>
      </c>
      <c r="C419" s="27" t="s">
        <v>227</v>
      </c>
    </row>
    <row r="420" spans="1:3" x14ac:dyDescent="0.2">
      <c r="A420" s="27">
        <v>418</v>
      </c>
      <c r="B420" s="27">
        <f t="shared" ca="1" si="6"/>
        <v>0.2969206554350966</v>
      </c>
      <c r="C420" s="27" t="s">
        <v>226</v>
      </c>
    </row>
    <row r="421" spans="1:3" x14ac:dyDescent="0.2">
      <c r="A421" s="27">
        <v>419</v>
      </c>
      <c r="B421" s="27">
        <f t="shared" ca="1" si="6"/>
        <v>0.48607293522393702</v>
      </c>
      <c r="C421" s="27" t="s">
        <v>226</v>
      </c>
    </row>
    <row r="422" spans="1:3" x14ac:dyDescent="0.2">
      <c r="A422" s="27">
        <v>420</v>
      </c>
      <c r="B422" s="27">
        <f t="shared" ca="1" si="6"/>
        <v>0.69508561245704159</v>
      </c>
      <c r="C422" s="27" t="s">
        <v>227</v>
      </c>
    </row>
    <row r="423" spans="1:3" x14ac:dyDescent="0.2">
      <c r="A423" s="27">
        <v>421</v>
      </c>
      <c r="B423" s="27">
        <f t="shared" ca="1" si="6"/>
        <v>0.65640073858847048</v>
      </c>
      <c r="C423" s="27" t="s">
        <v>227</v>
      </c>
    </row>
    <row r="424" spans="1:3" x14ac:dyDescent="0.2">
      <c r="A424" s="27">
        <v>422</v>
      </c>
      <c r="B424" s="27">
        <f t="shared" ca="1" si="6"/>
        <v>0.82230822036209672</v>
      </c>
      <c r="C424" s="27" t="s">
        <v>226</v>
      </c>
    </row>
    <row r="425" spans="1:3" x14ac:dyDescent="0.2">
      <c r="A425" s="27">
        <v>423</v>
      </c>
      <c r="B425" s="27">
        <f t="shared" ca="1" si="6"/>
        <v>0.44991935161670393</v>
      </c>
      <c r="C425" s="27" t="s">
        <v>226</v>
      </c>
    </row>
    <row r="426" spans="1:3" x14ac:dyDescent="0.2">
      <c r="A426" s="27">
        <v>424</v>
      </c>
      <c r="B426" s="27">
        <f t="shared" ca="1" si="6"/>
        <v>0.34612256915427736</v>
      </c>
      <c r="C426" s="27" t="s">
        <v>226</v>
      </c>
    </row>
    <row r="427" spans="1:3" x14ac:dyDescent="0.2">
      <c r="A427" s="27">
        <v>425</v>
      </c>
      <c r="B427" s="27">
        <f t="shared" ca="1" si="6"/>
        <v>0.7861532849868994</v>
      </c>
      <c r="C427" s="27" t="s">
        <v>227</v>
      </c>
    </row>
    <row r="428" spans="1:3" x14ac:dyDescent="0.2">
      <c r="A428" s="27">
        <v>426</v>
      </c>
      <c r="B428" s="27">
        <f t="shared" ca="1" si="6"/>
        <v>0.38360691455783891</v>
      </c>
      <c r="C428" s="27" t="s">
        <v>226</v>
      </c>
    </row>
    <row r="429" spans="1:3" x14ac:dyDescent="0.2">
      <c r="A429" s="27">
        <v>427</v>
      </c>
      <c r="B429" s="27">
        <f t="shared" ca="1" si="6"/>
        <v>0.92092615748396711</v>
      </c>
      <c r="C429" s="27" t="s">
        <v>227</v>
      </c>
    </row>
    <row r="430" spans="1:3" x14ac:dyDescent="0.2">
      <c r="A430" s="27">
        <v>428</v>
      </c>
      <c r="B430" s="27">
        <f t="shared" ca="1" si="6"/>
        <v>0.79230364324458558</v>
      </c>
      <c r="C430" s="27" t="s">
        <v>226</v>
      </c>
    </row>
    <row r="431" spans="1:3" x14ac:dyDescent="0.2">
      <c r="A431" s="27">
        <v>429</v>
      </c>
      <c r="B431" s="27">
        <f t="shared" ca="1" si="6"/>
        <v>0.72820691481205135</v>
      </c>
      <c r="C431" s="27" t="s">
        <v>226</v>
      </c>
    </row>
    <row r="432" spans="1:3" x14ac:dyDescent="0.2">
      <c r="A432" s="27">
        <v>430</v>
      </c>
      <c r="B432" s="27">
        <f t="shared" ca="1" si="6"/>
        <v>0.7343610549844356</v>
      </c>
      <c r="C432" s="27" t="s">
        <v>227</v>
      </c>
    </row>
    <row r="433" spans="1:3" x14ac:dyDescent="0.2">
      <c r="A433" s="27">
        <v>431</v>
      </c>
      <c r="B433" s="27">
        <f t="shared" ca="1" si="6"/>
        <v>0.60431101693911204</v>
      </c>
      <c r="C433" s="27" t="s">
        <v>227</v>
      </c>
    </row>
    <row r="434" spans="1:3" x14ac:dyDescent="0.2">
      <c r="A434" s="27">
        <v>432</v>
      </c>
      <c r="B434" s="27">
        <f t="shared" ca="1" si="6"/>
        <v>0.58080920465501007</v>
      </c>
      <c r="C434" s="27" t="s">
        <v>226</v>
      </c>
    </row>
    <row r="435" spans="1:3" x14ac:dyDescent="0.2">
      <c r="A435" s="27">
        <v>433</v>
      </c>
      <c r="B435" s="27">
        <f t="shared" ca="1" si="6"/>
        <v>0.66401534979921695</v>
      </c>
      <c r="C435" s="27" t="s">
        <v>227</v>
      </c>
    </row>
    <row r="436" spans="1:3" x14ac:dyDescent="0.2">
      <c r="A436" s="27">
        <v>434</v>
      </c>
      <c r="B436" s="27">
        <f t="shared" ca="1" si="6"/>
        <v>0.70536007025469483</v>
      </c>
      <c r="C436" s="27" t="s">
        <v>226</v>
      </c>
    </row>
    <row r="437" spans="1:3" x14ac:dyDescent="0.2">
      <c r="A437" s="27">
        <v>435</v>
      </c>
      <c r="B437" s="27">
        <f t="shared" ca="1" si="6"/>
        <v>0.77667724589799647</v>
      </c>
      <c r="C437" s="27" t="s">
        <v>227</v>
      </c>
    </row>
    <row r="438" spans="1:3" x14ac:dyDescent="0.2">
      <c r="A438" s="27">
        <v>436</v>
      </c>
      <c r="B438" s="27">
        <f t="shared" ca="1" si="6"/>
        <v>0.6391770957158146</v>
      </c>
      <c r="C438" s="27" t="s">
        <v>227</v>
      </c>
    </row>
    <row r="439" spans="1:3" x14ac:dyDescent="0.2">
      <c r="A439" s="27">
        <v>437</v>
      </c>
      <c r="B439" s="27">
        <f t="shared" ca="1" si="6"/>
        <v>0.62182725389973315</v>
      </c>
      <c r="C439" s="27" t="s">
        <v>226</v>
      </c>
    </row>
    <row r="440" spans="1:3" x14ac:dyDescent="0.2">
      <c r="A440" s="27">
        <v>438</v>
      </c>
      <c r="B440" s="27">
        <f t="shared" ca="1" si="6"/>
        <v>0.87046831005023362</v>
      </c>
      <c r="C440" s="27" t="s">
        <v>227</v>
      </c>
    </row>
    <row r="441" spans="1:3" x14ac:dyDescent="0.2">
      <c r="A441" s="27">
        <v>439</v>
      </c>
      <c r="B441" s="27">
        <f t="shared" ca="1" si="6"/>
        <v>0.46470243003819101</v>
      </c>
      <c r="C441" s="27" t="s">
        <v>227</v>
      </c>
    </row>
    <row r="442" spans="1:3" x14ac:dyDescent="0.2">
      <c r="A442" s="27">
        <v>440</v>
      </c>
      <c r="B442" s="27">
        <f t="shared" ca="1" si="6"/>
        <v>0.84304514205044279</v>
      </c>
      <c r="C442" s="27" t="s">
        <v>227</v>
      </c>
    </row>
    <row r="443" spans="1:3" x14ac:dyDescent="0.2">
      <c r="A443" s="27">
        <v>441</v>
      </c>
      <c r="B443" s="27">
        <f t="shared" ca="1" si="6"/>
        <v>0.83321020155894776</v>
      </c>
      <c r="C443" s="27" t="s">
        <v>227</v>
      </c>
    </row>
    <row r="444" spans="1:3" x14ac:dyDescent="0.2">
      <c r="A444" s="27">
        <v>442</v>
      </c>
      <c r="B444" s="27">
        <f t="shared" ca="1" si="6"/>
        <v>0.74653967735285376</v>
      </c>
      <c r="C444" s="27" t="s">
        <v>227</v>
      </c>
    </row>
    <row r="445" spans="1:3" x14ac:dyDescent="0.2">
      <c r="A445" s="27">
        <v>443</v>
      </c>
      <c r="B445" s="27">
        <f t="shared" ca="1" si="6"/>
        <v>0.71027252296202037</v>
      </c>
      <c r="C445" s="27" t="s">
        <v>227</v>
      </c>
    </row>
    <row r="446" spans="1:3" x14ac:dyDescent="0.2">
      <c r="A446" s="27">
        <v>444</v>
      </c>
      <c r="B446" s="27">
        <f t="shared" ca="1" si="6"/>
        <v>0.87863433583347039</v>
      </c>
      <c r="C446" s="27" t="s">
        <v>226</v>
      </c>
    </row>
    <row r="447" spans="1:3" x14ac:dyDescent="0.2">
      <c r="A447" s="27">
        <v>445</v>
      </c>
      <c r="B447" s="27">
        <f t="shared" ca="1" si="6"/>
        <v>0.85659356691317323</v>
      </c>
      <c r="C447" s="27" t="s">
        <v>226</v>
      </c>
    </row>
    <row r="448" spans="1:3" x14ac:dyDescent="0.2">
      <c r="A448" s="27">
        <v>446</v>
      </c>
      <c r="B448" s="27">
        <f t="shared" ca="1" si="6"/>
        <v>0.66070269074875709</v>
      </c>
      <c r="C448" s="27" t="s">
        <v>227</v>
      </c>
    </row>
    <row r="449" spans="1:3" x14ac:dyDescent="0.2">
      <c r="A449" s="27">
        <v>447</v>
      </c>
      <c r="B449" s="27">
        <f t="shared" ca="1" si="6"/>
        <v>0.6413546775999478</v>
      </c>
      <c r="C449" s="27" t="s">
        <v>226</v>
      </c>
    </row>
    <row r="450" spans="1:3" x14ac:dyDescent="0.2">
      <c r="A450" s="27">
        <v>448</v>
      </c>
      <c r="B450" s="27">
        <f t="shared" ca="1" si="6"/>
        <v>0.61803678887587288</v>
      </c>
      <c r="C450" s="27" t="s">
        <v>227</v>
      </c>
    </row>
    <row r="451" spans="1:3" x14ac:dyDescent="0.2">
      <c r="A451" s="27">
        <v>449</v>
      </c>
      <c r="B451" s="27">
        <f t="shared" ref="B451:B514" ca="1" si="7">IF(C451="Bomb",_xlfn.NORM.INV(RAND(),0.7,0.1),_xlfn.NORM.INV(RAND(),0.6,0.15))</f>
        <v>0.57548586845542571</v>
      </c>
      <c r="C451" s="27" t="s">
        <v>227</v>
      </c>
    </row>
    <row r="452" spans="1:3" x14ac:dyDescent="0.2">
      <c r="A452" s="27">
        <v>450</v>
      </c>
      <c r="B452" s="27">
        <f t="shared" ca="1" si="7"/>
        <v>0.91342289993738945</v>
      </c>
      <c r="C452" s="27" t="s">
        <v>226</v>
      </c>
    </row>
    <row r="453" spans="1:3" x14ac:dyDescent="0.2">
      <c r="A453" s="27">
        <v>451</v>
      </c>
      <c r="B453" s="27">
        <f t="shared" ca="1" si="7"/>
        <v>0.74084042184797183</v>
      </c>
      <c r="C453" s="27" t="s">
        <v>227</v>
      </c>
    </row>
    <row r="454" spans="1:3" x14ac:dyDescent="0.2">
      <c r="A454" s="27">
        <v>452</v>
      </c>
      <c r="B454" s="27">
        <f t="shared" ca="1" si="7"/>
        <v>0.56967817566099599</v>
      </c>
      <c r="C454" s="27" t="s">
        <v>227</v>
      </c>
    </row>
    <row r="455" spans="1:3" x14ac:dyDescent="0.2">
      <c r="A455" s="27">
        <v>453</v>
      </c>
      <c r="B455" s="27">
        <f t="shared" ca="1" si="7"/>
        <v>0.51298509656788249</v>
      </c>
      <c r="C455" s="27" t="s">
        <v>226</v>
      </c>
    </row>
    <row r="456" spans="1:3" x14ac:dyDescent="0.2">
      <c r="A456" s="27">
        <v>454</v>
      </c>
      <c r="B456" s="27">
        <f t="shared" ca="1" si="7"/>
        <v>0.83454903168910455</v>
      </c>
      <c r="C456" s="27" t="s">
        <v>227</v>
      </c>
    </row>
    <row r="457" spans="1:3" x14ac:dyDescent="0.2">
      <c r="A457" s="27">
        <v>455</v>
      </c>
      <c r="B457" s="27">
        <f t="shared" ca="1" si="7"/>
        <v>0.50670670183181399</v>
      </c>
      <c r="C457" s="27" t="s">
        <v>226</v>
      </c>
    </row>
    <row r="458" spans="1:3" x14ac:dyDescent="0.2">
      <c r="A458" s="27">
        <v>456</v>
      </c>
      <c r="B458" s="27">
        <f t="shared" ca="1" si="7"/>
        <v>0.63371656881636451</v>
      </c>
      <c r="C458" s="27" t="s">
        <v>226</v>
      </c>
    </row>
    <row r="459" spans="1:3" x14ac:dyDescent="0.2">
      <c r="A459" s="27">
        <v>457</v>
      </c>
      <c r="B459" s="27">
        <f t="shared" ca="1" si="7"/>
        <v>0.80612706635282816</v>
      </c>
      <c r="C459" s="27" t="s">
        <v>226</v>
      </c>
    </row>
    <row r="460" spans="1:3" x14ac:dyDescent="0.2">
      <c r="A460" s="27">
        <v>458</v>
      </c>
      <c r="B460" s="27">
        <f t="shared" ca="1" si="7"/>
        <v>0.83796790738937321</v>
      </c>
      <c r="C460" s="27" t="s">
        <v>226</v>
      </c>
    </row>
    <row r="461" spans="1:3" x14ac:dyDescent="0.2">
      <c r="A461" s="27">
        <v>459</v>
      </c>
      <c r="B461" s="27">
        <f t="shared" ca="1" si="7"/>
        <v>0.58599394947704275</v>
      </c>
      <c r="C461" s="27" t="s">
        <v>227</v>
      </c>
    </row>
    <row r="462" spans="1:3" x14ac:dyDescent="0.2">
      <c r="A462" s="27">
        <v>460</v>
      </c>
      <c r="B462" s="27">
        <f t="shared" ca="1" si="7"/>
        <v>0.9692998712330233</v>
      </c>
      <c r="C462" s="27" t="s">
        <v>227</v>
      </c>
    </row>
    <row r="463" spans="1:3" x14ac:dyDescent="0.2">
      <c r="A463" s="27">
        <v>461</v>
      </c>
      <c r="B463" s="27">
        <f t="shared" ca="1" si="7"/>
        <v>0.63891422954731991</v>
      </c>
      <c r="C463" s="27" t="s">
        <v>226</v>
      </c>
    </row>
    <row r="464" spans="1:3" x14ac:dyDescent="0.2">
      <c r="A464" s="27">
        <v>462</v>
      </c>
      <c r="B464" s="27">
        <f t="shared" ca="1" si="7"/>
        <v>0.66666950943750991</v>
      </c>
      <c r="C464" s="27" t="s">
        <v>227</v>
      </c>
    </row>
    <row r="465" spans="1:3" x14ac:dyDescent="0.2">
      <c r="A465" s="27">
        <v>463</v>
      </c>
      <c r="B465" s="27">
        <f t="shared" ca="1" si="7"/>
        <v>0.707231370667182</v>
      </c>
      <c r="C465" s="27" t="s">
        <v>227</v>
      </c>
    </row>
    <row r="466" spans="1:3" x14ac:dyDescent="0.2">
      <c r="A466" s="27">
        <v>464</v>
      </c>
      <c r="B466" s="27">
        <f t="shared" ca="1" si="7"/>
        <v>0.94657096146067543</v>
      </c>
      <c r="C466" s="27" t="s">
        <v>227</v>
      </c>
    </row>
    <row r="467" spans="1:3" x14ac:dyDescent="0.2">
      <c r="A467" s="27">
        <v>465</v>
      </c>
      <c r="B467" s="27">
        <f t="shared" ca="1" si="7"/>
        <v>0.43533262421640606</v>
      </c>
      <c r="C467" s="27" t="s">
        <v>227</v>
      </c>
    </row>
    <row r="468" spans="1:3" x14ac:dyDescent="0.2">
      <c r="A468" s="27">
        <v>466</v>
      </c>
      <c r="B468" s="27">
        <f t="shared" ca="1" si="7"/>
        <v>0.5903290875777778</v>
      </c>
      <c r="C468" s="27" t="s">
        <v>226</v>
      </c>
    </row>
    <row r="469" spans="1:3" x14ac:dyDescent="0.2">
      <c r="A469" s="27">
        <v>467</v>
      </c>
      <c r="B469" s="27">
        <f t="shared" ca="1" si="7"/>
        <v>0.29116014762703757</v>
      </c>
      <c r="C469" s="27" t="s">
        <v>226</v>
      </c>
    </row>
    <row r="470" spans="1:3" x14ac:dyDescent="0.2">
      <c r="A470" s="27">
        <v>468</v>
      </c>
      <c r="B470" s="27">
        <f t="shared" ca="1" si="7"/>
        <v>0.76251802337887464</v>
      </c>
      <c r="C470" s="27" t="s">
        <v>226</v>
      </c>
    </row>
    <row r="471" spans="1:3" x14ac:dyDescent="0.2">
      <c r="A471" s="27">
        <v>469</v>
      </c>
      <c r="B471" s="27">
        <f t="shared" ca="1" si="7"/>
        <v>0.86530222847940952</v>
      </c>
      <c r="C471" s="27" t="s">
        <v>227</v>
      </c>
    </row>
    <row r="472" spans="1:3" x14ac:dyDescent="0.2">
      <c r="A472" s="27">
        <v>470</v>
      </c>
      <c r="B472" s="27">
        <f t="shared" ca="1" si="7"/>
        <v>0.70938979835831872</v>
      </c>
      <c r="C472" s="27" t="s">
        <v>226</v>
      </c>
    </row>
    <row r="473" spans="1:3" x14ac:dyDescent="0.2">
      <c r="A473" s="27">
        <v>471</v>
      </c>
      <c r="B473" s="27">
        <f t="shared" ca="1" si="7"/>
        <v>0.77386575054865525</v>
      </c>
      <c r="C473" s="27" t="s">
        <v>227</v>
      </c>
    </row>
    <row r="474" spans="1:3" x14ac:dyDescent="0.2">
      <c r="A474" s="27">
        <v>472</v>
      </c>
      <c r="B474" s="27">
        <f t="shared" ca="1" si="7"/>
        <v>0.77219719920794772</v>
      </c>
      <c r="C474" s="27" t="s">
        <v>227</v>
      </c>
    </row>
    <row r="475" spans="1:3" x14ac:dyDescent="0.2">
      <c r="A475" s="27">
        <v>473</v>
      </c>
      <c r="B475" s="27">
        <f t="shared" ca="1" si="7"/>
        <v>0.69898136494459595</v>
      </c>
      <c r="C475" s="27" t="s">
        <v>227</v>
      </c>
    </row>
    <row r="476" spans="1:3" x14ac:dyDescent="0.2">
      <c r="A476" s="27">
        <v>474</v>
      </c>
      <c r="B476" s="27">
        <f t="shared" ca="1" si="7"/>
        <v>0.61799876179409974</v>
      </c>
      <c r="C476" s="27" t="s">
        <v>226</v>
      </c>
    </row>
    <row r="477" spans="1:3" x14ac:dyDescent="0.2">
      <c r="A477" s="27">
        <v>475</v>
      </c>
      <c r="B477" s="27">
        <f t="shared" ca="1" si="7"/>
        <v>0.87436407920481329</v>
      </c>
      <c r="C477" s="27" t="s">
        <v>227</v>
      </c>
    </row>
    <row r="478" spans="1:3" x14ac:dyDescent="0.2">
      <c r="A478" s="27">
        <v>476</v>
      </c>
      <c r="B478" s="27">
        <f t="shared" ca="1" si="7"/>
        <v>0.71535990939750382</v>
      </c>
      <c r="C478" s="27" t="s">
        <v>227</v>
      </c>
    </row>
    <row r="479" spans="1:3" x14ac:dyDescent="0.2">
      <c r="A479" s="27">
        <v>477</v>
      </c>
      <c r="B479" s="27">
        <f t="shared" ca="1" si="7"/>
        <v>0.76695473555771621</v>
      </c>
      <c r="C479" s="27" t="s">
        <v>226</v>
      </c>
    </row>
    <row r="480" spans="1:3" x14ac:dyDescent="0.2">
      <c r="A480" s="27">
        <v>478</v>
      </c>
      <c r="B480" s="27">
        <f t="shared" ca="1" si="7"/>
        <v>0.82952053160738615</v>
      </c>
      <c r="C480" s="27" t="s">
        <v>226</v>
      </c>
    </row>
    <row r="481" spans="1:3" x14ac:dyDescent="0.2">
      <c r="A481" s="27">
        <v>479</v>
      </c>
      <c r="B481" s="27">
        <f t="shared" ca="1" si="7"/>
        <v>0.6249791996923415</v>
      </c>
      <c r="C481" s="27" t="s">
        <v>227</v>
      </c>
    </row>
    <row r="482" spans="1:3" x14ac:dyDescent="0.2">
      <c r="A482" s="27">
        <v>480</v>
      </c>
      <c r="B482" s="27">
        <f t="shared" ca="1" si="7"/>
        <v>0.7711752427663241</v>
      </c>
      <c r="C482" s="27" t="s">
        <v>227</v>
      </c>
    </row>
    <row r="483" spans="1:3" x14ac:dyDescent="0.2">
      <c r="A483" s="27">
        <v>481</v>
      </c>
      <c r="B483" s="27">
        <f t="shared" ca="1" si="7"/>
        <v>0.58455773159224</v>
      </c>
      <c r="C483" s="27" t="s">
        <v>226</v>
      </c>
    </row>
    <row r="484" spans="1:3" x14ac:dyDescent="0.2">
      <c r="A484" s="27">
        <v>482</v>
      </c>
      <c r="B484" s="27">
        <f t="shared" ca="1" si="7"/>
        <v>0.4291982229056891</v>
      </c>
      <c r="C484" s="27" t="s">
        <v>226</v>
      </c>
    </row>
    <row r="485" spans="1:3" x14ac:dyDescent="0.2">
      <c r="A485" s="27">
        <v>483</v>
      </c>
      <c r="B485" s="27">
        <f t="shared" ca="1" si="7"/>
        <v>0.79288788812293232</v>
      </c>
      <c r="C485" s="27" t="s">
        <v>227</v>
      </c>
    </row>
    <row r="486" spans="1:3" x14ac:dyDescent="0.2">
      <c r="A486" s="27">
        <v>484</v>
      </c>
      <c r="B486" s="27">
        <f t="shared" ca="1" si="7"/>
        <v>0.71972618666575949</v>
      </c>
      <c r="C486" s="27" t="s">
        <v>227</v>
      </c>
    </row>
    <row r="487" spans="1:3" x14ac:dyDescent="0.2">
      <c r="A487" s="27">
        <v>485</v>
      </c>
      <c r="B487" s="27">
        <f t="shared" ca="1" si="7"/>
        <v>0.74322247427745991</v>
      </c>
      <c r="C487" s="27" t="s">
        <v>227</v>
      </c>
    </row>
    <row r="488" spans="1:3" x14ac:dyDescent="0.2">
      <c r="A488" s="27">
        <v>486</v>
      </c>
      <c r="B488" s="27">
        <f t="shared" ca="1" si="7"/>
        <v>0.77237400283086655</v>
      </c>
      <c r="C488" s="27" t="s">
        <v>226</v>
      </c>
    </row>
    <row r="489" spans="1:3" x14ac:dyDescent="0.2">
      <c r="A489" s="27">
        <v>487</v>
      </c>
      <c r="B489" s="27">
        <f t="shared" ca="1" si="7"/>
        <v>0.61303265976063726</v>
      </c>
      <c r="C489" s="27" t="s">
        <v>227</v>
      </c>
    </row>
    <row r="490" spans="1:3" x14ac:dyDescent="0.2">
      <c r="A490" s="27">
        <v>488</v>
      </c>
      <c r="B490" s="27">
        <f t="shared" ca="1" si="7"/>
        <v>0.86961726454687738</v>
      </c>
      <c r="C490" s="27" t="s">
        <v>226</v>
      </c>
    </row>
    <row r="491" spans="1:3" x14ac:dyDescent="0.2">
      <c r="A491" s="27">
        <v>489</v>
      </c>
      <c r="B491" s="27">
        <f t="shared" ca="1" si="7"/>
        <v>0.61482775297366343</v>
      </c>
      <c r="C491" s="27" t="s">
        <v>226</v>
      </c>
    </row>
    <row r="492" spans="1:3" x14ac:dyDescent="0.2">
      <c r="A492" s="27">
        <v>490</v>
      </c>
      <c r="B492" s="27">
        <f t="shared" ca="1" si="7"/>
        <v>0.76319244636021877</v>
      </c>
      <c r="C492" s="27" t="s">
        <v>227</v>
      </c>
    </row>
    <row r="493" spans="1:3" x14ac:dyDescent="0.2">
      <c r="A493" s="27">
        <v>491</v>
      </c>
      <c r="B493" s="27">
        <f t="shared" ca="1" si="7"/>
        <v>0.80173013019361594</v>
      </c>
      <c r="C493" s="27" t="s">
        <v>226</v>
      </c>
    </row>
    <row r="494" spans="1:3" x14ac:dyDescent="0.2">
      <c r="A494" s="27">
        <v>492</v>
      </c>
      <c r="B494" s="27">
        <f t="shared" ca="1" si="7"/>
        <v>0.60497664940504547</v>
      </c>
      <c r="C494" s="27" t="s">
        <v>227</v>
      </c>
    </row>
    <row r="495" spans="1:3" x14ac:dyDescent="0.2">
      <c r="A495" s="27">
        <v>493</v>
      </c>
      <c r="B495" s="27">
        <f t="shared" ca="1" si="7"/>
        <v>0.42902662323141505</v>
      </c>
      <c r="C495" s="27" t="s">
        <v>226</v>
      </c>
    </row>
    <row r="496" spans="1:3" x14ac:dyDescent="0.2">
      <c r="A496" s="27">
        <v>494</v>
      </c>
      <c r="B496" s="27">
        <f t="shared" ca="1" si="7"/>
        <v>0.504762038319019</v>
      </c>
      <c r="C496" s="27" t="s">
        <v>226</v>
      </c>
    </row>
    <row r="497" spans="1:3" x14ac:dyDescent="0.2">
      <c r="A497" s="27">
        <v>495</v>
      </c>
      <c r="B497" s="27">
        <f t="shared" ca="1" si="7"/>
        <v>0.64772872335299714</v>
      </c>
      <c r="C497" s="27" t="s">
        <v>227</v>
      </c>
    </row>
    <row r="498" spans="1:3" x14ac:dyDescent="0.2">
      <c r="A498" s="27">
        <v>496</v>
      </c>
      <c r="B498" s="27">
        <f t="shared" ca="1" si="7"/>
        <v>0.70518308948254926</v>
      </c>
      <c r="C498" s="27" t="s">
        <v>227</v>
      </c>
    </row>
    <row r="499" spans="1:3" x14ac:dyDescent="0.2">
      <c r="A499" s="27">
        <v>497</v>
      </c>
      <c r="B499" s="27">
        <f t="shared" ca="1" si="7"/>
        <v>0.47638233274408825</v>
      </c>
      <c r="C499" s="27" t="s">
        <v>227</v>
      </c>
    </row>
    <row r="500" spans="1:3" x14ac:dyDescent="0.2">
      <c r="A500" s="27">
        <v>498</v>
      </c>
      <c r="B500" s="27">
        <f t="shared" ca="1" si="7"/>
        <v>0.83317106992819456</v>
      </c>
      <c r="C500" s="27" t="s">
        <v>226</v>
      </c>
    </row>
    <row r="501" spans="1:3" x14ac:dyDescent="0.2">
      <c r="A501" s="27">
        <v>499</v>
      </c>
      <c r="B501" s="27">
        <f t="shared" ca="1" si="7"/>
        <v>0.57957164147296525</v>
      </c>
      <c r="C501" s="27" t="s">
        <v>227</v>
      </c>
    </row>
    <row r="502" spans="1:3" x14ac:dyDescent="0.2">
      <c r="A502" s="27">
        <v>500</v>
      </c>
      <c r="B502" s="27">
        <f t="shared" ca="1" si="7"/>
        <v>0.70325933512314065</v>
      </c>
      <c r="C502" s="27" t="s">
        <v>227</v>
      </c>
    </row>
    <row r="503" spans="1:3" x14ac:dyDescent="0.2">
      <c r="A503" s="27">
        <v>501</v>
      </c>
      <c r="B503" s="27">
        <f t="shared" ca="1" si="7"/>
        <v>0.76993948710731075</v>
      </c>
      <c r="C503" s="27" t="s">
        <v>226</v>
      </c>
    </row>
    <row r="504" spans="1:3" x14ac:dyDescent="0.2">
      <c r="A504" s="27">
        <v>502</v>
      </c>
      <c r="B504" s="27">
        <f t="shared" ca="1" si="7"/>
        <v>0.46761363599953809</v>
      </c>
      <c r="C504" s="27" t="s">
        <v>226</v>
      </c>
    </row>
    <row r="505" spans="1:3" x14ac:dyDescent="0.2">
      <c r="A505" s="27">
        <v>503</v>
      </c>
      <c r="B505" s="27">
        <f t="shared" ca="1" si="7"/>
        <v>0.8692456777240265</v>
      </c>
      <c r="C505" s="27" t="s">
        <v>226</v>
      </c>
    </row>
    <row r="506" spans="1:3" x14ac:dyDescent="0.2">
      <c r="A506" s="27">
        <v>504</v>
      </c>
      <c r="B506" s="27">
        <f t="shared" ca="1" si="7"/>
        <v>0.56005188936834949</v>
      </c>
      <c r="C506" s="27" t="s">
        <v>226</v>
      </c>
    </row>
    <row r="507" spans="1:3" x14ac:dyDescent="0.2">
      <c r="A507" s="27">
        <v>505</v>
      </c>
      <c r="B507" s="27">
        <f t="shared" ca="1" si="7"/>
        <v>0.73706786271286295</v>
      </c>
      <c r="C507" s="27" t="s">
        <v>227</v>
      </c>
    </row>
    <row r="508" spans="1:3" x14ac:dyDescent="0.2">
      <c r="A508" s="27">
        <v>506</v>
      </c>
      <c r="B508" s="27">
        <f t="shared" ca="1" si="7"/>
        <v>0.7727234414938452</v>
      </c>
      <c r="C508" s="27" t="s">
        <v>227</v>
      </c>
    </row>
    <row r="509" spans="1:3" x14ac:dyDescent="0.2">
      <c r="A509" s="27">
        <v>507</v>
      </c>
      <c r="B509" s="27">
        <f t="shared" ca="1" si="7"/>
        <v>0.70451585033808128</v>
      </c>
      <c r="C509" s="27" t="s">
        <v>227</v>
      </c>
    </row>
    <row r="510" spans="1:3" x14ac:dyDescent="0.2">
      <c r="A510" s="27">
        <v>508</v>
      </c>
      <c r="B510" s="27">
        <f t="shared" ca="1" si="7"/>
        <v>0.68243158919902203</v>
      </c>
      <c r="C510" s="27" t="s">
        <v>226</v>
      </c>
    </row>
    <row r="511" spans="1:3" x14ac:dyDescent="0.2">
      <c r="A511" s="27">
        <v>509</v>
      </c>
      <c r="B511" s="27">
        <f t="shared" ca="1" si="7"/>
        <v>0.59745413799889002</v>
      </c>
      <c r="C511" s="27" t="s">
        <v>227</v>
      </c>
    </row>
    <row r="512" spans="1:3" x14ac:dyDescent="0.2">
      <c r="A512" s="27">
        <v>510</v>
      </c>
      <c r="B512" s="27">
        <f t="shared" ca="1" si="7"/>
        <v>0.77380199212571954</v>
      </c>
      <c r="C512" s="27" t="s">
        <v>227</v>
      </c>
    </row>
    <row r="513" spans="1:3" x14ac:dyDescent="0.2">
      <c r="A513" s="27">
        <v>511</v>
      </c>
      <c r="B513" s="27">
        <f t="shared" ca="1" si="7"/>
        <v>0.56883682920075984</v>
      </c>
      <c r="C513" s="27" t="s">
        <v>227</v>
      </c>
    </row>
    <row r="514" spans="1:3" x14ac:dyDescent="0.2">
      <c r="A514" s="27">
        <v>512</v>
      </c>
      <c r="B514" s="27">
        <f t="shared" ca="1" si="7"/>
        <v>0.78284393799382479</v>
      </c>
      <c r="C514" s="27" t="s">
        <v>227</v>
      </c>
    </row>
    <row r="515" spans="1:3" x14ac:dyDescent="0.2">
      <c r="A515" s="27">
        <v>513</v>
      </c>
      <c r="B515" s="27">
        <f t="shared" ref="B515:B578" ca="1" si="8">IF(C515="Bomb",_xlfn.NORM.INV(RAND(),0.7,0.1),_xlfn.NORM.INV(RAND(),0.6,0.15))</f>
        <v>0.6335930855248697</v>
      </c>
      <c r="C515" s="27" t="s">
        <v>227</v>
      </c>
    </row>
    <row r="516" spans="1:3" x14ac:dyDescent="0.2">
      <c r="A516" s="27">
        <v>514</v>
      </c>
      <c r="B516" s="27">
        <f t="shared" ca="1" si="8"/>
        <v>0.53307661696012854</v>
      </c>
      <c r="C516" s="27" t="s">
        <v>226</v>
      </c>
    </row>
    <row r="517" spans="1:3" x14ac:dyDescent="0.2">
      <c r="A517" s="27">
        <v>515</v>
      </c>
      <c r="B517" s="27">
        <f t="shared" ca="1" si="8"/>
        <v>0.638539968704813</v>
      </c>
      <c r="C517" s="27" t="s">
        <v>227</v>
      </c>
    </row>
    <row r="518" spans="1:3" x14ac:dyDescent="0.2">
      <c r="A518" s="27">
        <v>516</v>
      </c>
      <c r="B518" s="27">
        <f t="shared" ca="1" si="8"/>
        <v>0.7449084026906605</v>
      </c>
      <c r="C518" s="27" t="s">
        <v>227</v>
      </c>
    </row>
    <row r="519" spans="1:3" x14ac:dyDescent="0.2">
      <c r="A519" s="27">
        <v>517</v>
      </c>
      <c r="B519" s="27">
        <f t="shared" ca="1" si="8"/>
        <v>0.91789443643611723</v>
      </c>
      <c r="C519" s="27" t="s">
        <v>227</v>
      </c>
    </row>
    <row r="520" spans="1:3" x14ac:dyDescent="0.2">
      <c r="A520" s="27">
        <v>518</v>
      </c>
      <c r="B520" s="27">
        <f t="shared" ca="1" si="8"/>
        <v>0.47465801751220416</v>
      </c>
      <c r="C520" s="27" t="s">
        <v>226</v>
      </c>
    </row>
    <row r="521" spans="1:3" x14ac:dyDescent="0.2">
      <c r="A521" s="27">
        <v>519</v>
      </c>
      <c r="B521" s="27">
        <f t="shared" ca="1" si="8"/>
        <v>0.63988898087798685</v>
      </c>
      <c r="C521" s="27" t="s">
        <v>227</v>
      </c>
    </row>
    <row r="522" spans="1:3" x14ac:dyDescent="0.2">
      <c r="A522" s="27">
        <v>520</v>
      </c>
      <c r="B522" s="27">
        <f t="shared" ca="1" si="8"/>
        <v>0.54684122629757625</v>
      </c>
      <c r="C522" s="27" t="s">
        <v>226</v>
      </c>
    </row>
    <row r="523" spans="1:3" x14ac:dyDescent="0.2">
      <c r="A523" s="27">
        <v>521</v>
      </c>
      <c r="B523" s="27">
        <f t="shared" ca="1" si="8"/>
        <v>0.63834919839108162</v>
      </c>
      <c r="C523" s="27" t="s">
        <v>226</v>
      </c>
    </row>
    <row r="524" spans="1:3" x14ac:dyDescent="0.2">
      <c r="A524" s="27">
        <v>522</v>
      </c>
      <c r="B524" s="27">
        <f t="shared" ca="1" si="8"/>
        <v>0.66837085456156842</v>
      </c>
      <c r="C524" s="27" t="s">
        <v>227</v>
      </c>
    </row>
    <row r="525" spans="1:3" x14ac:dyDescent="0.2">
      <c r="A525" s="27">
        <v>523</v>
      </c>
      <c r="B525" s="27">
        <f t="shared" ca="1" si="8"/>
        <v>0.60048141629301133</v>
      </c>
      <c r="C525" s="27" t="s">
        <v>227</v>
      </c>
    </row>
    <row r="526" spans="1:3" x14ac:dyDescent="0.2">
      <c r="A526" s="27">
        <v>524</v>
      </c>
      <c r="B526" s="27">
        <f t="shared" ca="1" si="8"/>
        <v>0.79348650731334969</v>
      </c>
      <c r="C526" s="27" t="s">
        <v>226</v>
      </c>
    </row>
    <row r="527" spans="1:3" x14ac:dyDescent="0.2">
      <c r="A527" s="27">
        <v>525</v>
      </c>
      <c r="B527" s="27">
        <f t="shared" ca="1" si="8"/>
        <v>0.71643023116605742</v>
      </c>
      <c r="C527" s="27" t="s">
        <v>227</v>
      </c>
    </row>
    <row r="528" spans="1:3" x14ac:dyDescent="0.2">
      <c r="A528" s="27">
        <v>526</v>
      </c>
      <c r="B528" s="27">
        <f t="shared" ca="1" si="8"/>
        <v>0.57982937950447022</v>
      </c>
      <c r="C528" s="27" t="s">
        <v>226</v>
      </c>
    </row>
    <row r="529" spans="1:3" x14ac:dyDescent="0.2">
      <c r="A529" s="27">
        <v>527</v>
      </c>
      <c r="B529" s="27">
        <f t="shared" ca="1" si="8"/>
        <v>0.44506753172375346</v>
      </c>
      <c r="C529" s="27" t="s">
        <v>226</v>
      </c>
    </row>
    <row r="530" spans="1:3" x14ac:dyDescent="0.2">
      <c r="A530" s="27">
        <v>528</v>
      </c>
      <c r="B530" s="27">
        <f t="shared" ca="1" si="8"/>
        <v>0.73886032479980646</v>
      </c>
      <c r="C530" s="27" t="s">
        <v>227</v>
      </c>
    </row>
    <row r="531" spans="1:3" x14ac:dyDescent="0.2">
      <c r="A531" s="27">
        <v>529</v>
      </c>
      <c r="B531" s="27">
        <f t="shared" ca="1" si="8"/>
        <v>0.57144188247949623</v>
      </c>
      <c r="C531" s="27" t="s">
        <v>227</v>
      </c>
    </row>
    <row r="532" spans="1:3" x14ac:dyDescent="0.2">
      <c r="A532" s="27">
        <v>530</v>
      </c>
      <c r="B532" s="27">
        <f t="shared" ca="1" si="8"/>
        <v>0.58965935816405346</v>
      </c>
      <c r="C532" s="27" t="s">
        <v>226</v>
      </c>
    </row>
    <row r="533" spans="1:3" x14ac:dyDescent="0.2">
      <c r="A533" s="27">
        <v>531</v>
      </c>
      <c r="B533" s="27">
        <f t="shared" ca="1" si="8"/>
        <v>0.75663848421104618</v>
      </c>
      <c r="C533" s="27" t="s">
        <v>227</v>
      </c>
    </row>
    <row r="534" spans="1:3" x14ac:dyDescent="0.2">
      <c r="A534" s="27">
        <v>532</v>
      </c>
      <c r="B534" s="27">
        <f t="shared" ca="1" si="8"/>
        <v>0.47505209154117467</v>
      </c>
      <c r="C534" s="27" t="s">
        <v>226</v>
      </c>
    </row>
    <row r="535" spans="1:3" x14ac:dyDescent="0.2">
      <c r="A535" s="27">
        <v>533</v>
      </c>
      <c r="B535" s="27">
        <f t="shared" ca="1" si="8"/>
        <v>0.6332097800586538</v>
      </c>
      <c r="C535" s="27" t="s">
        <v>226</v>
      </c>
    </row>
    <row r="536" spans="1:3" x14ac:dyDescent="0.2">
      <c r="A536" s="27">
        <v>534</v>
      </c>
      <c r="B536" s="27">
        <f t="shared" ca="1" si="8"/>
        <v>0.73295010727110876</v>
      </c>
      <c r="C536" s="27" t="s">
        <v>227</v>
      </c>
    </row>
    <row r="537" spans="1:3" x14ac:dyDescent="0.2">
      <c r="A537" s="27">
        <v>535</v>
      </c>
      <c r="B537" s="27">
        <f t="shared" ca="1" si="8"/>
        <v>0.68043215394758438</v>
      </c>
      <c r="C537" s="27" t="s">
        <v>226</v>
      </c>
    </row>
    <row r="538" spans="1:3" x14ac:dyDescent="0.2">
      <c r="A538" s="27">
        <v>536</v>
      </c>
      <c r="B538" s="27">
        <f t="shared" ca="1" si="8"/>
        <v>0.93940117641410614</v>
      </c>
      <c r="C538" s="27" t="s">
        <v>226</v>
      </c>
    </row>
    <row r="539" spans="1:3" x14ac:dyDescent="0.2">
      <c r="A539" s="27">
        <v>537</v>
      </c>
      <c r="B539" s="27">
        <f t="shared" ca="1" si="8"/>
        <v>0.6931432599037699</v>
      </c>
      <c r="C539" s="27" t="s">
        <v>226</v>
      </c>
    </row>
    <row r="540" spans="1:3" x14ac:dyDescent="0.2">
      <c r="A540" s="27">
        <v>538</v>
      </c>
      <c r="B540" s="27">
        <f t="shared" ca="1" si="8"/>
        <v>0.67956585966546534</v>
      </c>
      <c r="C540" s="27" t="s">
        <v>227</v>
      </c>
    </row>
    <row r="541" spans="1:3" x14ac:dyDescent="0.2">
      <c r="A541" s="27">
        <v>539</v>
      </c>
      <c r="B541" s="27">
        <f t="shared" ca="1" si="8"/>
        <v>0.55396525242889871</v>
      </c>
      <c r="C541" s="27" t="s">
        <v>226</v>
      </c>
    </row>
    <row r="542" spans="1:3" x14ac:dyDescent="0.2">
      <c r="A542" s="27">
        <v>540</v>
      </c>
      <c r="B542" s="27">
        <f t="shared" ca="1" si="8"/>
        <v>0.3973998980790831</v>
      </c>
      <c r="C542" s="27" t="s">
        <v>226</v>
      </c>
    </row>
    <row r="543" spans="1:3" x14ac:dyDescent="0.2">
      <c r="A543" s="27">
        <v>541</v>
      </c>
      <c r="B543" s="27">
        <f t="shared" ca="1" si="8"/>
        <v>0.75854710200600861</v>
      </c>
      <c r="C543" s="27" t="s">
        <v>226</v>
      </c>
    </row>
    <row r="544" spans="1:3" x14ac:dyDescent="0.2">
      <c r="A544" s="27">
        <v>542</v>
      </c>
      <c r="B544" s="27">
        <f t="shared" ca="1" si="8"/>
        <v>0.64403888176427881</v>
      </c>
      <c r="C544" s="27" t="s">
        <v>227</v>
      </c>
    </row>
    <row r="545" spans="1:3" x14ac:dyDescent="0.2">
      <c r="A545" s="27">
        <v>543</v>
      </c>
      <c r="B545" s="27">
        <f t="shared" ca="1" si="8"/>
        <v>0.69562255750437163</v>
      </c>
      <c r="C545" s="27" t="s">
        <v>227</v>
      </c>
    </row>
    <row r="546" spans="1:3" x14ac:dyDescent="0.2">
      <c r="A546" s="27">
        <v>544</v>
      </c>
      <c r="B546" s="27">
        <f t="shared" ca="1" si="8"/>
        <v>0.62842190134220277</v>
      </c>
      <c r="C546" s="27" t="s">
        <v>227</v>
      </c>
    </row>
    <row r="547" spans="1:3" x14ac:dyDescent="0.2">
      <c r="A547" s="27">
        <v>545</v>
      </c>
      <c r="B547" s="27">
        <f t="shared" ca="1" si="8"/>
        <v>0.69301033160114611</v>
      </c>
      <c r="C547" s="27" t="s">
        <v>226</v>
      </c>
    </row>
    <row r="548" spans="1:3" x14ac:dyDescent="0.2">
      <c r="A548" s="27">
        <v>546</v>
      </c>
      <c r="B548" s="27">
        <f t="shared" ca="1" si="8"/>
        <v>0.45638213064864475</v>
      </c>
      <c r="C548" s="27" t="s">
        <v>226</v>
      </c>
    </row>
    <row r="549" spans="1:3" x14ac:dyDescent="0.2">
      <c r="A549" s="27">
        <v>547</v>
      </c>
      <c r="B549" s="27">
        <f t="shared" ca="1" si="8"/>
        <v>0.60529422842530389</v>
      </c>
      <c r="C549" s="27" t="s">
        <v>227</v>
      </c>
    </row>
    <row r="550" spans="1:3" x14ac:dyDescent="0.2">
      <c r="A550" s="27">
        <v>548</v>
      </c>
      <c r="B550" s="27">
        <f t="shared" ca="1" si="8"/>
        <v>0.6357667185745165</v>
      </c>
      <c r="C550" s="27" t="s">
        <v>227</v>
      </c>
    </row>
    <row r="551" spans="1:3" x14ac:dyDescent="0.2">
      <c r="A551" s="27">
        <v>549</v>
      </c>
      <c r="B551" s="27">
        <f t="shared" ca="1" si="8"/>
        <v>0.64424100278548879</v>
      </c>
      <c r="C551" s="27" t="s">
        <v>226</v>
      </c>
    </row>
    <row r="552" spans="1:3" x14ac:dyDescent="0.2">
      <c r="A552" s="27">
        <v>550</v>
      </c>
      <c r="B552" s="27">
        <f t="shared" ca="1" si="8"/>
        <v>0.64383163184241543</v>
      </c>
      <c r="C552" s="27" t="s">
        <v>227</v>
      </c>
    </row>
    <row r="553" spans="1:3" x14ac:dyDescent="0.2">
      <c r="A553" s="27">
        <v>551</v>
      </c>
      <c r="B553" s="27">
        <f t="shared" ca="1" si="8"/>
        <v>0.56902542865093064</v>
      </c>
      <c r="C553" s="27" t="s">
        <v>226</v>
      </c>
    </row>
    <row r="554" spans="1:3" x14ac:dyDescent="0.2">
      <c r="A554" s="27">
        <v>552</v>
      </c>
      <c r="B554" s="27">
        <f t="shared" ca="1" si="8"/>
        <v>0.85409048125910514</v>
      </c>
      <c r="C554" s="27" t="s">
        <v>226</v>
      </c>
    </row>
    <row r="555" spans="1:3" x14ac:dyDescent="0.2">
      <c r="A555" s="27">
        <v>553</v>
      </c>
      <c r="B555" s="27">
        <f t="shared" ca="1" si="8"/>
        <v>0.72752152047727181</v>
      </c>
      <c r="C555" s="27" t="s">
        <v>226</v>
      </c>
    </row>
    <row r="556" spans="1:3" x14ac:dyDescent="0.2">
      <c r="A556" s="27">
        <v>554</v>
      </c>
      <c r="B556" s="27">
        <f t="shared" ca="1" si="8"/>
        <v>0.82231209661220406</v>
      </c>
      <c r="C556" s="27" t="s">
        <v>227</v>
      </c>
    </row>
    <row r="557" spans="1:3" x14ac:dyDescent="0.2">
      <c r="A557" s="27">
        <v>555</v>
      </c>
      <c r="B557" s="27">
        <f t="shared" ca="1" si="8"/>
        <v>0.60974672588643586</v>
      </c>
      <c r="C557" s="27" t="s">
        <v>226</v>
      </c>
    </row>
    <row r="558" spans="1:3" x14ac:dyDescent="0.2">
      <c r="A558" s="27">
        <v>556</v>
      </c>
      <c r="B558" s="27">
        <f t="shared" ca="1" si="8"/>
        <v>0.5414077760135525</v>
      </c>
      <c r="C558" s="27" t="s">
        <v>227</v>
      </c>
    </row>
    <row r="559" spans="1:3" x14ac:dyDescent="0.2">
      <c r="A559" s="27">
        <v>557</v>
      </c>
      <c r="B559" s="27">
        <f t="shared" ca="1" si="8"/>
        <v>0.72961754654408284</v>
      </c>
      <c r="C559" s="27" t="s">
        <v>227</v>
      </c>
    </row>
    <row r="560" spans="1:3" x14ac:dyDescent="0.2">
      <c r="A560" s="27">
        <v>558</v>
      </c>
      <c r="B560" s="27">
        <f t="shared" ca="1" si="8"/>
        <v>0.48656566982781035</v>
      </c>
      <c r="C560" s="27" t="s">
        <v>226</v>
      </c>
    </row>
    <row r="561" spans="1:3" x14ac:dyDescent="0.2">
      <c r="A561" s="27">
        <v>559</v>
      </c>
      <c r="B561" s="27">
        <f t="shared" ca="1" si="8"/>
        <v>0.82282493048459238</v>
      </c>
      <c r="C561" s="27" t="s">
        <v>227</v>
      </c>
    </row>
    <row r="562" spans="1:3" x14ac:dyDescent="0.2">
      <c r="A562" s="27">
        <v>560</v>
      </c>
      <c r="B562" s="27">
        <f t="shared" ca="1" si="8"/>
        <v>0.75823107442902649</v>
      </c>
      <c r="C562" s="27" t="s">
        <v>226</v>
      </c>
    </row>
    <row r="563" spans="1:3" x14ac:dyDescent="0.2">
      <c r="A563" s="27">
        <v>561</v>
      </c>
      <c r="B563" s="27">
        <f t="shared" ca="1" si="8"/>
        <v>0.62496423999272288</v>
      </c>
      <c r="C563" s="27" t="s">
        <v>226</v>
      </c>
    </row>
    <row r="564" spans="1:3" x14ac:dyDescent="0.2">
      <c r="A564" s="27">
        <v>562</v>
      </c>
      <c r="B564" s="27">
        <f t="shared" ca="1" si="8"/>
        <v>0.65990514948515933</v>
      </c>
      <c r="C564" s="27" t="s">
        <v>226</v>
      </c>
    </row>
    <row r="565" spans="1:3" x14ac:dyDescent="0.2">
      <c r="A565" s="27">
        <v>563</v>
      </c>
      <c r="B565" s="27">
        <f t="shared" ca="1" si="8"/>
        <v>0.47592853076242897</v>
      </c>
      <c r="C565" s="27" t="s">
        <v>226</v>
      </c>
    </row>
    <row r="566" spans="1:3" x14ac:dyDescent="0.2">
      <c r="A566" s="27">
        <v>564</v>
      </c>
      <c r="B566" s="27">
        <f t="shared" ca="1" si="8"/>
        <v>0.54540052782172677</v>
      </c>
      <c r="C566" s="27" t="s">
        <v>226</v>
      </c>
    </row>
    <row r="567" spans="1:3" x14ac:dyDescent="0.2">
      <c r="A567" s="27">
        <v>565</v>
      </c>
      <c r="B567" s="27">
        <f t="shared" ca="1" si="8"/>
        <v>0.41746642148601354</v>
      </c>
      <c r="C567" s="27" t="s">
        <v>226</v>
      </c>
    </row>
    <row r="568" spans="1:3" x14ac:dyDescent="0.2">
      <c r="A568" s="27">
        <v>566</v>
      </c>
      <c r="B568" s="27">
        <f t="shared" ca="1" si="8"/>
        <v>0.61088688247974354</v>
      </c>
      <c r="C568" s="27" t="s">
        <v>227</v>
      </c>
    </row>
    <row r="569" spans="1:3" x14ac:dyDescent="0.2">
      <c r="A569" s="27">
        <v>567</v>
      </c>
      <c r="B569" s="27">
        <f t="shared" ca="1" si="8"/>
        <v>0.91994340881745773</v>
      </c>
      <c r="C569" s="27" t="s">
        <v>227</v>
      </c>
    </row>
    <row r="570" spans="1:3" x14ac:dyDescent="0.2">
      <c r="A570" s="27">
        <v>568</v>
      </c>
      <c r="B570" s="27">
        <f t="shared" ca="1" si="8"/>
        <v>0.73305471552280932</v>
      </c>
      <c r="C570" s="27" t="s">
        <v>227</v>
      </c>
    </row>
    <row r="571" spans="1:3" x14ac:dyDescent="0.2">
      <c r="A571" s="27">
        <v>569</v>
      </c>
      <c r="B571" s="27">
        <f t="shared" ca="1" si="8"/>
        <v>0.60214599098219312</v>
      </c>
      <c r="C571" s="27" t="s">
        <v>226</v>
      </c>
    </row>
    <row r="572" spans="1:3" x14ac:dyDescent="0.2">
      <c r="A572" s="27">
        <v>570</v>
      </c>
      <c r="B572" s="27">
        <f t="shared" ca="1" si="8"/>
        <v>0.71179734976412734</v>
      </c>
      <c r="C572" s="27" t="s">
        <v>227</v>
      </c>
    </row>
    <row r="573" spans="1:3" x14ac:dyDescent="0.2">
      <c r="A573" s="27">
        <v>571</v>
      </c>
      <c r="B573" s="27">
        <f t="shared" ca="1" si="8"/>
        <v>0.23794080792133393</v>
      </c>
      <c r="C573" s="27" t="s">
        <v>226</v>
      </c>
    </row>
    <row r="574" spans="1:3" x14ac:dyDescent="0.2">
      <c r="A574" s="27">
        <v>572</v>
      </c>
      <c r="B574" s="27">
        <f t="shared" ca="1" si="8"/>
        <v>0.76456264087458814</v>
      </c>
      <c r="C574" s="27" t="s">
        <v>227</v>
      </c>
    </row>
    <row r="575" spans="1:3" x14ac:dyDescent="0.2">
      <c r="A575" s="27">
        <v>573</v>
      </c>
      <c r="B575" s="27">
        <f t="shared" ca="1" si="8"/>
        <v>0.74009702917148679</v>
      </c>
      <c r="C575" s="27" t="s">
        <v>227</v>
      </c>
    </row>
    <row r="576" spans="1:3" x14ac:dyDescent="0.2">
      <c r="A576" s="27">
        <v>574</v>
      </c>
      <c r="B576" s="27">
        <f t="shared" ca="1" si="8"/>
        <v>0.61001481850341333</v>
      </c>
      <c r="C576" s="27" t="s">
        <v>227</v>
      </c>
    </row>
    <row r="577" spans="1:3" x14ac:dyDescent="0.2">
      <c r="A577" s="27">
        <v>575</v>
      </c>
      <c r="B577" s="27">
        <f t="shared" ca="1" si="8"/>
        <v>0.68505735888940356</v>
      </c>
      <c r="C577" s="27" t="s">
        <v>226</v>
      </c>
    </row>
    <row r="578" spans="1:3" x14ac:dyDescent="0.2">
      <c r="A578" s="27">
        <v>576</v>
      </c>
      <c r="B578" s="27">
        <f t="shared" ca="1" si="8"/>
        <v>0.56823786817418453</v>
      </c>
      <c r="C578" s="27" t="s">
        <v>226</v>
      </c>
    </row>
    <row r="579" spans="1:3" x14ac:dyDescent="0.2">
      <c r="A579" s="27">
        <v>577</v>
      </c>
      <c r="B579" s="27">
        <f t="shared" ref="B579:B642" ca="1" si="9">IF(C579="Bomb",_xlfn.NORM.INV(RAND(),0.7,0.1),_xlfn.NORM.INV(RAND(),0.6,0.15))</f>
        <v>0.33059145472808216</v>
      </c>
      <c r="C579" s="27" t="s">
        <v>226</v>
      </c>
    </row>
    <row r="580" spans="1:3" x14ac:dyDescent="0.2">
      <c r="A580" s="27">
        <v>578</v>
      </c>
      <c r="B580" s="27">
        <f t="shared" ca="1" si="9"/>
        <v>0.74832294879599048</v>
      </c>
      <c r="C580" s="27" t="s">
        <v>227</v>
      </c>
    </row>
    <row r="581" spans="1:3" x14ac:dyDescent="0.2">
      <c r="A581" s="27">
        <v>579</v>
      </c>
      <c r="B581" s="27">
        <f t="shared" ca="1" si="9"/>
        <v>0.7913702994538534</v>
      </c>
      <c r="C581" s="27" t="s">
        <v>227</v>
      </c>
    </row>
    <row r="582" spans="1:3" x14ac:dyDescent="0.2">
      <c r="A582" s="27">
        <v>580</v>
      </c>
      <c r="B582" s="27">
        <f t="shared" ca="1" si="9"/>
        <v>0.72944172009521768</v>
      </c>
      <c r="C582" s="27" t="s">
        <v>227</v>
      </c>
    </row>
    <row r="583" spans="1:3" x14ac:dyDescent="0.2">
      <c r="A583" s="27">
        <v>581</v>
      </c>
      <c r="B583" s="27">
        <f t="shared" ca="1" si="9"/>
        <v>0.75304058691608322</v>
      </c>
      <c r="C583" s="27" t="s">
        <v>226</v>
      </c>
    </row>
    <row r="584" spans="1:3" x14ac:dyDescent="0.2">
      <c r="A584" s="27">
        <v>582</v>
      </c>
      <c r="B584" s="27">
        <f t="shared" ca="1" si="9"/>
        <v>0.68797800097904915</v>
      </c>
      <c r="C584" s="27" t="s">
        <v>227</v>
      </c>
    </row>
    <row r="585" spans="1:3" x14ac:dyDescent="0.2">
      <c r="A585" s="27">
        <v>583</v>
      </c>
      <c r="B585" s="27">
        <f t="shared" ca="1" si="9"/>
        <v>0.82735798253600956</v>
      </c>
      <c r="C585" s="27" t="s">
        <v>226</v>
      </c>
    </row>
    <row r="586" spans="1:3" x14ac:dyDescent="0.2">
      <c r="A586" s="27">
        <v>584</v>
      </c>
      <c r="B586" s="27">
        <f t="shared" ca="1" si="9"/>
        <v>0.71439446872921697</v>
      </c>
      <c r="C586" s="27" t="s">
        <v>227</v>
      </c>
    </row>
    <row r="587" spans="1:3" x14ac:dyDescent="0.2">
      <c r="A587" s="27">
        <v>585</v>
      </c>
      <c r="B587" s="27">
        <f t="shared" ca="1" si="9"/>
        <v>0.84265135132791624</v>
      </c>
      <c r="C587" s="27" t="s">
        <v>226</v>
      </c>
    </row>
    <row r="588" spans="1:3" x14ac:dyDescent="0.2">
      <c r="A588" s="27">
        <v>586</v>
      </c>
      <c r="B588" s="27">
        <f t="shared" ca="1" si="9"/>
        <v>0.65846127300406143</v>
      </c>
      <c r="C588" s="27" t="s">
        <v>226</v>
      </c>
    </row>
    <row r="589" spans="1:3" x14ac:dyDescent="0.2">
      <c r="A589" s="27">
        <v>587</v>
      </c>
      <c r="B589" s="27">
        <f t="shared" ca="1" si="9"/>
        <v>0.60567458349187586</v>
      </c>
      <c r="C589" s="27" t="s">
        <v>227</v>
      </c>
    </row>
    <row r="590" spans="1:3" x14ac:dyDescent="0.2">
      <c r="A590" s="27">
        <v>588</v>
      </c>
      <c r="B590" s="27">
        <f t="shared" ca="1" si="9"/>
        <v>0.69092013507781669</v>
      </c>
      <c r="C590" s="27" t="s">
        <v>226</v>
      </c>
    </row>
    <row r="591" spans="1:3" x14ac:dyDescent="0.2">
      <c r="A591" s="27">
        <v>589</v>
      </c>
      <c r="B591" s="27">
        <f t="shared" ca="1" si="9"/>
        <v>0.67714608866605641</v>
      </c>
      <c r="C591" s="27" t="s">
        <v>226</v>
      </c>
    </row>
    <row r="592" spans="1:3" x14ac:dyDescent="0.2">
      <c r="A592" s="27">
        <v>590</v>
      </c>
      <c r="B592" s="27">
        <f t="shared" ca="1" si="9"/>
        <v>0.71477822525019785</v>
      </c>
      <c r="C592" s="27" t="s">
        <v>227</v>
      </c>
    </row>
    <row r="593" spans="1:3" x14ac:dyDescent="0.2">
      <c r="A593" s="27">
        <v>591</v>
      </c>
      <c r="B593" s="27">
        <f t="shared" ca="1" si="9"/>
        <v>0.69257640213677774</v>
      </c>
      <c r="C593" s="27" t="s">
        <v>226</v>
      </c>
    </row>
    <row r="594" spans="1:3" x14ac:dyDescent="0.2">
      <c r="A594" s="27">
        <v>592</v>
      </c>
      <c r="B594" s="27">
        <f t="shared" ca="1" si="9"/>
        <v>0.84313299298290234</v>
      </c>
      <c r="C594" s="27" t="s">
        <v>227</v>
      </c>
    </row>
    <row r="595" spans="1:3" x14ac:dyDescent="0.2">
      <c r="A595" s="27">
        <v>593</v>
      </c>
      <c r="B595" s="27">
        <f t="shared" ca="1" si="9"/>
        <v>0.7128588909539606</v>
      </c>
      <c r="C595" s="27" t="s">
        <v>226</v>
      </c>
    </row>
    <row r="596" spans="1:3" x14ac:dyDescent="0.2">
      <c r="A596" s="27">
        <v>594</v>
      </c>
      <c r="B596" s="27">
        <f t="shared" ca="1" si="9"/>
        <v>0.6254708765642778</v>
      </c>
      <c r="C596" s="27" t="s">
        <v>227</v>
      </c>
    </row>
    <row r="597" spans="1:3" x14ac:dyDescent="0.2">
      <c r="A597" s="27">
        <v>595</v>
      </c>
      <c r="B597" s="27">
        <f t="shared" ca="1" si="9"/>
        <v>0.62410071352039043</v>
      </c>
      <c r="C597" s="27" t="s">
        <v>227</v>
      </c>
    </row>
    <row r="598" spans="1:3" x14ac:dyDescent="0.2">
      <c r="A598" s="27">
        <v>596</v>
      </c>
      <c r="B598" s="27">
        <f t="shared" ca="1" si="9"/>
        <v>0.64670965842180128</v>
      </c>
      <c r="C598" s="27" t="s">
        <v>227</v>
      </c>
    </row>
    <row r="599" spans="1:3" x14ac:dyDescent="0.2">
      <c r="A599" s="27">
        <v>597</v>
      </c>
      <c r="B599" s="27">
        <f t="shared" ca="1" si="9"/>
        <v>0.54630112120536423</v>
      </c>
      <c r="C599" s="27" t="s">
        <v>227</v>
      </c>
    </row>
    <row r="600" spans="1:3" x14ac:dyDescent="0.2">
      <c r="A600" s="27">
        <v>598</v>
      </c>
      <c r="B600" s="27">
        <f t="shared" ca="1" si="9"/>
        <v>0.64418671345931477</v>
      </c>
      <c r="C600" s="27" t="s">
        <v>226</v>
      </c>
    </row>
    <row r="601" spans="1:3" x14ac:dyDescent="0.2">
      <c r="A601" s="27">
        <v>599</v>
      </c>
      <c r="B601" s="27">
        <f t="shared" ca="1" si="9"/>
        <v>0.67350420248550835</v>
      </c>
      <c r="C601" s="27" t="s">
        <v>227</v>
      </c>
    </row>
    <row r="602" spans="1:3" x14ac:dyDescent="0.2">
      <c r="A602" s="27">
        <v>600</v>
      </c>
      <c r="B602" s="27">
        <f t="shared" ca="1" si="9"/>
        <v>0.62752432941653558</v>
      </c>
      <c r="C602" s="27" t="s">
        <v>227</v>
      </c>
    </row>
    <row r="603" spans="1:3" x14ac:dyDescent="0.2">
      <c r="A603" s="27">
        <v>601</v>
      </c>
      <c r="B603" s="27">
        <f t="shared" ca="1" si="9"/>
        <v>0.44731781973819429</v>
      </c>
      <c r="C603" s="27" t="s">
        <v>226</v>
      </c>
    </row>
    <row r="604" spans="1:3" x14ac:dyDescent="0.2">
      <c r="A604" s="27">
        <v>602</v>
      </c>
      <c r="B604" s="27">
        <f t="shared" ca="1" si="9"/>
        <v>0.56340057852921677</v>
      </c>
      <c r="C604" s="27" t="s">
        <v>226</v>
      </c>
    </row>
    <row r="605" spans="1:3" x14ac:dyDescent="0.2">
      <c r="A605" s="27">
        <v>603</v>
      </c>
      <c r="B605" s="27">
        <f t="shared" ca="1" si="9"/>
        <v>0.43068898665970567</v>
      </c>
      <c r="C605" s="27" t="s">
        <v>226</v>
      </c>
    </row>
    <row r="606" spans="1:3" x14ac:dyDescent="0.2">
      <c r="A606" s="27">
        <v>604</v>
      </c>
      <c r="B606" s="27">
        <f t="shared" ca="1" si="9"/>
        <v>0.6393627710630948</v>
      </c>
      <c r="C606" s="27" t="s">
        <v>227</v>
      </c>
    </row>
    <row r="607" spans="1:3" x14ac:dyDescent="0.2">
      <c r="A607" s="27">
        <v>605</v>
      </c>
      <c r="B607" s="27">
        <f t="shared" ca="1" si="9"/>
        <v>0.45184311559997448</v>
      </c>
      <c r="C607" s="27" t="s">
        <v>226</v>
      </c>
    </row>
    <row r="608" spans="1:3" x14ac:dyDescent="0.2">
      <c r="A608" s="27">
        <v>606</v>
      </c>
      <c r="B608" s="27">
        <f t="shared" ca="1" si="9"/>
        <v>0.59729147847460229</v>
      </c>
      <c r="C608" s="27" t="s">
        <v>227</v>
      </c>
    </row>
    <row r="609" spans="1:3" x14ac:dyDescent="0.2">
      <c r="A609" s="27">
        <v>607</v>
      </c>
      <c r="B609" s="27">
        <f t="shared" ca="1" si="9"/>
        <v>0.45027474564080006</v>
      </c>
      <c r="C609" s="27" t="s">
        <v>226</v>
      </c>
    </row>
    <row r="610" spans="1:3" x14ac:dyDescent="0.2">
      <c r="A610" s="27">
        <v>608</v>
      </c>
      <c r="B610" s="27">
        <f t="shared" ca="1" si="9"/>
        <v>0.81311735209021507</v>
      </c>
      <c r="C610" s="27" t="s">
        <v>227</v>
      </c>
    </row>
    <row r="611" spans="1:3" x14ac:dyDescent="0.2">
      <c r="A611" s="27">
        <v>609</v>
      </c>
      <c r="B611" s="27">
        <f t="shared" ca="1" si="9"/>
        <v>0.74303485021750149</v>
      </c>
      <c r="C611" s="27" t="s">
        <v>226</v>
      </c>
    </row>
    <row r="612" spans="1:3" x14ac:dyDescent="0.2">
      <c r="A612" s="27">
        <v>610</v>
      </c>
      <c r="B612" s="27">
        <f t="shared" ca="1" si="9"/>
        <v>0.18972161644206748</v>
      </c>
      <c r="C612" s="27" t="s">
        <v>226</v>
      </c>
    </row>
    <row r="613" spans="1:3" x14ac:dyDescent="0.2">
      <c r="A613" s="27">
        <v>611</v>
      </c>
      <c r="B613" s="27">
        <f t="shared" ca="1" si="9"/>
        <v>0.72171884169454392</v>
      </c>
      <c r="C613" s="27" t="s">
        <v>227</v>
      </c>
    </row>
    <row r="614" spans="1:3" x14ac:dyDescent="0.2">
      <c r="A614" s="27">
        <v>612</v>
      </c>
      <c r="B614" s="27">
        <f t="shared" ca="1" si="9"/>
        <v>0.89569675483266253</v>
      </c>
      <c r="C614" s="27" t="s">
        <v>227</v>
      </c>
    </row>
    <row r="615" spans="1:3" x14ac:dyDescent="0.2">
      <c r="A615" s="27">
        <v>613</v>
      </c>
      <c r="B615" s="27">
        <f t="shared" ca="1" si="9"/>
        <v>0.61392385380037306</v>
      </c>
      <c r="C615" s="27" t="s">
        <v>226</v>
      </c>
    </row>
    <row r="616" spans="1:3" x14ac:dyDescent="0.2">
      <c r="A616" s="27">
        <v>614</v>
      </c>
      <c r="B616" s="27">
        <f t="shared" ca="1" si="9"/>
        <v>0.78173848204360041</v>
      </c>
      <c r="C616" s="27" t="s">
        <v>226</v>
      </c>
    </row>
    <row r="617" spans="1:3" x14ac:dyDescent="0.2">
      <c r="A617" s="27">
        <v>615</v>
      </c>
      <c r="B617" s="27">
        <f t="shared" ca="1" si="9"/>
        <v>0.49108132511220104</v>
      </c>
      <c r="C617" s="27" t="s">
        <v>226</v>
      </c>
    </row>
    <row r="618" spans="1:3" x14ac:dyDescent="0.2">
      <c r="A618" s="27">
        <v>616</v>
      </c>
      <c r="B618" s="27">
        <f t="shared" ca="1" si="9"/>
        <v>0.66393056866431199</v>
      </c>
      <c r="C618" s="27" t="s">
        <v>227</v>
      </c>
    </row>
    <row r="619" spans="1:3" x14ac:dyDescent="0.2">
      <c r="A619" s="27">
        <v>617</v>
      </c>
      <c r="B619" s="27">
        <f t="shared" ca="1" si="9"/>
        <v>0.62713436244674803</v>
      </c>
      <c r="C619" s="27" t="s">
        <v>227</v>
      </c>
    </row>
    <row r="620" spans="1:3" x14ac:dyDescent="0.2">
      <c r="A620" s="27">
        <v>618</v>
      </c>
      <c r="B620" s="27">
        <f t="shared" ca="1" si="9"/>
        <v>0.60867464594401632</v>
      </c>
      <c r="C620" s="27" t="s">
        <v>227</v>
      </c>
    </row>
    <row r="621" spans="1:3" x14ac:dyDescent="0.2">
      <c r="A621" s="27">
        <v>619</v>
      </c>
      <c r="B621" s="27">
        <f t="shared" ca="1" si="9"/>
        <v>0.83909185024997535</v>
      </c>
      <c r="C621" s="27" t="s">
        <v>226</v>
      </c>
    </row>
    <row r="622" spans="1:3" x14ac:dyDescent="0.2">
      <c r="A622" s="27">
        <v>620</v>
      </c>
      <c r="B622" s="27">
        <f t="shared" ca="1" si="9"/>
        <v>0.77052256873915737</v>
      </c>
      <c r="C622" s="27" t="s">
        <v>226</v>
      </c>
    </row>
    <row r="623" spans="1:3" x14ac:dyDescent="0.2">
      <c r="A623" s="27">
        <v>621</v>
      </c>
      <c r="B623" s="27">
        <f t="shared" ca="1" si="9"/>
        <v>0.52769585815948972</v>
      </c>
      <c r="C623" s="27" t="s">
        <v>227</v>
      </c>
    </row>
    <row r="624" spans="1:3" x14ac:dyDescent="0.2">
      <c r="A624" s="27">
        <v>622</v>
      </c>
      <c r="B624" s="27">
        <f t="shared" ca="1" si="9"/>
        <v>0.77790726674908828</v>
      </c>
      <c r="C624" s="27" t="s">
        <v>227</v>
      </c>
    </row>
    <row r="625" spans="1:3" x14ac:dyDescent="0.2">
      <c r="A625" s="27">
        <v>623</v>
      </c>
      <c r="B625" s="27">
        <f t="shared" ca="1" si="9"/>
        <v>0.80282489298791204</v>
      </c>
      <c r="C625" s="27" t="s">
        <v>227</v>
      </c>
    </row>
    <row r="626" spans="1:3" x14ac:dyDescent="0.2">
      <c r="A626" s="27">
        <v>624</v>
      </c>
      <c r="B626" s="27">
        <f t="shared" ca="1" si="9"/>
        <v>0.50873292977378748</v>
      </c>
      <c r="C626" s="27" t="s">
        <v>226</v>
      </c>
    </row>
    <row r="627" spans="1:3" x14ac:dyDescent="0.2">
      <c r="A627" s="27">
        <v>625</v>
      </c>
      <c r="B627" s="27">
        <f t="shared" ca="1" si="9"/>
        <v>0.95887933303258976</v>
      </c>
      <c r="C627" s="27" t="s">
        <v>227</v>
      </c>
    </row>
    <row r="628" spans="1:3" x14ac:dyDescent="0.2">
      <c r="A628" s="27">
        <v>626</v>
      </c>
      <c r="B628" s="27">
        <f t="shared" ca="1" si="9"/>
        <v>0.67890005060268299</v>
      </c>
      <c r="C628" s="27" t="s">
        <v>226</v>
      </c>
    </row>
    <row r="629" spans="1:3" x14ac:dyDescent="0.2">
      <c r="A629" s="27">
        <v>627</v>
      </c>
      <c r="B629" s="27">
        <f t="shared" ca="1" si="9"/>
        <v>0.82061628643519868</v>
      </c>
      <c r="C629" s="27" t="s">
        <v>226</v>
      </c>
    </row>
    <row r="630" spans="1:3" x14ac:dyDescent="0.2">
      <c r="A630" s="27">
        <v>628</v>
      </c>
      <c r="B630" s="27">
        <f t="shared" ca="1" si="9"/>
        <v>0.41007799350292179</v>
      </c>
      <c r="C630" s="27" t="s">
        <v>226</v>
      </c>
    </row>
    <row r="631" spans="1:3" x14ac:dyDescent="0.2">
      <c r="A631" s="27">
        <v>629</v>
      </c>
      <c r="B631" s="27">
        <f t="shared" ca="1" si="9"/>
        <v>0.58466985733796606</v>
      </c>
      <c r="C631" s="27" t="s">
        <v>226</v>
      </c>
    </row>
    <row r="632" spans="1:3" x14ac:dyDescent="0.2">
      <c r="A632" s="27">
        <v>630</v>
      </c>
      <c r="B632" s="27">
        <f t="shared" ca="1" si="9"/>
        <v>0.68752202257773254</v>
      </c>
      <c r="C632" s="27" t="s">
        <v>227</v>
      </c>
    </row>
    <row r="633" spans="1:3" x14ac:dyDescent="0.2">
      <c r="A633" s="27">
        <v>631</v>
      </c>
      <c r="B633" s="27">
        <f t="shared" ca="1" si="9"/>
        <v>0.65481696311908577</v>
      </c>
      <c r="C633" s="27" t="s">
        <v>227</v>
      </c>
    </row>
    <row r="634" spans="1:3" x14ac:dyDescent="0.2">
      <c r="A634" s="27">
        <v>632</v>
      </c>
      <c r="B634" s="27">
        <f t="shared" ca="1" si="9"/>
        <v>0.42870356696277334</v>
      </c>
      <c r="C634" s="27" t="s">
        <v>226</v>
      </c>
    </row>
    <row r="635" spans="1:3" x14ac:dyDescent="0.2">
      <c r="A635" s="27">
        <v>633</v>
      </c>
      <c r="B635" s="27">
        <f t="shared" ca="1" si="9"/>
        <v>0.65956587661622268</v>
      </c>
      <c r="C635" s="27" t="s">
        <v>227</v>
      </c>
    </row>
    <row r="636" spans="1:3" x14ac:dyDescent="0.2">
      <c r="A636" s="27">
        <v>634</v>
      </c>
      <c r="B636" s="27">
        <f t="shared" ca="1" si="9"/>
        <v>0.6914113247466801</v>
      </c>
      <c r="C636" s="27" t="s">
        <v>227</v>
      </c>
    </row>
    <row r="637" spans="1:3" x14ac:dyDescent="0.2">
      <c r="A637" s="27">
        <v>635</v>
      </c>
      <c r="B637" s="27">
        <f t="shared" ca="1" si="9"/>
        <v>0.57155006126641972</v>
      </c>
      <c r="C637" s="27" t="s">
        <v>227</v>
      </c>
    </row>
    <row r="638" spans="1:3" x14ac:dyDescent="0.2">
      <c r="A638" s="27">
        <v>636</v>
      </c>
      <c r="B638" s="27">
        <f t="shared" ca="1" si="9"/>
        <v>0.56657387405800896</v>
      </c>
      <c r="C638" s="27" t="s">
        <v>226</v>
      </c>
    </row>
    <row r="639" spans="1:3" x14ac:dyDescent="0.2">
      <c r="A639" s="27">
        <v>637</v>
      </c>
      <c r="B639" s="27">
        <f t="shared" ca="1" si="9"/>
        <v>0.80092331526746963</v>
      </c>
      <c r="C639" s="27" t="s">
        <v>226</v>
      </c>
    </row>
    <row r="640" spans="1:3" x14ac:dyDescent="0.2">
      <c r="A640" s="27">
        <v>638</v>
      </c>
      <c r="B640" s="27">
        <f t="shared" ca="1" si="9"/>
        <v>0.70332092014548542</v>
      </c>
      <c r="C640" s="27" t="s">
        <v>227</v>
      </c>
    </row>
    <row r="641" spans="1:3" x14ac:dyDescent="0.2">
      <c r="A641" s="27">
        <v>639</v>
      </c>
      <c r="B641" s="27">
        <f t="shared" ca="1" si="9"/>
        <v>0.64096745235791841</v>
      </c>
      <c r="C641" s="27" t="s">
        <v>226</v>
      </c>
    </row>
    <row r="642" spans="1:3" x14ac:dyDescent="0.2">
      <c r="A642" s="27">
        <v>640</v>
      </c>
      <c r="B642" s="27">
        <f t="shared" ca="1" si="9"/>
        <v>0.76833021804121437</v>
      </c>
      <c r="C642" s="27" t="s">
        <v>227</v>
      </c>
    </row>
    <row r="643" spans="1:3" x14ac:dyDescent="0.2">
      <c r="A643" s="27">
        <v>641</v>
      </c>
      <c r="B643" s="27">
        <f t="shared" ref="B643:B706" ca="1" si="10">IF(C643="Bomb",_xlfn.NORM.INV(RAND(),0.7,0.1),_xlfn.NORM.INV(RAND(),0.6,0.15))</f>
        <v>0.56828604754405032</v>
      </c>
      <c r="C643" s="27" t="s">
        <v>227</v>
      </c>
    </row>
    <row r="644" spans="1:3" x14ac:dyDescent="0.2">
      <c r="A644" s="27">
        <v>642</v>
      </c>
      <c r="B644" s="27">
        <f t="shared" ca="1" si="10"/>
        <v>0.75049449700767101</v>
      </c>
      <c r="C644" s="27" t="s">
        <v>226</v>
      </c>
    </row>
    <row r="645" spans="1:3" x14ac:dyDescent="0.2">
      <c r="A645" s="27">
        <v>643</v>
      </c>
      <c r="B645" s="27">
        <f t="shared" ca="1" si="10"/>
        <v>0.73328510360147292</v>
      </c>
      <c r="C645" s="27" t="s">
        <v>227</v>
      </c>
    </row>
    <row r="646" spans="1:3" x14ac:dyDescent="0.2">
      <c r="A646" s="27">
        <v>644</v>
      </c>
      <c r="B646" s="27">
        <f t="shared" ca="1" si="10"/>
        <v>0.54260034947180069</v>
      </c>
      <c r="C646" s="27" t="s">
        <v>226</v>
      </c>
    </row>
    <row r="647" spans="1:3" x14ac:dyDescent="0.2">
      <c r="A647" s="27">
        <v>645</v>
      </c>
      <c r="B647" s="27">
        <f t="shared" ca="1" si="10"/>
        <v>0.65132768554732956</v>
      </c>
      <c r="C647" s="27" t="s">
        <v>226</v>
      </c>
    </row>
    <row r="648" spans="1:3" x14ac:dyDescent="0.2">
      <c r="A648" s="27">
        <v>646</v>
      </c>
      <c r="B648" s="27">
        <f t="shared" ca="1" si="10"/>
        <v>0.66452933314185236</v>
      </c>
      <c r="C648" s="27" t="s">
        <v>226</v>
      </c>
    </row>
    <row r="649" spans="1:3" x14ac:dyDescent="0.2">
      <c r="A649" s="27">
        <v>647</v>
      </c>
      <c r="B649" s="27">
        <f t="shared" ca="1" si="10"/>
        <v>0.74390589189690259</v>
      </c>
      <c r="C649" s="27" t="s">
        <v>227</v>
      </c>
    </row>
    <row r="650" spans="1:3" x14ac:dyDescent="0.2">
      <c r="A650" s="27">
        <v>648</v>
      </c>
      <c r="B650" s="27">
        <f t="shared" ca="1" si="10"/>
        <v>0.69100156792470346</v>
      </c>
      <c r="C650" s="27" t="s">
        <v>227</v>
      </c>
    </row>
    <row r="651" spans="1:3" x14ac:dyDescent="0.2">
      <c r="A651" s="27">
        <v>649</v>
      </c>
      <c r="B651" s="27">
        <f t="shared" ca="1" si="10"/>
        <v>0.64909794589571634</v>
      </c>
      <c r="C651" s="27" t="s">
        <v>227</v>
      </c>
    </row>
    <row r="652" spans="1:3" x14ac:dyDescent="0.2">
      <c r="A652" s="27">
        <v>650</v>
      </c>
      <c r="B652" s="27">
        <f t="shared" ca="1" si="10"/>
        <v>0.62377931650327578</v>
      </c>
      <c r="C652" s="27" t="s">
        <v>227</v>
      </c>
    </row>
    <row r="653" spans="1:3" x14ac:dyDescent="0.2">
      <c r="A653" s="27">
        <v>651</v>
      </c>
      <c r="B653" s="27">
        <f t="shared" ca="1" si="10"/>
        <v>0.57444286717120652</v>
      </c>
      <c r="C653" s="27" t="s">
        <v>226</v>
      </c>
    </row>
    <row r="654" spans="1:3" x14ac:dyDescent="0.2">
      <c r="A654" s="27">
        <v>652</v>
      </c>
      <c r="B654" s="27">
        <f t="shared" ca="1" si="10"/>
        <v>0.55955614874021931</v>
      </c>
      <c r="C654" s="27" t="s">
        <v>226</v>
      </c>
    </row>
    <row r="655" spans="1:3" x14ac:dyDescent="0.2">
      <c r="A655" s="27">
        <v>653</v>
      </c>
      <c r="B655" s="27">
        <f t="shared" ca="1" si="10"/>
        <v>0.54337545189333547</v>
      </c>
      <c r="C655" s="27" t="s">
        <v>226</v>
      </c>
    </row>
    <row r="656" spans="1:3" x14ac:dyDescent="0.2">
      <c r="A656" s="27">
        <v>654</v>
      </c>
      <c r="B656" s="27">
        <f t="shared" ca="1" si="10"/>
        <v>0.63903420112334308</v>
      </c>
      <c r="C656" s="27" t="s">
        <v>226</v>
      </c>
    </row>
    <row r="657" spans="1:3" x14ac:dyDescent="0.2">
      <c r="A657" s="27">
        <v>655</v>
      </c>
      <c r="B657" s="27">
        <f t="shared" ca="1" si="10"/>
        <v>0.5244340466725701</v>
      </c>
      <c r="C657" s="27" t="s">
        <v>226</v>
      </c>
    </row>
    <row r="658" spans="1:3" x14ac:dyDescent="0.2">
      <c r="A658" s="27">
        <v>656</v>
      </c>
      <c r="B658" s="27">
        <f t="shared" ca="1" si="10"/>
        <v>0.64217952507179143</v>
      </c>
      <c r="C658" s="27" t="s">
        <v>226</v>
      </c>
    </row>
    <row r="659" spans="1:3" x14ac:dyDescent="0.2">
      <c r="A659" s="27">
        <v>657</v>
      </c>
      <c r="B659" s="27">
        <f t="shared" ca="1" si="10"/>
        <v>0.61453495400244973</v>
      </c>
      <c r="C659" s="27" t="s">
        <v>227</v>
      </c>
    </row>
    <row r="660" spans="1:3" x14ac:dyDescent="0.2">
      <c r="A660" s="27">
        <v>658</v>
      </c>
      <c r="B660" s="27">
        <f t="shared" ca="1" si="10"/>
        <v>0.61627172717296053</v>
      </c>
      <c r="C660" s="27" t="s">
        <v>226</v>
      </c>
    </row>
    <row r="661" spans="1:3" x14ac:dyDescent="0.2">
      <c r="A661" s="27">
        <v>659</v>
      </c>
      <c r="B661" s="27">
        <f t="shared" ca="1" si="10"/>
        <v>0.74984884938407181</v>
      </c>
      <c r="C661" s="27" t="s">
        <v>227</v>
      </c>
    </row>
    <row r="662" spans="1:3" x14ac:dyDescent="0.2">
      <c r="A662" s="27">
        <v>660</v>
      </c>
      <c r="B662" s="27">
        <f t="shared" ca="1" si="10"/>
        <v>0.78542281134352421</v>
      </c>
      <c r="C662" s="27" t="s">
        <v>226</v>
      </c>
    </row>
    <row r="663" spans="1:3" x14ac:dyDescent="0.2">
      <c r="A663" s="27">
        <v>661</v>
      </c>
      <c r="B663" s="27">
        <f t="shared" ca="1" si="10"/>
        <v>0.7851408948855757</v>
      </c>
      <c r="C663" s="27" t="s">
        <v>227</v>
      </c>
    </row>
    <row r="664" spans="1:3" x14ac:dyDescent="0.2">
      <c r="A664" s="27">
        <v>662</v>
      </c>
      <c r="B664" s="27">
        <f t="shared" ca="1" si="10"/>
        <v>0.65508460366766386</v>
      </c>
      <c r="C664" s="27" t="s">
        <v>226</v>
      </c>
    </row>
    <row r="665" spans="1:3" x14ac:dyDescent="0.2">
      <c r="A665" s="27">
        <v>663</v>
      </c>
      <c r="B665" s="27">
        <f t="shared" ca="1" si="10"/>
        <v>0.58858134334155388</v>
      </c>
      <c r="C665" s="27" t="s">
        <v>226</v>
      </c>
    </row>
    <row r="666" spans="1:3" x14ac:dyDescent="0.2">
      <c r="A666" s="27">
        <v>664</v>
      </c>
      <c r="B666" s="27">
        <f t="shared" ca="1" si="10"/>
        <v>0.76905457936309718</v>
      </c>
      <c r="C666" s="27" t="s">
        <v>227</v>
      </c>
    </row>
    <row r="667" spans="1:3" x14ac:dyDescent="0.2">
      <c r="A667" s="27">
        <v>665</v>
      </c>
      <c r="B667" s="27">
        <f t="shared" ca="1" si="10"/>
        <v>0.55820065636196148</v>
      </c>
      <c r="C667" s="27" t="s">
        <v>226</v>
      </c>
    </row>
    <row r="668" spans="1:3" x14ac:dyDescent="0.2">
      <c r="A668" s="27">
        <v>666</v>
      </c>
      <c r="B668" s="27">
        <f t="shared" ca="1" si="10"/>
        <v>0.77707215281583775</v>
      </c>
      <c r="C668" s="27" t="s">
        <v>226</v>
      </c>
    </row>
    <row r="669" spans="1:3" x14ac:dyDescent="0.2">
      <c r="A669" s="27">
        <v>667</v>
      </c>
      <c r="B669" s="27">
        <f t="shared" ca="1" si="10"/>
        <v>0.7961558493092451</v>
      </c>
      <c r="C669" s="27" t="s">
        <v>227</v>
      </c>
    </row>
    <row r="670" spans="1:3" x14ac:dyDescent="0.2">
      <c r="A670" s="27">
        <v>668</v>
      </c>
      <c r="B670" s="27">
        <f t="shared" ca="1" si="10"/>
        <v>0.57342363122142781</v>
      </c>
      <c r="C670" s="27" t="s">
        <v>226</v>
      </c>
    </row>
    <row r="671" spans="1:3" x14ac:dyDescent="0.2">
      <c r="A671" s="27">
        <v>669</v>
      </c>
      <c r="B671" s="27">
        <f t="shared" ca="1" si="10"/>
        <v>0.5290995896682168</v>
      </c>
      <c r="C671" s="27" t="s">
        <v>226</v>
      </c>
    </row>
    <row r="672" spans="1:3" x14ac:dyDescent="0.2">
      <c r="A672" s="27">
        <v>670</v>
      </c>
      <c r="B672" s="27">
        <f t="shared" ca="1" si="10"/>
        <v>0.49560062090560986</v>
      </c>
      <c r="C672" s="27" t="s">
        <v>226</v>
      </c>
    </row>
    <row r="673" spans="1:3" x14ac:dyDescent="0.2">
      <c r="A673" s="27">
        <v>671</v>
      </c>
      <c r="B673" s="27">
        <f t="shared" ca="1" si="10"/>
        <v>0.56069408470966597</v>
      </c>
      <c r="C673" s="27" t="s">
        <v>226</v>
      </c>
    </row>
    <row r="674" spans="1:3" x14ac:dyDescent="0.2">
      <c r="A674" s="27">
        <v>672</v>
      </c>
      <c r="B674" s="27">
        <f t="shared" ca="1" si="10"/>
        <v>0.40006938884192017</v>
      </c>
      <c r="C674" s="27" t="s">
        <v>226</v>
      </c>
    </row>
    <row r="675" spans="1:3" x14ac:dyDescent="0.2">
      <c r="A675" s="27">
        <v>673</v>
      </c>
      <c r="B675" s="27">
        <f t="shared" ca="1" si="10"/>
        <v>0.56237347931176151</v>
      </c>
      <c r="C675" s="27" t="s">
        <v>226</v>
      </c>
    </row>
    <row r="676" spans="1:3" x14ac:dyDescent="0.2">
      <c r="A676" s="27">
        <v>674</v>
      </c>
      <c r="B676" s="27">
        <f t="shared" ca="1" si="10"/>
        <v>0.81387314868605953</v>
      </c>
      <c r="C676" s="27" t="s">
        <v>227</v>
      </c>
    </row>
    <row r="677" spans="1:3" x14ac:dyDescent="0.2">
      <c r="A677" s="27">
        <v>675</v>
      </c>
      <c r="B677" s="27">
        <f t="shared" ca="1" si="10"/>
        <v>0.45004399046296195</v>
      </c>
      <c r="C677" s="27" t="s">
        <v>226</v>
      </c>
    </row>
    <row r="678" spans="1:3" x14ac:dyDescent="0.2">
      <c r="A678" s="27">
        <v>676</v>
      </c>
      <c r="B678" s="27">
        <f t="shared" ca="1" si="10"/>
        <v>0.70414249899593273</v>
      </c>
      <c r="C678" s="27" t="s">
        <v>227</v>
      </c>
    </row>
    <row r="679" spans="1:3" x14ac:dyDescent="0.2">
      <c r="A679" s="27">
        <v>677</v>
      </c>
      <c r="B679" s="27">
        <f t="shared" ca="1" si="10"/>
        <v>0.25545979329195001</v>
      </c>
      <c r="C679" s="27" t="s">
        <v>226</v>
      </c>
    </row>
    <row r="680" spans="1:3" x14ac:dyDescent="0.2">
      <c r="A680" s="27">
        <v>678</v>
      </c>
      <c r="B680" s="27">
        <f t="shared" ca="1" si="10"/>
        <v>0.72895517631256523</v>
      </c>
      <c r="C680" s="27" t="s">
        <v>227</v>
      </c>
    </row>
    <row r="681" spans="1:3" x14ac:dyDescent="0.2">
      <c r="A681" s="27">
        <v>679</v>
      </c>
      <c r="B681" s="27">
        <f t="shared" ca="1" si="10"/>
        <v>0.49218151134720811</v>
      </c>
      <c r="C681" s="27" t="s">
        <v>226</v>
      </c>
    </row>
    <row r="682" spans="1:3" x14ac:dyDescent="0.2">
      <c r="A682" s="27">
        <v>680</v>
      </c>
      <c r="B682" s="27">
        <f t="shared" ca="1" si="10"/>
        <v>0.52500273163822508</v>
      </c>
      <c r="C682" s="27" t="s">
        <v>226</v>
      </c>
    </row>
    <row r="683" spans="1:3" x14ac:dyDescent="0.2">
      <c r="A683" s="27">
        <v>681</v>
      </c>
      <c r="B683" s="27">
        <f t="shared" ca="1" si="10"/>
        <v>0.71394880514390058</v>
      </c>
      <c r="C683" s="27" t="s">
        <v>226</v>
      </c>
    </row>
    <row r="684" spans="1:3" x14ac:dyDescent="0.2">
      <c r="A684" s="27">
        <v>682</v>
      </c>
      <c r="B684" s="27">
        <f t="shared" ca="1" si="10"/>
        <v>0.50552160971051963</v>
      </c>
      <c r="C684" s="27" t="s">
        <v>226</v>
      </c>
    </row>
    <row r="685" spans="1:3" x14ac:dyDescent="0.2">
      <c r="A685" s="27">
        <v>683</v>
      </c>
      <c r="B685" s="27">
        <f t="shared" ca="1" si="10"/>
        <v>0.76194179439965692</v>
      </c>
      <c r="C685" s="27" t="s">
        <v>226</v>
      </c>
    </row>
    <row r="686" spans="1:3" x14ac:dyDescent="0.2">
      <c r="A686" s="27">
        <v>684</v>
      </c>
      <c r="B686" s="27">
        <f t="shared" ca="1" si="10"/>
        <v>0.69123820225907362</v>
      </c>
      <c r="C686" s="27" t="s">
        <v>226</v>
      </c>
    </row>
    <row r="687" spans="1:3" x14ac:dyDescent="0.2">
      <c r="A687" s="27">
        <v>685</v>
      </c>
      <c r="B687" s="27">
        <f t="shared" ca="1" si="10"/>
        <v>0.80738589505990022</v>
      </c>
      <c r="C687" s="27" t="s">
        <v>227</v>
      </c>
    </row>
    <row r="688" spans="1:3" x14ac:dyDescent="0.2">
      <c r="A688" s="27">
        <v>686</v>
      </c>
      <c r="B688" s="27">
        <f t="shared" ca="1" si="10"/>
        <v>0.73388591014592985</v>
      </c>
      <c r="C688" s="27" t="s">
        <v>226</v>
      </c>
    </row>
    <row r="689" spans="1:3" x14ac:dyDescent="0.2">
      <c r="A689" s="27">
        <v>687</v>
      </c>
      <c r="B689" s="27">
        <f t="shared" ca="1" si="10"/>
        <v>0.81227550076681498</v>
      </c>
      <c r="C689" s="27" t="s">
        <v>226</v>
      </c>
    </row>
    <row r="690" spans="1:3" x14ac:dyDescent="0.2">
      <c r="A690" s="27">
        <v>688</v>
      </c>
      <c r="B690" s="27">
        <f t="shared" ca="1" si="10"/>
        <v>0.62284293449538775</v>
      </c>
      <c r="C690" s="27" t="s">
        <v>226</v>
      </c>
    </row>
    <row r="691" spans="1:3" x14ac:dyDescent="0.2">
      <c r="A691" s="27">
        <v>689</v>
      </c>
      <c r="B691" s="27">
        <f t="shared" ca="1" si="10"/>
        <v>0.80186961089622066</v>
      </c>
      <c r="C691" s="27" t="s">
        <v>226</v>
      </c>
    </row>
    <row r="692" spans="1:3" x14ac:dyDescent="0.2">
      <c r="A692" s="27">
        <v>690</v>
      </c>
      <c r="B692" s="27">
        <f t="shared" ca="1" si="10"/>
        <v>0.77367430997701137</v>
      </c>
      <c r="C692" s="27" t="s">
        <v>227</v>
      </c>
    </row>
    <row r="693" spans="1:3" x14ac:dyDescent="0.2">
      <c r="A693" s="27">
        <v>691</v>
      </c>
      <c r="B693" s="27">
        <f t="shared" ca="1" si="10"/>
        <v>0.71433595055120447</v>
      </c>
      <c r="C693" s="27" t="s">
        <v>227</v>
      </c>
    </row>
    <row r="694" spans="1:3" x14ac:dyDescent="0.2">
      <c r="A694" s="27">
        <v>692</v>
      </c>
      <c r="B694" s="27">
        <f t="shared" ca="1" si="10"/>
        <v>0.64512553892150859</v>
      </c>
      <c r="C694" s="27" t="s">
        <v>227</v>
      </c>
    </row>
    <row r="695" spans="1:3" x14ac:dyDescent="0.2">
      <c r="A695" s="27">
        <v>693</v>
      </c>
      <c r="B695" s="27">
        <f t="shared" ca="1" si="10"/>
        <v>0.61498460071431604</v>
      </c>
      <c r="C695" s="27" t="s">
        <v>227</v>
      </c>
    </row>
    <row r="696" spans="1:3" x14ac:dyDescent="0.2">
      <c r="A696" s="27">
        <v>694</v>
      </c>
      <c r="B696" s="27">
        <f t="shared" ca="1" si="10"/>
        <v>0.67275004096345992</v>
      </c>
      <c r="C696" s="27" t="s">
        <v>226</v>
      </c>
    </row>
    <row r="697" spans="1:3" x14ac:dyDescent="0.2">
      <c r="A697" s="27">
        <v>695</v>
      </c>
      <c r="B697" s="27">
        <f t="shared" ca="1" si="10"/>
        <v>0.49724601498866078</v>
      </c>
      <c r="C697" s="27" t="s">
        <v>226</v>
      </c>
    </row>
    <row r="698" spans="1:3" x14ac:dyDescent="0.2">
      <c r="A698" s="27">
        <v>696</v>
      </c>
      <c r="B698" s="27">
        <f t="shared" ca="1" si="10"/>
        <v>0.50419935415151562</v>
      </c>
      <c r="C698" s="27" t="s">
        <v>226</v>
      </c>
    </row>
    <row r="699" spans="1:3" x14ac:dyDescent="0.2">
      <c r="A699" s="27">
        <v>697</v>
      </c>
      <c r="B699" s="27">
        <f t="shared" ca="1" si="10"/>
        <v>0.46436754085653031</v>
      </c>
      <c r="C699" s="27" t="s">
        <v>226</v>
      </c>
    </row>
    <row r="700" spans="1:3" x14ac:dyDescent="0.2">
      <c r="A700" s="27">
        <v>698</v>
      </c>
      <c r="B700" s="27">
        <f t="shared" ca="1" si="10"/>
        <v>0.78986074540984275</v>
      </c>
      <c r="C700" s="27" t="s">
        <v>227</v>
      </c>
    </row>
    <row r="701" spans="1:3" x14ac:dyDescent="0.2">
      <c r="A701" s="27">
        <v>699</v>
      </c>
      <c r="B701" s="27">
        <f t="shared" ca="1" si="10"/>
        <v>0.58046934877911061</v>
      </c>
      <c r="C701" s="27" t="s">
        <v>226</v>
      </c>
    </row>
    <row r="702" spans="1:3" x14ac:dyDescent="0.2">
      <c r="A702" s="27">
        <v>700</v>
      </c>
      <c r="B702" s="27">
        <f t="shared" ca="1" si="10"/>
        <v>0.32710300672187742</v>
      </c>
      <c r="C702" s="27" t="s">
        <v>226</v>
      </c>
    </row>
    <row r="703" spans="1:3" x14ac:dyDescent="0.2">
      <c r="A703" s="27">
        <v>701</v>
      </c>
      <c r="B703" s="27">
        <f t="shared" ca="1" si="10"/>
        <v>0.42321825394104284</v>
      </c>
      <c r="C703" s="27" t="s">
        <v>226</v>
      </c>
    </row>
    <row r="704" spans="1:3" x14ac:dyDescent="0.2">
      <c r="A704" s="27">
        <v>702</v>
      </c>
      <c r="B704" s="27">
        <f t="shared" ca="1" si="10"/>
        <v>0.46730504228239589</v>
      </c>
      <c r="C704" s="27" t="s">
        <v>226</v>
      </c>
    </row>
    <row r="705" spans="1:3" x14ac:dyDescent="0.2">
      <c r="A705" s="27">
        <v>703</v>
      </c>
      <c r="B705" s="27">
        <f t="shared" ca="1" si="10"/>
        <v>0.6201425463762833</v>
      </c>
      <c r="C705" s="27" t="s">
        <v>227</v>
      </c>
    </row>
    <row r="706" spans="1:3" x14ac:dyDescent="0.2">
      <c r="A706" s="27">
        <v>704</v>
      </c>
      <c r="B706" s="27">
        <f t="shared" ca="1" si="10"/>
        <v>0.70877500874336186</v>
      </c>
      <c r="C706" s="27" t="s">
        <v>227</v>
      </c>
    </row>
    <row r="707" spans="1:3" x14ac:dyDescent="0.2">
      <c r="A707" s="27">
        <v>705</v>
      </c>
      <c r="B707" s="27">
        <f t="shared" ref="B707:B770" ca="1" si="11">IF(C707="Bomb",_xlfn.NORM.INV(RAND(),0.7,0.1),_xlfn.NORM.INV(RAND(),0.6,0.15))</f>
        <v>0.68771001418511957</v>
      </c>
      <c r="C707" s="27" t="s">
        <v>226</v>
      </c>
    </row>
    <row r="708" spans="1:3" x14ac:dyDescent="0.2">
      <c r="A708" s="27">
        <v>706</v>
      </c>
      <c r="B708" s="27">
        <f t="shared" ca="1" si="11"/>
        <v>0.40897138273440081</v>
      </c>
      <c r="C708" s="27" t="s">
        <v>226</v>
      </c>
    </row>
    <row r="709" spans="1:3" x14ac:dyDescent="0.2">
      <c r="A709" s="27">
        <v>707</v>
      </c>
      <c r="B709" s="27">
        <f t="shared" ca="1" si="11"/>
        <v>0.41657758794579258</v>
      </c>
      <c r="C709" s="27" t="s">
        <v>226</v>
      </c>
    </row>
    <row r="710" spans="1:3" x14ac:dyDescent="0.2">
      <c r="A710" s="27">
        <v>708</v>
      </c>
      <c r="B710" s="27">
        <f t="shared" ca="1" si="11"/>
        <v>0.62435222943199542</v>
      </c>
      <c r="C710" s="27" t="s">
        <v>227</v>
      </c>
    </row>
    <row r="711" spans="1:3" x14ac:dyDescent="0.2">
      <c r="A711" s="27">
        <v>709</v>
      </c>
      <c r="B711" s="27">
        <f t="shared" ca="1" si="11"/>
        <v>0.71235702535839174</v>
      </c>
      <c r="C711" s="27" t="s">
        <v>227</v>
      </c>
    </row>
    <row r="712" spans="1:3" x14ac:dyDescent="0.2">
      <c r="A712" s="27">
        <v>710</v>
      </c>
      <c r="B712" s="27">
        <f t="shared" ca="1" si="11"/>
        <v>0.60794649832840308</v>
      </c>
      <c r="C712" s="27" t="s">
        <v>227</v>
      </c>
    </row>
    <row r="713" spans="1:3" x14ac:dyDescent="0.2">
      <c r="A713" s="27">
        <v>711</v>
      </c>
      <c r="B713" s="27">
        <f t="shared" ca="1" si="11"/>
        <v>0.58447576234340426</v>
      </c>
      <c r="C713" s="27" t="s">
        <v>226</v>
      </c>
    </row>
    <row r="714" spans="1:3" x14ac:dyDescent="0.2">
      <c r="A714" s="27">
        <v>712</v>
      </c>
      <c r="B714" s="27">
        <f t="shared" ca="1" si="11"/>
        <v>0.72172825898953874</v>
      </c>
      <c r="C714" s="27" t="s">
        <v>227</v>
      </c>
    </row>
    <row r="715" spans="1:3" x14ac:dyDescent="0.2">
      <c r="A715" s="27">
        <v>713</v>
      </c>
      <c r="B715" s="27">
        <f t="shared" ca="1" si="11"/>
        <v>0.6502598634901422</v>
      </c>
      <c r="C715" s="27" t="s">
        <v>226</v>
      </c>
    </row>
    <row r="716" spans="1:3" x14ac:dyDescent="0.2">
      <c r="A716" s="27">
        <v>714</v>
      </c>
      <c r="B716" s="27">
        <f t="shared" ca="1" si="11"/>
        <v>0.7275855281367577</v>
      </c>
      <c r="C716" s="27" t="s">
        <v>226</v>
      </c>
    </row>
    <row r="717" spans="1:3" x14ac:dyDescent="0.2">
      <c r="A717" s="27">
        <v>715</v>
      </c>
      <c r="B717" s="27">
        <f t="shared" ca="1" si="11"/>
        <v>0.57466695575057714</v>
      </c>
      <c r="C717" s="27" t="s">
        <v>226</v>
      </c>
    </row>
    <row r="718" spans="1:3" x14ac:dyDescent="0.2">
      <c r="A718" s="27">
        <v>716</v>
      </c>
      <c r="B718" s="27">
        <f t="shared" ca="1" si="11"/>
        <v>0.68916808491592541</v>
      </c>
      <c r="C718" s="27" t="s">
        <v>227</v>
      </c>
    </row>
    <row r="719" spans="1:3" x14ac:dyDescent="0.2">
      <c r="A719" s="27">
        <v>717</v>
      </c>
      <c r="B719" s="27">
        <f t="shared" ca="1" si="11"/>
        <v>0.95418004680569057</v>
      </c>
      <c r="C719" s="27" t="s">
        <v>226</v>
      </c>
    </row>
    <row r="720" spans="1:3" x14ac:dyDescent="0.2">
      <c r="A720" s="27">
        <v>718</v>
      </c>
      <c r="B720" s="27">
        <f t="shared" ca="1" si="11"/>
        <v>0.48902502335696357</v>
      </c>
      <c r="C720" s="27" t="s">
        <v>226</v>
      </c>
    </row>
    <row r="721" spans="1:3" x14ac:dyDescent="0.2">
      <c r="A721" s="27">
        <v>719</v>
      </c>
      <c r="B721" s="27">
        <f t="shared" ca="1" si="11"/>
        <v>0.55057342232797124</v>
      </c>
      <c r="C721" s="27" t="s">
        <v>226</v>
      </c>
    </row>
    <row r="722" spans="1:3" x14ac:dyDescent="0.2">
      <c r="A722" s="27">
        <v>720</v>
      </c>
      <c r="B722" s="27">
        <f t="shared" ca="1" si="11"/>
        <v>0.37256582605920308</v>
      </c>
      <c r="C722" s="27" t="s">
        <v>226</v>
      </c>
    </row>
    <row r="723" spans="1:3" x14ac:dyDescent="0.2">
      <c r="A723" s="27">
        <v>721</v>
      </c>
      <c r="B723" s="27">
        <f t="shared" ca="1" si="11"/>
        <v>0.78899647095109682</v>
      </c>
      <c r="C723" s="27" t="s">
        <v>227</v>
      </c>
    </row>
    <row r="724" spans="1:3" x14ac:dyDescent="0.2">
      <c r="A724" s="27">
        <v>722</v>
      </c>
      <c r="B724" s="27">
        <f t="shared" ca="1" si="11"/>
        <v>0.60091240526626555</v>
      </c>
      <c r="C724" s="27" t="s">
        <v>226</v>
      </c>
    </row>
    <row r="725" spans="1:3" x14ac:dyDescent="0.2">
      <c r="A725" s="27">
        <v>723</v>
      </c>
      <c r="B725" s="27">
        <f t="shared" ca="1" si="11"/>
        <v>0.83413778127806848</v>
      </c>
      <c r="C725" s="27" t="s">
        <v>227</v>
      </c>
    </row>
    <row r="726" spans="1:3" x14ac:dyDescent="0.2">
      <c r="A726" s="27">
        <v>724</v>
      </c>
      <c r="B726" s="27">
        <f t="shared" ca="1" si="11"/>
        <v>0.94175413109955219</v>
      </c>
      <c r="C726" s="27" t="s">
        <v>227</v>
      </c>
    </row>
    <row r="727" spans="1:3" x14ac:dyDescent="0.2">
      <c r="A727" s="27">
        <v>725</v>
      </c>
      <c r="B727" s="27">
        <f t="shared" ca="1" si="11"/>
        <v>0.59280431145173884</v>
      </c>
      <c r="C727" s="27" t="s">
        <v>226</v>
      </c>
    </row>
    <row r="728" spans="1:3" x14ac:dyDescent="0.2">
      <c r="A728" s="27">
        <v>726</v>
      </c>
      <c r="B728" s="27">
        <f t="shared" ca="1" si="11"/>
        <v>0.84435010550313272</v>
      </c>
      <c r="C728" s="27" t="s">
        <v>226</v>
      </c>
    </row>
    <row r="729" spans="1:3" x14ac:dyDescent="0.2">
      <c r="A729" s="27">
        <v>727</v>
      </c>
      <c r="B729" s="27">
        <f t="shared" ca="1" si="11"/>
        <v>0.52290279413030505</v>
      </c>
      <c r="C729" s="27" t="s">
        <v>227</v>
      </c>
    </row>
    <row r="730" spans="1:3" x14ac:dyDescent="0.2">
      <c r="A730" s="27">
        <v>728</v>
      </c>
      <c r="B730" s="27">
        <f t="shared" ca="1" si="11"/>
        <v>0.82480716409306765</v>
      </c>
      <c r="C730" s="27" t="s">
        <v>226</v>
      </c>
    </row>
    <row r="731" spans="1:3" x14ac:dyDescent="0.2">
      <c r="A731" s="27">
        <v>729</v>
      </c>
      <c r="B731" s="27">
        <f t="shared" ca="1" si="11"/>
        <v>0.58445975581618659</v>
      </c>
      <c r="C731" s="27" t="s">
        <v>227</v>
      </c>
    </row>
    <row r="732" spans="1:3" x14ac:dyDescent="0.2">
      <c r="A732" s="27">
        <v>730</v>
      </c>
      <c r="B732" s="27">
        <f t="shared" ca="1" si="11"/>
        <v>0.61949698271319487</v>
      </c>
      <c r="C732" s="27" t="s">
        <v>227</v>
      </c>
    </row>
    <row r="733" spans="1:3" x14ac:dyDescent="0.2">
      <c r="A733" s="27">
        <v>731</v>
      </c>
      <c r="B733" s="27">
        <f t="shared" ca="1" si="11"/>
        <v>0.72553979378368938</v>
      </c>
      <c r="C733" s="27" t="s">
        <v>227</v>
      </c>
    </row>
    <row r="734" spans="1:3" x14ac:dyDescent="0.2">
      <c r="A734" s="27">
        <v>732</v>
      </c>
      <c r="B734" s="27">
        <f t="shared" ca="1" si="11"/>
        <v>0.63963309376815958</v>
      </c>
      <c r="C734" s="27" t="s">
        <v>226</v>
      </c>
    </row>
    <row r="735" spans="1:3" x14ac:dyDescent="0.2">
      <c r="A735" s="27">
        <v>733</v>
      </c>
      <c r="B735" s="27">
        <f t="shared" ca="1" si="11"/>
        <v>0.60054333122103254</v>
      </c>
      <c r="C735" s="27" t="s">
        <v>226</v>
      </c>
    </row>
    <row r="736" spans="1:3" x14ac:dyDescent="0.2">
      <c r="A736" s="27">
        <v>734</v>
      </c>
      <c r="B736" s="27">
        <f t="shared" ca="1" si="11"/>
        <v>0.66771701012525808</v>
      </c>
      <c r="C736" s="27" t="s">
        <v>226</v>
      </c>
    </row>
    <row r="737" spans="1:3" x14ac:dyDescent="0.2">
      <c r="A737" s="27">
        <v>735</v>
      </c>
      <c r="B737" s="27">
        <f t="shared" ca="1" si="11"/>
        <v>0.81634990406016961</v>
      </c>
      <c r="C737" s="27" t="s">
        <v>227</v>
      </c>
    </row>
    <row r="738" spans="1:3" x14ac:dyDescent="0.2">
      <c r="A738" s="27">
        <v>736</v>
      </c>
      <c r="B738" s="27">
        <f t="shared" ca="1" si="11"/>
        <v>0.69690206156358558</v>
      </c>
      <c r="C738" s="27" t="s">
        <v>227</v>
      </c>
    </row>
    <row r="739" spans="1:3" x14ac:dyDescent="0.2">
      <c r="A739" s="27">
        <v>737</v>
      </c>
      <c r="B739" s="27">
        <f t="shared" ca="1" si="11"/>
        <v>0.60189974862406947</v>
      </c>
      <c r="C739" s="27" t="s">
        <v>226</v>
      </c>
    </row>
    <row r="740" spans="1:3" x14ac:dyDescent="0.2">
      <c r="A740" s="27">
        <v>738</v>
      </c>
      <c r="B740" s="27">
        <f t="shared" ca="1" si="11"/>
        <v>0.5497478302692107</v>
      </c>
      <c r="C740" s="27" t="s">
        <v>226</v>
      </c>
    </row>
    <row r="741" spans="1:3" x14ac:dyDescent="0.2">
      <c r="A741" s="27">
        <v>739</v>
      </c>
      <c r="B741" s="27">
        <f t="shared" ca="1" si="11"/>
        <v>0.77198433672580002</v>
      </c>
      <c r="C741" s="27" t="s">
        <v>227</v>
      </c>
    </row>
    <row r="742" spans="1:3" x14ac:dyDescent="0.2">
      <c r="A742" s="27">
        <v>740</v>
      </c>
      <c r="B742" s="27">
        <f t="shared" ca="1" si="11"/>
        <v>0.43210662431466995</v>
      </c>
      <c r="C742" s="27" t="s">
        <v>226</v>
      </c>
    </row>
    <row r="743" spans="1:3" x14ac:dyDescent="0.2">
      <c r="A743" s="27">
        <v>741</v>
      </c>
      <c r="B743" s="27">
        <f t="shared" ca="1" si="11"/>
        <v>0.60640292476386182</v>
      </c>
      <c r="C743" s="27" t="s">
        <v>226</v>
      </c>
    </row>
    <row r="744" spans="1:3" x14ac:dyDescent="0.2">
      <c r="A744" s="27">
        <v>742</v>
      </c>
      <c r="B744" s="27">
        <f t="shared" ca="1" si="11"/>
        <v>0.6715827167778653</v>
      </c>
      <c r="C744" s="27" t="s">
        <v>226</v>
      </c>
    </row>
    <row r="745" spans="1:3" x14ac:dyDescent="0.2">
      <c r="A745" s="27">
        <v>743</v>
      </c>
      <c r="B745" s="27">
        <f t="shared" ca="1" si="11"/>
        <v>0.40134228990357457</v>
      </c>
      <c r="C745" s="27" t="s">
        <v>226</v>
      </c>
    </row>
    <row r="746" spans="1:3" x14ac:dyDescent="0.2">
      <c r="A746" s="27">
        <v>744</v>
      </c>
      <c r="B746" s="27">
        <f t="shared" ca="1" si="11"/>
        <v>0.53703800665131263</v>
      </c>
      <c r="C746" s="27" t="s">
        <v>226</v>
      </c>
    </row>
    <row r="747" spans="1:3" x14ac:dyDescent="0.2">
      <c r="A747" s="27">
        <v>745</v>
      </c>
      <c r="B747" s="27">
        <f t="shared" ca="1" si="11"/>
        <v>0.75139783884274458</v>
      </c>
      <c r="C747" s="27" t="s">
        <v>226</v>
      </c>
    </row>
    <row r="748" spans="1:3" x14ac:dyDescent="0.2">
      <c r="A748" s="27">
        <v>746</v>
      </c>
      <c r="B748" s="27">
        <f t="shared" ca="1" si="11"/>
        <v>0.62623142716472568</v>
      </c>
      <c r="C748" s="27" t="s">
        <v>227</v>
      </c>
    </row>
    <row r="749" spans="1:3" x14ac:dyDescent="0.2">
      <c r="A749" s="27">
        <v>747</v>
      </c>
      <c r="B749" s="27">
        <f t="shared" ca="1" si="11"/>
        <v>0.50138057628658894</v>
      </c>
      <c r="C749" s="27" t="s">
        <v>227</v>
      </c>
    </row>
    <row r="750" spans="1:3" x14ac:dyDescent="0.2">
      <c r="A750" s="27">
        <v>748</v>
      </c>
      <c r="B750" s="27">
        <f t="shared" ca="1" si="11"/>
        <v>0.53987340324033894</v>
      </c>
      <c r="C750" s="27" t="s">
        <v>226</v>
      </c>
    </row>
    <row r="751" spans="1:3" x14ac:dyDescent="0.2">
      <c r="A751" s="27">
        <v>749</v>
      </c>
      <c r="B751" s="27">
        <f t="shared" ca="1" si="11"/>
        <v>0.58143823831827257</v>
      </c>
      <c r="C751" s="27" t="s">
        <v>227</v>
      </c>
    </row>
    <row r="752" spans="1:3" x14ac:dyDescent="0.2">
      <c r="A752" s="27">
        <v>750</v>
      </c>
      <c r="B752" s="27">
        <f t="shared" ca="1" si="11"/>
        <v>0.6842755834432992</v>
      </c>
      <c r="C752" s="27" t="s">
        <v>226</v>
      </c>
    </row>
    <row r="753" spans="1:3" x14ac:dyDescent="0.2">
      <c r="A753" s="27">
        <v>751</v>
      </c>
      <c r="B753" s="27">
        <f t="shared" ca="1" si="11"/>
        <v>0.87989278726201259</v>
      </c>
      <c r="C753" s="27" t="s">
        <v>227</v>
      </c>
    </row>
    <row r="754" spans="1:3" x14ac:dyDescent="0.2">
      <c r="A754" s="27">
        <v>752</v>
      </c>
      <c r="B754" s="27">
        <f t="shared" ca="1" si="11"/>
        <v>0.79859230522275193</v>
      </c>
      <c r="C754" s="27" t="s">
        <v>227</v>
      </c>
    </row>
    <row r="755" spans="1:3" x14ac:dyDescent="0.2">
      <c r="A755" s="27">
        <v>753</v>
      </c>
      <c r="B755" s="27">
        <f t="shared" ca="1" si="11"/>
        <v>0.73745182537650378</v>
      </c>
      <c r="C755" s="27" t="s">
        <v>227</v>
      </c>
    </row>
    <row r="756" spans="1:3" x14ac:dyDescent="0.2">
      <c r="A756" s="27">
        <v>754</v>
      </c>
      <c r="B756" s="27">
        <f t="shared" ca="1" si="11"/>
        <v>0.63731068354292819</v>
      </c>
      <c r="C756" s="27" t="s">
        <v>227</v>
      </c>
    </row>
    <row r="757" spans="1:3" x14ac:dyDescent="0.2">
      <c r="A757" s="27">
        <v>755</v>
      </c>
      <c r="B757" s="27">
        <f t="shared" ca="1" si="11"/>
        <v>0.58609187727341272</v>
      </c>
      <c r="C757" s="27" t="s">
        <v>226</v>
      </c>
    </row>
    <row r="758" spans="1:3" x14ac:dyDescent="0.2">
      <c r="A758" s="27">
        <v>756</v>
      </c>
      <c r="B758" s="27">
        <f t="shared" ca="1" si="11"/>
        <v>0.62045372983095548</v>
      </c>
      <c r="C758" s="27" t="s">
        <v>227</v>
      </c>
    </row>
    <row r="759" spans="1:3" x14ac:dyDescent="0.2">
      <c r="A759" s="27">
        <v>757</v>
      </c>
      <c r="B759" s="27">
        <f t="shared" ca="1" si="11"/>
        <v>0.7203308463789394</v>
      </c>
      <c r="C759" s="27" t="s">
        <v>227</v>
      </c>
    </row>
    <row r="760" spans="1:3" x14ac:dyDescent="0.2">
      <c r="A760" s="27">
        <v>758</v>
      </c>
      <c r="B760" s="27">
        <f t="shared" ca="1" si="11"/>
        <v>0.67573718300311636</v>
      </c>
      <c r="C760" s="27" t="s">
        <v>227</v>
      </c>
    </row>
    <row r="761" spans="1:3" x14ac:dyDescent="0.2">
      <c r="A761" s="27">
        <v>759</v>
      </c>
      <c r="B761" s="27">
        <f t="shared" ca="1" si="11"/>
        <v>0.75350231211084673</v>
      </c>
      <c r="C761" s="27" t="s">
        <v>226</v>
      </c>
    </row>
    <row r="762" spans="1:3" x14ac:dyDescent="0.2">
      <c r="A762" s="27">
        <v>760</v>
      </c>
      <c r="B762" s="27">
        <f t="shared" ca="1" si="11"/>
        <v>0.61605604985800089</v>
      </c>
      <c r="C762" s="27" t="s">
        <v>227</v>
      </c>
    </row>
    <row r="763" spans="1:3" x14ac:dyDescent="0.2">
      <c r="A763" s="27">
        <v>761</v>
      </c>
      <c r="B763" s="27">
        <f t="shared" ca="1" si="11"/>
        <v>0.46703003818435618</v>
      </c>
      <c r="C763" s="27" t="s">
        <v>226</v>
      </c>
    </row>
    <row r="764" spans="1:3" x14ac:dyDescent="0.2">
      <c r="A764" s="27">
        <v>762</v>
      </c>
      <c r="B764" s="27">
        <f t="shared" ca="1" si="11"/>
        <v>0.39225408583206467</v>
      </c>
      <c r="C764" s="27" t="s">
        <v>226</v>
      </c>
    </row>
    <row r="765" spans="1:3" x14ac:dyDescent="0.2">
      <c r="A765" s="27">
        <v>763</v>
      </c>
      <c r="B765" s="27">
        <f t="shared" ca="1" si="11"/>
        <v>0.66267524380803444</v>
      </c>
      <c r="C765" s="27" t="s">
        <v>226</v>
      </c>
    </row>
    <row r="766" spans="1:3" x14ac:dyDescent="0.2">
      <c r="A766" s="27">
        <v>764</v>
      </c>
      <c r="B766" s="27">
        <f t="shared" ca="1" si="11"/>
        <v>0.45907585439732479</v>
      </c>
      <c r="C766" s="27" t="s">
        <v>226</v>
      </c>
    </row>
    <row r="767" spans="1:3" x14ac:dyDescent="0.2">
      <c r="A767" s="27">
        <v>765</v>
      </c>
      <c r="B767" s="27">
        <f t="shared" ca="1" si="11"/>
        <v>0.4324001283497293</v>
      </c>
      <c r="C767" s="27" t="s">
        <v>226</v>
      </c>
    </row>
    <row r="768" spans="1:3" x14ac:dyDescent="0.2">
      <c r="A768" s="27">
        <v>766</v>
      </c>
      <c r="B768" s="27">
        <f t="shared" ca="1" si="11"/>
        <v>0.54555598493203328</v>
      </c>
      <c r="C768" s="27" t="s">
        <v>226</v>
      </c>
    </row>
    <row r="769" spans="1:3" x14ac:dyDescent="0.2">
      <c r="A769" s="27">
        <v>767</v>
      </c>
      <c r="B769" s="27">
        <f t="shared" ca="1" si="11"/>
        <v>0.5831559174268266</v>
      </c>
      <c r="C769" s="27" t="s">
        <v>227</v>
      </c>
    </row>
    <row r="770" spans="1:3" x14ac:dyDescent="0.2">
      <c r="A770" s="27">
        <v>768</v>
      </c>
      <c r="B770" s="27">
        <f t="shared" ca="1" si="11"/>
        <v>0.63737149364940904</v>
      </c>
      <c r="C770" s="27" t="s">
        <v>227</v>
      </c>
    </row>
    <row r="771" spans="1:3" x14ac:dyDescent="0.2">
      <c r="A771" s="27">
        <v>769</v>
      </c>
      <c r="B771" s="27">
        <f t="shared" ref="B771:B834" ca="1" si="12">IF(C771="Bomb",_xlfn.NORM.INV(RAND(),0.7,0.1),_xlfn.NORM.INV(RAND(),0.6,0.15))</f>
        <v>0.34227653352276088</v>
      </c>
      <c r="C771" s="27" t="s">
        <v>226</v>
      </c>
    </row>
    <row r="772" spans="1:3" x14ac:dyDescent="0.2">
      <c r="A772" s="27">
        <v>770</v>
      </c>
      <c r="B772" s="27">
        <f t="shared" ca="1" si="12"/>
        <v>0.75983285921015797</v>
      </c>
      <c r="C772" s="27" t="s">
        <v>227</v>
      </c>
    </row>
    <row r="773" spans="1:3" x14ac:dyDescent="0.2">
      <c r="A773" s="27">
        <v>771</v>
      </c>
      <c r="B773" s="27">
        <f t="shared" ca="1" si="12"/>
        <v>0.39522273936518632</v>
      </c>
      <c r="C773" s="27" t="s">
        <v>226</v>
      </c>
    </row>
    <row r="774" spans="1:3" x14ac:dyDescent="0.2">
      <c r="A774" s="27">
        <v>772</v>
      </c>
      <c r="B774" s="27">
        <f t="shared" ca="1" si="12"/>
        <v>0.5536068863940603</v>
      </c>
      <c r="C774" s="27" t="s">
        <v>226</v>
      </c>
    </row>
    <row r="775" spans="1:3" x14ac:dyDescent="0.2">
      <c r="A775" s="27">
        <v>773</v>
      </c>
      <c r="B775" s="27">
        <f t="shared" ca="1" si="12"/>
        <v>0.64185037127965383</v>
      </c>
      <c r="C775" s="27" t="s">
        <v>226</v>
      </c>
    </row>
    <row r="776" spans="1:3" x14ac:dyDescent="0.2">
      <c r="A776" s="27">
        <v>774</v>
      </c>
      <c r="B776" s="27">
        <f t="shared" ca="1" si="12"/>
        <v>0.51839124960745009</v>
      </c>
      <c r="C776" s="27" t="s">
        <v>226</v>
      </c>
    </row>
    <row r="777" spans="1:3" x14ac:dyDescent="0.2">
      <c r="A777" s="27">
        <v>775</v>
      </c>
      <c r="B777" s="27">
        <f t="shared" ca="1" si="12"/>
        <v>0.52262234423771436</v>
      </c>
      <c r="C777" s="27" t="s">
        <v>227</v>
      </c>
    </row>
    <row r="778" spans="1:3" x14ac:dyDescent="0.2">
      <c r="A778" s="27">
        <v>776</v>
      </c>
      <c r="B778" s="27">
        <f t="shared" ca="1" si="12"/>
        <v>0.64251357980918666</v>
      </c>
      <c r="C778" s="27" t="s">
        <v>226</v>
      </c>
    </row>
    <row r="779" spans="1:3" x14ac:dyDescent="0.2">
      <c r="A779" s="27">
        <v>777</v>
      </c>
      <c r="B779" s="27">
        <f t="shared" ca="1" si="12"/>
        <v>0.6891580517564635</v>
      </c>
      <c r="C779" s="27" t="s">
        <v>227</v>
      </c>
    </row>
    <row r="780" spans="1:3" x14ac:dyDescent="0.2">
      <c r="A780" s="27">
        <v>778</v>
      </c>
      <c r="B780" s="27">
        <f t="shared" ca="1" si="12"/>
        <v>0.74716592208878252</v>
      </c>
      <c r="C780" s="27" t="s">
        <v>227</v>
      </c>
    </row>
    <row r="781" spans="1:3" x14ac:dyDescent="0.2">
      <c r="A781" s="27">
        <v>779</v>
      </c>
      <c r="B781" s="27">
        <f t="shared" ca="1" si="12"/>
        <v>0.9298495176558037</v>
      </c>
      <c r="C781" s="27" t="s">
        <v>227</v>
      </c>
    </row>
    <row r="782" spans="1:3" x14ac:dyDescent="0.2">
      <c r="A782" s="27">
        <v>780</v>
      </c>
      <c r="B782" s="27">
        <f t="shared" ca="1" si="12"/>
        <v>0.7427408915103545</v>
      </c>
      <c r="C782" s="27" t="s">
        <v>227</v>
      </c>
    </row>
    <row r="783" spans="1:3" x14ac:dyDescent="0.2">
      <c r="A783" s="27">
        <v>781</v>
      </c>
      <c r="B783" s="27">
        <f t="shared" ca="1" si="12"/>
        <v>0.47173825842733608</v>
      </c>
      <c r="C783" s="27" t="s">
        <v>227</v>
      </c>
    </row>
    <row r="784" spans="1:3" x14ac:dyDescent="0.2">
      <c r="A784" s="27">
        <v>782</v>
      </c>
      <c r="B784" s="27">
        <f t="shared" ca="1" si="12"/>
        <v>0.63351547991507562</v>
      </c>
      <c r="C784" s="27" t="s">
        <v>227</v>
      </c>
    </row>
    <row r="785" spans="1:3" x14ac:dyDescent="0.2">
      <c r="A785" s="27">
        <v>783</v>
      </c>
      <c r="B785" s="27">
        <f t="shared" ca="1" si="12"/>
        <v>0.67120155053436248</v>
      </c>
      <c r="C785" s="27" t="s">
        <v>227</v>
      </c>
    </row>
    <row r="786" spans="1:3" x14ac:dyDescent="0.2">
      <c r="A786" s="27">
        <v>784</v>
      </c>
      <c r="B786" s="27">
        <f t="shared" ca="1" si="12"/>
        <v>0.35509246769202257</v>
      </c>
      <c r="C786" s="27" t="s">
        <v>226</v>
      </c>
    </row>
    <row r="787" spans="1:3" x14ac:dyDescent="0.2">
      <c r="A787" s="27">
        <v>785</v>
      </c>
      <c r="B787" s="27">
        <f t="shared" ca="1" si="12"/>
        <v>0.70046439455037945</v>
      </c>
      <c r="C787" s="27" t="s">
        <v>226</v>
      </c>
    </row>
    <row r="788" spans="1:3" x14ac:dyDescent="0.2">
      <c r="A788" s="27">
        <v>786</v>
      </c>
      <c r="B788" s="27">
        <f t="shared" ca="1" si="12"/>
        <v>0.51390111560379914</v>
      </c>
      <c r="C788" s="27" t="s">
        <v>226</v>
      </c>
    </row>
    <row r="789" spans="1:3" x14ac:dyDescent="0.2">
      <c r="A789" s="27">
        <v>787</v>
      </c>
      <c r="B789" s="27">
        <f t="shared" ca="1" si="12"/>
        <v>0.76866409034246375</v>
      </c>
      <c r="C789" s="27" t="s">
        <v>227</v>
      </c>
    </row>
    <row r="790" spans="1:3" x14ac:dyDescent="0.2">
      <c r="A790" s="27">
        <v>788</v>
      </c>
      <c r="B790" s="27">
        <f t="shared" ca="1" si="12"/>
        <v>0.78162886667377118</v>
      </c>
      <c r="C790" s="27" t="s">
        <v>226</v>
      </c>
    </row>
    <row r="791" spans="1:3" x14ac:dyDescent="0.2">
      <c r="A791" s="27">
        <v>789</v>
      </c>
      <c r="B791" s="27">
        <f t="shared" ca="1" si="12"/>
        <v>0.74995488689193746</v>
      </c>
      <c r="C791" s="27" t="s">
        <v>227</v>
      </c>
    </row>
    <row r="792" spans="1:3" x14ac:dyDescent="0.2">
      <c r="A792" s="27">
        <v>790</v>
      </c>
      <c r="B792" s="27">
        <f t="shared" ca="1" si="12"/>
        <v>0.5301822967905554</v>
      </c>
      <c r="C792" s="27" t="s">
        <v>227</v>
      </c>
    </row>
    <row r="793" spans="1:3" x14ac:dyDescent="0.2">
      <c r="A793" s="27">
        <v>791</v>
      </c>
      <c r="B793" s="27">
        <f t="shared" ca="1" si="12"/>
        <v>0.3261592356391963</v>
      </c>
      <c r="C793" s="27" t="s">
        <v>226</v>
      </c>
    </row>
    <row r="794" spans="1:3" x14ac:dyDescent="0.2">
      <c r="A794" s="27">
        <v>792</v>
      </c>
      <c r="B794" s="27">
        <f t="shared" ca="1" si="12"/>
        <v>0.45411315066220481</v>
      </c>
      <c r="C794" s="27" t="s">
        <v>226</v>
      </c>
    </row>
    <row r="795" spans="1:3" x14ac:dyDescent="0.2">
      <c r="A795" s="27">
        <v>793</v>
      </c>
      <c r="B795" s="27">
        <f t="shared" ca="1" si="12"/>
        <v>0.70928714218422428</v>
      </c>
      <c r="C795" s="27" t="s">
        <v>227</v>
      </c>
    </row>
    <row r="796" spans="1:3" x14ac:dyDescent="0.2">
      <c r="A796" s="27">
        <v>794</v>
      </c>
      <c r="B796" s="27">
        <f t="shared" ca="1" si="12"/>
        <v>0.46486149775962415</v>
      </c>
      <c r="C796" s="27" t="s">
        <v>226</v>
      </c>
    </row>
    <row r="797" spans="1:3" x14ac:dyDescent="0.2">
      <c r="A797" s="27">
        <v>795</v>
      </c>
      <c r="B797" s="27">
        <f t="shared" ca="1" si="12"/>
        <v>0.29875105162101467</v>
      </c>
      <c r="C797" s="27" t="s">
        <v>226</v>
      </c>
    </row>
    <row r="798" spans="1:3" x14ac:dyDescent="0.2">
      <c r="A798" s="27">
        <v>796</v>
      </c>
      <c r="B798" s="27">
        <f t="shared" ca="1" si="12"/>
        <v>0.44266818511239225</v>
      </c>
      <c r="C798" s="27" t="s">
        <v>226</v>
      </c>
    </row>
    <row r="799" spans="1:3" x14ac:dyDescent="0.2">
      <c r="A799" s="27">
        <v>797</v>
      </c>
      <c r="B799" s="27">
        <f t="shared" ca="1" si="12"/>
        <v>0.72255166129987047</v>
      </c>
      <c r="C799" s="27" t="s">
        <v>226</v>
      </c>
    </row>
    <row r="800" spans="1:3" x14ac:dyDescent="0.2">
      <c r="A800" s="27">
        <v>798</v>
      </c>
      <c r="B800" s="27">
        <f t="shared" ca="1" si="12"/>
        <v>0.83160565977923562</v>
      </c>
      <c r="C800" s="27" t="s">
        <v>227</v>
      </c>
    </row>
    <row r="801" spans="1:3" x14ac:dyDescent="0.2">
      <c r="A801" s="27">
        <v>799</v>
      </c>
      <c r="B801" s="27">
        <f t="shared" ca="1" si="12"/>
        <v>0.21502156686382307</v>
      </c>
      <c r="C801" s="27" t="s">
        <v>226</v>
      </c>
    </row>
    <row r="802" spans="1:3" x14ac:dyDescent="0.2">
      <c r="A802" s="27">
        <v>800</v>
      </c>
      <c r="B802" s="27">
        <f t="shared" ca="1" si="12"/>
        <v>0.49718047000366833</v>
      </c>
      <c r="C802" s="27" t="s">
        <v>226</v>
      </c>
    </row>
    <row r="803" spans="1:3" x14ac:dyDescent="0.2">
      <c r="A803" s="27">
        <v>801</v>
      </c>
      <c r="B803" s="27">
        <f t="shared" ca="1" si="12"/>
        <v>0.72275787990039164</v>
      </c>
      <c r="C803" s="27" t="s">
        <v>226</v>
      </c>
    </row>
    <row r="804" spans="1:3" x14ac:dyDescent="0.2">
      <c r="A804" s="27">
        <v>802</v>
      </c>
      <c r="B804" s="27">
        <f t="shared" ca="1" si="12"/>
        <v>0.69643169578073105</v>
      </c>
      <c r="C804" s="27" t="s">
        <v>226</v>
      </c>
    </row>
    <row r="805" spans="1:3" x14ac:dyDescent="0.2">
      <c r="A805" s="27">
        <v>803</v>
      </c>
      <c r="B805" s="27">
        <f t="shared" ca="1" si="12"/>
        <v>0.72893393923596661</v>
      </c>
      <c r="C805" s="27" t="s">
        <v>227</v>
      </c>
    </row>
    <row r="806" spans="1:3" x14ac:dyDescent="0.2">
      <c r="A806" s="27">
        <v>804</v>
      </c>
      <c r="B806" s="27">
        <f t="shared" ca="1" si="12"/>
        <v>0.44826316107171549</v>
      </c>
      <c r="C806" s="27" t="s">
        <v>226</v>
      </c>
    </row>
    <row r="807" spans="1:3" x14ac:dyDescent="0.2">
      <c r="A807" s="27">
        <v>805</v>
      </c>
      <c r="B807" s="27">
        <f t="shared" ca="1" si="12"/>
        <v>0.65847911955692329</v>
      </c>
      <c r="C807" s="27" t="s">
        <v>227</v>
      </c>
    </row>
    <row r="808" spans="1:3" x14ac:dyDescent="0.2">
      <c r="A808" s="27">
        <v>806</v>
      </c>
      <c r="B808" s="27">
        <f t="shared" ca="1" si="12"/>
        <v>0.70213904140309746</v>
      </c>
      <c r="C808" s="27" t="s">
        <v>226</v>
      </c>
    </row>
    <row r="809" spans="1:3" x14ac:dyDescent="0.2">
      <c r="A809" s="27">
        <v>807</v>
      </c>
      <c r="B809" s="27">
        <f t="shared" ca="1" si="12"/>
        <v>0.66744155275038453</v>
      </c>
      <c r="C809" s="27" t="s">
        <v>227</v>
      </c>
    </row>
    <row r="810" spans="1:3" x14ac:dyDescent="0.2">
      <c r="A810" s="27">
        <v>808</v>
      </c>
      <c r="B810" s="27">
        <f t="shared" ca="1" si="12"/>
        <v>0.72474521622047516</v>
      </c>
      <c r="C810" s="27" t="s">
        <v>227</v>
      </c>
    </row>
    <row r="811" spans="1:3" x14ac:dyDescent="0.2">
      <c r="A811" s="27">
        <v>809</v>
      </c>
      <c r="B811" s="27">
        <f t="shared" ca="1" si="12"/>
        <v>0.69687871700782666</v>
      </c>
      <c r="C811" s="27" t="s">
        <v>227</v>
      </c>
    </row>
    <row r="812" spans="1:3" x14ac:dyDescent="0.2">
      <c r="A812" s="27">
        <v>810</v>
      </c>
      <c r="B812" s="27">
        <f t="shared" ca="1" si="12"/>
        <v>0.81422305702032294</v>
      </c>
      <c r="C812" s="27" t="s">
        <v>227</v>
      </c>
    </row>
    <row r="813" spans="1:3" x14ac:dyDescent="0.2">
      <c r="A813" s="27">
        <v>811</v>
      </c>
      <c r="B813" s="27">
        <f t="shared" ca="1" si="12"/>
        <v>0.25152177001729981</v>
      </c>
      <c r="C813" s="27" t="s">
        <v>226</v>
      </c>
    </row>
    <row r="814" spans="1:3" x14ac:dyDescent="0.2">
      <c r="A814" s="27">
        <v>812</v>
      </c>
      <c r="B814" s="27">
        <f t="shared" ca="1" si="12"/>
        <v>0.61003422092619919</v>
      </c>
      <c r="C814" s="27" t="s">
        <v>227</v>
      </c>
    </row>
    <row r="815" spans="1:3" x14ac:dyDescent="0.2">
      <c r="A815" s="27">
        <v>813</v>
      </c>
      <c r="B815" s="27">
        <f t="shared" ca="1" si="12"/>
        <v>0.59205311562777951</v>
      </c>
      <c r="C815" s="27" t="s">
        <v>227</v>
      </c>
    </row>
    <row r="816" spans="1:3" x14ac:dyDescent="0.2">
      <c r="A816" s="27">
        <v>814</v>
      </c>
      <c r="B816" s="27">
        <f t="shared" ca="1" si="12"/>
        <v>0.4800737465280851</v>
      </c>
      <c r="C816" s="27" t="s">
        <v>226</v>
      </c>
    </row>
    <row r="817" spans="1:3" x14ac:dyDescent="0.2">
      <c r="A817" s="27">
        <v>815</v>
      </c>
      <c r="B817" s="27">
        <f t="shared" ca="1" si="12"/>
        <v>0.64398874591494759</v>
      </c>
      <c r="C817" s="27" t="s">
        <v>226</v>
      </c>
    </row>
    <row r="818" spans="1:3" x14ac:dyDescent="0.2">
      <c r="A818" s="27">
        <v>816</v>
      </c>
      <c r="B818" s="27">
        <f t="shared" ca="1" si="12"/>
        <v>0.83237784903480105</v>
      </c>
      <c r="C818" s="27" t="s">
        <v>226</v>
      </c>
    </row>
    <row r="819" spans="1:3" x14ac:dyDescent="0.2">
      <c r="A819" s="27">
        <v>817</v>
      </c>
      <c r="B819" s="27">
        <f t="shared" ca="1" si="12"/>
        <v>0.74561380604160088</v>
      </c>
      <c r="C819" s="27" t="s">
        <v>226</v>
      </c>
    </row>
    <row r="820" spans="1:3" x14ac:dyDescent="0.2">
      <c r="A820" s="27">
        <v>818</v>
      </c>
      <c r="B820" s="27">
        <f t="shared" ca="1" si="12"/>
        <v>0.62284671162101835</v>
      </c>
      <c r="C820" s="27" t="s">
        <v>226</v>
      </c>
    </row>
    <row r="821" spans="1:3" x14ac:dyDescent="0.2">
      <c r="A821" s="27">
        <v>819</v>
      </c>
      <c r="B821" s="27">
        <f t="shared" ca="1" si="12"/>
        <v>0.65324609913542608</v>
      </c>
      <c r="C821" s="27" t="s">
        <v>226</v>
      </c>
    </row>
    <row r="822" spans="1:3" x14ac:dyDescent="0.2">
      <c r="A822" s="27">
        <v>820</v>
      </c>
      <c r="B822" s="27">
        <f t="shared" ca="1" si="12"/>
        <v>0.44855336605166896</v>
      </c>
      <c r="C822" s="27" t="s">
        <v>226</v>
      </c>
    </row>
    <row r="823" spans="1:3" x14ac:dyDescent="0.2">
      <c r="A823" s="27">
        <v>821</v>
      </c>
      <c r="B823" s="27">
        <f t="shared" ca="1" si="12"/>
        <v>0.77629116669955844</v>
      </c>
      <c r="C823" s="27" t="s">
        <v>227</v>
      </c>
    </row>
    <row r="824" spans="1:3" x14ac:dyDescent="0.2">
      <c r="A824" s="27">
        <v>822</v>
      </c>
      <c r="B824" s="27">
        <f t="shared" ca="1" si="12"/>
        <v>0.68140817196197234</v>
      </c>
      <c r="C824" s="27" t="s">
        <v>226</v>
      </c>
    </row>
    <row r="825" spans="1:3" x14ac:dyDescent="0.2">
      <c r="A825" s="27">
        <v>823</v>
      </c>
      <c r="B825" s="27">
        <f t="shared" ca="1" si="12"/>
        <v>0.58620429059491352</v>
      </c>
      <c r="C825" s="27" t="s">
        <v>227</v>
      </c>
    </row>
    <row r="826" spans="1:3" x14ac:dyDescent="0.2">
      <c r="A826" s="27">
        <v>824</v>
      </c>
      <c r="B826" s="27">
        <f t="shared" ca="1" si="12"/>
        <v>0.78670757170598071</v>
      </c>
      <c r="C826" s="27" t="s">
        <v>227</v>
      </c>
    </row>
    <row r="827" spans="1:3" x14ac:dyDescent="0.2">
      <c r="A827" s="27">
        <v>825</v>
      </c>
      <c r="B827" s="27">
        <f t="shared" ca="1" si="12"/>
        <v>0.68441758658319085</v>
      </c>
      <c r="C827" s="27" t="s">
        <v>227</v>
      </c>
    </row>
    <row r="828" spans="1:3" x14ac:dyDescent="0.2">
      <c r="A828" s="27">
        <v>826</v>
      </c>
      <c r="B828" s="27">
        <f t="shared" ca="1" si="12"/>
        <v>0.52660026826028927</v>
      </c>
      <c r="C828" s="27" t="s">
        <v>226</v>
      </c>
    </row>
    <row r="829" spans="1:3" x14ac:dyDescent="0.2">
      <c r="A829" s="27">
        <v>827</v>
      </c>
      <c r="B829" s="27">
        <f t="shared" ca="1" si="12"/>
        <v>0.68359370614365922</v>
      </c>
      <c r="C829" s="27" t="s">
        <v>226</v>
      </c>
    </row>
    <row r="830" spans="1:3" x14ac:dyDescent="0.2">
      <c r="A830" s="27">
        <v>828</v>
      </c>
      <c r="B830" s="27">
        <f t="shared" ca="1" si="12"/>
        <v>0.55124083299639959</v>
      </c>
      <c r="C830" s="27" t="s">
        <v>226</v>
      </c>
    </row>
    <row r="831" spans="1:3" x14ac:dyDescent="0.2">
      <c r="A831" s="27">
        <v>829</v>
      </c>
      <c r="B831" s="27">
        <f t="shared" ca="1" si="12"/>
        <v>0.89287579920999938</v>
      </c>
      <c r="C831" s="27" t="s">
        <v>227</v>
      </c>
    </row>
    <row r="832" spans="1:3" x14ac:dyDescent="0.2">
      <c r="A832" s="27">
        <v>830</v>
      </c>
      <c r="B832" s="27">
        <f t="shared" ca="1" si="12"/>
        <v>0.40195058919350046</v>
      </c>
      <c r="C832" s="27" t="s">
        <v>226</v>
      </c>
    </row>
    <row r="833" spans="1:3" x14ac:dyDescent="0.2">
      <c r="A833" s="27">
        <v>831</v>
      </c>
      <c r="B833" s="27">
        <f t="shared" ca="1" si="12"/>
        <v>0.5866900024336309</v>
      </c>
      <c r="C833" s="27" t="s">
        <v>226</v>
      </c>
    </row>
    <row r="834" spans="1:3" x14ac:dyDescent="0.2">
      <c r="A834" s="27">
        <v>832</v>
      </c>
      <c r="B834" s="27">
        <f t="shared" ca="1" si="12"/>
        <v>0.70035046185452987</v>
      </c>
      <c r="C834" s="27" t="s">
        <v>226</v>
      </c>
    </row>
    <row r="835" spans="1:3" x14ac:dyDescent="0.2">
      <c r="A835" s="27">
        <v>833</v>
      </c>
      <c r="B835" s="27">
        <f t="shared" ref="B835:B898" ca="1" si="13">IF(C835="Bomb",_xlfn.NORM.INV(RAND(),0.7,0.1),_xlfn.NORM.INV(RAND(),0.6,0.15))</f>
        <v>0.71945036703728915</v>
      </c>
      <c r="C835" s="27" t="s">
        <v>227</v>
      </c>
    </row>
    <row r="836" spans="1:3" x14ac:dyDescent="0.2">
      <c r="A836" s="27">
        <v>834</v>
      </c>
      <c r="B836" s="27">
        <f t="shared" ca="1" si="13"/>
        <v>0.67302847175910452</v>
      </c>
      <c r="C836" s="27" t="s">
        <v>226</v>
      </c>
    </row>
    <row r="837" spans="1:3" x14ac:dyDescent="0.2">
      <c r="A837" s="27">
        <v>835</v>
      </c>
      <c r="B837" s="27">
        <f t="shared" ca="1" si="13"/>
        <v>0.77353932491784438</v>
      </c>
      <c r="C837" s="27" t="s">
        <v>227</v>
      </c>
    </row>
    <row r="838" spans="1:3" x14ac:dyDescent="0.2">
      <c r="A838" s="27">
        <v>836</v>
      </c>
      <c r="B838" s="27">
        <f t="shared" ca="1" si="13"/>
        <v>0.48634102225240949</v>
      </c>
      <c r="C838" s="27" t="s">
        <v>226</v>
      </c>
    </row>
    <row r="839" spans="1:3" x14ac:dyDescent="0.2">
      <c r="A839" s="27">
        <v>837</v>
      </c>
      <c r="B839" s="27">
        <f t="shared" ca="1" si="13"/>
        <v>0.73316408794053223</v>
      </c>
      <c r="C839" s="27" t="s">
        <v>227</v>
      </c>
    </row>
    <row r="840" spans="1:3" x14ac:dyDescent="0.2">
      <c r="A840" s="27">
        <v>838</v>
      </c>
      <c r="B840" s="27">
        <f t="shared" ca="1" si="13"/>
        <v>0.57249133855388112</v>
      </c>
      <c r="C840" s="27" t="s">
        <v>226</v>
      </c>
    </row>
    <row r="841" spans="1:3" x14ac:dyDescent="0.2">
      <c r="A841" s="27">
        <v>839</v>
      </c>
      <c r="B841" s="27">
        <f t="shared" ca="1" si="13"/>
        <v>0.69288644939891852</v>
      </c>
      <c r="C841" s="27" t="s">
        <v>227</v>
      </c>
    </row>
    <row r="842" spans="1:3" x14ac:dyDescent="0.2">
      <c r="A842" s="27">
        <v>840</v>
      </c>
      <c r="B842" s="27">
        <f t="shared" ca="1" si="13"/>
        <v>0.63051867669897899</v>
      </c>
      <c r="C842" s="27" t="s">
        <v>227</v>
      </c>
    </row>
    <row r="843" spans="1:3" x14ac:dyDescent="0.2">
      <c r="A843" s="27">
        <v>841</v>
      </c>
      <c r="B843" s="27">
        <f t="shared" ca="1" si="13"/>
        <v>0.72514644063956624</v>
      </c>
      <c r="C843" s="27" t="s">
        <v>227</v>
      </c>
    </row>
    <row r="844" spans="1:3" x14ac:dyDescent="0.2">
      <c r="A844" s="27">
        <v>842</v>
      </c>
      <c r="B844" s="27">
        <f t="shared" ca="1" si="13"/>
        <v>0.73312513923402789</v>
      </c>
      <c r="C844" s="27" t="s">
        <v>226</v>
      </c>
    </row>
    <row r="845" spans="1:3" x14ac:dyDescent="0.2">
      <c r="A845" s="27">
        <v>843</v>
      </c>
      <c r="B845" s="27">
        <f t="shared" ca="1" si="13"/>
        <v>0.77666492572782875</v>
      </c>
      <c r="C845" s="27" t="s">
        <v>226</v>
      </c>
    </row>
    <row r="846" spans="1:3" x14ac:dyDescent="0.2">
      <c r="A846" s="27">
        <v>844</v>
      </c>
      <c r="B846" s="27">
        <f t="shared" ca="1" si="13"/>
        <v>0.68539972266987903</v>
      </c>
      <c r="C846" s="27" t="s">
        <v>226</v>
      </c>
    </row>
    <row r="847" spans="1:3" x14ac:dyDescent="0.2">
      <c r="A847" s="27">
        <v>845</v>
      </c>
      <c r="B847" s="27">
        <f t="shared" ca="1" si="13"/>
        <v>0.88429848913677678</v>
      </c>
      <c r="C847" s="27" t="s">
        <v>226</v>
      </c>
    </row>
    <row r="848" spans="1:3" x14ac:dyDescent="0.2">
      <c r="A848" s="27">
        <v>846</v>
      </c>
      <c r="B848" s="27">
        <f t="shared" ca="1" si="13"/>
        <v>0.62980951189970336</v>
      </c>
      <c r="C848" s="27" t="s">
        <v>226</v>
      </c>
    </row>
    <row r="849" spans="1:3" x14ac:dyDescent="0.2">
      <c r="A849" s="27">
        <v>847</v>
      </c>
      <c r="B849" s="27">
        <f t="shared" ca="1" si="13"/>
        <v>0.69924768997425246</v>
      </c>
      <c r="C849" s="27" t="s">
        <v>227</v>
      </c>
    </row>
    <row r="850" spans="1:3" x14ac:dyDescent="0.2">
      <c r="A850" s="27">
        <v>848</v>
      </c>
      <c r="B850" s="27">
        <f t="shared" ca="1" si="13"/>
        <v>0.47132829155899503</v>
      </c>
      <c r="C850" s="27" t="s">
        <v>226</v>
      </c>
    </row>
    <row r="851" spans="1:3" x14ac:dyDescent="0.2">
      <c r="A851" s="27">
        <v>849</v>
      </c>
      <c r="B851" s="27">
        <f t="shared" ca="1" si="13"/>
        <v>0.65180366514139276</v>
      </c>
      <c r="C851" s="27" t="s">
        <v>227</v>
      </c>
    </row>
    <row r="852" spans="1:3" x14ac:dyDescent="0.2">
      <c r="A852" s="27">
        <v>850</v>
      </c>
      <c r="B852" s="27">
        <f t="shared" ca="1" si="13"/>
        <v>0.43066679462872398</v>
      </c>
      <c r="C852" s="27" t="s">
        <v>226</v>
      </c>
    </row>
    <row r="853" spans="1:3" x14ac:dyDescent="0.2">
      <c r="A853" s="27">
        <v>851</v>
      </c>
      <c r="B853" s="27">
        <f t="shared" ca="1" si="13"/>
        <v>0.72710562327664641</v>
      </c>
      <c r="C853" s="27" t="s">
        <v>226</v>
      </c>
    </row>
    <row r="854" spans="1:3" x14ac:dyDescent="0.2">
      <c r="A854" s="27">
        <v>852</v>
      </c>
      <c r="B854" s="27">
        <f t="shared" ca="1" si="13"/>
        <v>0.62084048856888141</v>
      </c>
      <c r="C854" s="27" t="s">
        <v>226</v>
      </c>
    </row>
    <row r="855" spans="1:3" x14ac:dyDescent="0.2">
      <c r="A855" s="27">
        <v>853</v>
      </c>
      <c r="B855" s="27">
        <f t="shared" ca="1" si="13"/>
        <v>0.72755640243019881</v>
      </c>
      <c r="C855" s="27" t="s">
        <v>226</v>
      </c>
    </row>
    <row r="856" spans="1:3" x14ac:dyDescent="0.2">
      <c r="A856" s="27">
        <v>854</v>
      </c>
      <c r="B856" s="27">
        <f t="shared" ca="1" si="13"/>
        <v>0.53955382519354744</v>
      </c>
      <c r="C856" s="27" t="s">
        <v>226</v>
      </c>
    </row>
    <row r="857" spans="1:3" x14ac:dyDescent="0.2">
      <c r="A857" s="27">
        <v>855</v>
      </c>
      <c r="B857" s="27">
        <f t="shared" ca="1" si="13"/>
        <v>0.72291528157566898</v>
      </c>
      <c r="C857" s="27" t="s">
        <v>227</v>
      </c>
    </row>
    <row r="858" spans="1:3" x14ac:dyDescent="0.2">
      <c r="A858" s="27">
        <v>856</v>
      </c>
      <c r="B858" s="27">
        <f t="shared" ca="1" si="13"/>
        <v>0.74383207299593634</v>
      </c>
      <c r="C858" s="27" t="s">
        <v>227</v>
      </c>
    </row>
    <row r="859" spans="1:3" x14ac:dyDescent="0.2">
      <c r="A859" s="27">
        <v>857</v>
      </c>
      <c r="B859" s="27">
        <f t="shared" ca="1" si="13"/>
        <v>0.512099462654655</v>
      </c>
      <c r="C859" s="27" t="s">
        <v>226</v>
      </c>
    </row>
    <row r="860" spans="1:3" x14ac:dyDescent="0.2">
      <c r="A860" s="27">
        <v>858</v>
      </c>
      <c r="B860" s="27">
        <f t="shared" ca="1" si="13"/>
        <v>0.94260890720410817</v>
      </c>
      <c r="C860" s="27" t="s">
        <v>226</v>
      </c>
    </row>
    <row r="861" spans="1:3" x14ac:dyDescent="0.2">
      <c r="A861" s="27">
        <v>859</v>
      </c>
      <c r="B861" s="27">
        <f t="shared" ca="1" si="13"/>
        <v>0.49907381035160536</v>
      </c>
      <c r="C861" s="27" t="s">
        <v>226</v>
      </c>
    </row>
    <row r="862" spans="1:3" x14ac:dyDescent="0.2">
      <c r="A862" s="27">
        <v>860</v>
      </c>
      <c r="B862" s="27">
        <f t="shared" ca="1" si="13"/>
        <v>0.69088593326087899</v>
      </c>
      <c r="C862" s="27" t="s">
        <v>226</v>
      </c>
    </row>
    <row r="863" spans="1:3" x14ac:dyDescent="0.2">
      <c r="A863" s="27">
        <v>861</v>
      </c>
      <c r="B863" s="27">
        <f t="shared" ca="1" si="13"/>
        <v>0.59973208988854587</v>
      </c>
      <c r="C863" s="27" t="s">
        <v>227</v>
      </c>
    </row>
    <row r="864" spans="1:3" x14ac:dyDescent="0.2">
      <c r="A864" s="27">
        <v>862</v>
      </c>
      <c r="B864" s="27">
        <f t="shared" ca="1" si="13"/>
        <v>0.74702119360440278</v>
      </c>
      <c r="C864" s="27" t="s">
        <v>226</v>
      </c>
    </row>
    <row r="865" spans="1:3" x14ac:dyDescent="0.2">
      <c r="A865" s="27">
        <v>863</v>
      </c>
      <c r="B865" s="27">
        <f t="shared" ca="1" si="13"/>
        <v>0.43774165633788675</v>
      </c>
      <c r="C865" s="27" t="s">
        <v>226</v>
      </c>
    </row>
    <row r="866" spans="1:3" x14ac:dyDescent="0.2">
      <c r="A866" s="27">
        <v>864</v>
      </c>
      <c r="B866" s="27">
        <f t="shared" ca="1" si="13"/>
        <v>0.69330857590300909</v>
      </c>
      <c r="C866" s="27" t="s">
        <v>226</v>
      </c>
    </row>
    <row r="867" spans="1:3" x14ac:dyDescent="0.2">
      <c r="A867" s="27">
        <v>865</v>
      </c>
      <c r="B867" s="27">
        <f t="shared" ca="1" si="13"/>
        <v>0.59378778514414032</v>
      </c>
      <c r="C867" s="27" t="s">
        <v>226</v>
      </c>
    </row>
    <row r="868" spans="1:3" x14ac:dyDescent="0.2">
      <c r="A868" s="27">
        <v>866</v>
      </c>
      <c r="B868" s="27">
        <f t="shared" ca="1" si="13"/>
        <v>0.68260452548275863</v>
      </c>
      <c r="C868" s="27" t="s">
        <v>226</v>
      </c>
    </row>
    <row r="869" spans="1:3" x14ac:dyDescent="0.2">
      <c r="A869" s="27">
        <v>867</v>
      </c>
      <c r="B869" s="27">
        <f t="shared" ca="1" si="13"/>
        <v>0.68902657900876918</v>
      </c>
      <c r="C869" s="27" t="s">
        <v>226</v>
      </c>
    </row>
    <row r="870" spans="1:3" x14ac:dyDescent="0.2">
      <c r="A870" s="27">
        <v>868</v>
      </c>
      <c r="B870" s="27">
        <f t="shared" ca="1" si="13"/>
        <v>0.66238213880961427</v>
      </c>
      <c r="C870" s="27" t="s">
        <v>226</v>
      </c>
    </row>
    <row r="871" spans="1:3" x14ac:dyDescent="0.2">
      <c r="A871" s="27">
        <v>869</v>
      </c>
      <c r="B871" s="27">
        <f t="shared" ca="1" si="13"/>
        <v>0.73540714211658664</v>
      </c>
      <c r="C871" s="27" t="s">
        <v>226</v>
      </c>
    </row>
    <row r="872" spans="1:3" x14ac:dyDescent="0.2">
      <c r="A872" s="27">
        <v>870</v>
      </c>
      <c r="B872" s="27">
        <f t="shared" ca="1" si="13"/>
        <v>0.47983076750322262</v>
      </c>
      <c r="C872" s="27" t="s">
        <v>226</v>
      </c>
    </row>
    <row r="873" spans="1:3" x14ac:dyDescent="0.2">
      <c r="A873" s="27">
        <v>871</v>
      </c>
      <c r="B873" s="27">
        <f t="shared" ca="1" si="13"/>
        <v>0.74766657488074018</v>
      </c>
      <c r="C873" s="27" t="s">
        <v>227</v>
      </c>
    </row>
    <row r="874" spans="1:3" x14ac:dyDescent="0.2">
      <c r="A874" s="27">
        <v>872</v>
      </c>
      <c r="B874" s="27">
        <f t="shared" ca="1" si="13"/>
        <v>0.58894441982671053</v>
      </c>
      <c r="C874" s="27" t="s">
        <v>227</v>
      </c>
    </row>
    <row r="875" spans="1:3" x14ac:dyDescent="0.2">
      <c r="A875" s="27">
        <v>873</v>
      </c>
      <c r="B875" s="27">
        <f t="shared" ca="1" si="13"/>
        <v>0.77178001823474029</v>
      </c>
      <c r="C875" s="27" t="s">
        <v>227</v>
      </c>
    </row>
    <row r="876" spans="1:3" x14ac:dyDescent="0.2">
      <c r="A876" s="27">
        <v>874</v>
      </c>
      <c r="B876" s="27">
        <f t="shared" ca="1" si="13"/>
        <v>0.67124383587622982</v>
      </c>
      <c r="C876" s="27" t="s">
        <v>226</v>
      </c>
    </row>
    <row r="877" spans="1:3" x14ac:dyDescent="0.2">
      <c r="A877" s="27">
        <v>875</v>
      </c>
      <c r="B877" s="27">
        <f t="shared" ca="1" si="13"/>
        <v>0.57728027589150332</v>
      </c>
      <c r="C877" s="27" t="s">
        <v>226</v>
      </c>
    </row>
    <row r="878" spans="1:3" x14ac:dyDescent="0.2">
      <c r="A878" s="27">
        <v>876</v>
      </c>
      <c r="B878" s="27">
        <f t="shared" ca="1" si="13"/>
        <v>0.66911594312075928</v>
      </c>
      <c r="C878" s="27" t="s">
        <v>227</v>
      </c>
    </row>
    <row r="879" spans="1:3" x14ac:dyDescent="0.2">
      <c r="A879" s="27">
        <v>877</v>
      </c>
      <c r="B879" s="27">
        <f t="shared" ca="1" si="13"/>
        <v>0.70555585434763124</v>
      </c>
      <c r="C879" s="27" t="s">
        <v>226</v>
      </c>
    </row>
    <row r="880" spans="1:3" x14ac:dyDescent="0.2">
      <c r="A880" s="27">
        <v>878</v>
      </c>
      <c r="B880" s="27">
        <f t="shared" ca="1" si="13"/>
        <v>0.49701969015058345</v>
      </c>
      <c r="C880" s="27" t="s">
        <v>226</v>
      </c>
    </row>
    <row r="881" spans="1:3" x14ac:dyDescent="0.2">
      <c r="A881" s="27">
        <v>879</v>
      </c>
      <c r="B881" s="27">
        <f t="shared" ca="1" si="13"/>
        <v>0.53065124241201511</v>
      </c>
      <c r="C881" s="27" t="s">
        <v>227</v>
      </c>
    </row>
    <row r="882" spans="1:3" x14ac:dyDescent="0.2">
      <c r="A882" s="27">
        <v>880</v>
      </c>
      <c r="B882" s="27">
        <f t="shared" ca="1" si="13"/>
        <v>0.85364406324626652</v>
      </c>
      <c r="C882" s="27" t="s">
        <v>227</v>
      </c>
    </row>
    <row r="883" spans="1:3" x14ac:dyDescent="0.2">
      <c r="A883" s="27">
        <v>881</v>
      </c>
      <c r="B883" s="27">
        <f t="shared" ca="1" si="13"/>
        <v>0.6548416126661174</v>
      </c>
      <c r="C883" s="27" t="s">
        <v>227</v>
      </c>
    </row>
    <row r="884" spans="1:3" x14ac:dyDescent="0.2">
      <c r="A884" s="27">
        <v>882</v>
      </c>
      <c r="B884" s="27">
        <f t="shared" ca="1" si="13"/>
        <v>0.64150877003510964</v>
      </c>
      <c r="C884" s="27" t="s">
        <v>227</v>
      </c>
    </row>
    <row r="885" spans="1:3" x14ac:dyDescent="0.2">
      <c r="A885" s="27">
        <v>883</v>
      </c>
      <c r="B885" s="27">
        <f t="shared" ca="1" si="13"/>
        <v>0.85104315259871866</v>
      </c>
      <c r="C885" s="27" t="s">
        <v>226</v>
      </c>
    </row>
    <row r="886" spans="1:3" x14ac:dyDescent="0.2">
      <c r="A886" s="27">
        <v>884</v>
      </c>
      <c r="B886" s="27">
        <f t="shared" ca="1" si="13"/>
        <v>0.67905149580269664</v>
      </c>
      <c r="C886" s="27" t="s">
        <v>226</v>
      </c>
    </row>
    <row r="887" spans="1:3" x14ac:dyDescent="0.2">
      <c r="A887" s="27">
        <v>885</v>
      </c>
      <c r="B887" s="27">
        <f t="shared" ca="1" si="13"/>
        <v>0.62725494141809479</v>
      </c>
      <c r="C887" s="27" t="s">
        <v>226</v>
      </c>
    </row>
    <row r="888" spans="1:3" x14ac:dyDescent="0.2">
      <c r="A888" s="27">
        <v>886</v>
      </c>
      <c r="B888" s="27">
        <f t="shared" ca="1" si="13"/>
        <v>0.62814443645382401</v>
      </c>
      <c r="C888" s="27" t="s">
        <v>227</v>
      </c>
    </row>
    <row r="889" spans="1:3" x14ac:dyDescent="0.2">
      <c r="A889" s="27">
        <v>887</v>
      </c>
      <c r="B889" s="27">
        <f t="shared" ca="1" si="13"/>
        <v>0.72599251550560229</v>
      </c>
      <c r="C889" s="27" t="s">
        <v>227</v>
      </c>
    </row>
    <row r="890" spans="1:3" x14ac:dyDescent="0.2">
      <c r="A890" s="27">
        <v>888</v>
      </c>
      <c r="B890" s="27">
        <f t="shared" ca="1" si="13"/>
        <v>0.69635427805577199</v>
      </c>
      <c r="C890" s="27" t="s">
        <v>227</v>
      </c>
    </row>
    <row r="891" spans="1:3" x14ac:dyDescent="0.2">
      <c r="A891" s="27">
        <v>889</v>
      </c>
      <c r="B891" s="27">
        <f t="shared" ca="1" si="13"/>
        <v>0.3844780821376903</v>
      </c>
      <c r="C891" s="27" t="s">
        <v>226</v>
      </c>
    </row>
    <row r="892" spans="1:3" x14ac:dyDescent="0.2">
      <c r="A892" s="27">
        <v>890</v>
      </c>
      <c r="B892" s="27">
        <f t="shared" ca="1" si="13"/>
        <v>0.51611053308238752</v>
      </c>
      <c r="C892" s="27" t="s">
        <v>226</v>
      </c>
    </row>
    <row r="893" spans="1:3" x14ac:dyDescent="0.2">
      <c r="A893" s="27">
        <v>891</v>
      </c>
      <c r="B893" s="27">
        <f t="shared" ca="1" si="13"/>
        <v>0.58477458830878926</v>
      </c>
      <c r="C893" s="27" t="s">
        <v>226</v>
      </c>
    </row>
    <row r="894" spans="1:3" x14ac:dyDescent="0.2">
      <c r="A894" s="27">
        <v>892</v>
      </c>
      <c r="B894" s="27">
        <f t="shared" ca="1" si="13"/>
        <v>0.76215844413543465</v>
      </c>
      <c r="C894" s="27" t="s">
        <v>227</v>
      </c>
    </row>
    <row r="895" spans="1:3" x14ac:dyDescent="0.2">
      <c r="A895" s="27">
        <v>893</v>
      </c>
      <c r="B895" s="27">
        <f t="shared" ca="1" si="13"/>
        <v>0.49251769085685976</v>
      </c>
      <c r="C895" s="27" t="s">
        <v>226</v>
      </c>
    </row>
    <row r="896" spans="1:3" x14ac:dyDescent="0.2">
      <c r="A896" s="27">
        <v>894</v>
      </c>
      <c r="B896" s="27">
        <f t="shared" ca="1" si="13"/>
        <v>0.77739842989015351</v>
      </c>
      <c r="C896" s="27" t="s">
        <v>227</v>
      </c>
    </row>
    <row r="897" spans="1:3" x14ac:dyDescent="0.2">
      <c r="A897" s="27">
        <v>895</v>
      </c>
      <c r="B897" s="27">
        <f t="shared" ca="1" si="13"/>
        <v>0.3949135260812443</v>
      </c>
      <c r="C897" s="27" t="s">
        <v>226</v>
      </c>
    </row>
    <row r="898" spans="1:3" x14ac:dyDescent="0.2">
      <c r="A898" s="27">
        <v>896</v>
      </c>
      <c r="B898" s="27">
        <f t="shared" ca="1" si="13"/>
        <v>0.67691108170749847</v>
      </c>
      <c r="C898" s="27" t="s">
        <v>227</v>
      </c>
    </row>
    <row r="899" spans="1:3" x14ac:dyDescent="0.2">
      <c r="A899" s="27">
        <v>897</v>
      </c>
      <c r="B899" s="27">
        <f t="shared" ref="B899:B962" ca="1" si="14">IF(C899="Bomb",_xlfn.NORM.INV(RAND(),0.7,0.1),_xlfn.NORM.INV(RAND(),0.6,0.15))</f>
        <v>0.82555580211705093</v>
      </c>
      <c r="C899" s="27" t="s">
        <v>227</v>
      </c>
    </row>
    <row r="900" spans="1:3" x14ac:dyDescent="0.2">
      <c r="A900" s="27">
        <v>898</v>
      </c>
      <c r="B900" s="27">
        <f t="shared" ca="1" si="14"/>
        <v>0.7407485886907208</v>
      </c>
      <c r="C900" s="27" t="s">
        <v>227</v>
      </c>
    </row>
    <row r="901" spans="1:3" x14ac:dyDescent="0.2">
      <c r="A901" s="27">
        <v>899</v>
      </c>
      <c r="B901" s="27">
        <f t="shared" ca="1" si="14"/>
        <v>0.64892779127634692</v>
      </c>
      <c r="C901" s="27" t="s">
        <v>226</v>
      </c>
    </row>
    <row r="902" spans="1:3" x14ac:dyDescent="0.2">
      <c r="A902" s="27">
        <v>900</v>
      </c>
      <c r="B902" s="27">
        <f t="shared" ca="1" si="14"/>
        <v>0.72340410886949102</v>
      </c>
      <c r="C902" s="27" t="s">
        <v>227</v>
      </c>
    </row>
    <row r="903" spans="1:3" x14ac:dyDescent="0.2">
      <c r="A903" s="27">
        <v>901</v>
      </c>
      <c r="B903" s="27">
        <f t="shared" ca="1" si="14"/>
        <v>0.78235225595412017</v>
      </c>
      <c r="C903" s="27" t="s">
        <v>227</v>
      </c>
    </row>
    <row r="904" spans="1:3" x14ac:dyDescent="0.2">
      <c r="A904" s="27">
        <v>902</v>
      </c>
      <c r="B904" s="27">
        <f t="shared" ca="1" si="14"/>
        <v>0.7211900345084693</v>
      </c>
      <c r="C904" s="27" t="s">
        <v>227</v>
      </c>
    </row>
    <row r="905" spans="1:3" x14ac:dyDescent="0.2">
      <c r="A905" s="27">
        <v>903</v>
      </c>
      <c r="B905" s="27">
        <f t="shared" ca="1" si="14"/>
        <v>0.71750833179364071</v>
      </c>
      <c r="C905" s="27" t="s">
        <v>227</v>
      </c>
    </row>
    <row r="906" spans="1:3" x14ac:dyDescent="0.2">
      <c r="A906" s="27">
        <v>904</v>
      </c>
      <c r="B906" s="27">
        <f t="shared" ca="1" si="14"/>
        <v>0.77478885392664931</v>
      </c>
      <c r="C906" s="27" t="s">
        <v>227</v>
      </c>
    </row>
    <row r="907" spans="1:3" x14ac:dyDescent="0.2">
      <c r="A907" s="27">
        <v>905</v>
      </c>
      <c r="B907" s="27">
        <f t="shared" ca="1" si="14"/>
        <v>0.54464069821271588</v>
      </c>
      <c r="C907" s="27" t="s">
        <v>226</v>
      </c>
    </row>
    <row r="908" spans="1:3" x14ac:dyDescent="0.2">
      <c r="A908" s="27">
        <v>906</v>
      </c>
      <c r="B908" s="27">
        <f t="shared" ca="1" si="14"/>
        <v>0.39479188821351074</v>
      </c>
      <c r="C908" s="27" t="s">
        <v>226</v>
      </c>
    </row>
    <row r="909" spans="1:3" x14ac:dyDescent="0.2">
      <c r="A909" s="27">
        <v>907</v>
      </c>
      <c r="B909" s="27">
        <f t="shared" ca="1" si="14"/>
        <v>0.58630994616854715</v>
      </c>
      <c r="C909" s="27" t="s">
        <v>226</v>
      </c>
    </row>
    <row r="910" spans="1:3" x14ac:dyDescent="0.2">
      <c r="A910" s="27">
        <v>908</v>
      </c>
      <c r="B910" s="27">
        <f t="shared" ca="1" si="14"/>
        <v>0.57977628012378957</v>
      </c>
      <c r="C910" s="27" t="s">
        <v>226</v>
      </c>
    </row>
    <row r="911" spans="1:3" x14ac:dyDescent="0.2">
      <c r="A911" s="27">
        <v>909</v>
      </c>
      <c r="B911" s="27">
        <f t="shared" ca="1" si="14"/>
        <v>0.51557613321271389</v>
      </c>
      <c r="C911" s="27" t="s">
        <v>226</v>
      </c>
    </row>
    <row r="912" spans="1:3" x14ac:dyDescent="0.2">
      <c r="A912" s="27">
        <v>910</v>
      </c>
      <c r="B912" s="27">
        <f t="shared" ca="1" si="14"/>
        <v>0.53970800621683224</v>
      </c>
      <c r="C912" s="27" t="s">
        <v>227</v>
      </c>
    </row>
    <row r="913" spans="1:3" x14ac:dyDescent="0.2">
      <c r="A913" s="27">
        <v>911</v>
      </c>
      <c r="B913" s="27">
        <f t="shared" ca="1" si="14"/>
        <v>0.56413282711093304</v>
      </c>
      <c r="C913" s="27" t="s">
        <v>226</v>
      </c>
    </row>
    <row r="914" spans="1:3" x14ac:dyDescent="0.2">
      <c r="A914" s="27">
        <v>912</v>
      </c>
      <c r="B914" s="27">
        <f t="shared" ca="1" si="14"/>
        <v>0.46327305764576443</v>
      </c>
      <c r="C914" s="27" t="s">
        <v>226</v>
      </c>
    </row>
    <row r="915" spans="1:3" x14ac:dyDescent="0.2">
      <c r="A915" s="27">
        <v>913</v>
      </c>
      <c r="B915" s="27">
        <f t="shared" ca="1" si="14"/>
        <v>0.53140694351819118</v>
      </c>
      <c r="C915" s="27" t="s">
        <v>226</v>
      </c>
    </row>
    <row r="916" spans="1:3" x14ac:dyDescent="0.2">
      <c r="A916" s="27">
        <v>914</v>
      </c>
      <c r="B916" s="27">
        <f t="shared" ca="1" si="14"/>
        <v>0.78536729476405498</v>
      </c>
      <c r="C916" s="27" t="s">
        <v>227</v>
      </c>
    </row>
    <row r="917" spans="1:3" x14ac:dyDescent="0.2">
      <c r="A917" s="27">
        <v>915</v>
      </c>
      <c r="B917" s="27">
        <f t="shared" ca="1" si="14"/>
        <v>0.33344254460479911</v>
      </c>
      <c r="C917" s="27" t="s">
        <v>226</v>
      </c>
    </row>
    <row r="918" spans="1:3" x14ac:dyDescent="0.2">
      <c r="A918" s="27">
        <v>916</v>
      </c>
      <c r="B918" s="27">
        <f t="shared" ca="1" si="14"/>
        <v>0.8605430199597166</v>
      </c>
      <c r="C918" s="27" t="s">
        <v>227</v>
      </c>
    </row>
    <row r="919" spans="1:3" x14ac:dyDescent="0.2">
      <c r="A919" s="27">
        <v>917</v>
      </c>
      <c r="B919" s="27">
        <f t="shared" ca="1" si="14"/>
        <v>0.55127700928226342</v>
      </c>
      <c r="C919" s="27" t="s">
        <v>226</v>
      </c>
    </row>
    <row r="920" spans="1:3" x14ac:dyDescent="0.2">
      <c r="A920" s="27">
        <v>918</v>
      </c>
      <c r="B920" s="27">
        <f t="shared" ca="1" si="14"/>
        <v>0.68679375843322654</v>
      </c>
      <c r="C920" s="27" t="s">
        <v>227</v>
      </c>
    </row>
    <row r="921" spans="1:3" x14ac:dyDescent="0.2">
      <c r="A921" s="27">
        <v>919</v>
      </c>
      <c r="B921" s="27">
        <f t="shared" ca="1" si="14"/>
        <v>0.66842375752827499</v>
      </c>
      <c r="C921" s="27" t="s">
        <v>226</v>
      </c>
    </row>
    <row r="922" spans="1:3" x14ac:dyDescent="0.2">
      <c r="A922" s="27">
        <v>920</v>
      </c>
      <c r="B922" s="27">
        <f t="shared" ca="1" si="14"/>
        <v>0.66970709571423925</v>
      </c>
      <c r="C922" s="27" t="s">
        <v>227</v>
      </c>
    </row>
    <row r="923" spans="1:3" x14ac:dyDescent="0.2">
      <c r="A923" s="27">
        <v>921</v>
      </c>
      <c r="B923" s="27">
        <f t="shared" ca="1" si="14"/>
        <v>0.61065896698850852</v>
      </c>
      <c r="C923" s="27" t="s">
        <v>227</v>
      </c>
    </row>
    <row r="924" spans="1:3" x14ac:dyDescent="0.2">
      <c r="A924" s="27">
        <v>922</v>
      </c>
      <c r="B924" s="27">
        <f t="shared" ca="1" si="14"/>
        <v>0.73271229473496602</v>
      </c>
      <c r="C924" s="27" t="s">
        <v>226</v>
      </c>
    </row>
    <row r="925" spans="1:3" x14ac:dyDescent="0.2">
      <c r="A925" s="27">
        <v>923</v>
      </c>
      <c r="B925" s="27">
        <f t="shared" ca="1" si="14"/>
        <v>0.49671629150406116</v>
      </c>
      <c r="C925" s="27" t="s">
        <v>226</v>
      </c>
    </row>
    <row r="926" spans="1:3" x14ac:dyDescent="0.2">
      <c r="A926" s="27">
        <v>924</v>
      </c>
      <c r="B926" s="27">
        <f t="shared" ca="1" si="14"/>
        <v>0.77186959021881885</v>
      </c>
      <c r="C926" s="27" t="s">
        <v>226</v>
      </c>
    </row>
    <row r="927" spans="1:3" x14ac:dyDescent="0.2">
      <c r="A927" s="27">
        <v>925</v>
      </c>
      <c r="B927" s="27">
        <f t="shared" ca="1" si="14"/>
        <v>0.5826278808432539</v>
      </c>
      <c r="C927" s="27" t="s">
        <v>227</v>
      </c>
    </row>
    <row r="928" spans="1:3" x14ac:dyDescent="0.2">
      <c r="A928" s="27">
        <v>926</v>
      </c>
      <c r="B928" s="27">
        <f t="shared" ca="1" si="14"/>
        <v>0.67319301371074936</v>
      </c>
      <c r="C928" s="27" t="s">
        <v>227</v>
      </c>
    </row>
    <row r="929" spans="1:3" x14ac:dyDescent="0.2">
      <c r="A929" s="27">
        <v>927</v>
      </c>
      <c r="B929" s="27">
        <f t="shared" ca="1" si="14"/>
        <v>0.53950768077387234</v>
      </c>
      <c r="C929" s="27" t="s">
        <v>227</v>
      </c>
    </row>
    <row r="930" spans="1:3" x14ac:dyDescent="0.2">
      <c r="A930" s="27">
        <v>928</v>
      </c>
      <c r="B930" s="27">
        <f t="shared" ca="1" si="14"/>
        <v>0.79699544127825739</v>
      </c>
      <c r="C930" s="27" t="s">
        <v>227</v>
      </c>
    </row>
    <row r="931" spans="1:3" x14ac:dyDescent="0.2">
      <c r="A931" s="27">
        <v>929</v>
      </c>
      <c r="B931" s="27">
        <f t="shared" ca="1" si="14"/>
        <v>0.86734107377273262</v>
      </c>
      <c r="C931" s="27" t="s">
        <v>227</v>
      </c>
    </row>
    <row r="932" spans="1:3" x14ac:dyDescent="0.2">
      <c r="A932" s="27">
        <v>930</v>
      </c>
      <c r="B932" s="27">
        <f t="shared" ca="1" si="14"/>
        <v>0.54433990755579198</v>
      </c>
      <c r="C932" s="27" t="s">
        <v>227</v>
      </c>
    </row>
    <row r="933" spans="1:3" x14ac:dyDescent="0.2">
      <c r="A933" s="27">
        <v>931</v>
      </c>
      <c r="B933" s="27">
        <f t="shared" ca="1" si="14"/>
        <v>0.56288763321526947</v>
      </c>
      <c r="C933" s="27" t="s">
        <v>226</v>
      </c>
    </row>
    <row r="934" spans="1:3" x14ac:dyDescent="0.2">
      <c r="A934" s="27">
        <v>932</v>
      </c>
      <c r="B934" s="27">
        <f t="shared" ca="1" si="14"/>
        <v>0.59578356537122112</v>
      </c>
      <c r="C934" s="27" t="s">
        <v>227</v>
      </c>
    </row>
    <row r="935" spans="1:3" x14ac:dyDescent="0.2">
      <c r="A935" s="27">
        <v>933</v>
      </c>
      <c r="B935" s="27">
        <f t="shared" ca="1" si="14"/>
        <v>0.38312377637994044</v>
      </c>
      <c r="C935" s="27" t="s">
        <v>226</v>
      </c>
    </row>
    <row r="936" spans="1:3" x14ac:dyDescent="0.2">
      <c r="A936" s="27">
        <v>934</v>
      </c>
      <c r="B936" s="27">
        <f t="shared" ca="1" si="14"/>
        <v>0.6708880779547135</v>
      </c>
      <c r="C936" s="27" t="s">
        <v>227</v>
      </c>
    </row>
    <row r="937" spans="1:3" x14ac:dyDescent="0.2">
      <c r="A937" s="27">
        <v>935</v>
      </c>
      <c r="B937" s="27">
        <f t="shared" ca="1" si="14"/>
        <v>0.77933917302372269</v>
      </c>
      <c r="C937" s="27" t="s">
        <v>227</v>
      </c>
    </row>
    <row r="938" spans="1:3" x14ac:dyDescent="0.2">
      <c r="A938" s="27">
        <v>936</v>
      </c>
      <c r="B938" s="27">
        <f t="shared" ca="1" si="14"/>
        <v>0.53068631464948468</v>
      </c>
      <c r="C938" s="27" t="s">
        <v>226</v>
      </c>
    </row>
    <row r="939" spans="1:3" x14ac:dyDescent="0.2">
      <c r="A939" s="27">
        <v>937</v>
      </c>
      <c r="B939" s="27">
        <f t="shared" ca="1" si="14"/>
        <v>0.35219676679330553</v>
      </c>
      <c r="C939" s="27" t="s">
        <v>226</v>
      </c>
    </row>
    <row r="940" spans="1:3" x14ac:dyDescent="0.2">
      <c r="A940" s="27">
        <v>938</v>
      </c>
      <c r="B940" s="27">
        <f t="shared" ca="1" si="14"/>
        <v>0.67920472548061595</v>
      </c>
      <c r="C940" s="27" t="s">
        <v>227</v>
      </c>
    </row>
    <row r="941" spans="1:3" x14ac:dyDescent="0.2">
      <c r="A941" s="27">
        <v>939</v>
      </c>
      <c r="B941" s="27">
        <f t="shared" ca="1" si="14"/>
        <v>0.56646060839006818</v>
      </c>
      <c r="C941" s="27" t="s">
        <v>227</v>
      </c>
    </row>
    <row r="942" spans="1:3" x14ac:dyDescent="0.2">
      <c r="A942" s="27">
        <v>940</v>
      </c>
      <c r="B942" s="27">
        <f t="shared" ca="1" si="14"/>
        <v>0.88293750600026966</v>
      </c>
      <c r="C942" s="27" t="s">
        <v>226</v>
      </c>
    </row>
    <row r="943" spans="1:3" x14ac:dyDescent="0.2">
      <c r="A943" s="27">
        <v>941</v>
      </c>
      <c r="B943" s="27">
        <f t="shared" ca="1" si="14"/>
        <v>0.56860255891676015</v>
      </c>
      <c r="C943" s="27" t="s">
        <v>226</v>
      </c>
    </row>
    <row r="944" spans="1:3" x14ac:dyDescent="0.2">
      <c r="A944" s="27">
        <v>942</v>
      </c>
      <c r="B944" s="27">
        <f t="shared" ca="1" si="14"/>
        <v>0.91188720724589667</v>
      </c>
      <c r="C944" s="27" t="s">
        <v>226</v>
      </c>
    </row>
    <row r="945" spans="1:3" x14ac:dyDescent="0.2">
      <c r="A945" s="27">
        <v>943</v>
      </c>
      <c r="B945" s="27">
        <f t="shared" ca="1" si="14"/>
        <v>0.53248949180021909</v>
      </c>
      <c r="C945" s="27" t="s">
        <v>226</v>
      </c>
    </row>
    <row r="946" spans="1:3" x14ac:dyDescent="0.2">
      <c r="A946" s="27">
        <v>944</v>
      </c>
      <c r="B946" s="27">
        <f t="shared" ca="1" si="14"/>
        <v>0.51325999257609689</v>
      </c>
      <c r="C946" s="27" t="s">
        <v>226</v>
      </c>
    </row>
    <row r="947" spans="1:3" x14ac:dyDescent="0.2">
      <c r="A947" s="27">
        <v>945</v>
      </c>
      <c r="B947" s="27">
        <f t="shared" ca="1" si="14"/>
        <v>0.61146066674713406</v>
      </c>
      <c r="C947" s="27" t="s">
        <v>227</v>
      </c>
    </row>
    <row r="948" spans="1:3" x14ac:dyDescent="0.2">
      <c r="A948" s="27">
        <v>946</v>
      </c>
      <c r="B948" s="27">
        <f t="shared" ca="1" si="14"/>
        <v>0.71947535307322952</v>
      </c>
      <c r="C948" s="27" t="s">
        <v>226</v>
      </c>
    </row>
    <row r="949" spans="1:3" x14ac:dyDescent="0.2">
      <c r="A949" s="27">
        <v>947</v>
      </c>
      <c r="B949" s="27">
        <f t="shared" ca="1" si="14"/>
        <v>0.64566638964403056</v>
      </c>
      <c r="C949" s="27" t="s">
        <v>227</v>
      </c>
    </row>
    <row r="950" spans="1:3" x14ac:dyDescent="0.2">
      <c r="A950" s="27">
        <v>948</v>
      </c>
      <c r="B950" s="27">
        <f t="shared" ca="1" si="14"/>
        <v>0.62828281356881865</v>
      </c>
      <c r="C950" s="27" t="s">
        <v>226</v>
      </c>
    </row>
    <row r="951" spans="1:3" x14ac:dyDescent="0.2">
      <c r="A951" s="27">
        <v>949</v>
      </c>
      <c r="B951" s="27">
        <f t="shared" ca="1" si="14"/>
        <v>0.68348667057986656</v>
      </c>
      <c r="C951" s="27" t="s">
        <v>227</v>
      </c>
    </row>
    <row r="952" spans="1:3" x14ac:dyDescent="0.2">
      <c r="A952" s="27">
        <v>950</v>
      </c>
      <c r="B952" s="27">
        <f t="shared" ca="1" si="14"/>
        <v>0.64170839984788886</v>
      </c>
      <c r="C952" s="27" t="s">
        <v>227</v>
      </c>
    </row>
    <row r="953" spans="1:3" x14ac:dyDescent="0.2">
      <c r="A953" s="27">
        <v>951</v>
      </c>
      <c r="B953" s="27">
        <f t="shared" ca="1" si="14"/>
        <v>0.64787114602926621</v>
      </c>
      <c r="C953" s="27" t="s">
        <v>226</v>
      </c>
    </row>
    <row r="954" spans="1:3" x14ac:dyDescent="0.2">
      <c r="A954" s="27">
        <v>952</v>
      </c>
      <c r="B954" s="27">
        <f t="shared" ca="1" si="14"/>
        <v>0.48748500262632644</v>
      </c>
      <c r="C954" s="27" t="s">
        <v>226</v>
      </c>
    </row>
    <row r="955" spans="1:3" x14ac:dyDescent="0.2">
      <c r="A955" s="27">
        <v>953</v>
      </c>
      <c r="B955" s="27">
        <f t="shared" ca="1" si="14"/>
        <v>0.67760584077051766</v>
      </c>
      <c r="C955" s="27" t="s">
        <v>227</v>
      </c>
    </row>
    <row r="956" spans="1:3" x14ac:dyDescent="0.2">
      <c r="A956" s="27">
        <v>954</v>
      </c>
      <c r="B956" s="27">
        <f t="shared" ca="1" si="14"/>
        <v>0.5531847978033575</v>
      </c>
      <c r="C956" s="27" t="s">
        <v>226</v>
      </c>
    </row>
    <row r="957" spans="1:3" x14ac:dyDescent="0.2">
      <c r="A957" s="27">
        <v>955</v>
      </c>
      <c r="B957" s="27">
        <f t="shared" ca="1" si="14"/>
        <v>0.6949051463239917</v>
      </c>
      <c r="C957" s="27" t="s">
        <v>227</v>
      </c>
    </row>
    <row r="958" spans="1:3" x14ac:dyDescent="0.2">
      <c r="A958" s="27">
        <v>956</v>
      </c>
      <c r="B958" s="27">
        <f t="shared" ca="1" si="14"/>
        <v>0.73314218276869103</v>
      </c>
      <c r="C958" s="27" t="s">
        <v>227</v>
      </c>
    </row>
    <row r="959" spans="1:3" x14ac:dyDescent="0.2">
      <c r="A959" s="27">
        <v>957</v>
      </c>
      <c r="B959" s="27">
        <f t="shared" ca="1" si="14"/>
        <v>0.45434962511234622</v>
      </c>
      <c r="C959" s="27" t="s">
        <v>226</v>
      </c>
    </row>
    <row r="960" spans="1:3" x14ac:dyDescent="0.2">
      <c r="A960" s="27">
        <v>958</v>
      </c>
      <c r="B960" s="27">
        <f t="shared" ca="1" si="14"/>
        <v>0.85067021298984158</v>
      </c>
      <c r="C960" s="27" t="s">
        <v>227</v>
      </c>
    </row>
    <row r="961" spans="1:3" x14ac:dyDescent="0.2">
      <c r="A961" s="27">
        <v>959</v>
      </c>
      <c r="B961" s="27">
        <f t="shared" ca="1" si="14"/>
        <v>0.55978172585563946</v>
      </c>
      <c r="C961" s="27" t="s">
        <v>226</v>
      </c>
    </row>
    <row r="962" spans="1:3" x14ac:dyDescent="0.2">
      <c r="A962" s="27">
        <v>960</v>
      </c>
      <c r="B962" s="27">
        <f t="shared" ca="1" si="14"/>
        <v>0.52252007692902547</v>
      </c>
      <c r="C962" s="27" t="s">
        <v>226</v>
      </c>
    </row>
    <row r="963" spans="1:3" x14ac:dyDescent="0.2">
      <c r="A963" s="27">
        <v>961</v>
      </c>
      <c r="B963" s="27">
        <f t="shared" ref="B963:B1002" ca="1" si="15">IF(C963="Bomb",_xlfn.NORM.INV(RAND(),0.7,0.1),_xlfn.NORM.INV(RAND(),0.6,0.15))</f>
        <v>0.67447718926721278</v>
      </c>
      <c r="C963" s="27" t="s">
        <v>227</v>
      </c>
    </row>
    <row r="964" spans="1:3" x14ac:dyDescent="0.2">
      <c r="A964" s="27">
        <v>962</v>
      </c>
      <c r="B964" s="27">
        <f t="shared" ca="1" si="15"/>
        <v>0.71983549126816415</v>
      </c>
      <c r="C964" s="27" t="s">
        <v>227</v>
      </c>
    </row>
    <row r="965" spans="1:3" x14ac:dyDescent="0.2">
      <c r="A965" s="27">
        <v>963</v>
      </c>
      <c r="B965" s="27">
        <f t="shared" ca="1" si="15"/>
        <v>0.75592573685257658</v>
      </c>
      <c r="C965" s="27" t="s">
        <v>227</v>
      </c>
    </row>
    <row r="966" spans="1:3" x14ac:dyDescent="0.2">
      <c r="A966" s="27">
        <v>964</v>
      </c>
      <c r="B966" s="27">
        <f t="shared" ca="1" si="15"/>
        <v>0.4907703780825835</v>
      </c>
      <c r="C966" s="27" t="s">
        <v>227</v>
      </c>
    </row>
    <row r="967" spans="1:3" x14ac:dyDescent="0.2">
      <c r="A967" s="27">
        <v>965</v>
      </c>
      <c r="B967" s="27">
        <f t="shared" ca="1" si="15"/>
        <v>0.58943412610967483</v>
      </c>
      <c r="C967" s="27" t="s">
        <v>227</v>
      </c>
    </row>
    <row r="968" spans="1:3" x14ac:dyDescent="0.2">
      <c r="A968" s="27">
        <v>966</v>
      </c>
      <c r="B968" s="27">
        <f t="shared" ca="1" si="15"/>
        <v>0.72369426792896807</v>
      </c>
      <c r="C968" s="27" t="s">
        <v>227</v>
      </c>
    </row>
    <row r="969" spans="1:3" x14ac:dyDescent="0.2">
      <c r="A969" s="27">
        <v>967</v>
      </c>
      <c r="B969" s="27">
        <f t="shared" ca="1" si="15"/>
        <v>0.66652074171544373</v>
      </c>
      <c r="C969" s="27" t="s">
        <v>227</v>
      </c>
    </row>
    <row r="970" spans="1:3" x14ac:dyDescent="0.2">
      <c r="A970" s="27">
        <v>968</v>
      </c>
      <c r="B970" s="27">
        <f t="shared" ca="1" si="15"/>
        <v>0.60403364727550002</v>
      </c>
      <c r="C970" s="27" t="s">
        <v>227</v>
      </c>
    </row>
    <row r="971" spans="1:3" x14ac:dyDescent="0.2">
      <c r="A971" s="27">
        <v>969</v>
      </c>
      <c r="B971" s="27">
        <f t="shared" ca="1" si="15"/>
        <v>0.71236233407508998</v>
      </c>
      <c r="C971" s="27" t="s">
        <v>226</v>
      </c>
    </row>
    <row r="972" spans="1:3" x14ac:dyDescent="0.2">
      <c r="A972" s="27">
        <v>970</v>
      </c>
      <c r="B972" s="27">
        <f t="shared" ca="1" si="15"/>
        <v>0.78561583284109371</v>
      </c>
      <c r="C972" s="27" t="s">
        <v>226</v>
      </c>
    </row>
    <row r="973" spans="1:3" x14ac:dyDescent="0.2">
      <c r="A973" s="27">
        <v>971</v>
      </c>
      <c r="B973" s="27">
        <f t="shared" ca="1" si="15"/>
        <v>0.81992549123954783</v>
      </c>
      <c r="C973" s="27" t="s">
        <v>227</v>
      </c>
    </row>
    <row r="974" spans="1:3" x14ac:dyDescent="0.2">
      <c r="A974" s="27">
        <v>972</v>
      </c>
      <c r="B974" s="27">
        <f t="shared" ca="1" si="15"/>
        <v>0.80477789195671634</v>
      </c>
      <c r="C974" s="27" t="s">
        <v>226</v>
      </c>
    </row>
    <row r="975" spans="1:3" x14ac:dyDescent="0.2">
      <c r="A975" s="27">
        <v>973</v>
      </c>
      <c r="B975" s="27">
        <f t="shared" ca="1" si="15"/>
        <v>0.53980593524205633</v>
      </c>
      <c r="C975" s="27" t="s">
        <v>227</v>
      </c>
    </row>
    <row r="976" spans="1:3" x14ac:dyDescent="0.2">
      <c r="A976" s="27">
        <v>974</v>
      </c>
      <c r="B976" s="27">
        <f t="shared" ca="1" si="15"/>
        <v>0.7515648397075767</v>
      </c>
      <c r="C976" s="27" t="s">
        <v>227</v>
      </c>
    </row>
    <row r="977" spans="1:3" x14ac:dyDescent="0.2">
      <c r="A977" s="27">
        <v>975</v>
      </c>
      <c r="B977" s="27">
        <f t="shared" ca="1" si="15"/>
        <v>0.83427915026756039</v>
      </c>
      <c r="C977" s="27" t="s">
        <v>227</v>
      </c>
    </row>
    <row r="978" spans="1:3" x14ac:dyDescent="0.2">
      <c r="A978" s="27">
        <v>976</v>
      </c>
      <c r="B978" s="27">
        <f t="shared" ca="1" si="15"/>
        <v>0.51082966722380652</v>
      </c>
      <c r="C978" s="27" t="s">
        <v>227</v>
      </c>
    </row>
    <row r="979" spans="1:3" x14ac:dyDescent="0.2">
      <c r="A979" s="27">
        <v>977</v>
      </c>
      <c r="B979" s="27">
        <f t="shared" ca="1" si="15"/>
        <v>1.0129679742467168</v>
      </c>
      <c r="C979" s="27" t="s">
        <v>227</v>
      </c>
    </row>
    <row r="980" spans="1:3" x14ac:dyDescent="0.2">
      <c r="A980" s="27">
        <v>978</v>
      </c>
      <c r="B980" s="27">
        <f t="shared" ca="1" si="15"/>
        <v>0.69113822088788068</v>
      </c>
      <c r="C980" s="27" t="s">
        <v>227</v>
      </c>
    </row>
    <row r="981" spans="1:3" x14ac:dyDescent="0.2">
      <c r="A981" s="27">
        <v>979</v>
      </c>
      <c r="B981" s="27">
        <f t="shared" ca="1" si="15"/>
        <v>0.73698283134984666</v>
      </c>
      <c r="C981" s="27" t="s">
        <v>227</v>
      </c>
    </row>
    <row r="982" spans="1:3" x14ac:dyDescent="0.2">
      <c r="A982" s="27">
        <v>980</v>
      </c>
      <c r="B982" s="27">
        <f t="shared" ca="1" si="15"/>
        <v>0.67625227073167349</v>
      </c>
      <c r="C982" s="27" t="s">
        <v>226</v>
      </c>
    </row>
    <row r="983" spans="1:3" x14ac:dyDescent="0.2">
      <c r="A983" s="27">
        <v>981</v>
      </c>
      <c r="B983" s="27">
        <f t="shared" ca="1" si="15"/>
        <v>0.57744684306979244</v>
      </c>
      <c r="C983" s="27" t="s">
        <v>226</v>
      </c>
    </row>
    <row r="984" spans="1:3" x14ac:dyDescent="0.2">
      <c r="A984" s="27">
        <v>982</v>
      </c>
      <c r="B984" s="27">
        <f t="shared" ca="1" si="15"/>
        <v>0.83492659226426791</v>
      </c>
      <c r="C984" s="27" t="s">
        <v>227</v>
      </c>
    </row>
    <row r="985" spans="1:3" x14ac:dyDescent="0.2">
      <c r="A985" s="27">
        <v>983</v>
      </c>
      <c r="B985" s="27">
        <f t="shared" ca="1" si="15"/>
        <v>0.68732411564820473</v>
      </c>
      <c r="C985" s="27" t="s">
        <v>227</v>
      </c>
    </row>
    <row r="986" spans="1:3" x14ac:dyDescent="0.2">
      <c r="A986" s="27">
        <v>984</v>
      </c>
      <c r="B986" s="27">
        <f t="shared" ca="1" si="15"/>
        <v>0.58372352268043293</v>
      </c>
      <c r="C986" s="27" t="s">
        <v>226</v>
      </c>
    </row>
    <row r="987" spans="1:3" x14ac:dyDescent="0.2">
      <c r="A987" s="27">
        <v>985</v>
      </c>
      <c r="B987" s="27">
        <f t="shared" ca="1" si="15"/>
        <v>0.72208264642010711</v>
      </c>
      <c r="C987" s="27" t="s">
        <v>226</v>
      </c>
    </row>
    <row r="988" spans="1:3" x14ac:dyDescent="0.2">
      <c r="A988" s="27">
        <v>986</v>
      </c>
      <c r="B988" s="27">
        <f t="shared" ca="1" si="15"/>
        <v>0.75393746665754302</v>
      </c>
      <c r="C988" s="27" t="s">
        <v>227</v>
      </c>
    </row>
    <row r="989" spans="1:3" x14ac:dyDescent="0.2">
      <c r="A989" s="27">
        <v>987</v>
      </c>
      <c r="B989" s="27">
        <f t="shared" ca="1" si="15"/>
        <v>0.3756798829579685</v>
      </c>
      <c r="C989" s="27" t="s">
        <v>226</v>
      </c>
    </row>
    <row r="990" spans="1:3" x14ac:dyDescent="0.2">
      <c r="A990" s="27">
        <v>988</v>
      </c>
      <c r="B990" s="27">
        <f t="shared" ca="1" si="15"/>
        <v>0.56099307091796025</v>
      </c>
      <c r="C990" s="27" t="s">
        <v>226</v>
      </c>
    </row>
    <row r="991" spans="1:3" x14ac:dyDescent="0.2">
      <c r="A991" s="27">
        <v>989</v>
      </c>
      <c r="B991" s="27">
        <f t="shared" ca="1" si="15"/>
        <v>0.70951600911135448</v>
      </c>
      <c r="C991" s="27" t="s">
        <v>227</v>
      </c>
    </row>
    <row r="992" spans="1:3" x14ac:dyDescent="0.2">
      <c r="A992" s="27">
        <v>990</v>
      </c>
      <c r="B992" s="27">
        <f t="shared" ca="1" si="15"/>
        <v>0.66309635418238289</v>
      </c>
      <c r="C992" s="27" t="s">
        <v>226</v>
      </c>
    </row>
    <row r="993" spans="1:3" x14ac:dyDescent="0.2">
      <c r="A993" s="27">
        <v>991</v>
      </c>
      <c r="B993" s="27">
        <f t="shared" ca="1" si="15"/>
        <v>0.73643799105465602</v>
      </c>
      <c r="C993" s="27" t="s">
        <v>227</v>
      </c>
    </row>
    <row r="994" spans="1:3" x14ac:dyDescent="0.2">
      <c r="A994" s="27">
        <v>992</v>
      </c>
      <c r="B994" s="27">
        <f t="shared" ca="1" si="15"/>
        <v>0.54597900798658416</v>
      </c>
      <c r="C994" s="27" t="s">
        <v>226</v>
      </c>
    </row>
    <row r="995" spans="1:3" x14ac:dyDescent="0.2">
      <c r="A995" s="27">
        <v>993</v>
      </c>
      <c r="B995" s="27">
        <f t="shared" ca="1" si="15"/>
        <v>0.77844360392516443</v>
      </c>
      <c r="C995" s="27" t="s">
        <v>227</v>
      </c>
    </row>
    <row r="996" spans="1:3" x14ac:dyDescent="0.2">
      <c r="A996" s="27">
        <v>994</v>
      </c>
      <c r="B996" s="27">
        <f t="shared" ca="1" si="15"/>
        <v>0.87215809354669371</v>
      </c>
      <c r="C996" s="27" t="s">
        <v>227</v>
      </c>
    </row>
    <row r="997" spans="1:3" x14ac:dyDescent="0.2">
      <c r="A997" s="27">
        <v>995</v>
      </c>
      <c r="B997" s="27">
        <f t="shared" ca="1" si="15"/>
        <v>0.80449898777495599</v>
      </c>
      <c r="C997" s="27" t="s">
        <v>226</v>
      </c>
    </row>
    <row r="998" spans="1:3" x14ac:dyDescent="0.2">
      <c r="A998" s="27">
        <v>996</v>
      </c>
      <c r="B998" s="27">
        <f t="shared" ca="1" si="15"/>
        <v>0.55384111802153757</v>
      </c>
      <c r="C998" s="27" t="s">
        <v>227</v>
      </c>
    </row>
    <row r="999" spans="1:3" x14ac:dyDescent="0.2">
      <c r="A999" s="27">
        <v>997</v>
      </c>
      <c r="B999" s="27">
        <f t="shared" ca="1" si="15"/>
        <v>0.47116909142552821</v>
      </c>
      <c r="C999" s="27" t="s">
        <v>226</v>
      </c>
    </row>
    <row r="1000" spans="1:3" x14ac:dyDescent="0.2">
      <c r="A1000" s="27">
        <v>998</v>
      </c>
      <c r="B1000" s="27">
        <f t="shared" ca="1" si="15"/>
        <v>0.37197642204263481</v>
      </c>
      <c r="C1000" s="27" t="s">
        <v>226</v>
      </c>
    </row>
    <row r="1001" spans="1:3" x14ac:dyDescent="0.2">
      <c r="A1001" s="27">
        <v>999</v>
      </c>
      <c r="B1001" s="27">
        <f t="shared" ca="1" si="15"/>
        <v>0.55543516816812477</v>
      </c>
      <c r="C1001" s="27" t="s">
        <v>226</v>
      </c>
    </row>
    <row r="1002" spans="1:3" x14ac:dyDescent="0.2">
      <c r="A1002" s="27">
        <v>1000</v>
      </c>
      <c r="B1002" s="27">
        <f t="shared" ca="1" si="15"/>
        <v>0.63792497420010874</v>
      </c>
      <c r="C1002" s="27" t="s">
        <v>226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EA94-405C-C54C-B1FA-407F65640D5D}">
  <sheetPr codeName="Sheet4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231</v>
      </c>
      <c r="C2" s="2" t="s">
        <v>10</v>
      </c>
      <c r="J2" s="4" t="s">
        <v>228</v>
      </c>
      <c r="K2" s="4" t="s">
        <v>229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0.51938606840009471</v>
      </c>
      <c r="C3" s="2" t="str">
        <f ca="1">IF(RAND()&lt;0.5,"Bomb","Bird")</f>
        <v>Bird</v>
      </c>
      <c r="E3" s="2" t="s">
        <v>230</v>
      </c>
      <c r="J3" s="31">
        <f ca="1">F7</f>
        <v>0</v>
      </c>
      <c r="K3" s="31">
        <f ca="1">E7</f>
        <v>1</v>
      </c>
    </row>
    <row r="4" spans="1:11" x14ac:dyDescent="0.2">
      <c r="A4" s="2">
        <v>2</v>
      </c>
      <c r="B4" s="2">
        <f t="shared" ca="1" si="0"/>
        <v>0.70331901759498883</v>
      </c>
      <c r="C4" s="2" t="s">
        <v>227</v>
      </c>
      <c r="E4" s="31">
        <v>0.03</v>
      </c>
      <c r="I4" s="31">
        <v>0.03</v>
      </c>
      <c r="J4" s="32">
        <f t="dataTable" ref="J4:K36" dt2D="0" dtr="0" r1="E4" ca="1"/>
        <v>0</v>
      </c>
      <c r="K4" s="32">
        <v>1</v>
      </c>
    </row>
    <row r="5" spans="1:11" x14ac:dyDescent="0.2">
      <c r="A5" s="2">
        <v>3</v>
      </c>
      <c r="B5" s="2">
        <f t="shared" ca="1" si="0"/>
        <v>0.73953801729342283</v>
      </c>
      <c r="C5" s="2" t="s">
        <v>226</v>
      </c>
      <c r="I5" s="31">
        <v>0.06</v>
      </c>
      <c r="J5" s="32">
        <v>0</v>
      </c>
      <c r="K5" s="32">
        <v>1</v>
      </c>
    </row>
    <row r="6" spans="1:11" x14ac:dyDescent="0.2">
      <c r="A6" s="2">
        <v>4</v>
      </c>
      <c r="B6" s="2">
        <f t="shared" ca="1" si="0"/>
        <v>0.77316110061143917</v>
      </c>
      <c r="C6" s="2" t="s">
        <v>227</v>
      </c>
      <c r="E6" s="4" t="s">
        <v>229</v>
      </c>
      <c r="F6" s="4" t="s">
        <v>228</v>
      </c>
      <c r="I6" s="31">
        <v>0.09</v>
      </c>
      <c r="J6" s="32">
        <v>0</v>
      </c>
      <c r="K6" s="32">
        <v>1</v>
      </c>
    </row>
    <row r="7" spans="1:11" x14ac:dyDescent="0.2">
      <c r="A7" s="2">
        <v>5</v>
      </c>
      <c r="B7" s="2">
        <f t="shared" ca="1" si="0"/>
        <v>0.80856326789263755</v>
      </c>
      <c r="C7" s="2" t="s">
        <v>227</v>
      </c>
      <c r="E7" s="32">
        <f ca="1">COUNTIFS(B:B,"&gt;" &amp;E4,C:C,"="&amp;"Bomb")/COUNTIFS(C:C,"="&amp;"Bomb")</f>
        <v>1</v>
      </c>
      <c r="F7" s="32">
        <f ca="1">COUNTIFS(B:B,"&lt;" &amp;E4,C:C,"="&amp;"Bird")/COUNTIFS(C:C,"="&amp;"Bird")</f>
        <v>0</v>
      </c>
      <c r="I7" s="31">
        <v>0.12</v>
      </c>
      <c r="J7" s="32">
        <v>0</v>
      </c>
      <c r="K7" s="32">
        <v>1</v>
      </c>
    </row>
    <row r="8" spans="1:11" x14ac:dyDescent="0.2">
      <c r="A8" s="2">
        <v>6</v>
      </c>
      <c r="B8" s="2">
        <f t="shared" ca="1" si="0"/>
        <v>0.84414058708018225</v>
      </c>
      <c r="C8" s="2" t="s">
        <v>227</v>
      </c>
      <c r="I8" s="31">
        <v>0.15</v>
      </c>
      <c r="J8" s="32">
        <v>0</v>
      </c>
      <c r="K8" s="32">
        <v>1</v>
      </c>
    </row>
    <row r="9" spans="1:11" x14ac:dyDescent="0.2">
      <c r="A9" s="2">
        <v>7</v>
      </c>
      <c r="B9" s="2">
        <f t="shared" ca="1" si="0"/>
        <v>0.76071242601838185</v>
      </c>
      <c r="C9" s="2" t="s">
        <v>227</v>
      </c>
      <c r="I9" s="31">
        <v>0.18</v>
      </c>
      <c r="J9" s="32">
        <v>0</v>
      </c>
      <c r="K9" s="32">
        <v>1</v>
      </c>
    </row>
    <row r="10" spans="1:11" x14ac:dyDescent="0.2">
      <c r="A10" s="2">
        <v>8</v>
      </c>
      <c r="B10" s="2">
        <f t="shared" ca="1" si="0"/>
        <v>0.40725148524506893</v>
      </c>
      <c r="C10" s="2" t="s">
        <v>226</v>
      </c>
      <c r="I10" s="31">
        <v>0.21</v>
      </c>
      <c r="J10" s="32">
        <v>1.9455252918287938E-3</v>
      </c>
      <c r="K10" s="32">
        <v>1</v>
      </c>
    </row>
    <row r="11" spans="1:11" x14ac:dyDescent="0.2">
      <c r="A11" s="2">
        <v>9</v>
      </c>
      <c r="B11" s="2">
        <f t="shared" ca="1" si="0"/>
        <v>0.80502238481222221</v>
      </c>
      <c r="C11" s="2" t="s">
        <v>226</v>
      </c>
      <c r="I11" s="31">
        <v>0.24</v>
      </c>
      <c r="J11" s="32">
        <v>7.7972709551656916E-3</v>
      </c>
      <c r="K11" s="32">
        <v>1</v>
      </c>
    </row>
    <row r="12" spans="1:11" x14ac:dyDescent="0.2">
      <c r="A12" s="2">
        <v>10</v>
      </c>
      <c r="B12" s="2">
        <f t="shared" ca="1" si="0"/>
        <v>0.46164115528708405</v>
      </c>
      <c r="C12" s="2" t="s">
        <v>226</v>
      </c>
      <c r="I12" s="31">
        <v>0.27</v>
      </c>
      <c r="J12" s="32">
        <v>7.7972709551656916E-3</v>
      </c>
      <c r="K12" s="32">
        <v>1</v>
      </c>
    </row>
    <row r="13" spans="1:11" x14ac:dyDescent="0.2">
      <c r="A13" s="2">
        <v>11</v>
      </c>
      <c r="B13" s="2">
        <f t="shared" ca="1" si="0"/>
        <v>0.73310910677999908</v>
      </c>
      <c r="C13" s="2" t="s">
        <v>226</v>
      </c>
      <c r="I13" s="31">
        <v>0.3</v>
      </c>
      <c r="J13" s="32">
        <v>2.3391812865497075E-2</v>
      </c>
      <c r="K13" s="32">
        <v>1</v>
      </c>
    </row>
    <row r="14" spans="1:11" x14ac:dyDescent="0.2">
      <c r="A14" s="2">
        <v>12</v>
      </c>
      <c r="B14" s="2">
        <f t="shared" ca="1" si="0"/>
        <v>0.65796865794928838</v>
      </c>
      <c r="C14" s="2" t="s">
        <v>226</v>
      </c>
      <c r="I14" s="31">
        <v>0.33</v>
      </c>
      <c r="J14" s="32">
        <v>3.7037037037037035E-2</v>
      </c>
      <c r="K14" s="32">
        <v>1</v>
      </c>
    </row>
    <row r="15" spans="1:11" x14ac:dyDescent="0.2">
      <c r="A15" s="2">
        <v>13</v>
      </c>
      <c r="B15" s="2">
        <f t="shared" ca="1" si="0"/>
        <v>0.59336532509658124</v>
      </c>
      <c r="C15" s="2" t="s">
        <v>227</v>
      </c>
      <c r="I15" s="31">
        <v>0.36</v>
      </c>
      <c r="J15" s="32">
        <v>5.0583657587548639E-2</v>
      </c>
      <c r="K15" s="32">
        <v>1</v>
      </c>
    </row>
    <row r="16" spans="1:11" x14ac:dyDescent="0.2">
      <c r="A16" s="2">
        <v>14</v>
      </c>
      <c r="B16" s="2">
        <f t="shared" ca="1" si="0"/>
        <v>0.72283219114252051</v>
      </c>
      <c r="C16" s="2" t="s">
        <v>227</v>
      </c>
      <c r="I16" s="31">
        <v>0.39</v>
      </c>
      <c r="J16" s="32">
        <v>8.3820662768031184E-2</v>
      </c>
      <c r="K16" s="32">
        <v>1</v>
      </c>
    </row>
    <row r="17" spans="1:11" x14ac:dyDescent="0.2">
      <c r="A17" s="2">
        <v>15</v>
      </c>
      <c r="B17" s="2">
        <f t="shared" ca="1" si="0"/>
        <v>0.72780111748767329</v>
      </c>
      <c r="C17" s="2" t="s">
        <v>227</v>
      </c>
      <c r="I17" s="31">
        <v>0.42</v>
      </c>
      <c r="J17" s="32">
        <v>0.12865497076023391</v>
      </c>
      <c r="K17" s="32">
        <v>1</v>
      </c>
    </row>
    <row r="18" spans="1:11" x14ac:dyDescent="0.2">
      <c r="A18" s="2">
        <v>16</v>
      </c>
      <c r="B18" s="2">
        <f t="shared" ca="1" si="0"/>
        <v>0.33955376726515596</v>
      </c>
      <c r="C18" s="2" t="s">
        <v>226</v>
      </c>
      <c r="I18" s="31">
        <v>0.45</v>
      </c>
      <c r="J18" s="32">
        <v>0.14814814814814814</v>
      </c>
      <c r="K18" s="32">
        <v>0.99383983572895274</v>
      </c>
    </row>
    <row r="19" spans="1:11" x14ac:dyDescent="0.2">
      <c r="A19" s="2">
        <v>17</v>
      </c>
      <c r="B19" s="2">
        <f t="shared" ca="1" si="0"/>
        <v>0.7980066432075601</v>
      </c>
      <c r="C19" s="2" t="s">
        <v>227</v>
      </c>
      <c r="I19" s="31">
        <v>0.48</v>
      </c>
      <c r="J19" s="32">
        <v>0.18323586744639375</v>
      </c>
      <c r="K19" s="32">
        <v>0.98562628336755642</v>
      </c>
    </row>
    <row r="20" spans="1:11" x14ac:dyDescent="0.2">
      <c r="A20" s="2">
        <v>18</v>
      </c>
      <c r="B20" s="2">
        <f t="shared" ca="1" si="0"/>
        <v>0.53691867215776379</v>
      </c>
      <c r="C20" s="2" t="s">
        <v>226</v>
      </c>
      <c r="I20" s="31">
        <v>0.51</v>
      </c>
      <c r="J20" s="32">
        <v>0.26900584795321636</v>
      </c>
      <c r="K20" s="32">
        <v>0.97741273100616022</v>
      </c>
    </row>
    <row r="21" spans="1:11" x14ac:dyDescent="0.2">
      <c r="A21" s="2">
        <v>19</v>
      </c>
      <c r="B21" s="2">
        <f t="shared" ca="1" si="0"/>
        <v>0.67859981643413847</v>
      </c>
      <c r="C21" s="2" t="s">
        <v>227</v>
      </c>
      <c r="I21" s="31">
        <v>0.54</v>
      </c>
      <c r="J21" s="32">
        <v>0.34307992202729043</v>
      </c>
      <c r="K21" s="32">
        <v>0.95482546201232033</v>
      </c>
    </row>
    <row r="22" spans="1:11" x14ac:dyDescent="0.2">
      <c r="A22" s="2">
        <v>20</v>
      </c>
      <c r="B22" s="2">
        <f t="shared" ca="1" si="0"/>
        <v>0.82527469271159282</v>
      </c>
      <c r="C22" s="2" t="s">
        <v>227</v>
      </c>
      <c r="I22" s="31">
        <v>0.56999999999999995</v>
      </c>
      <c r="J22" s="32">
        <v>0.42023346303501946</v>
      </c>
      <c r="K22" s="32">
        <v>0.90946502057613166</v>
      </c>
    </row>
    <row r="23" spans="1:11" x14ac:dyDescent="0.2">
      <c r="A23" s="2">
        <v>21</v>
      </c>
      <c r="B23" s="2">
        <f t="shared" ca="1" si="0"/>
        <v>0.75397805727376965</v>
      </c>
      <c r="C23" s="2" t="s">
        <v>227</v>
      </c>
      <c r="I23" s="31">
        <v>0.6</v>
      </c>
      <c r="J23" s="32">
        <v>0.49902534113060426</v>
      </c>
      <c r="K23" s="32">
        <v>0.86242299794661192</v>
      </c>
    </row>
    <row r="24" spans="1:11" x14ac:dyDescent="0.2">
      <c r="A24" s="2">
        <v>22</v>
      </c>
      <c r="B24" s="2">
        <f t="shared" ca="1" si="0"/>
        <v>0.49612915204480523</v>
      </c>
      <c r="C24" s="2" t="s">
        <v>226</v>
      </c>
      <c r="I24" s="31">
        <v>0.63</v>
      </c>
      <c r="J24" s="32">
        <v>0.61013645224171542</v>
      </c>
      <c r="K24" s="32">
        <v>0.75975359342915816</v>
      </c>
    </row>
    <row r="25" spans="1:11" x14ac:dyDescent="0.2">
      <c r="A25" s="2">
        <v>23</v>
      </c>
      <c r="B25" s="2">
        <f t="shared" ca="1" si="0"/>
        <v>0.61639297999656595</v>
      </c>
      <c r="C25" s="2" t="s">
        <v>227</v>
      </c>
      <c r="I25" s="31">
        <v>0.66</v>
      </c>
      <c r="J25" s="32">
        <v>0.6712062256809338</v>
      </c>
      <c r="K25" s="32">
        <v>0.66049382716049387</v>
      </c>
    </row>
    <row r="26" spans="1:11" x14ac:dyDescent="0.2">
      <c r="A26" s="2">
        <v>24</v>
      </c>
      <c r="B26" s="2">
        <f t="shared" ca="1" si="0"/>
        <v>0.39587742087681366</v>
      </c>
      <c r="C26" s="2" t="s">
        <v>227</v>
      </c>
      <c r="I26" s="31">
        <v>0.69</v>
      </c>
      <c r="J26" s="32">
        <v>0.73151750972762641</v>
      </c>
      <c r="K26" s="32">
        <v>0.55144032921810704</v>
      </c>
    </row>
    <row r="27" spans="1:11" x14ac:dyDescent="0.2">
      <c r="A27" s="2">
        <v>25</v>
      </c>
      <c r="B27" s="2">
        <f t="shared" ca="1" si="0"/>
        <v>0.73051167605097134</v>
      </c>
      <c r="C27" s="2" t="s">
        <v>227</v>
      </c>
      <c r="I27" s="31">
        <v>0.72</v>
      </c>
      <c r="J27" s="32">
        <v>0.77777777777777779</v>
      </c>
      <c r="K27" s="32">
        <v>0.39630390143737165</v>
      </c>
    </row>
    <row r="28" spans="1:11" x14ac:dyDescent="0.2">
      <c r="A28" s="2">
        <v>26</v>
      </c>
      <c r="B28" s="2">
        <f t="shared" ca="1" si="0"/>
        <v>0.74325604039048376</v>
      </c>
      <c r="C28" s="2" t="s">
        <v>227</v>
      </c>
      <c r="I28" s="31">
        <v>0.75</v>
      </c>
      <c r="J28" s="32">
        <v>0.83657587548638135</v>
      </c>
      <c r="K28" s="32">
        <v>0.33539094650205764</v>
      </c>
    </row>
    <row r="29" spans="1:11" x14ac:dyDescent="0.2">
      <c r="A29" s="2">
        <v>27</v>
      </c>
      <c r="B29" s="2">
        <f t="shared" ca="1" si="0"/>
        <v>0.48419204666488169</v>
      </c>
      <c r="C29" s="2" t="s">
        <v>226</v>
      </c>
      <c r="I29" s="31">
        <v>0.78</v>
      </c>
      <c r="J29" s="32">
        <v>0.89083820662768032</v>
      </c>
      <c r="K29" s="32">
        <v>0.20944558521560575</v>
      </c>
    </row>
    <row r="30" spans="1:11" x14ac:dyDescent="0.2">
      <c r="A30" s="2">
        <v>28</v>
      </c>
      <c r="B30" s="2">
        <f t="shared" ca="1" si="0"/>
        <v>0.70167291633869544</v>
      </c>
      <c r="C30" s="2" t="s">
        <v>227</v>
      </c>
      <c r="I30" s="31">
        <v>0.81</v>
      </c>
      <c r="J30" s="32">
        <v>0.90856031128404668</v>
      </c>
      <c r="K30" s="32">
        <v>0.13580246913580246</v>
      </c>
    </row>
    <row r="31" spans="1:11" x14ac:dyDescent="0.2">
      <c r="A31" s="2">
        <v>29</v>
      </c>
      <c r="B31" s="2">
        <f t="shared" ca="1" si="0"/>
        <v>0.74840400267407736</v>
      </c>
      <c r="C31" s="2" t="s">
        <v>226</v>
      </c>
      <c r="I31" s="31">
        <v>0.84</v>
      </c>
      <c r="J31" s="32">
        <v>0.94736842105263153</v>
      </c>
      <c r="K31" s="32">
        <v>8.4188911704312114E-2</v>
      </c>
    </row>
    <row r="32" spans="1:11" x14ac:dyDescent="0.2">
      <c r="A32" s="2">
        <v>30</v>
      </c>
      <c r="B32" s="2">
        <f t="shared" ca="1" si="0"/>
        <v>0.48550853355590795</v>
      </c>
      <c r="C32" s="2" t="s">
        <v>227</v>
      </c>
      <c r="I32" s="31">
        <v>0.87</v>
      </c>
      <c r="J32" s="32">
        <v>0.96296296296296291</v>
      </c>
      <c r="K32" s="32">
        <v>3.9014373716632446E-2</v>
      </c>
    </row>
    <row r="33" spans="1:11" x14ac:dyDescent="0.2">
      <c r="A33" s="2">
        <v>31</v>
      </c>
      <c r="B33" s="2">
        <f t="shared" ca="1" si="0"/>
        <v>0.80163612661337824</v>
      </c>
      <c r="C33" s="2" t="s">
        <v>227</v>
      </c>
      <c r="I33" s="31">
        <v>0.9</v>
      </c>
      <c r="J33" s="32">
        <v>0.98050682261208577</v>
      </c>
      <c r="K33" s="32">
        <v>1.6427104722792608E-2</v>
      </c>
    </row>
    <row r="34" spans="1:11" x14ac:dyDescent="0.2">
      <c r="A34" s="2">
        <v>32</v>
      </c>
      <c r="B34" s="2">
        <f t="shared" ca="1" si="0"/>
        <v>0.59724086616048699</v>
      </c>
      <c r="C34" s="2" t="s">
        <v>226</v>
      </c>
      <c r="I34" s="31">
        <v>0.93</v>
      </c>
      <c r="J34" s="32">
        <v>0.98638132295719849</v>
      </c>
      <c r="K34" s="32">
        <v>8.23045267489712E-3</v>
      </c>
    </row>
    <row r="35" spans="1:11" x14ac:dyDescent="0.2">
      <c r="A35" s="2">
        <v>33</v>
      </c>
      <c r="B35" s="2">
        <f t="shared" ca="1" si="0"/>
        <v>0.57012620345924636</v>
      </c>
      <c r="C35" s="2" t="s">
        <v>226</v>
      </c>
      <c r="I35" s="31">
        <v>0.96</v>
      </c>
      <c r="J35" s="32">
        <v>0.99027237354085607</v>
      </c>
      <c r="K35" s="32">
        <v>2.05761316872428E-3</v>
      </c>
    </row>
    <row r="36" spans="1:11" x14ac:dyDescent="0.2">
      <c r="A36" s="2">
        <v>34</v>
      </c>
      <c r="B36" s="2">
        <f t="shared" ca="1" si="0"/>
        <v>0.52991406007930264</v>
      </c>
      <c r="C36" s="2" t="s">
        <v>226</v>
      </c>
      <c r="I36" s="31">
        <v>0.99</v>
      </c>
      <c r="J36" s="32">
        <v>0.99416342412451364</v>
      </c>
      <c r="K36" s="32">
        <v>4.11522633744856E-3</v>
      </c>
    </row>
    <row r="37" spans="1:11" x14ac:dyDescent="0.2">
      <c r="A37" s="2">
        <v>35</v>
      </c>
      <c r="B37" s="2">
        <f t="shared" ca="1" si="0"/>
        <v>0.60321094705744205</v>
      </c>
      <c r="C37" s="2" t="s">
        <v>227</v>
      </c>
      <c r="I37" s="31"/>
    </row>
    <row r="38" spans="1:11" x14ac:dyDescent="0.2">
      <c r="A38" s="2">
        <v>36</v>
      </c>
      <c r="B38" s="2">
        <f t="shared" ca="1" si="0"/>
        <v>0.71947782004002625</v>
      </c>
      <c r="C38" s="2" t="s">
        <v>226</v>
      </c>
    </row>
    <row r="39" spans="1:11" x14ac:dyDescent="0.2">
      <c r="A39" s="2">
        <v>37</v>
      </c>
      <c r="B39" s="2">
        <f t="shared" ca="1" si="0"/>
        <v>0.70731181347466332</v>
      </c>
      <c r="C39" s="2" t="s">
        <v>226</v>
      </c>
    </row>
    <row r="40" spans="1:11" x14ac:dyDescent="0.2">
      <c r="A40" s="2">
        <v>38</v>
      </c>
      <c r="B40" s="2">
        <f t="shared" ca="1" si="0"/>
        <v>0.57822390699093851</v>
      </c>
      <c r="C40" s="2" t="s">
        <v>227</v>
      </c>
    </row>
    <row r="41" spans="1:11" x14ac:dyDescent="0.2">
      <c r="A41" s="2">
        <v>39</v>
      </c>
      <c r="B41" s="2">
        <f t="shared" ca="1" si="0"/>
        <v>0.78644065100174587</v>
      </c>
      <c r="C41" s="2" t="s">
        <v>226</v>
      </c>
    </row>
    <row r="42" spans="1:11" x14ac:dyDescent="0.2">
      <c r="A42" s="2">
        <v>40</v>
      </c>
      <c r="B42" s="2">
        <f t="shared" ca="1" si="0"/>
        <v>0.648182232216439</v>
      </c>
      <c r="C42" s="2" t="s">
        <v>227</v>
      </c>
    </row>
    <row r="43" spans="1:11" x14ac:dyDescent="0.2">
      <c r="A43" s="2">
        <v>41</v>
      </c>
      <c r="B43" s="2">
        <f t="shared" ca="1" si="0"/>
        <v>0.44701979327236924</v>
      </c>
      <c r="C43" s="2" t="s">
        <v>226</v>
      </c>
    </row>
    <row r="44" spans="1:11" x14ac:dyDescent="0.2">
      <c r="A44" s="2">
        <v>42</v>
      </c>
      <c r="B44" s="2">
        <f t="shared" ca="1" si="0"/>
        <v>0.53183654165030148</v>
      </c>
      <c r="C44" s="2" t="s">
        <v>226</v>
      </c>
    </row>
    <row r="45" spans="1:11" x14ac:dyDescent="0.2">
      <c r="A45" s="2">
        <v>43</v>
      </c>
      <c r="B45" s="2">
        <f t="shared" ca="1" si="0"/>
        <v>0.78712700294792182</v>
      </c>
      <c r="C45" s="2" t="s">
        <v>226</v>
      </c>
    </row>
    <row r="46" spans="1:11" x14ac:dyDescent="0.2">
      <c r="A46" s="2">
        <v>44</v>
      </c>
      <c r="B46" s="2">
        <f t="shared" ca="1" si="0"/>
        <v>0.55341784514849435</v>
      </c>
      <c r="C46" s="2" t="s">
        <v>226</v>
      </c>
    </row>
    <row r="47" spans="1:11" x14ac:dyDescent="0.2">
      <c r="A47" s="2">
        <v>45</v>
      </c>
      <c r="B47" s="2">
        <f t="shared" ca="1" si="0"/>
        <v>0.70027334947475017</v>
      </c>
      <c r="C47" s="2" t="s">
        <v>226</v>
      </c>
    </row>
    <row r="48" spans="1:11" x14ac:dyDescent="0.2">
      <c r="A48" s="2">
        <v>46</v>
      </c>
      <c r="B48" s="2">
        <f t="shared" ca="1" si="0"/>
        <v>0.68125557208108423</v>
      </c>
      <c r="C48" s="2" t="s">
        <v>227</v>
      </c>
    </row>
    <row r="49" spans="1:3" x14ac:dyDescent="0.2">
      <c r="A49" s="2">
        <v>47</v>
      </c>
      <c r="B49" s="2">
        <f t="shared" ca="1" si="0"/>
        <v>0.73635594823141559</v>
      </c>
      <c r="C49" s="2" t="s">
        <v>227</v>
      </c>
    </row>
    <row r="50" spans="1:3" x14ac:dyDescent="0.2">
      <c r="A50" s="2">
        <v>48</v>
      </c>
      <c r="B50" s="2">
        <f t="shared" ca="1" si="0"/>
        <v>0.45994686336211754</v>
      </c>
      <c r="C50" s="2" t="s">
        <v>226</v>
      </c>
    </row>
    <row r="51" spans="1:3" x14ac:dyDescent="0.2">
      <c r="A51" s="2">
        <v>49</v>
      </c>
      <c r="B51" s="2">
        <f t="shared" ca="1" si="0"/>
        <v>0.6551733709353641</v>
      </c>
      <c r="C51" s="2" t="s">
        <v>227</v>
      </c>
    </row>
    <row r="52" spans="1:3" x14ac:dyDescent="0.2">
      <c r="A52" s="2">
        <v>50</v>
      </c>
      <c r="B52" s="2">
        <f t="shared" ca="1" si="0"/>
        <v>0.75366037836888644</v>
      </c>
      <c r="C52" s="2" t="s">
        <v>227</v>
      </c>
    </row>
    <row r="53" spans="1:3" x14ac:dyDescent="0.2">
      <c r="A53" s="2">
        <v>51</v>
      </c>
      <c r="B53" s="2">
        <f t="shared" ca="1" si="0"/>
        <v>0.46807087353839116</v>
      </c>
      <c r="C53" s="2" t="s">
        <v>227</v>
      </c>
    </row>
    <row r="54" spans="1:3" x14ac:dyDescent="0.2">
      <c r="A54" s="2">
        <v>52</v>
      </c>
      <c r="B54" s="2">
        <f t="shared" ca="1" si="0"/>
        <v>0.5853253244115324</v>
      </c>
      <c r="C54" s="2" t="s">
        <v>226</v>
      </c>
    </row>
    <row r="55" spans="1:3" x14ac:dyDescent="0.2">
      <c r="A55" s="2">
        <v>53</v>
      </c>
      <c r="B55" s="2">
        <f t="shared" ca="1" si="0"/>
        <v>0.56223974550549105</v>
      </c>
      <c r="C55" s="2" t="s">
        <v>226</v>
      </c>
    </row>
    <row r="56" spans="1:3" x14ac:dyDescent="0.2">
      <c r="A56" s="2">
        <v>54</v>
      </c>
      <c r="B56" s="2">
        <f t="shared" ca="1" si="0"/>
        <v>0.67474645563538205</v>
      </c>
      <c r="C56" s="2" t="s">
        <v>227</v>
      </c>
    </row>
    <row r="57" spans="1:3" x14ac:dyDescent="0.2">
      <c r="A57" s="2">
        <v>55</v>
      </c>
      <c r="B57" s="2">
        <f t="shared" ca="1" si="0"/>
        <v>0.73600774442896832</v>
      </c>
      <c r="C57" s="2" t="s">
        <v>227</v>
      </c>
    </row>
    <row r="58" spans="1:3" x14ac:dyDescent="0.2">
      <c r="A58" s="2">
        <v>56</v>
      </c>
      <c r="B58" s="2">
        <f t="shared" ca="1" si="0"/>
        <v>0.65304906717711231</v>
      </c>
      <c r="C58" s="2" t="s">
        <v>227</v>
      </c>
    </row>
    <row r="59" spans="1:3" x14ac:dyDescent="0.2">
      <c r="A59" s="2">
        <v>57</v>
      </c>
      <c r="B59" s="2">
        <f t="shared" ca="1" si="0"/>
        <v>0.70256490638176894</v>
      </c>
      <c r="C59" s="2" t="s">
        <v>226</v>
      </c>
    </row>
    <row r="60" spans="1:3" x14ac:dyDescent="0.2">
      <c r="A60" s="2">
        <v>58</v>
      </c>
      <c r="B60" s="2">
        <f t="shared" ca="1" si="0"/>
        <v>0.58853532880856541</v>
      </c>
      <c r="C60" s="2" t="s">
        <v>227</v>
      </c>
    </row>
    <row r="61" spans="1:3" x14ac:dyDescent="0.2">
      <c r="A61" s="2">
        <v>59</v>
      </c>
      <c r="B61" s="2">
        <f t="shared" ca="1" si="0"/>
        <v>0.78718435708540613</v>
      </c>
      <c r="C61" s="2" t="s">
        <v>227</v>
      </c>
    </row>
    <row r="62" spans="1:3" x14ac:dyDescent="0.2">
      <c r="A62" s="2">
        <v>60</v>
      </c>
      <c r="B62" s="2">
        <f t="shared" ca="1" si="0"/>
        <v>0.59804067079172041</v>
      </c>
      <c r="C62" s="2" t="s">
        <v>226</v>
      </c>
    </row>
    <row r="63" spans="1:3" x14ac:dyDescent="0.2">
      <c r="A63" s="2">
        <v>61</v>
      </c>
      <c r="B63" s="2">
        <f t="shared" ca="1" si="0"/>
        <v>0.6124725202818756</v>
      </c>
      <c r="C63" s="2" t="s">
        <v>226</v>
      </c>
    </row>
    <row r="64" spans="1:3" x14ac:dyDescent="0.2">
      <c r="A64" s="2">
        <v>62</v>
      </c>
      <c r="B64" s="2">
        <f t="shared" ca="1" si="0"/>
        <v>0.61951325620396125</v>
      </c>
      <c r="C64" s="2" t="s">
        <v>226</v>
      </c>
    </row>
    <row r="65" spans="1:3" x14ac:dyDescent="0.2">
      <c r="A65" s="2">
        <v>63</v>
      </c>
      <c r="B65" s="2">
        <f t="shared" ca="1" si="0"/>
        <v>0.60413214595498155</v>
      </c>
      <c r="C65" s="2" t="s">
        <v>227</v>
      </c>
    </row>
    <row r="66" spans="1:3" x14ac:dyDescent="0.2">
      <c r="A66" s="2">
        <v>64</v>
      </c>
      <c r="B66" s="2">
        <f t="shared" ca="1" si="0"/>
        <v>0.84532132902154633</v>
      </c>
      <c r="C66" s="2" t="s">
        <v>227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0.61006324802996326</v>
      </c>
      <c r="C67" s="2" t="s">
        <v>227</v>
      </c>
    </row>
    <row r="68" spans="1:3" x14ac:dyDescent="0.2">
      <c r="A68" s="2">
        <v>66</v>
      </c>
      <c r="B68" s="2">
        <f t="shared" ca="1" si="1"/>
        <v>0.71262698375847455</v>
      </c>
      <c r="C68" s="2" t="s">
        <v>227</v>
      </c>
    </row>
    <row r="69" spans="1:3" x14ac:dyDescent="0.2">
      <c r="A69" s="2">
        <v>67</v>
      </c>
      <c r="B69" s="2">
        <f t="shared" ca="1" si="1"/>
        <v>0.76227900675538507</v>
      </c>
      <c r="C69" s="2" t="s">
        <v>227</v>
      </c>
    </row>
    <row r="70" spans="1:3" x14ac:dyDescent="0.2">
      <c r="A70" s="2">
        <v>68</v>
      </c>
      <c r="B70" s="2">
        <f t="shared" ca="1" si="1"/>
        <v>0.69703992849950636</v>
      </c>
      <c r="C70" s="2" t="s">
        <v>226</v>
      </c>
    </row>
    <row r="71" spans="1:3" x14ac:dyDescent="0.2">
      <c r="A71" s="2">
        <v>69</v>
      </c>
      <c r="B71" s="2">
        <f t="shared" ca="1" si="1"/>
        <v>0.640658399090132</v>
      </c>
      <c r="C71" s="2" t="s">
        <v>226</v>
      </c>
    </row>
    <row r="72" spans="1:3" x14ac:dyDescent="0.2">
      <c r="A72" s="2">
        <v>70</v>
      </c>
      <c r="B72" s="2">
        <f t="shared" ca="1" si="1"/>
        <v>0.48223470085717202</v>
      </c>
      <c r="C72" s="2" t="s">
        <v>226</v>
      </c>
    </row>
    <row r="73" spans="1:3" x14ac:dyDescent="0.2">
      <c r="A73" s="2">
        <v>71</v>
      </c>
      <c r="B73" s="2">
        <f t="shared" ca="1" si="1"/>
        <v>0.19167950293121844</v>
      </c>
      <c r="C73" s="2" t="s">
        <v>226</v>
      </c>
    </row>
    <row r="74" spans="1:3" x14ac:dyDescent="0.2">
      <c r="A74" s="2">
        <v>72</v>
      </c>
      <c r="B74" s="2">
        <f t="shared" ca="1" si="1"/>
        <v>0.65665555744472359</v>
      </c>
      <c r="C74" s="2" t="s">
        <v>226</v>
      </c>
    </row>
    <row r="75" spans="1:3" x14ac:dyDescent="0.2">
      <c r="A75" s="2">
        <v>73</v>
      </c>
      <c r="B75" s="2">
        <f t="shared" ca="1" si="1"/>
        <v>0.61370586792518356</v>
      </c>
      <c r="C75" s="2" t="s">
        <v>227</v>
      </c>
    </row>
    <row r="76" spans="1:3" x14ac:dyDescent="0.2">
      <c r="A76" s="2">
        <v>74</v>
      </c>
      <c r="B76" s="2">
        <f t="shared" ca="1" si="1"/>
        <v>0.54492748753135734</v>
      </c>
      <c r="C76" s="2" t="s">
        <v>227</v>
      </c>
    </row>
    <row r="77" spans="1:3" x14ac:dyDescent="0.2">
      <c r="A77" s="2">
        <v>75</v>
      </c>
      <c r="B77" s="2">
        <f t="shared" ca="1" si="1"/>
        <v>0.72282933484734757</v>
      </c>
      <c r="C77" s="2" t="s">
        <v>227</v>
      </c>
    </row>
    <row r="78" spans="1:3" x14ac:dyDescent="0.2">
      <c r="A78" s="2">
        <v>76</v>
      </c>
      <c r="B78" s="2">
        <f t="shared" ca="1" si="1"/>
        <v>0.87751526945310832</v>
      </c>
      <c r="C78" s="2" t="s">
        <v>227</v>
      </c>
    </row>
    <row r="79" spans="1:3" x14ac:dyDescent="0.2">
      <c r="A79" s="2">
        <v>77</v>
      </c>
      <c r="B79" s="2">
        <f t="shared" ca="1" si="1"/>
        <v>0.64756817015339163</v>
      </c>
      <c r="C79" s="2" t="s">
        <v>226</v>
      </c>
    </row>
    <row r="80" spans="1:3" x14ac:dyDescent="0.2">
      <c r="A80" s="2">
        <v>78</v>
      </c>
      <c r="B80" s="2">
        <f t="shared" ca="1" si="1"/>
        <v>0.7519180985589925</v>
      </c>
      <c r="C80" s="2" t="s">
        <v>227</v>
      </c>
    </row>
    <row r="81" spans="1:3" x14ac:dyDescent="0.2">
      <c r="A81" s="2">
        <v>79</v>
      </c>
      <c r="B81" s="2">
        <f t="shared" ca="1" si="1"/>
        <v>0.74946729040766513</v>
      </c>
      <c r="C81" s="2" t="s">
        <v>226</v>
      </c>
    </row>
    <row r="82" spans="1:3" x14ac:dyDescent="0.2">
      <c r="A82" s="2">
        <v>80</v>
      </c>
      <c r="B82" s="2">
        <f t="shared" ca="1" si="1"/>
        <v>0.74833185467817143</v>
      </c>
      <c r="C82" s="2" t="s">
        <v>227</v>
      </c>
    </row>
    <row r="83" spans="1:3" x14ac:dyDescent="0.2">
      <c r="A83" s="2">
        <v>81</v>
      </c>
      <c r="B83" s="2">
        <f t="shared" ca="1" si="1"/>
        <v>0.82413993000670138</v>
      </c>
      <c r="C83" s="2" t="s">
        <v>227</v>
      </c>
    </row>
    <row r="84" spans="1:3" x14ac:dyDescent="0.2">
      <c r="A84" s="2">
        <v>82</v>
      </c>
      <c r="B84" s="2">
        <f t="shared" ca="1" si="1"/>
        <v>0.68277132698982601</v>
      </c>
      <c r="C84" s="2" t="s">
        <v>226</v>
      </c>
    </row>
    <row r="85" spans="1:3" x14ac:dyDescent="0.2">
      <c r="A85" s="2">
        <v>83</v>
      </c>
      <c r="B85" s="2">
        <f t="shared" ca="1" si="1"/>
        <v>0.68067621551301649</v>
      </c>
      <c r="C85" s="2" t="s">
        <v>227</v>
      </c>
    </row>
    <row r="86" spans="1:3" x14ac:dyDescent="0.2">
      <c r="A86" s="2">
        <v>84</v>
      </c>
      <c r="B86" s="2">
        <f t="shared" ca="1" si="1"/>
        <v>0.75739730016863505</v>
      </c>
      <c r="C86" s="2" t="s">
        <v>227</v>
      </c>
    </row>
    <row r="87" spans="1:3" x14ac:dyDescent="0.2">
      <c r="A87" s="2">
        <v>85</v>
      </c>
      <c r="B87" s="2">
        <f t="shared" ca="1" si="1"/>
        <v>0.81278568462926459</v>
      </c>
      <c r="C87" s="2" t="s">
        <v>226</v>
      </c>
    </row>
    <row r="88" spans="1:3" x14ac:dyDescent="0.2">
      <c r="A88" s="2">
        <v>86</v>
      </c>
      <c r="B88" s="2">
        <f t="shared" ca="1" si="1"/>
        <v>0.49130107060956346</v>
      </c>
      <c r="C88" s="2" t="s">
        <v>226</v>
      </c>
    </row>
    <row r="89" spans="1:3" x14ac:dyDescent="0.2">
      <c r="A89" s="2">
        <v>87</v>
      </c>
      <c r="B89" s="2">
        <f t="shared" ca="1" si="1"/>
        <v>0.72380061959042385</v>
      </c>
      <c r="C89" s="2" t="s">
        <v>226</v>
      </c>
    </row>
    <row r="90" spans="1:3" x14ac:dyDescent="0.2">
      <c r="A90" s="2">
        <v>88</v>
      </c>
      <c r="B90" s="2">
        <f t="shared" ca="1" si="1"/>
        <v>0.47072507452059809</v>
      </c>
      <c r="C90" s="2" t="s">
        <v>226</v>
      </c>
    </row>
    <row r="91" spans="1:3" x14ac:dyDescent="0.2">
      <c r="A91" s="2">
        <v>89</v>
      </c>
      <c r="B91" s="2">
        <f t="shared" ca="1" si="1"/>
        <v>0.62927362990959868</v>
      </c>
      <c r="C91" s="2" t="s">
        <v>226</v>
      </c>
    </row>
    <row r="92" spans="1:3" x14ac:dyDescent="0.2">
      <c r="A92" s="2">
        <v>90</v>
      </c>
      <c r="B92" s="2">
        <f t="shared" ca="1" si="1"/>
        <v>0.76080638117482868</v>
      </c>
      <c r="C92" s="2" t="s">
        <v>227</v>
      </c>
    </row>
    <row r="93" spans="1:3" x14ac:dyDescent="0.2">
      <c r="A93" s="2">
        <v>91</v>
      </c>
      <c r="B93" s="2">
        <f t="shared" ca="1" si="1"/>
        <v>0.66472054970000294</v>
      </c>
      <c r="C93" s="2" t="s">
        <v>227</v>
      </c>
    </row>
    <row r="94" spans="1:3" x14ac:dyDescent="0.2">
      <c r="A94" s="2">
        <v>92</v>
      </c>
      <c r="B94" s="2">
        <f t="shared" ca="1" si="1"/>
        <v>0.39037528697845247</v>
      </c>
      <c r="C94" s="2" t="s">
        <v>226</v>
      </c>
    </row>
    <row r="95" spans="1:3" x14ac:dyDescent="0.2">
      <c r="A95" s="2">
        <v>93</v>
      </c>
      <c r="B95" s="2">
        <f t="shared" ca="1" si="1"/>
        <v>0.83600440170516233</v>
      </c>
      <c r="C95" s="2" t="s">
        <v>227</v>
      </c>
    </row>
    <row r="96" spans="1:3" x14ac:dyDescent="0.2">
      <c r="A96" s="2">
        <v>94</v>
      </c>
      <c r="B96" s="2">
        <f t="shared" ca="1" si="1"/>
        <v>0.81143505167583685</v>
      </c>
      <c r="C96" s="2" t="s">
        <v>227</v>
      </c>
    </row>
    <row r="97" spans="1:3" x14ac:dyDescent="0.2">
      <c r="A97" s="2">
        <v>95</v>
      </c>
      <c r="B97" s="2">
        <f t="shared" ca="1" si="1"/>
        <v>0.50054121565422605</v>
      </c>
      <c r="C97" s="2" t="s">
        <v>226</v>
      </c>
    </row>
    <row r="98" spans="1:3" x14ac:dyDescent="0.2">
      <c r="A98" s="2">
        <v>96</v>
      </c>
      <c r="B98" s="2">
        <f t="shared" ca="1" si="1"/>
        <v>0.54319048672864223</v>
      </c>
      <c r="C98" s="2" t="s">
        <v>226</v>
      </c>
    </row>
    <row r="99" spans="1:3" x14ac:dyDescent="0.2">
      <c r="A99" s="2">
        <v>97</v>
      </c>
      <c r="B99" s="2">
        <f t="shared" ca="1" si="1"/>
        <v>0.97943603858753336</v>
      </c>
      <c r="C99" s="2" t="s">
        <v>227</v>
      </c>
    </row>
    <row r="100" spans="1:3" x14ac:dyDescent="0.2">
      <c r="A100" s="2">
        <v>98</v>
      </c>
      <c r="B100" s="2">
        <f t="shared" ca="1" si="1"/>
        <v>0.57489243984944927</v>
      </c>
      <c r="C100" s="2" t="s">
        <v>227</v>
      </c>
    </row>
    <row r="101" spans="1:3" x14ac:dyDescent="0.2">
      <c r="A101" s="2">
        <v>99</v>
      </c>
      <c r="B101" s="2">
        <f t="shared" ca="1" si="1"/>
        <v>0.80256249345314168</v>
      </c>
      <c r="C101" s="2" t="s">
        <v>227</v>
      </c>
    </row>
    <row r="102" spans="1:3" x14ac:dyDescent="0.2">
      <c r="A102" s="2">
        <v>100</v>
      </c>
      <c r="B102" s="2">
        <f t="shared" ca="1" si="1"/>
        <v>0.57409485082132983</v>
      </c>
      <c r="C102" s="2" t="s">
        <v>226</v>
      </c>
    </row>
    <row r="103" spans="1:3" x14ac:dyDescent="0.2">
      <c r="A103" s="2">
        <v>101</v>
      </c>
      <c r="B103" s="2">
        <f t="shared" ca="1" si="1"/>
        <v>0.74429957016401282</v>
      </c>
      <c r="C103" s="2" t="s">
        <v>227</v>
      </c>
    </row>
    <row r="104" spans="1:3" x14ac:dyDescent="0.2">
      <c r="A104" s="2">
        <v>102</v>
      </c>
      <c r="B104" s="2">
        <f t="shared" ca="1" si="1"/>
        <v>0.57647209861066984</v>
      </c>
      <c r="C104" s="2" t="s">
        <v>226</v>
      </c>
    </row>
    <row r="105" spans="1:3" x14ac:dyDescent="0.2">
      <c r="A105" s="2">
        <v>103</v>
      </c>
      <c r="B105" s="2">
        <f t="shared" ca="1" si="1"/>
        <v>0.55386561771122045</v>
      </c>
      <c r="C105" s="2" t="s">
        <v>226</v>
      </c>
    </row>
    <row r="106" spans="1:3" x14ac:dyDescent="0.2">
      <c r="A106" s="2">
        <v>104</v>
      </c>
      <c r="B106" s="2">
        <f t="shared" ca="1" si="1"/>
        <v>0.41373950706842932</v>
      </c>
      <c r="C106" s="2" t="s">
        <v>226</v>
      </c>
    </row>
    <row r="107" spans="1:3" x14ac:dyDescent="0.2">
      <c r="A107" s="2">
        <v>105</v>
      </c>
      <c r="B107" s="2">
        <f t="shared" ca="1" si="1"/>
        <v>0.65216171925209077</v>
      </c>
      <c r="C107" s="2" t="s">
        <v>227</v>
      </c>
    </row>
    <row r="108" spans="1:3" x14ac:dyDescent="0.2">
      <c r="A108" s="2">
        <v>106</v>
      </c>
      <c r="B108" s="2">
        <f t="shared" ca="1" si="1"/>
        <v>0.85465962005838048</v>
      </c>
      <c r="C108" s="2" t="s">
        <v>226</v>
      </c>
    </row>
    <row r="109" spans="1:3" x14ac:dyDescent="0.2">
      <c r="A109" s="2">
        <v>107</v>
      </c>
      <c r="B109" s="2">
        <f t="shared" ca="1" si="1"/>
        <v>0.57109917858089065</v>
      </c>
      <c r="C109" s="2" t="s">
        <v>226</v>
      </c>
    </row>
    <row r="110" spans="1:3" x14ac:dyDescent="0.2">
      <c r="A110" s="2">
        <v>108</v>
      </c>
      <c r="B110" s="2">
        <f t="shared" ca="1" si="1"/>
        <v>0.56491295680826759</v>
      </c>
      <c r="C110" s="2" t="s">
        <v>226</v>
      </c>
    </row>
    <row r="111" spans="1:3" x14ac:dyDescent="0.2">
      <c r="A111" s="2">
        <v>109</v>
      </c>
      <c r="B111" s="2">
        <f t="shared" ca="1" si="1"/>
        <v>0.3917766772427459</v>
      </c>
      <c r="C111" s="2" t="s">
        <v>226</v>
      </c>
    </row>
    <row r="112" spans="1:3" x14ac:dyDescent="0.2">
      <c r="A112" s="2">
        <v>110</v>
      </c>
      <c r="B112" s="2">
        <f t="shared" ca="1" si="1"/>
        <v>0.50555888978094898</v>
      </c>
      <c r="C112" s="2" t="s">
        <v>226</v>
      </c>
    </row>
    <row r="113" spans="1:3" x14ac:dyDescent="0.2">
      <c r="A113" s="2">
        <v>111</v>
      </c>
      <c r="B113" s="2">
        <f t="shared" ca="1" si="1"/>
        <v>0.68579749220703146</v>
      </c>
      <c r="C113" s="2" t="s">
        <v>227</v>
      </c>
    </row>
    <row r="114" spans="1:3" x14ac:dyDescent="0.2">
      <c r="A114" s="2">
        <v>112</v>
      </c>
      <c r="B114" s="2">
        <f t="shared" ca="1" si="1"/>
        <v>0.51776845698238216</v>
      </c>
      <c r="C114" s="2" t="s">
        <v>226</v>
      </c>
    </row>
    <row r="115" spans="1:3" x14ac:dyDescent="0.2">
      <c r="A115" s="2">
        <v>113</v>
      </c>
      <c r="B115" s="2">
        <f t="shared" ca="1" si="1"/>
        <v>0.78320869715461683</v>
      </c>
      <c r="C115" s="2" t="s">
        <v>226</v>
      </c>
    </row>
    <row r="116" spans="1:3" x14ac:dyDescent="0.2">
      <c r="A116" s="2">
        <v>114</v>
      </c>
      <c r="B116" s="2">
        <f t="shared" ca="1" si="1"/>
        <v>0.48711772164830996</v>
      </c>
      <c r="C116" s="2" t="s">
        <v>226</v>
      </c>
    </row>
    <row r="117" spans="1:3" x14ac:dyDescent="0.2">
      <c r="A117" s="2">
        <v>115</v>
      </c>
      <c r="B117" s="2">
        <f t="shared" ca="1" si="1"/>
        <v>0.77544569111065953</v>
      </c>
      <c r="C117" s="2" t="s">
        <v>226</v>
      </c>
    </row>
    <row r="118" spans="1:3" x14ac:dyDescent="0.2">
      <c r="A118" s="2">
        <v>116</v>
      </c>
      <c r="B118" s="2">
        <f t="shared" ca="1" si="1"/>
        <v>0.33514056748216658</v>
      </c>
      <c r="C118" s="2" t="s">
        <v>226</v>
      </c>
    </row>
    <row r="119" spans="1:3" x14ac:dyDescent="0.2">
      <c r="A119" s="2">
        <v>117</v>
      </c>
      <c r="B119" s="2">
        <f t="shared" ca="1" si="1"/>
        <v>0.65118935435278058</v>
      </c>
      <c r="C119" s="2" t="s">
        <v>226</v>
      </c>
    </row>
    <row r="120" spans="1:3" x14ac:dyDescent="0.2">
      <c r="A120" s="2">
        <v>118</v>
      </c>
      <c r="B120" s="2">
        <f t="shared" ca="1" si="1"/>
        <v>0.43343535418996404</v>
      </c>
      <c r="C120" s="2" t="s">
        <v>226</v>
      </c>
    </row>
    <row r="121" spans="1:3" x14ac:dyDescent="0.2">
      <c r="A121" s="2">
        <v>119</v>
      </c>
      <c r="B121" s="2">
        <f t="shared" ca="1" si="1"/>
        <v>0.57454230009711937</v>
      </c>
      <c r="C121" s="2" t="s">
        <v>226</v>
      </c>
    </row>
    <row r="122" spans="1:3" x14ac:dyDescent="0.2">
      <c r="A122" s="2">
        <v>120</v>
      </c>
      <c r="B122" s="2">
        <f t="shared" ca="1" si="1"/>
        <v>0.73863821555286024</v>
      </c>
      <c r="C122" s="2" t="s">
        <v>227</v>
      </c>
    </row>
    <row r="123" spans="1:3" x14ac:dyDescent="0.2">
      <c r="A123" s="2">
        <v>121</v>
      </c>
      <c r="B123" s="2">
        <f t="shared" ca="1" si="1"/>
        <v>0.71342354172042721</v>
      </c>
      <c r="C123" s="2" t="s">
        <v>227</v>
      </c>
    </row>
    <row r="124" spans="1:3" x14ac:dyDescent="0.2">
      <c r="A124" s="2">
        <v>122</v>
      </c>
      <c r="B124" s="2">
        <f t="shared" ca="1" si="1"/>
        <v>0.66252683368602838</v>
      </c>
      <c r="C124" s="2" t="s">
        <v>226</v>
      </c>
    </row>
    <row r="125" spans="1:3" x14ac:dyDescent="0.2">
      <c r="A125" s="2">
        <v>123</v>
      </c>
      <c r="B125" s="2">
        <f t="shared" ca="1" si="1"/>
        <v>0.7064250546126789</v>
      </c>
      <c r="C125" s="2" t="s">
        <v>227</v>
      </c>
    </row>
    <row r="126" spans="1:3" x14ac:dyDescent="0.2">
      <c r="A126" s="2">
        <v>124</v>
      </c>
      <c r="B126" s="2">
        <f t="shared" ca="1" si="1"/>
        <v>0.6972156636496406</v>
      </c>
      <c r="C126" s="2" t="s">
        <v>227</v>
      </c>
    </row>
    <row r="127" spans="1:3" x14ac:dyDescent="0.2">
      <c r="A127" s="2">
        <v>125</v>
      </c>
      <c r="B127" s="2">
        <f t="shared" ca="1" si="1"/>
        <v>0.65014762624821143</v>
      </c>
      <c r="C127" s="2" t="s">
        <v>226</v>
      </c>
    </row>
    <row r="128" spans="1:3" x14ac:dyDescent="0.2">
      <c r="A128" s="2">
        <v>126</v>
      </c>
      <c r="B128" s="2">
        <f t="shared" ca="1" si="1"/>
        <v>0.56432892058210471</v>
      </c>
      <c r="C128" s="2" t="s">
        <v>226</v>
      </c>
    </row>
    <row r="129" spans="1:3" x14ac:dyDescent="0.2">
      <c r="A129" s="2">
        <v>127</v>
      </c>
      <c r="B129" s="2">
        <f t="shared" ca="1" si="1"/>
        <v>0.565916727397485</v>
      </c>
      <c r="C129" s="2" t="s">
        <v>226</v>
      </c>
    </row>
    <row r="130" spans="1:3" x14ac:dyDescent="0.2">
      <c r="A130" s="2">
        <v>128</v>
      </c>
      <c r="B130" s="2">
        <f t="shared" ca="1" si="1"/>
        <v>0.79974488121279685</v>
      </c>
      <c r="C130" s="2" t="s">
        <v>226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0.6917039514145007</v>
      </c>
      <c r="C131" s="2" t="s">
        <v>226</v>
      </c>
    </row>
    <row r="132" spans="1:3" x14ac:dyDescent="0.2">
      <c r="A132" s="2">
        <v>130</v>
      </c>
      <c r="B132" s="2">
        <f t="shared" ca="1" si="2"/>
        <v>0.74250940757820516</v>
      </c>
      <c r="C132" s="2" t="s">
        <v>227</v>
      </c>
    </row>
    <row r="133" spans="1:3" x14ac:dyDescent="0.2">
      <c r="A133" s="2">
        <v>131</v>
      </c>
      <c r="B133" s="2">
        <f t="shared" ca="1" si="2"/>
        <v>0.71814191983302345</v>
      </c>
      <c r="C133" s="2" t="s">
        <v>227</v>
      </c>
    </row>
    <row r="134" spans="1:3" x14ac:dyDescent="0.2">
      <c r="A134" s="2">
        <v>132</v>
      </c>
      <c r="B134" s="2">
        <f t="shared" ca="1" si="2"/>
        <v>0.7373057751377583</v>
      </c>
      <c r="C134" s="2" t="s">
        <v>227</v>
      </c>
    </row>
    <row r="135" spans="1:3" x14ac:dyDescent="0.2">
      <c r="A135" s="2">
        <v>133</v>
      </c>
      <c r="B135" s="2">
        <f t="shared" ca="1" si="2"/>
        <v>0.76246624221955939</v>
      </c>
      <c r="C135" s="2" t="s">
        <v>227</v>
      </c>
    </row>
    <row r="136" spans="1:3" x14ac:dyDescent="0.2">
      <c r="A136" s="2">
        <v>134</v>
      </c>
      <c r="B136" s="2">
        <f t="shared" ca="1" si="2"/>
        <v>0.7041842772276149</v>
      </c>
      <c r="C136" s="2" t="s">
        <v>226</v>
      </c>
    </row>
    <row r="137" spans="1:3" x14ac:dyDescent="0.2">
      <c r="A137" s="2">
        <v>135</v>
      </c>
      <c r="B137" s="2">
        <f t="shared" ca="1" si="2"/>
        <v>0.89355469953707822</v>
      </c>
      <c r="C137" s="2" t="s">
        <v>227</v>
      </c>
    </row>
    <row r="138" spans="1:3" x14ac:dyDescent="0.2">
      <c r="A138" s="2">
        <v>136</v>
      </c>
      <c r="B138" s="2">
        <f t="shared" ca="1" si="2"/>
        <v>0.69218933356470724</v>
      </c>
      <c r="C138" s="2" t="s">
        <v>227</v>
      </c>
    </row>
    <row r="139" spans="1:3" x14ac:dyDescent="0.2">
      <c r="A139" s="2">
        <v>137</v>
      </c>
      <c r="B139" s="2">
        <f t="shared" ca="1" si="2"/>
        <v>0.36688482200304928</v>
      </c>
      <c r="C139" s="2" t="s">
        <v>226</v>
      </c>
    </row>
    <row r="140" spans="1:3" x14ac:dyDescent="0.2">
      <c r="A140" s="2">
        <v>138</v>
      </c>
      <c r="B140" s="2">
        <f t="shared" ca="1" si="2"/>
        <v>0.74637802254175767</v>
      </c>
      <c r="C140" s="2" t="s">
        <v>227</v>
      </c>
    </row>
    <row r="141" spans="1:3" x14ac:dyDescent="0.2">
      <c r="A141" s="2">
        <v>139</v>
      </c>
      <c r="B141" s="2">
        <f t="shared" ca="1" si="2"/>
        <v>0.60734972306556134</v>
      </c>
      <c r="C141" s="2" t="s">
        <v>226</v>
      </c>
    </row>
    <row r="142" spans="1:3" x14ac:dyDescent="0.2">
      <c r="A142" s="2">
        <v>140</v>
      </c>
      <c r="B142" s="2">
        <f t="shared" ca="1" si="2"/>
        <v>0.55538156403228001</v>
      </c>
      <c r="C142" s="2" t="s">
        <v>226</v>
      </c>
    </row>
    <row r="143" spans="1:3" x14ac:dyDescent="0.2">
      <c r="A143" s="2">
        <v>141</v>
      </c>
      <c r="B143" s="2">
        <f t="shared" ca="1" si="2"/>
        <v>0.57152988196071752</v>
      </c>
      <c r="C143" s="2" t="s">
        <v>226</v>
      </c>
    </row>
    <row r="144" spans="1:3" x14ac:dyDescent="0.2">
      <c r="A144" s="2">
        <v>142</v>
      </c>
      <c r="B144" s="2">
        <f t="shared" ca="1" si="2"/>
        <v>0.63133955763008631</v>
      </c>
      <c r="C144" s="2" t="s">
        <v>227</v>
      </c>
    </row>
    <row r="145" spans="1:3" x14ac:dyDescent="0.2">
      <c r="A145" s="2">
        <v>143</v>
      </c>
      <c r="B145" s="2">
        <f t="shared" ca="1" si="2"/>
        <v>0.57269603609956921</v>
      </c>
      <c r="C145" s="2" t="s">
        <v>226</v>
      </c>
    </row>
    <row r="146" spans="1:3" x14ac:dyDescent="0.2">
      <c r="A146" s="2">
        <v>144</v>
      </c>
      <c r="B146" s="2">
        <f t="shared" ca="1" si="2"/>
        <v>0.74465809832269225</v>
      </c>
      <c r="C146" s="2" t="s">
        <v>227</v>
      </c>
    </row>
    <row r="147" spans="1:3" x14ac:dyDescent="0.2">
      <c r="A147" s="2">
        <v>145</v>
      </c>
      <c r="B147" s="2">
        <f t="shared" ca="1" si="2"/>
        <v>0.8160975055295886</v>
      </c>
      <c r="C147" s="2" t="s">
        <v>226</v>
      </c>
    </row>
    <row r="148" spans="1:3" x14ac:dyDescent="0.2">
      <c r="A148" s="2">
        <v>146</v>
      </c>
      <c r="B148" s="2">
        <f t="shared" ca="1" si="2"/>
        <v>0.45504011348754847</v>
      </c>
      <c r="C148" s="2" t="s">
        <v>226</v>
      </c>
    </row>
    <row r="149" spans="1:3" x14ac:dyDescent="0.2">
      <c r="A149" s="2">
        <v>147</v>
      </c>
      <c r="B149" s="2">
        <f t="shared" ca="1" si="2"/>
        <v>0.76908675969629259</v>
      </c>
      <c r="C149" s="2" t="s">
        <v>227</v>
      </c>
    </row>
    <row r="150" spans="1:3" x14ac:dyDescent="0.2">
      <c r="A150" s="2">
        <v>148</v>
      </c>
      <c r="B150" s="2">
        <f t="shared" ca="1" si="2"/>
        <v>0.61129679238730794</v>
      </c>
      <c r="C150" s="2" t="s">
        <v>226</v>
      </c>
    </row>
    <row r="151" spans="1:3" x14ac:dyDescent="0.2">
      <c r="A151" s="2">
        <v>149</v>
      </c>
      <c r="B151" s="2">
        <f t="shared" ca="1" si="2"/>
        <v>0.79891286263200278</v>
      </c>
      <c r="C151" s="2" t="s">
        <v>226</v>
      </c>
    </row>
    <row r="152" spans="1:3" x14ac:dyDescent="0.2">
      <c r="A152" s="2">
        <v>150</v>
      </c>
      <c r="B152" s="2">
        <f t="shared" ca="1" si="2"/>
        <v>0.63182135531312977</v>
      </c>
      <c r="C152" s="2" t="s">
        <v>226</v>
      </c>
    </row>
    <row r="153" spans="1:3" x14ac:dyDescent="0.2">
      <c r="A153" s="2">
        <v>151</v>
      </c>
      <c r="B153" s="2">
        <f t="shared" ca="1" si="2"/>
        <v>0.66006244991090546</v>
      </c>
      <c r="C153" s="2" t="s">
        <v>227</v>
      </c>
    </row>
    <row r="154" spans="1:3" x14ac:dyDescent="0.2">
      <c r="A154" s="2">
        <v>152</v>
      </c>
      <c r="B154" s="2">
        <f t="shared" ca="1" si="2"/>
        <v>0.75028423711036485</v>
      </c>
      <c r="C154" s="2" t="s">
        <v>227</v>
      </c>
    </row>
    <row r="155" spans="1:3" x14ac:dyDescent="0.2">
      <c r="A155" s="2">
        <v>153</v>
      </c>
      <c r="B155" s="2">
        <f t="shared" ca="1" si="2"/>
        <v>0.70564526950533069</v>
      </c>
      <c r="C155" s="2" t="s">
        <v>227</v>
      </c>
    </row>
    <row r="156" spans="1:3" x14ac:dyDescent="0.2">
      <c r="A156" s="2">
        <v>154</v>
      </c>
      <c r="B156" s="2">
        <f t="shared" ca="1" si="2"/>
        <v>0.50139211371453563</v>
      </c>
      <c r="C156" s="2" t="s">
        <v>226</v>
      </c>
    </row>
    <row r="157" spans="1:3" x14ac:dyDescent="0.2">
      <c r="A157" s="2">
        <v>155</v>
      </c>
      <c r="B157" s="2">
        <f t="shared" ca="1" si="2"/>
        <v>1.0111438053507522</v>
      </c>
      <c r="C157" s="2" t="s">
        <v>227</v>
      </c>
    </row>
    <row r="158" spans="1:3" x14ac:dyDescent="0.2">
      <c r="A158" s="2">
        <v>156</v>
      </c>
      <c r="B158" s="2">
        <f t="shared" ca="1" si="2"/>
        <v>0.64373927052443258</v>
      </c>
      <c r="C158" s="2" t="s">
        <v>227</v>
      </c>
    </row>
    <row r="159" spans="1:3" x14ac:dyDescent="0.2">
      <c r="A159" s="2">
        <v>157</v>
      </c>
      <c r="B159" s="2">
        <f t="shared" ca="1" si="2"/>
        <v>0.27444189438399147</v>
      </c>
      <c r="C159" s="2" t="s">
        <v>226</v>
      </c>
    </row>
    <row r="160" spans="1:3" x14ac:dyDescent="0.2">
      <c r="A160" s="2">
        <v>158</v>
      </c>
      <c r="B160" s="2">
        <f t="shared" ca="1" si="2"/>
        <v>0.66249042801863645</v>
      </c>
      <c r="C160" s="2" t="s">
        <v>226</v>
      </c>
    </row>
    <row r="161" spans="1:3" x14ac:dyDescent="0.2">
      <c r="A161" s="2">
        <v>159</v>
      </c>
      <c r="B161" s="2">
        <f t="shared" ca="1" si="2"/>
        <v>0.73057725913788252</v>
      </c>
      <c r="C161" s="2" t="s">
        <v>227</v>
      </c>
    </row>
    <row r="162" spans="1:3" x14ac:dyDescent="0.2">
      <c r="A162" s="2">
        <v>160</v>
      </c>
      <c r="B162" s="2">
        <f t="shared" ca="1" si="2"/>
        <v>0.56744134420482972</v>
      </c>
      <c r="C162" s="2" t="s">
        <v>227</v>
      </c>
    </row>
    <row r="163" spans="1:3" x14ac:dyDescent="0.2">
      <c r="A163" s="2">
        <v>161</v>
      </c>
      <c r="B163" s="2">
        <f t="shared" ca="1" si="2"/>
        <v>0.77280443214871286</v>
      </c>
      <c r="C163" s="2" t="s">
        <v>227</v>
      </c>
    </row>
    <row r="164" spans="1:3" x14ac:dyDescent="0.2">
      <c r="A164" s="2">
        <v>162</v>
      </c>
      <c r="B164" s="2">
        <f t="shared" ca="1" si="2"/>
        <v>0.54119687706323838</v>
      </c>
      <c r="C164" s="2" t="s">
        <v>226</v>
      </c>
    </row>
    <row r="165" spans="1:3" x14ac:dyDescent="0.2">
      <c r="A165" s="2">
        <v>163</v>
      </c>
      <c r="B165" s="2">
        <f t="shared" ca="1" si="2"/>
        <v>0.55541032218582942</v>
      </c>
      <c r="C165" s="2" t="s">
        <v>226</v>
      </c>
    </row>
    <row r="166" spans="1:3" x14ac:dyDescent="0.2">
      <c r="A166" s="2">
        <v>164</v>
      </c>
      <c r="B166" s="2">
        <f t="shared" ca="1" si="2"/>
        <v>0.66999608852026482</v>
      </c>
      <c r="C166" s="2" t="s">
        <v>226</v>
      </c>
    </row>
    <row r="167" spans="1:3" x14ac:dyDescent="0.2">
      <c r="A167" s="2">
        <v>165</v>
      </c>
      <c r="B167" s="2">
        <f t="shared" ca="1" si="2"/>
        <v>0.62781468080823244</v>
      </c>
      <c r="C167" s="2" t="s">
        <v>226</v>
      </c>
    </row>
    <row r="168" spans="1:3" x14ac:dyDescent="0.2">
      <c r="A168" s="2">
        <v>166</v>
      </c>
      <c r="B168" s="2">
        <f t="shared" ca="1" si="2"/>
        <v>0.71342387495250803</v>
      </c>
      <c r="C168" s="2" t="s">
        <v>227</v>
      </c>
    </row>
    <row r="169" spans="1:3" x14ac:dyDescent="0.2">
      <c r="A169" s="2">
        <v>167</v>
      </c>
      <c r="B169" s="2">
        <f t="shared" ca="1" si="2"/>
        <v>0.72339319328266039</v>
      </c>
      <c r="C169" s="2" t="s">
        <v>227</v>
      </c>
    </row>
    <row r="170" spans="1:3" x14ac:dyDescent="0.2">
      <c r="A170" s="2">
        <v>168</v>
      </c>
      <c r="B170" s="2">
        <f t="shared" ca="1" si="2"/>
        <v>0.87138565193233219</v>
      </c>
      <c r="C170" s="2" t="s">
        <v>227</v>
      </c>
    </row>
    <row r="171" spans="1:3" x14ac:dyDescent="0.2">
      <c r="A171" s="2">
        <v>169</v>
      </c>
      <c r="B171" s="2">
        <f t="shared" ca="1" si="2"/>
        <v>0.59018234571951855</v>
      </c>
      <c r="C171" s="2" t="s">
        <v>226</v>
      </c>
    </row>
    <row r="172" spans="1:3" x14ac:dyDescent="0.2">
      <c r="A172" s="2">
        <v>170</v>
      </c>
      <c r="B172" s="2">
        <f t="shared" ca="1" si="2"/>
        <v>0.3886010720412898</v>
      </c>
      <c r="C172" s="2" t="s">
        <v>226</v>
      </c>
    </row>
    <row r="173" spans="1:3" x14ac:dyDescent="0.2">
      <c r="A173" s="2">
        <v>171</v>
      </c>
      <c r="B173" s="2">
        <f t="shared" ca="1" si="2"/>
        <v>0.75737303963854097</v>
      </c>
      <c r="C173" s="2" t="s">
        <v>227</v>
      </c>
    </row>
    <row r="174" spans="1:3" x14ac:dyDescent="0.2">
      <c r="A174" s="2">
        <v>172</v>
      </c>
      <c r="B174" s="2">
        <f t="shared" ca="1" si="2"/>
        <v>0.49591029095998562</v>
      </c>
      <c r="C174" s="2" t="s">
        <v>227</v>
      </c>
    </row>
    <row r="175" spans="1:3" x14ac:dyDescent="0.2">
      <c r="A175" s="2">
        <v>173</v>
      </c>
      <c r="B175" s="2">
        <f t="shared" ca="1" si="2"/>
        <v>0.74529146052981954</v>
      </c>
      <c r="C175" s="2" t="s">
        <v>227</v>
      </c>
    </row>
    <row r="176" spans="1:3" x14ac:dyDescent="0.2">
      <c r="A176" s="2">
        <v>174</v>
      </c>
      <c r="B176" s="2">
        <f t="shared" ca="1" si="2"/>
        <v>0.63528372505264263</v>
      </c>
      <c r="C176" s="2" t="s">
        <v>226</v>
      </c>
    </row>
    <row r="177" spans="1:3" x14ac:dyDescent="0.2">
      <c r="A177" s="2">
        <v>175</v>
      </c>
      <c r="B177" s="2">
        <f t="shared" ca="1" si="2"/>
        <v>0.6786292017026534</v>
      </c>
      <c r="C177" s="2" t="s">
        <v>227</v>
      </c>
    </row>
    <row r="178" spans="1:3" x14ac:dyDescent="0.2">
      <c r="A178" s="2">
        <v>176</v>
      </c>
      <c r="B178" s="2">
        <f t="shared" ca="1" si="2"/>
        <v>0.57519466106709261</v>
      </c>
      <c r="C178" s="2" t="s">
        <v>227</v>
      </c>
    </row>
    <row r="179" spans="1:3" x14ac:dyDescent="0.2">
      <c r="A179" s="2">
        <v>177</v>
      </c>
      <c r="B179" s="2">
        <f t="shared" ca="1" si="2"/>
        <v>0.61189929856902736</v>
      </c>
      <c r="C179" s="2" t="s">
        <v>226</v>
      </c>
    </row>
    <row r="180" spans="1:3" x14ac:dyDescent="0.2">
      <c r="A180" s="2">
        <v>178</v>
      </c>
      <c r="B180" s="2">
        <f t="shared" ca="1" si="2"/>
        <v>0.35370264913656996</v>
      </c>
      <c r="C180" s="2" t="s">
        <v>226</v>
      </c>
    </row>
    <row r="181" spans="1:3" x14ac:dyDescent="0.2">
      <c r="A181" s="2">
        <v>179</v>
      </c>
      <c r="B181" s="2">
        <f t="shared" ca="1" si="2"/>
        <v>0.69867937379741696</v>
      </c>
      <c r="C181" s="2" t="s">
        <v>227</v>
      </c>
    </row>
    <row r="182" spans="1:3" x14ac:dyDescent="0.2">
      <c r="A182" s="2">
        <v>180</v>
      </c>
      <c r="B182" s="2">
        <f t="shared" ca="1" si="2"/>
        <v>0.63335023487294029</v>
      </c>
      <c r="C182" s="2" t="s">
        <v>227</v>
      </c>
    </row>
    <row r="183" spans="1:3" x14ac:dyDescent="0.2">
      <c r="A183" s="2">
        <v>181</v>
      </c>
      <c r="B183" s="2">
        <f t="shared" ca="1" si="2"/>
        <v>0.62848856357176319</v>
      </c>
      <c r="C183" s="2" t="s">
        <v>227</v>
      </c>
    </row>
    <row r="184" spans="1:3" x14ac:dyDescent="0.2">
      <c r="A184" s="2">
        <v>182</v>
      </c>
      <c r="B184" s="2">
        <f t="shared" ca="1" si="2"/>
        <v>0.81202029008741738</v>
      </c>
      <c r="C184" s="2" t="s">
        <v>227</v>
      </c>
    </row>
    <row r="185" spans="1:3" x14ac:dyDescent="0.2">
      <c r="A185" s="2">
        <v>183</v>
      </c>
      <c r="B185" s="2">
        <f t="shared" ca="1" si="2"/>
        <v>0.48793003923523626</v>
      </c>
      <c r="C185" s="2" t="s">
        <v>226</v>
      </c>
    </row>
    <row r="186" spans="1:3" x14ac:dyDescent="0.2">
      <c r="A186" s="2">
        <v>184</v>
      </c>
      <c r="B186" s="2">
        <f t="shared" ca="1" si="2"/>
        <v>0.47671739814156905</v>
      </c>
      <c r="C186" s="2" t="s">
        <v>227</v>
      </c>
    </row>
    <row r="187" spans="1:3" x14ac:dyDescent="0.2">
      <c r="A187" s="2">
        <v>185</v>
      </c>
      <c r="B187" s="2">
        <f t="shared" ca="1" si="2"/>
        <v>0.81636441687374117</v>
      </c>
      <c r="C187" s="2" t="s">
        <v>226</v>
      </c>
    </row>
    <row r="188" spans="1:3" x14ac:dyDescent="0.2">
      <c r="A188" s="2">
        <v>186</v>
      </c>
      <c r="B188" s="2">
        <f t="shared" ca="1" si="2"/>
        <v>0.48729723726789176</v>
      </c>
      <c r="C188" s="2" t="s">
        <v>227</v>
      </c>
    </row>
    <row r="189" spans="1:3" x14ac:dyDescent="0.2">
      <c r="A189" s="2">
        <v>187</v>
      </c>
      <c r="B189" s="2">
        <f t="shared" ca="1" si="2"/>
        <v>0.32291475114328461</v>
      </c>
      <c r="C189" s="2" t="s">
        <v>226</v>
      </c>
    </row>
    <row r="190" spans="1:3" x14ac:dyDescent="0.2">
      <c r="A190" s="2">
        <v>188</v>
      </c>
      <c r="B190" s="2">
        <f t="shared" ca="1" si="2"/>
        <v>0.74282193110151662</v>
      </c>
      <c r="C190" s="2" t="s">
        <v>227</v>
      </c>
    </row>
    <row r="191" spans="1:3" x14ac:dyDescent="0.2">
      <c r="A191" s="2">
        <v>189</v>
      </c>
      <c r="B191" s="2">
        <f t="shared" ca="1" si="2"/>
        <v>0.64866001341895518</v>
      </c>
      <c r="C191" s="2" t="s">
        <v>227</v>
      </c>
    </row>
    <row r="192" spans="1:3" x14ac:dyDescent="0.2">
      <c r="A192" s="2">
        <v>190</v>
      </c>
      <c r="B192" s="2">
        <f t="shared" ca="1" si="2"/>
        <v>0.40924734237361915</v>
      </c>
      <c r="C192" s="2" t="s">
        <v>226</v>
      </c>
    </row>
    <row r="193" spans="1:3" x14ac:dyDescent="0.2">
      <c r="A193" s="2">
        <v>191</v>
      </c>
      <c r="B193" s="2">
        <f t="shared" ca="1" si="2"/>
        <v>0.70332129573687852</v>
      </c>
      <c r="C193" s="2" t="s">
        <v>227</v>
      </c>
    </row>
    <row r="194" spans="1:3" x14ac:dyDescent="0.2">
      <c r="A194" s="2">
        <v>192</v>
      </c>
      <c r="B194" s="2">
        <f t="shared" ca="1" si="2"/>
        <v>0.91650914491973923</v>
      </c>
      <c r="C194" s="2" t="s">
        <v>226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0.58644180010291802</v>
      </c>
      <c r="C195" s="2" t="s">
        <v>227</v>
      </c>
    </row>
    <row r="196" spans="1:3" x14ac:dyDescent="0.2">
      <c r="A196" s="2">
        <v>194</v>
      </c>
      <c r="B196" s="2">
        <f t="shared" ca="1" si="3"/>
        <v>0.62340683765205329</v>
      </c>
      <c r="C196" s="2" t="s">
        <v>226</v>
      </c>
    </row>
    <row r="197" spans="1:3" x14ac:dyDescent="0.2">
      <c r="A197" s="2">
        <v>195</v>
      </c>
      <c r="B197" s="2">
        <f t="shared" ca="1" si="3"/>
        <v>0.82850453639084565</v>
      </c>
      <c r="C197" s="2" t="s">
        <v>226</v>
      </c>
    </row>
    <row r="198" spans="1:3" x14ac:dyDescent="0.2">
      <c r="A198" s="2">
        <v>196</v>
      </c>
      <c r="B198" s="2">
        <f t="shared" ca="1" si="3"/>
        <v>0.63284318296534481</v>
      </c>
      <c r="C198" s="2" t="s">
        <v>227</v>
      </c>
    </row>
    <row r="199" spans="1:3" x14ac:dyDescent="0.2">
      <c r="A199" s="2">
        <v>197</v>
      </c>
      <c r="B199" s="2">
        <f t="shared" ca="1" si="3"/>
        <v>0.63948242836358049</v>
      </c>
      <c r="C199" s="2" t="s">
        <v>226</v>
      </c>
    </row>
    <row r="200" spans="1:3" x14ac:dyDescent="0.2">
      <c r="A200" s="2">
        <v>198</v>
      </c>
      <c r="B200" s="2">
        <f t="shared" ca="1" si="3"/>
        <v>0.69400800315036737</v>
      </c>
      <c r="C200" s="2" t="s">
        <v>227</v>
      </c>
    </row>
    <row r="201" spans="1:3" x14ac:dyDescent="0.2">
      <c r="A201" s="2">
        <v>199</v>
      </c>
      <c r="B201" s="2">
        <f t="shared" ca="1" si="3"/>
        <v>0.55612045678271615</v>
      </c>
      <c r="C201" s="2" t="s">
        <v>226</v>
      </c>
    </row>
    <row r="202" spans="1:3" x14ac:dyDescent="0.2">
      <c r="A202" s="2">
        <v>200</v>
      </c>
      <c r="B202" s="2">
        <f t="shared" ca="1" si="3"/>
        <v>0.63264723324451622</v>
      </c>
      <c r="C202" s="2" t="s">
        <v>227</v>
      </c>
    </row>
    <row r="203" spans="1:3" x14ac:dyDescent="0.2">
      <c r="A203" s="2">
        <v>201</v>
      </c>
      <c r="B203" s="2">
        <f t="shared" ca="1" si="3"/>
        <v>0.41568795179984763</v>
      </c>
      <c r="C203" s="2" t="s">
        <v>226</v>
      </c>
    </row>
    <row r="204" spans="1:3" x14ac:dyDescent="0.2">
      <c r="A204" s="2">
        <v>202</v>
      </c>
      <c r="B204" s="2">
        <f t="shared" ca="1" si="3"/>
        <v>0.79703305498368926</v>
      </c>
      <c r="C204" s="2" t="s">
        <v>227</v>
      </c>
    </row>
    <row r="205" spans="1:3" x14ac:dyDescent="0.2">
      <c r="A205" s="2">
        <v>203</v>
      </c>
      <c r="B205" s="2">
        <f t="shared" ca="1" si="3"/>
        <v>0.81795660038944984</v>
      </c>
      <c r="C205" s="2" t="s">
        <v>226</v>
      </c>
    </row>
    <row r="206" spans="1:3" x14ac:dyDescent="0.2">
      <c r="A206" s="2">
        <v>204</v>
      </c>
      <c r="B206" s="2">
        <f t="shared" ca="1" si="3"/>
        <v>0.67645090121855123</v>
      </c>
      <c r="C206" s="2" t="s">
        <v>226</v>
      </c>
    </row>
    <row r="207" spans="1:3" x14ac:dyDescent="0.2">
      <c r="A207" s="2">
        <v>205</v>
      </c>
      <c r="B207" s="2">
        <f t="shared" ca="1" si="3"/>
        <v>0.66542296661681921</v>
      </c>
      <c r="C207" s="2" t="s">
        <v>226</v>
      </c>
    </row>
    <row r="208" spans="1:3" x14ac:dyDescent="0.2">
      <c r="A208" s="2">
        <v>206</v>
      </c>
      <c r="B208" s="2">
        <f t="shared" ca="1" si="3"/>
        <v>0.65444269022437673</v>
      </c>
      <c r="C208" s="2" t="s">
        <v>227</v>
      </c>
    </row>
    <row r="209" spans="1:3" x14ac:dyDescent="0.2">
      <c r="A209" s="2">
        <v>207</v>
      </c>
      <c r="B209" s="2">
        <f t="shared" ca="1" si="3"/>
        <v>0.75227936281444907</v>
      </c>
      <c r="C209" s="2" t="s">
        <v>227</v>
      </c>
    </row>
    <row r="210" spans="1:3" x14ac:dyDescent="0.2">
      <c r="A210" s="2">
        <v>208</v>
      </c>
      <c r="B210" s="2">
        <f t="shared" ca="1" si="3"/>
        <v>0.7602622674100965</v>
      </c>
      <c r="C210" s="2" t="s">
        <v>227</v>
      </c>
    </row>
    <row r="211" spans="1:3" x14ac:dyDescent="0.2">
      <c r="A211" s="2">
        <v>209</v>
      </c>
      <c r="B211" s="2">
        <f t="shared" ca="1" si="3"/>
        <v>0.53409965952392746</v>
      </c>
      <c r="C211" s="2" t="s">
        <v>226</v>
      </c>
    </row>
    <row r="212" spans="1:3" x14ac:dyDescent="0.2">
      <c r="A212" s="2">
        <v>210</v>
      </c>
      <c r="B212" s="2">
        <f t="shared" ca="1" si="3"/>
        <v>0.72264135930461137</v>
      </c>
      <c r="C212" s="2" t="s">
        <v>226</v>
      </c>
    </row>
    <row r="213" spans="1:3" x14ac:dyDescent="0.2">
      <c r="A213" s="2">
        <v>211</v>
      </c>
      <c r="B213" s="2">
        <f t="shared" ca="1" si="3"/>
        <v>0.88285988974710161</v>
      </c>
      <c r="C213" s="2" t="s">
        <v>226</v>
      </c>
    </row>
    <row r="214" spans="1:3" x14ac:dyDescent="0.2">
      <c r="A214" s="2">
        <v>212</v>
      </c>
      <c r="B214" s="2">
        <f t="shared" ca="1" si="3"/>
        <v>0.78552368395171301</v>
      </c>
      <c r="C214" s="2" t="s">
        <v>226</v>
      </c>
    </row>
    <row r="215" spans="1:3" x14ac:dyDescent="0.2">
      <c r="A215" s="2">
        <v>213</v>
      </c>
      <c r="B215" s="2">
        <f t="shared" ca="1" si="3"/>
        <v>0.55808481912123198</v>
      </c>
      <c r="C215" s="2" t="s">
        <v>226</v>
      </c>
    </row>
    <row r="216" spans="1:3" x14ac:dyDescent="0.2">
      <c r="A216" s="2">
        <v>214</v>
      </c>
      <c r="B216" s="2">
        <f t="shared" ca="1" si="3"/>
        <v>0.68217541418664973</v>
      </c>
      <c r="C216" s="2" t="s">
        <v>226</v>
      </c>
    </row>
    <row r="217" spans="1:3" x14ac:dyDescent="0.2">
      <c r="A217" s="2">
        <v>215</v>
      </c>
      <c r="B217" s="2">
        <f t="shared" ca="1" si="3"/>
        <v>0.75873819970769962</v>
      </c>
      <c r="C217" s="2" t="s">
        <v>227</v>
      </c>
    </row>
    <row r="218" spans="1:3" x14ac:dyDescent="0.2">
      <c r="A218" s="2">
        <v>216</v>
      </c>
      <c r="B218" s="2">
        <f t="shared" ca="1" si="3"/>
        <v>0.75759512636808968</v>
      </c>
      <c r="C218" s="2" t="s">
        <v>227</v>
      </c>
    </row>
    <row r="219" spans="1:3" x14ac:dyDescent="0.2">
      <c r="A219" s="2">
        <v>217</v>
      </c>
      <c r="B219" s="2">
        <f t="shared" ca="1" si="3"/>
        <v>0.68551661986023982</v>
      </c>
      <c r="C219" s="2" t="s">
        <v>227</v>
      </c>
    </row>
    <row r="220" spans="1:3" x14ac:dyDescent="0.2">
      <c r="A220" s="2">
        <v>218</v>
      </c>
      <c r="B220" s="2">
        <f t="shared" ca="1" si="3"/>
        <v>0.66286284994034206</v>
      </c>
      <c r="C220" s="2" t="s">
        <v>226</v>
      </c>
    </row>
    <row r="221" spans="1:3" x14ac:dyDescent="0.2">
      <c r="A221" s="2">
        <v>219</v>
      </c>
      <c r="B221" s="2">
        <f t="shared" ca="1" si="3"/>
        <v>0.65443303666167241</v>
      </c>
      <c r="C221" s="2" t="s">
        <v>227</v>
      </c>
    </row>
    <row r="222" spans="1:3" x14ac:dyDescent="0.2">
      <c r="A222" s="2">
        <v>220</v>
      </c>
      <c r="B222" s="2">
        <f t="shared" ca="1" si="3"/>
        <v>0.68680698303457044</v>
      </c>
      <c r="C222" s="2" t="s">
        <v>226</v>
      </c>
    </row>
    <row r="223" spans="1:3" x14ac:dyDescent="0.2">
      <c r="A223" s="2">
        <v>221</v>
      </c>
      <c r="B223" s="2">
        <f t="shared" ca="1" si="3"/>
        <v>0.51886801847278274</v>
      </c>
      <c r="C223" s="2" t="s">
        <v>227</v>
      </c>
    </row>
    <row r="224" spans="1:3" x14ac:dyDescent="0.2">
      <c r="A224" s="2">
        <v>222</v>
      </c>
      <c r="B224" s="2">
        <f t="shared" ca="1" si="3"/>
        <v>0.78214932724844821</v>
      </c>
      <c r="C224" s="2" t="s">
        <v>227</v>
      </c>
    </row>
    <row r="225" spans="1:3" x14ac:dyDescent="0.2">
      <c r="A225" s="2">
        <v>223</v>
      </c>
      <c r="B225" s="2">
        <f t="shared" ca="1" si="3"/>
        <v>0.56738964593110686</v>
      </c>
      <c r="C225" s="2" t="s">
        <v>226</v>
      </c>
    </row>
    <row r="226" spans="1:3" x14ac:dyDescent="0.2">
      <c r="A226" s="2">
        <v>224</v>
      </c>
      <c r="B226" s="2">
        <f t="shared" ca="1" si="3"/>
        <v>0.66092105992966921</v>
      </c>
      <c r="C226" s="2" t="s">
        <v>226</v>
      </c>
    </row>
    <row r="227" spans="1:3" x14ac:dyDescent="0.2">
      <c r="A227" s="2">
        <v>225</v>
      </c>
      <c r="B227" s="2">
        <f t="shared" ca="1" si="3"/>
        <v>0.81257534433524481</v>
      </c>
      <c r="C227" s="2" t="s">
        <v>227</v>
      </c>
    </row>
    <row r="228" spans="1:3" x14ac:dyDescent="0.2">
      <c r="A228" s="2">
        <v>226</v>
      </c>
      <c r="B228" s="2">
        <f t="shared" ca="1" si="3"/>
        <v>0.59537134439985073</v>
      </c>
      <c r="C228" s="2" t="s">
        <v>226</v>
      </c>
    </row>
    <row r="229" spans="1:3" x14ac:dyDescent="0.2">
      <c r="A229" s="2">
        <v>227</v>
      </c>
      <c r="B229" s="2">
        <f t="shared" ca="1" si="3"/>
        <v>0.42894896549413519</v>
      </c>
      <c r="C229" s="2" t="s">
        <v>226</v>
      </c>
    </row>
    <row r="230" spans="1:3" x14ac:dyDescent="0.2">
      <c r="A230" s="2">
        <v>228</v>
      </c>
      <c r="B230" s="2">
        <f t="shared" ca="1" si="3"/>
        <v>0.54197994668427751</v>
      </c>
      <c r="C230" s="2" t="s">
        <v>226</v>
      </c>
    </row>
    <row r="231" spans="1:3" x14ac:dyDescent="0.2">
      <c r="A231" s="2">
        <v>229</v>
      </c>
      <c r="B231" s="2">
        <f t="shared" ca="1" si="3"/>
        <v>0.32611694445655559</v>
      </c>
      <c r="C231" s="2" t="s">
        <v>226</v>
      </c>
    </row>
    <row r="232" spans="1:3" x14ac:dyDescent="0.2">
      <c r="A232" s="2">
        <v>230</v>
      </c>
      <c r="B232" s="2">
        <f t="shared" ca="1" si="3"/>
        <v>0.56231335325662735</v>
      </c>
      <c r="C232" s="2" t="s">
        <v>227</v>
      </c>
    </row>
    <row r="233" spans="1:3" x14ac:dyDescent="0.2">
      <c r="A233" s="2">
        <v>231</v>
      </c>
      <c r="B233" s="2">
        <f t="shared" ca="1" si="3"/>
        <v>0.52749571605764112</v>
      </c>
      <c r="C233" s="2" t="s">
        <v>227</v>
      </c>
    </row>
    <row r="234" spans="1:3" x14ac:dyDescent="0.2">
      <c r="A234" s="2">
        <v>232</v>
      </c>
      <c r="B234" s="2">
        <f t="shared" ca="1" si="3"/>
        <v>0.43684220143844743</v>
      </c>
      <c r="C234" s="2" t="s">
        <v>226</v>
      </c>
    </row>
    <row r="235" spans="1:3" x14ac:dyDescent="0.2">
      <c r="A235" s="2">
        <v>233</v>
      </c>
      <c r="B235" s="2">
        <f t="shared" ca="1" si="3"/>
        <v>0.7225153107293657</v>
      </c>
      <c r="C235" s="2" t="s">
        <v>226</v>
      </c>
    </row>
    <row r="236" spans="1:3" x14ac:dyDescent="0.2">
      <c r="A236" s="2">
        <v>234</v>
      </c>
      <c r="B236" s="2">
        <f t="shared" ca="1" si="3"/>
        <v>0.5654101434676938</v>
      </c>
      <c r="C236" s="2" t="s">
        <v>227</v>
      </c>
    </row>
    <row r="237" spans="1:3" x14ac:dyDescent="0.2">
      <c r="A237" s="2">
        <v>235</v>
      </c>
      <c r="B237" s="2">
        <f t="shared" ca="1" si="3"/>
        <v>0.33568953428959852</v>
      </c>
      <c r="C237" s="2" t="s">
        <v>226</v>
      </c>
    </row>
    <row r="238" spans="1:3" x14ac:dyDescent="0.2">
      <c r="A238" s="2">
        <v>236</v>
      </c>
      <c r="B238" s="2">
        <f t="shared" ca="1" si="3"/>
        <v>0.68270526327675463</v>
      </c>
      <c r="C238" s="2" t="s">
        <v>227</v>
      </c>
    </row>
    <row r="239" spans="1:3" x14ac:dyDescent="0.2">
      <c r="A239" s="2">
        <v>237</v>
      </c>
      <c r="B239" s="2">
        <f t="shared" ca="1" si="3"/>
        <v>0.53554636632804598</v>
      </c>
      <c r="C239" s="2" t="s">
        <v>226</v>
      </c>
    </row>
    <row r="240" spans="1:3" x14ac:dyDescent="0.2">
      <c r="A240" s="2">
        <v>238</v>
      </c>
      <c r="B240" s="2">
        <f t="shared" ca="1" si="3"/>
        <v>0.78714025115024211</v>
      </c>
      <c r="C240" s="2" t="s">
        <v>227</v>
      </c>
    </row>
    <row r="241" spans="1:3" x14ac:dyDescent="0.2">
      <c r="A241" s="2">
        <v>239</v>
      </c>
      <c r="B241" s="2">
        <f t="shared" ca="1" si="3"/>
        <v>0.49742285028296296</v>
      </c>
      <c r="C241" s="2" t="s">
        <v>226</v>
      </c>
    </row>
    <row r="242" spans="1:3" x14ac:dyDescent="0.2">
      <c r="A242" s="2">
        <v>240</v>
      </c>
      <c r="B242" s="2">
        <f t="shared" ca="1" si="3"/>
        <v>0.70040143670811073</v>
      </c>
      <c r="C242" s="2" t="s">
        <v>226</v>
      </c>
    </row>
    <row r="243" spans="1:3" x14ac:dyDescent="0.2">
      <c r="A243" s="2">
        <v>241</v>
      </c>
      <c r="B243" s="2">
        <f t="shared" ca="1" si="3"/>
        <v>0.6130061997947458</v>
      </c>
      <c r="C243" s="2" t="s">
        <v>227</v>
      </c>
    </row>
    <row r="244" spans="1:3" x14ac:dyDescent="0.2">
      <c r="A244" s="2">
        <v>242</v>
      </c>
      <c r="B244" s="2">
        <f t="shared" ca="1" si="3"/>
        <v>0.66047305493248509</v>
      </c>
      <c r="C244" s="2" t="s">
        <v>227</v>
      </c>
    </row>
    <row r="245" spans="1:3" x14ac:dyDescent="0.2">
      <c r="A245" s="2">
        <v>243</v>
      </c>
      <c r="B245" s="2">
        <f t="shared" ca="1" si="3"/>
        <v>0.69384774856757947</v>
      </c>
      <c r="C245" s="2" t="s">
        <v>227</v>
      </c>
    </row>
    <row r="246" spans="1:3" x14ac:dyDescent="0.2">
      <c r="A246" s="2">
        <v>244</v>
      </c>
      <c r="B246" s="2">
        <f t="shared" ca="1" si="3"/>
        <v>0.56586835783205358</v>
      </c>
      <c r="C246" s="2" t="s">
        <v>226</v>
      </c>
    </row>
    <row r="247" spans="1:3" x14ac:dyDescent="0.2">
      <c r="A247" s="2">
        <v>245</v>
      </c>
      <c r="B247" s="2">
        <f t="shared" ca="1" si="3"/>
        <v>0.77036638310008321</v>
      </c>
      <c r="C247" s="2" t="s">
        <v>227</v>
      </c>
    </row>
    <row r="248" spans="1:3" x14ac:dyDescent="0.2">
      <c r="A248" s="2">
        <v>246</v>
      </c>
      <c r="B248" s="2">
        <f t="shared" ca="1" si="3"/>
        <v>0.62330064185367051</v>
      </c>
      <c r="C248" s="2" t="s">
        <v>227</v>
      </c>
    </row>
    <row r="249" spans="1:3" x14ac:dyDescent="0.2">
      <c r="A249" s="2">
        <v>247</v>
      </c>
      <c r="B249" s="2">
        <f t="shared" ca="1" si="3"/>
        <v>0.60629000722853121</v>
      </c>
      <c r="C249" s="2" t="s">
        <v>226</v>
      </c>
    </row>
    <row r="250" spans="1:3" x14ac:dyDescent="0.2">
      <c r="A250" s="2">
        <v>248</v>
      </c>
      <c r="B250" s="2">
        <f t="shared" ca="1" si="3"/>
        <v>0.64976349619368068</v>
      </c>
      <c r="C250" s="2" t="s">
        <v>227</v>
      </c>
    </row>
    <row r="251" spans="1:3" x14ac:dyDescent="0.2">
      <c r="A251" s="2">
        <v>249</v>
      </c>
      <c r="B251" s="2">
        <f t="shared" ca="1" si="3"/>
        <v>0.69636666716186646</v>
      </c>
      <c r="C251" s="2" t="s">
        <v>226</v>
      </c>
    </row>
    <row r="252" spans="1:3" x14ac:dyDescent="0.2">
      <c r="A252" s="2">
        <v>250</v>
      </c>
      <c r="B252" s="2">
        <f t="shared" ca="1" si="3"/>
        <v>0.72966189987307384</v>
      </c>
      <c r="C252" s="2" t="s">
        <v>227</v>
      </c>
    </row>
    <row r="253" spans="1:3" x14ac:dyDescent="0.2">
      <c r="A253" s="2">
        <v>251</v>
      </c>
      <c r="B253" s="2">
        <f t="shared" ca="1" si="3"/>
        <v>0.7562205294316835</v>
      </c>
      <c r="C253" s="2" t="s">
        <v>226</v>
      </c>
    </row>
    <row r="254" spans="1:3" x14ac:dyDescent="0.2">
      <c r="A254" s="2">
        <v>252</v>
      </c>
      <c r="B254" s="2">
        <f t="shared" ca="1" si="3"/>
        <v>0.67900294312540765</v>
      </c>
      <c r="C254" s="2" t="s">
        <v>227</v>
      </c>
    </row>
    <row r="255" spans="1:3" x14ac:dyDescent="0.2">
      <c r="A255" s="2">
        <v>253</v>
      </c>
      <c r="B255" s="2">
        <f t="shared" ca="1" si="3"/>
        <v>0.67109041652037305</v>
      </c>
      <c r="C255" s="2" t="s">
        <v>227</v>
      </c>
    </row>
    <row r="256" spans="1:3" x14ac:dyDescent="0.2">
      <c r="A256" s="2">
        <v>254</v>
      </c>
      <c r="B256" s="2">
        <f t="shared" ca="1" si="3"/>
        <v>0.7925418919086008</v>
      </c>
      <c r="C256" s="2" t="s">
        <v>227</v>
      </c>
    </row>
    <row r="257" spans="1:3" x14ac:dyDescent="0.2">
      <c r="A257" s="2">
        <v>255</v>
      </c>
      <c r="B257" s="2">
        <f t="shared" ca="1" si="3"/>
        <v>0.53415221478138508</v>
      </c>
      <c r="C257" s="2" t="s">
        <v>226</v>
      </c>
    </row>
    <row r="258" spans="1:3" x14ac:dyDescent="0.2">
      <c r="A258" s="2">
        <v>256</v>
      </c>
      <c r="B258" s="2">
        <f t="shared" ca="1" si="3"/>
        <v>0.69574124101883639</v>
      </c>
      <c r="C258" s="2" t="s">
        <v>226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0.66685511116069884</v>
      </c>
      <c r="C259" s="2" t="s">
        <v>226</v>
      </c>
    </row>
    <row r="260" spans="1:3" x14ac:dyDescent="0.2">
      <c r="A260" s="2">
        <v>258</v>
      </c>
      <c r="B260" s="2">
        <f t="shared" ca="1" si="4"/>
        <v>0.53810448779012443</v>
      </c>
      <c r="C260" s="2" t="s">
        <v>226</v>
      </c>
    </row>
    <row r="261" spans="1:3" x14ac:dyDescent="0.2">
      <c r="A261" s="2">
        <v>259</v>
      </c>
      <c r="B261" s="2">
        <f t="shared" ca="1" si="4"/>
        <v>0.58643712048472241</v>
      </c>
      <c r="C261" s="2" t="s">
        <v>226</v>
      </c>
    </row>
    <row r="262" spans="1:3" x14ac:dyDescent="0.2">
      <c r="A262" s="2">
        <v>260</v>
      </c>
      <c r="B262" s="2">
        <f t="shared" ca="1" si="4"/>
        <v>0.81726768655761683</v>
      </c>
      <c r="C262" s="2" t="s">
        <v>227</v>
      </c>
    </row>
    <row r="263" spans="1:3" x14ac:dyDescent="0.2">
      <c r="A263" s="2">
        <v>261</v>
      </c>
      <c r="B263" s="2">
        <f t="shared" ca="1" si="4"/>
        <v>0.64038068128528891</v>
      </c>
      <c r="C263" s="2" t="s">
        <v>227</v>
      </c>
    </row>
    <row r="264" spans="1:3" x14ac:dyDescent="0.2">
      <c r="A264" s="2">
        <v>262</v>
      </c>
      <c r="B264" s="2">
        <f t="shared" ca="1" si="4"/>
        <v>0.47275763582492569</v>
      </c>
      <c r="C264" s="2" t="s">
        <v>227</v>
      </c>
    </row>
    <row r="265" spans="1:3" x14ac:dyDescent="0.2">
      <c r="A265" s="2">
        <v>263</v>
      </c>
      <c r="B265" s="2">
        <f t="shared" ca="1" si="4"/>
        <v>0.60675468009939626</v>
      </c>
      <c r="C265" s="2" t="s">
        <v>227</v>
      </c>
    </row>
    <row r="266" spans="1:3" x14ac:dyDescent="0.2">
      <c r="A266" s="2">
        <v>264</v>
      </c>
      <c r="B266" s="2">
        <f t="shared" ca="1" si="4"/>
        <v>0.52755795530375715</v>
      </c>
      <c r="C266" s="2" t="s">
        <v>226</v>
      </c>
    </row>
    <row r="267" spans="1:3" x14ac:dyDescent="0.2">
      <c r="A267" s="2">
        <v>265</v>
      </c>
      <c r="B267" s="2">
        <f t="shared" ca="1" si="4"/>
        <v>0.61799115921387338</v>
      </c>
      <c r="C267" s="2" t="s">
        <v>227</v>
      </c>
    </row>
    <row r="268" spans="1:3" x14ac:dyDescent="0.2">
      <c r="A268" s="2">
        <v>266</v>
      </c>
      <c r="B268" s="2">
        <f t="shared" ca="1" si="4"/>
        <v>0.94838237652621649</v>
      </c>
      <c r="C268" s="2" t="s">
        <v>227</v>
      </c>
    </row>
    <row r="269" spans="1:3" x14ac:dyDescent="0.2">
      <c r="A269" s="2">
        <v>267</v>
      </c>
      <c r="B269" s="2">
        <f t="shared" ca="1" si="4"/>
        <v>0.42169682317768353</v>
      </c>
      <c r="C269" s="2" t="s">
        <v>226</v>
      </c>
    </row>
    <row r="270" spans="1:3" x14ac:dyDescent="0.2">
      <c r="A270" s="2">
        <v>268</v>
      </c>
      <c r="B270" s="2">
        <f t="shared" ca="1" si="4"/>
        <v>0.67800410419832213</v>
      </c>
      <c r="C270" s="2" t="s">
        <v>226</v>
      </c>
    </row>
    <row r="271" spans="1:3" x14ac:dyDescent="0.2">
      <c r="A271" s="2">
        <v>269</v>
      </c>
      <c r="B271" s="2">
        <f t="shared" ca="1" si="4"/>
        <v>0.69657659920907122</v>
      </c>
      <c r="C271" s="2" t="s">
        <v>227</v>
      </c>
    </row>
    <row r="272" spans="1:3" x14ac:dyDescent="0.2">
      <c r="A272" s="2">
        <v>270</v>
      </c>
      <c r="B272" s="2">
        <f t="shared" ca="1" si="4"/>
        <v>0.77668618367201536</v>
      </c>
      <c r="C272" s="2" t="s">
        <v>227</v>
      </c>
    </row>
    <row r="273" spans="1:3" x14ac:dyDescent="0.2">
      <c r="A273" s="2">
        <v>271</v>
      </c>
      <c r="B273" s="2">
        <f t="shared" ca="1" si="4"/>
        <v>0.51884971363897137</v>
      </c>
      <c r="C273" s="2" t="s">
        <v>226</v>
      </c>
    </row>
    <row r="274" spans="1:3" x14ac:dyDescent="0.2">
      <c r="A274" s="2">
        <v>272</v>
      </c>
      <c r="B274" s="2">
        <f t="shared" ca="1" si="4"/>
        <v>0.69776439843787719</v>
      </c>
      <c r="C274" s="2" t="s">
        <v>226</v>
      </c>
    </row>
    <row r="275" spans="1:3" x14ac:dyDescent="0.2">
      <c r="A275" s="2">
        <v>273</v>
      </c>
      <c r="B275" s="2">
        <f t="shared" ca="1" si="4"/>
        <v>0.67579118121536985</v>
      </c>
      <c r="C275" s="2" t="s">
        <v>227</v>
      </c>
    </row>
    <row r="276" spans="1:3" x14ac:dyDescent="0.2">
      <c r="A276" s="2">
        <v>274</v>
      </c>
      <c r="B276" s="2">
        <f t="shared" ca="1" si="4"/>
        <v>0.62849138785218117</v>
      </c>
      <c r="C276" s="2" t="s">
        <v>226</v>
      </c>
    </row>
    <row r="277" spans="1:3" x14ac:dyDescent="0.2">
      <c r="A277" s="2">
        <v>275</v>
      </c>
      <c r="B277" s="2">
        <f t="shared" ca="1" si="4"/>
        <v>0.5126260510752948</v>
      </c>
      <c r="C277" s="2" t="s">
        <v>226</v>
      </c>
    </row>
    <row r="278" spans="1:3" x14ac:dyDescent="0.2">
      <c r="A278" s="2">
        <v>276</v>
      </c>
      <c r="B278" s="2">
        <f t="shared" ca="1" si="4"/>
        <v>0.7345473891512071</v>
      </c>
      <c r="C278" s="2" t="s">
        <v>227</v>
      </c>
    </row>
    <row r="279" spans="1:3" x14ac:dyDescent="0.2">
      <c r="A279" s="2">
        <v>277</v>
      </c>
      <c r="B279" s="2">
        <f t="shared" ca="1" si="4"/>
        <v>0.51002421464755143</v>
      </c>
      <c r="C279" s="2" t="s">
        <v>227</v>
      </c>
    </row>
    <row r="280" spans="1:3" x14ac:dyDescent="0.2">
      <c r="A280" s="2">
        <v>278</v>
      </c>
      <c r="B280" s="2">
        <f t="shared" ca="1" si="4"/>
        <v>0.73573431854001958</v>
      </c>
      <c r="C280" s="2" t="s">
        <v>226</v>
      </c>
    </row>
    <row r="281" spans="1:3" x14ac:dyDescent="0.2">
      <c r="A281" s="2">
        <v>279</v>
      </c>
      <c r="B281" s="2">
        <f t="shared" ca="1" si="4"/>
        <v>0.79080883950428471</v>
      </c>
      <c r="C281" s="2" t="s">
        <v>226</v>
      </c>
    </row>
    <row r="282" spans="1:3" x14ac:dyDescent="0.2">
      <c r="A282" s="2">
        <v>280</v>
      </c>
      <c r="B282" s="2">
        <f t="shared" ca="1" si="4"/>
        <v>0.88872101119866576</v>
      </c>
      <c r="C282" s="2" t="s">
        <v>226</v>
      </c>
    </row>
    <row r="283" spans="1:3" x14ac:dyDescent="0.2">
      <c r="A283" s="2">
        <v>281</v>
      </c>
      <c r="B283" s="2">
        <f t="shared" ca="1" si="4"/>
        <v>0.60720325845856604</v>
      </c>
      <c r="C283" s="2" t="s">
        <v>226</v>
      </c>
    </row>
    <row r="284" spans="1:3" x14ac:dyDescent="0.2">
      <c r="A284" s="2">
        <v>282</v>
      </c>
      <c r="B284" s="2">
        <f t="shared" ca="1" si="4"/>
        <v>0.55663562452834026</v>
      </c>
      <c r="C284" s="2" t="s">
        <v>227</v>
      </c>
    </row>
    <row r="285" spans="1:3" x14ac:dyDescent="0.2">
      <c r="A285" s="2">
        <v>283</v>
      </c>
      <c r="B285" s="2">
        <f t="shared" ca="1" si="4"/>
        <v>0.61855406365727572</v>
      </c>
      <c r="C285" s="2" t="s">
        <v>227</v>
      </c>
    </row>
    <row r="286" spans="1:3" x14ac:dyDescent="0.2">
      <c r="A286" s="2">
        <v>284</v>
      </c>
      <c r="B286" s="2">
        <f t="shared" ca="1" si="4"/>
        <v>0.87375298366635934</v>
      </c>
      <c r="C286" s="2" t="s">
        <v>227</v>
      </c>
    </row>
    <row r="287" spans="1:3" x14ac:dyDescent="0.2">
      <c r="A287" s="2">
        <v>285</v>
      </c>
      <c r="B287" s="2">
        <f t="shared" ca="1" si="4"/>
        <v>0.42920831163098871</v>
      </c>
      <c r="C287" s="2" t="s">
        <v>226</v>
      </c>
    </row>
    <row r="288" spans="1:3" x14ac:dyDescent="0.2">
      <c r="A288" s="2">
        <v>286</v>
      </c>
      <c r="B288" s="2">
        <f t="shared" ca="1" si="4"/>
        <v>0.71243714300680816</v>
      </c>
      <c r="C288" s="2" t="s">
        <v>227</v>
      </c>
    </row>
    <row r="289" spans="1:3" x14ac:dyDescent="0.2">
      <c r="A289" s="2">
        <v>287</v>
      </c>
      <c r="B289" s="2">
        <f t="shared" ca="1" si="4"/>
        <v>0.45920964475077619</v>
      </c>
      <c r="C289" s="2" t="s">
        <v>227</v>
      </c>
    </row>
    <row r="290" spans="1:3" x14ac:dyDescent="0.2">
      <c r="A290" s="2">
        <v>288</v>
      </c>
      <c r="B290" s="2">
        <f t="shared" ca="1" si="4"/>
        <v>1.0487749273393294</v>
      </c>
      <c r="C290" s="2" t="s">
        <v>227</v>
      </c>
    </row>
    <row r="291" spans="1:3" x14ac:dyDescent="0.2">
      <c r="A291" s="2">
        <v>289</v>
      </c>
      <c r="B291" s="2">
        <f t="shared" ca="1" si="4"/>
        <v>0.58972617334554012</v>
      </c>
      <c r="C291" s="2" t="s">
        <v>227</v>
      </c>
    </row>
    <row r="292" spans="1:3" x14ac:dyDescent="0.2">
      <c r="A292" s="2">
        <v>290</v>
      </c>
      <c r="B292" s="2">
        <f t="shared" ca="1" si="4"/>
        <v>0.65229418887289203</v>
      </c>
      <c r="C292" s="2" t="s">
        <v>226</v>
      </c>
    </row>
    <row r="293" spans="1:3" x14ac:dyDescent="0.2">
      <c r="A293" s="2">
        <v>291</v>
      </c>
      <c r="B293" s="2">
        <f t="shared" ca="1" si="4"/>
        <v>0.77499444121677263</v>
      </c>
      <c r="C293" s="2" t="s">
        <v>227</v>
      </c>
    </row>
    <row r="294" spans="1:3" x14ac:dyDescent="0.2">
      <c r="A294" s="2">
        <v>292</v>
      </c>
      <c r="B294" s="2">
        <f t="shared" ca="1" si="4"/>
        <v>0.42918292803694524</v>
      </c>
      <c r="C294" s="2" t="s">
        <v>226</v>
      </c>
    </row>
    <row r="295" spans="1:3" x14ac:dyDescent="0.2">
      <c r="A295" s="2">
        <v>293</v>
      </c>
      <c r="B295" s="2">
        <f t="shared" ca="1" si="4"/>
        <v>0.87537279471067719</v>
      </c>
      <c r="C295" s="2" t="s">
        <v>227</v>
      </c>
    </row>
    <row r="296" spans="1:3" x14ac:dyDescent="0.2">
      <c r="A296" s="2">
        <v>294</v>
      </c>
      <c r="B296" s="2">
        <f t="shared" ca="1" si="4"/>
        <v>0.63889463309091976</v>
      </c>
      <c r="C296" s="2" t="s">
        <v>226</v>
      </c>
    </row>
    <row r="297" spans="1:3" x14ac:dyDescent="0.2">
      <c r="A297" s="2">
        <v>295</v>
      </c>
      <c r="B297" s="2">
        <f t="shared" ca="1" si="4"/>
        <v>0.68916171173526464</v>
      </c>
      <c r="C297" s="2" t="s">
        <v>226</v>
      </c>
    </row>
    <row r="298" spans="1:3" x14ac:dyDescent="0.2">
      <c r="A298" s="2">
        <v>296</v>
      </c>
      <c r="B298" s="2">
        <f t="shared" ca="1" si="4"/>
        <v>0.8609865586073997</v>
      </c>
      <c r="C298" s="2" t="s">
        <v>227</v>
      </c>
    </row>
    <row r="299" spans="1:3" x14ac:dyDescent="0.2">
      <c r="A299" s="2">
        <v>297</v>
      </c>
      <c r="B299" s="2">
        <f t="shared" ca="1" si="4"/>
        <v>0.62906421050225281</v>
      </c>
      <c r="C299" s="2" t="s">
        <v>227</v>
      </c>
    </row>
    <row r="300" spans="1:3" x14ac:dyDescent="0.2">
      <c r="A300" s="2">
        <v>298</v>
      </c>
      <c r="B300" s="2">
        <f t="shared" ca="1" si="4"/>
        <v>0.49058448334000082</v>
      </c>
      <c r="C300" s="2" t="s">
        <v>226</v>
      </c>
    </row>
    <row r="301" spans="1:3" x14ac:dyDescent="0.2">
      <c r="A301" s="2">
        <v>299</v>
      </c>
      <c r="B301" s="2">
        <f t="shared" ca="1" si="4"/>
        <v>0.68294615281371585</v>
      </c>
      <c r="C301" s="2" t="s">
        <v>227</v>
      </c>
    </row>
    <row r="302" spans="1:3" x14ac:dyDescent="0.2">
      <c r="A302" s="2">
        <v>300</v>
      </c>
      <c r="B302" s="2">
        <f t="shared" ca="1" si="4"/>
        <v>0.68120731695337977</v>
      </c>
      <c r="C302" s="2" t="s">
        <v>227</v>
      </c>
    </row>
    <row r="303" spans="1:3" x14ac:dyDescent="0.2">
      <c r="A303" s="2">
        <v>301</v>
      </c>
      <c r="B303" s="2">
        <f t="shared" ca="1" si="4"/>
        <v>0.60412339546866456</v>
      </c>
      <c r="C303" s="2" t="s">
        <v>227</v>
      </c>
    </row>
    <row r="304" spans="1:3" x14ac:dyDescent="0.2">
      <c r="A304" s="2">
        <v>302</v>
      </c>
      <c r="B304" s="2">
        <f t="shared" ca="1" si="4"/>
        <v>0.74221004269642143</v>
      </c>
      <c r="C304" s="2" t="s">
        <v>227</v>
      </c>
    </row>
    <row r="305" spans="1:3" x14ac:dyDescent="0.2">
      <c r="A305" s="2">
        <v>303</v>
      </c>
      <c r="B305" s="2">
        <f t="shared" ca="1" si="4"/>
        <v>0.7967961712313687</v>
      </c>
      <c r="C305" s="2" t="s">
        <v>227</v>
      </c>
    </row>
    <row r="306" spans="1:3" x14ac:dyDescent="0.2">
      <c r="A306" s="2">
        <v>304</v>
      </c>
      <c r="B306" s="2">
        <f t="shared" ca="1" si="4"/>
        <v>0.6815432910055893</v>
      </c>
      <c r="C306" s="2" t="s">
        <v>227</v>
      </c>
    </row>
    <row r="307" spans="1:3" x14ac:dyDescent="0.2">
      <c r="A307" s="2">
        <v>305</v>
      </c>
      <c r="B307" s="2">
        <f t="shared" ca="1" si="4"/>
        <v>0.58629617710842763</v>
      </c>
      <c r="C307" s="2" t="s">
        <v>226</v>
      </c>
    </row>
    <row r="308" spans="1:3" x14ac:dyDescent="0.2">
      <c r="A308" s="2">
        <v>306</v>
      </c>
      <c r="B308" s="2">
        <f t="shared" ca="1" si="4"/>
        <v>0.82019416450044236</v>
      </c>
      <c r="C308" s="2" t="s">
        <v>227</v>
      </c>
    </row>
    <row r="309" spans="1:3" x14ac:dyDescent="0.2">
      <c r="A309" s="2">
        <v>307</v>
      </c>
      <c r="B309" s="2">
        <f t="shared" ca="1" si="4"/>
        <v>1.0497718397514251</v>
      </c>
      <c r="C309" s="2" t="s">
        <v>226</v>
      </c>
    </row>
    <row r="310" spans="1:3" x14ac:dyDescent="0.2">
      <c r="A310" s="2">
        <v>308</v>
      </c>
      <c r="B310" s="2">
        <f t="shared" ca="1" si="4"/>
        <v>0.68615352208018621</v>
      </c>
      <c r="C310" s="2" t="s">
        <v>227</v>
      </c>
    </row>
    <row r="311" spans="1:3" x14ac:dyDescent="0.2">
      <c r="A311" s="2">
        <v>309</v>
      </c>
      <c r="B311" s="2">
        <f t="shared" ca="1" si="4"/>
        <v>0.57127696147889528</v>
      </c>
      <c r="C311" s="2" t="s">
        <v>227</v>
      </c>
    </row>
    <row r="312" spans="1:3" x14ac:dyDescent="0.2">
      <c r="A312" s="2">
        <v>310</v>
      </c>
      <c r="B312" s="2">
        <f t="shared" ca="1" si="4"/>
        <v>0.62669938414231374</v>
      </c>
      <c r="C312" s="2" t="s">
        <v>226</v>
      </c>
    </row>
    <row r="313" spans="1:3" x14ac:dyDescent="0.2">
      <c r="A313" s="2">
        <v>311</v>
      </c>
      <c r="B313" s="2">
        <f t="shared" ca="1" si="4"/>
        <v>0.77196472258683135</v>
      </c>
      <c r="C313" s="2" t="s">
        <v>227</v>
      </c>
    </row>
    <row r="314" spans="1:3" x14ac:dyDescent="0.2">
      <c r="A314" s="2">
        <v>312</v>
      </c>
      <c r="B314" s="2">
        <f t="shared" ca="1" si="4"/>
        <v>0.65186748199639732</v>
      </c>
      <c r="C314" s="2" t="s">
        <v>227</v>
      </c>
    </row>
    <row r="315" spans="1:3" x14ac:dyDescent="0.2">
      <c r="A315" s="2">
        <v>313</v>
      </c>
      <c r="B315" s="2">
        <f t="shared" ca="1" si="4"/>
        <v>0.55129880868086001</v>
      </c>
      <c r="C315" s="2" t="s">
        <v>226</v>
      </c>
    </row>
    <row r="316" spans="1:3" x14ac:dyDescent="0.2">
      <c r="A316" s="2">
        <v>314</v>
      </c>
      <c r="B316" s="2">
        <f t="shared" ca="1" si="4"/>
        <v>0.92565495837911915</v>
      </c>
      <c r="C316" s="2" t="s">
        <v>226</v>
      </c>
    </row>
    <row r="317" spans="1:3" x14ac:dyDescent="0.2">
      <c r="A317" s="2">
        <v>315</v>
      </c>
      <c r="B317" s="2">
        <f t="shared" ca="1" si="4"/>
        <v>0.68910767111902327</v>
      </c>
      <c r="C317" s="2" t="s">
        <v>227</v>
      </c>
    </row>
    <row r="318" spans="1:3" x14ac:dyDescent="0.2">
      <c r="A318" s="2">
        <v>316</v>
      </c>
      <c r="B318" s="2">
        <f t="shared" ca="1" si="4"/>
        <v>0.81722096530972677</v>
      </c>
      <c r="C318" s="2" t="s">
        <v>227</v>
      </c>
    </row>
    <row r="319" spans="1:3" x14ac:dyDescent="0.2">
      <c r="A319" s="2">
        <v>317</v>
      </c>
      <c r="B319" s="2">
        <f t="shared" ca="1" si="4"/>
        <v>0.36627379109211428</v>
      </c>
      <c r="C319" s="2" t="s">
        <v>226</v>
      </c>
    </row>
    <row r="320" spans="1:3" x14ac:dyDescent="0.2">
      <c r="A320" s="2">
        <v>318</v>
      </c>
      <c r="B320" s="2">
        <f t="shared" ca="1" si="4"/>
        <v>0.73954692217596718</v>
      </c>
      <c r="C320" s="2" t="s">
        <v>227</v>
      </c>
    </row>
    <row r="321" spans="1:3" x14ac:dyDescent="0.2">
      <c r="A321" s="2">
        <v>319</v>
      </c>
      <c r="B321" s="2">
        <f t="shared" ca="1" si="4"/>
        <v>0.60799853396563641</v>
      </c>
      <c r="C321" s="2" t="s">
        <v>226</v>
      </c>
    </row>
    <row r="322" spans="1:3" x14ac:dyDescent="0.2">
      <c r="A322" s="2">
        <v>320</v>
      </c>
      <c r="B322" s="2">
        <f t="shared" ca="1" si="4"/>
        <v>0.66996455038703961</v>
      </c>
      <c r="C322" s="2" t="s">
        <v>226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0.64498239877912289</v>
      </c>
      <c r="C323" s="2" t="s">
        <v>227</v>
      </c>
    </row>
    <row r="324" spans="1:3" x14ac:dyDescent="0.2">
      <c r="A324" s="2">
        <v>322</v>
      </c>
      <c r="B324" s="2">
        <f t="shared" ca="1" si="5"/>
        <v>0.69805939629318492</v>
      </c>
      <c r="C324" s="2" t="s">
        <v>227</v>
      </c>
    </row>
    <row r="325" spans="1:3" x14ac:dyDescent="0.2">
      <c r="A325" s="2">
        <v>323</v>
      </c>
      <c r="B325" s="2">
        <f t="shared" ca="1" si="5"/>
        <v>0.70428128907611542</v>
      </c>
      <c r="C325" s="2" t="s">
        <v>227</v>
      </c>
    </row>
    <row r="326" spans="1:3" x14ac:dyDescent="0.2">
      <c r="A326" s="2">
        <v>324</v>
      </c>
      <c r="B326" s="2">
        <f t="shared" ca="1" si="5"/>
        <v>0.25383429393725671</v>
      </c>
      <c r="C326" s="2" t="s">
        <v>226</v>
      </c>
    </row>
    <row r="327" spans="1:3" x14ac:dyDescent="0.2">
      <c r="A327" s="2">
        <v>325</v>
      </c>
      <c r="B327" s="2">
        <f t="shared" ca="1" si="5"/>
        <v>0.58386207139974433</v>
      </c>
      <c r="C327" s="2" t="s">
        <v>226</v>
      </c>
    </row>
    <row r="328" spans="1:3" x14ac:dyDescent="0.2">
      <c r="A328" s="2">
        <v>326</v>
      </c>
      <c r="B328" s="2">
        <f t="shared" ca="1" si="5"/>
        <v>0.58262950500394295</v>
      </c>
      <c r="C328" s="2" t="s">
        <v>227</v>
      </c>
    </row>
    <row r="329" spans="1:3" x14ac:dyDescent="0.2">
      <c r="A329" s="2">
        <v>327</v>
      </c>
      <c r="B329" s="2">
        <f t="shared" ca="1" si="5"/>
        <v>0.77082101927737734</v>
      </c>
      <c r="C329" s="2" t="s">
        <v>226</v>
      </c>
    </row>
    <row r="330" spans="1:3" x14ac:dyDescent="0.2">
      <c r="A330" s="2">
        <v>328</v>
      </c>
      <c r="B330" s="2">
        <f t="shared" ca="1" si="5"/>
        <v>0.60190689657434082</v>
      </c>
      <c r="C330" s="2" t="s">
        <v>226</v>
      </c>
    </row>
    <row r="331" spans="1:3" x14ac:dyDescent="0.2">
      <c r="A331" s="2">
        <v>329</v>
      </c>
      <c r="B331" s="2">
        <f t="shared" ca="1" si="5"/>
        <v>0.60857144690247456</v>
      </c>
      <c r="C331" s="2" t="s">
        <v>227</v>
      </c>
    </row>
    <row r="332" spans="1:3" x14ac:dyDescent="0.2">
      <c r="A332" s="2">
        <v>330</v>
      </c>
      <c r="B332" s="2">
        <f t="shared" ca="1" si="5"/>
        <v>0.66189294511337038</v>
      </c>
      <c r="C332" s="2" t="s">
        <v>226</v>
      </c>
    </row>
    <row r="333" spans="1:3" x14ac:dyDescent="0.2">
      <c r="A333" s="2">
        <v>331</v>
      </c>
      <c r="B333" s="2">
        <f t="shared" ca="1" si="5"/>
        <v>0.37186376606271465</v>
      </c>
      <c r="C333" s="2" t="s">
        <v>226</v>
      </c>
    </row>
    <row r="334" spans="1:3" x14ac:dyDescent="0.2">
      <c r="A334" s="2">
        <v>332</v>
      </c>
      <c r="B334" s="2">
        <f t="shared" ca="1" si="5"/>
        <v>0.61280844145869862</v>
      </c>
      <c r="C334" s="2" t="s">
        <v>227</v>
      </c>
    </row>
    <row r="335" spans="1:3" x14ac:dyDescent="0.2">
      <c r="A335" s="2">
        <v>333</v>
      </c>
      <c r="B335" s="2">
        <f t="shared" ca="1" si="5"/>
        <v>0.753690417967954</v>
      </c>
      <c r="C335" s="2" t="s">
        <v>226</v>
      </c>
    </row>
    <row r="336" spans="1:3" x14ac:dyDescent="0.2">
      <c r="A336" s="2">
        <v>334</v>
      </c>
      <c r="B336" s="2">
        <f t="shared" ca="1" si="5"/>
        <v>0.78856436615832715</v>
      </c>
      <c r="C336" s="2" t="s">
        <v>226</v>
      </c>
    </row>
    <row r="337" spans="1:3" x14ac:dyDescent="0.2">
      <c r="A337" s="2">
        <v>335</v>
      </c>
      <c r="B337" s="2">
        <f t="shared" ca="1" si="5"/>
        <v>0.76023306433627225</v>
      </c>
      <c r="C337" s="2" t="s">
        <v>226</v>
      </c>
    </row>
    <row r="338" spans="1:3" x14ac:dyDescent="0.2">
      <c r="A338" s="2">
        <v>336</v>
      </c>
      <c r="B338" s="2">
        <f t="shared" ca="1" si="5"/>
        <v>0.62201977590035074</v>
      </c>
      <c r="C338" s="2" t="s">
        <v>227</v>
      </c>
    </row>
    <row r="339" spans="1:3" x14ac:dyDescent="0.2">
      <c r="A339" s="2">
        <v>337</v>
      </c>
      <c r="B339" s="2">
        <f t="shared" ca="1" si="5"/>
        <v>0.60842234997278155</v>
      </c>
      <c r="C339" s="2" t="s">
        <v>227</v>
      </c>
    </row>
    <row r="340" spans="1:3" x14ac:dyDescent="0.2">
      <c r="A340" s="2">
        <v>338</v>
      </c>
      <c r="B340" s="2">
        <f t="shared" ca="1" si="5"/>
        <v>0.77371432525267769</v>
      </c>
      <c r="C340" s="2" t="s">
        <v>227</v>
      </c>
    </row>
    <row r="341" spans="1:3" x14ac:dyDescent="0.2">
      <c r="A341" s="2">
        <v>339</v>
      </c>
      <c r="B341" s="2">
        <f t="shared" ca="1" si="5"/>
        <v>0.71199229621039206</v>
      </c>
      <c r="C341" s="2" t="s">
        <v>226</v>
      </c>
    </row>
    <row r="342" spans="1:3" x14ac:dyDescent="0.2">
      <c r="A342" s="2">
        <v>340</v>
      </c>
      <c r="B342" s="2">
        <f t="shared" ca="1" si="5"/>
        <v>0.61583642346090295</v>
      </c>
      <c r="C342" s="2" t="s">
        <v>226</v>
      </c>
    </row>
    <row r="343" spans="1:3" x14ac:dyDescent="0.2">
      <c r="A343" s="2">
        <v>341</v>
      </c>
      <c r="B343" s="2">
        <f t="shared" ca="1" si="5"/>
        <v>0.6225102945389609</v>
      </c>
      <c r="C343" s="2" t="s">
        <v>226</v>
      </c>
    </row>
    <row r="344" spans="1:3" x14ac:dyDescent="0.2">
      <c r="A344" s="2">
        <v>342</v>
      </c>
      <c r="B344" s="2">
        <f t="shared" ca="1" si="5"/>
        <v>0.58338496873716539</v>
      </c>
      <c r="C344" s="2" t="s">
        <v>226</v>
      </c>
    </row>
    <row r="345" spans="1:3" x14ac:dyDescent="0.2">
      <c r="A345" s="2">
        <v>343</v>
      </c>
      <c r="B345" s="2">
        <f t="shared" ca="1" si="5"/>
        <v>0.72266259898107743</v>
      </c>
      <c r="C345" s="2" t="s">
        <v>227</v>
      </c>
    </row>
    <row r="346" spans="1:3" x14ac:dyDescent="0.2">
      <c r="A346" s="2">
        <v>344</v>
      </c>
      <c r="B346" s="2">
        <f t="shared" ca="1" si="5"/>
        <v>0.72343686267340179</v>
      </c>
      <c r="C346" s="2" t="s">
        <v>227</v>
      </c>
    </row>
    <row r="347" spans="1:3" x14ac:dyDescent="0.2">
      <c r="A347" s="2">
        <v>345</v>
      </c>
      <c r="B347" s="2">
        <f t="shared" ca="1" si="5"/>
        <v>0.70344945154528316</v>
      </c>
      <c r="C347" s="2" t="s">
        <v>226</v>
      </c>
    </row>
    <row r="348" spans="1:3" x14ac:dyDescent="0.2">
      <c r="A348" s="2">
        <v>346</v>
      </c>
      <c r="B348" s="2">
        <f t="shared" ca="1" si="5"/>
        <v>0.77190039757094597</v>
      </c>
      <c r="C348" s="2" t="s">
        <v>227</v>
      </c>
    </row>
    <row r="349" spans="1:3" x14ac:dyDescent="0.2">
      <c r="A349" s="2">
        <v>347</v>
      </c>
      <c r="B349" s="2">
        <f t="shared" ca="1" si="5"/>
        <v>0.69421384294335953</v>
      </c>
      <c r="C349" s="2" t="s">
        <v>226</v>
      </c>
    </row>
    <row r="350" spans="1:3" x14ac:dyDescent="0.2">
      <c r="A350" s="2">
        <v>348</v>
      </c>
      <c r="B350" s="2">
        <f t="shared" ca="1" si="5"/>
        <v>0.70694837300442104</v>
      </c>
      <c r="C350" s="2" t="s">
        <v>227</v>
      </c>
    </row>
    <row r="351" spans="1:3" x14ac:dyDescent="0.2">
      <c r="A351" s="2">
        <v>349</v>
      </c>
      <c r="B351" s="2">
        <f t="shared" ca="1" si="5"/>
        <v>0.55418691110727347</v>
      </c>
      <c r="C351" s="2" t="s">
        <v>227</v>
      </c>
    </row>
    <row r="352" spans="1:3" x14ac:dyDescent="0.2">
      <c r="A352" s="2">
        <v>350</v>
      </c>
      <c r="B352" s="2">
        <f t="shared" ca="1" si="5"/>
        <v>0.73740978744850727</v>
      </c>
      <c r="C352" s="2" t="s">
        <v>226</v>
      </c>
    </row>
    <row r="353" spans="1:3" x14ac:dyDescent="0.2">
      <c r="A353" s="2">
        <v>351</v>
      </c>
      <c r="B353" s="2">
        <f t="shared" ca="1" si="5"/>
        <v>0.58280628720622185</v>
      </c>
      <c r="C353" s="2" t="s">
        <v>226</v>
      </c>
    </row>
    <row r="354" spans="1:3" x14ac:dyDescent="0.2">
      <c r="A354" s="2">
        <v>352</v>
      </c>
      <c r="B354" s="2">
        <f t="shared" ca="1" si="5"/>
        <v>0.71494455635597165</v>
      </c>
      <c r="C354" s="2" t="s">
        <v>226</v>
      </c>
    </row>
    <row r="355" spans="1:3" x14ac:dyDescent="0.2">
      <c r="A355" s="2">
        <v>353</v>
      </c>
      <c r="B355" s="2">
        <f t="shared" ca="1" si="5"/>
        <v>0.9639137091199399</v>
      </c>
      <c r="C355" s="2" t="s">
        <v>227</v>
      </c>
    </row>
    <row r="356" spans="1:3" x14ac:dyDescent="0.2">
      <c r="A356" s="2">
        <v>354</v>
      </c>
      <c r="B356" s="2">
        <f t="shared" ca="1" si="5"/>
        <v>0.61666712837041782</v>
      </c>
      <c r="C356" s="2" t="s">
        <v>227</v>
      </c>
    </row>
    <row r="357" spans="1:3" x14ac:dyDescent="0.2">
      <c r="A357" s="2">
        <v>355</v>
      </c>
      <c r="B357" s="2">
        <f t="shared" ca="1" si="5"/>
        <v>0.75285957959998107</v>
      </c>
      <c r="C357" s="2" t="s">
        <v>227</v>
      </c>
    </row>
    <row r="358" spans="1:3" x14ac:dyDescent="0.2">
      <c r="A358" s="2">
        <v>356</v>
      </c>
      <c r="B358" s="2">
        <f t="shared" ca="1" si="5"/>
        <v>0.8232537167806474</v>
      </c>
      <c r="C358" s="2" t="s">
        <v>227</v>
      </c>
    </row>
    <row r="359" spans="1:3" x14ac:dyDescent="0.2">
      <c r="A359" s="2">
        <v>357</v>
      </c>
      <c r="B359" s="2">
        <f t="shared" ca="1" si="5"/>
        <v>0.44312978075750642</v>
      </c>
      <c r="C359" s="2" t="s">
        <v>226</v>
      </c>
    </row>
    <row r="360" spans="1:3" x14ac:dyDescent="0.2">
      <c r="A360" s="2">
        <v>358</v>
      </c>
      <c r="B360" s="2">
        <f t="shared" ca="1" si="5"/>
        <v>0.47181932543416272</v>
      </c>
      <c r="C360" s="2" t="s">
        <v>227</v>
      </c>
    </row>
    <row r="361" spans="1:3" x14ac:dyDescent="0.2">
      <c r="A361" s="2">
        <v>359</v>
      </c>
      <c r="B361" s="2">
        <f t="shared" ca="1" si="5"/>
        <v>0.63079588817572574</v>
      </c>
      <c r="C361" s="2" t="s">
        <v>226</v>
      </c>
    </row>
    <row r="362" spans="1:3" x14ac:dyDescent="0.2">
      <c r="A362" s="2">
        <v>360</v>
      </c>
      <c r="B362" s="2">
        <f t="shared" ca="1" si="5"/>
        <v>0.78011546836947498</v>
      </c>
      <c r="C362" s="2" t="s">
        <v>226</v>
      </c>
    </row>
    <row r="363" spans="1:3" x14ac:dyDescent="0.2">
      <c r="A363" s="2">
        <v>361</v>
      </c>
      <c r="B363" s="2">
        <f t="shared" ca="1" si="5"/>
        <v>0.60303520956534284</v>
      </c>
      <c r="C363" s="2" t="s">
        <v>227</v>
      </c>
    </row>
    <row r="364" spans="1:3" x14ac:dyDescent="0.2">
      <c r="A364" s="2">
        <v>362</v>
      </c>
      <c r="B364" s="2">
        <f t="shared" ca="1" si="5"/>
        <v>0.59070775581935764</v>
      </c>
      <c r="C364" s="2" t="s">
        <v>227</v>
      </c>
    </row>
    <row r="365" spans="1:3" x14ac:dyDescent="0.2">
      <c r="A365" s="2">
        <v>363</v>
      </c>
      <c r="B365" s="2">
        <f t="shared" ca="1" si="5"/>
        <v>0.15470310172286583</v>
      </c>
      <c r="C365" s="2" t="s">
        <v>226</v>
      </c>
    </row>
    <row r="366" spans="1:3" x14ac:dyDescent="0.2">
      <c r="A366" s="2">
        <v>364</v>
      </c>
      <c r="B366" s="2">
        <f t="shared" ca="1" si="5"/>
        <v>0.61889580256767718</v>
      </c>
      <c r="C366" s="2" t="s">
        <v>227</v>
      </c>
    </row>
    <row r="367" spans="1:3" x14ac:dyDescent="0.2">
      <c r="A367" s="2">
        <v>365</v>
      </c>
      <c r="B367" s="2">
        <f t="shared" ca="1" si="5"/>
        <v>0.56681031464468856</v>
      </c>
      <c r="C367" s="2" t="s">
        <v>226</v>
      </c>
    </row>
    <row r="368" spans="1:3" x14ac:dyDescent="0.2">
      <c r="A368" s="2">
        <v>366</v>
      </c>
      <c r="B368" s="2">
        <f t="shared" ca="1" si="5"/>
        <v>0.88218286610079311</v>
      </c>
      <c r="C368" s="2" t="s">
        <v>226</v>
      </c>
    </row>
    <row r="369" spans="1:3" x14ac:dyDescent="0.2">
      <c r="A369" s="2">
        <v>367</v>
      </c>
      <c r="B369" s="2">
        <f t="shared" ca="1" si="5"/>
        <v>0.61094280629150666</v>
      </c>
      <c r="C369" s="2" t="s">
        <v>227</v>
      </c>
    </row>
    <row r="370" spans="1:3" x14ac:dyDescent="0.2">
      <c r="A370" s="2">
        <v>368</v>
      </c>
      <c r="B370" s="2">
        <f t="shared" ca="1" si="5"/>
        <v>0.74837943556811537</v>
      </c>
      <c r="C370" s="2" t="s">
        <v>227</v>
      </c>
    </row>
    <row r="371" spans="1:3" x14ac:dyDescent="0.2">
      <c r="A371" s="2">
        <v>369</v>
      </c>
      <c r="B371" s="2">
        <f t="shared" ca="1" si="5"/>
        <v>0.72401139911215506</v>
      </c>
      <c r="C371" s="2" t="s">
        <v>226</v>
      </c>
    </row>
    <row r="372" spans="1:3" x14ac:dyDescent="0.2">
      <c r="A372" s="2">
        <v>370</v>
      </c>
      <c r="B372" s="2">
        <f t="shared" ca="1" si="5"/>
        <v>0.70022447127081677</v>
      </c>
      <c r="C372" s="2" t="s">
        <v>227</v>
      </c>
    </row>
    <row r="373" spans="1:3" x14ac:dyDescent="0.2">
      <c r="A373" s="2">
        <v>371</v>
      </c>
      <c r="B373" s="2">
        <f t="shared" ca="1" si="5"/>
        <v>0.79062047348636744</v>
      </c>
      <c r="C373" s="2" t="s">
        <v>227</v>
      </c>
    </row>
    <row r="374" spans="1:3" x14ac:dyDescent="0.2">
      <c r="A374" s="2">
        <v>372</v>
      </c>
      <c r="B374" s="2">
        <f t="shared" ca="1" si="5"/>
        <v>0.75064887783918066</v>
      </c>
      <c r="C374" s="2" t="s">
        <v>226</v>
      </c>
    </row>
    <row r="375" spans="1:3" x14ac:dyDescent="0.2">
      <c r="A375" s="2">
        <v>373</v>
      </c>
      <c r="B375" s="2">
        <f t="shared" ca="1" si="5"/>
        <v>0.53668460021488962</v>
      </c>
      <c r="C375" s="2" t="s">
        <v>227</v>
      </c>
    </row>
    <row r="376" spans="1:3" x14ac:dyDescent="0.2">
      <c r="A376" s="2">
        <v>374</v>
      </c>
      <c r="B376" s="2">
        <f t="shared" ca="1" si="5"/>
        <v>0.58684432191433589</v>
      </c>
      <c r="C376" s="2" t="s">
        <v>227</v>
      </c>
    </row>
    <row r="377" spans="1:3" x14ac:dyDescent="0.2">
      <c r="A377" s="2">
        <v>375</v>
      </c>
      <c r="B377" s="2">
        <f t="shared" ca="1" si="5"/>
        <v>0.506139652376011</v>
      </c>
      <c r="C377" s="2" t="s">
        <v>226</v>
      </c>
    </row>
    <row r="378" spans="1:3" x14ac:dyDescent="0.2">
      <c r="A378" s="2">
        <v>376</v>
      </c>
      <c r="B378" s="2">
        <f t="shared" ca="1" si="5"/>
        <v>0.49217578739164691</v>
      </c>
      <c r="C378" s="2" t="s">
        <v>227</v>
      </c>
    </row>
    <row r="379" spans="1:3" x14ac:dyDescent="0.2">
      <c r="A379" s="2">
        <v>377</v>
      </c>
      <c r="B379" s="2">
        <f t="shared" ca="1" si="5"/>
        <v>0.788685350048143</v>
      </c>
      <c r="C379" s="2" t="s">
        <v>227</v>
      </c>
    </row>
    <row r="380" spans="1:3" x14ac:dyDescent="0.2">
      <c r="A380" s="2">
        <v>378</v>
      </c>
      <c r="B380" s="2">
        <f t="shared" ca="1" si="5"/>
        <v>0.79122407141859319</v>
      </c>
      <c r="C380" s="2" t="s">
        <v>227</v>
      </c>
    </row>
    <row r="381" spans="1:3" x14ac:dyDescent="0.2">
      <c r="A381" s="2">
        <v>379</v>
      </c>
      <c r="B381" s="2">
        <f t="shared" ca="1" si="5"/>
        <v>0.79025593660312654</v>
      </c>
      <c r="C381" s="2" t="s">
        <v>227</v>
      </c>
    </row>
    <row r="382" spans="1:3" x14ac:dyDescent="0.2">
      <c r="A382" s="2">
        <v>380</v>
      </c>
      <c r="B382" s="2">
        <f t="shared" ca="1" si="5"/>
        <v>0.73725385124412579</v>
      </c>
      <c r="C382" s="2" t="s">
        <v>227</v>
      </c>
    </row>
    <row r="383" spans="1:3" x14ac:dyDescent="0.2">
      <c r="A383" s="2">
        <v>381</v>
      </c>
      <c r="B383" s="2">
        <f t="shared" ca="1" si="5"/>
        <v>0.72947667170160235</v>
      </c>
      <c r="C383" s="2" t="s">
        <v>227</v>
      </c>
    </row>
    <row r="384" spans="1:3" x14ac:dyDescent="0.2">
      <c r="A384" s="2">
        <v>382</v>
      </c>
      <c r="B384" s="2">
        <f t="shared" ca="1" si="5"/>
        <v>0.80061253695417134</v>
      </c>
      <c r="C384" s="2" t="s">
        <v>227</v>
      </c>
    </row>
    <row r="385" spans="1:3" x14ac:dyDescent="0.2">
      <c r="A385" s="2">
        <v>383</v>
      </c>
      <c r="B385" s="2">
        <f t="shared" ca="1" si="5"/>
        <v>0.58071194378350266</v>
      </c>
      <c r="C385" s="2" t="s">
        <v>226</v>
      </c>
    </row>
    <row r="386" spans="1:3" x14ac:dyDescent="0.2">
      <c r="A386" s="2">
        <v>384</v>
      </c>
      <c r="B386" s="2">
        <f t="shared" ca="1" si="5"/>
        <v>0.60800666308754536</v>
      </c>
      <c r="C386" s="2" t="s">
        <v>227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0.52518734323324867</v>
      </c>
      <c r="C387" s="2" t="s">
        <v>226</v>
      </c>
    </row>
    <row r="388" spans="1:3" x14ac:dyDescent="0.2">
      <c r="A388" s="2">
        <v>386</v>
      </c>
      <c r="B388" s="2">
        <f t="shared" ca="1" si="6"/>
        <v>0.46489736500937173</v>
      </c>
      <c r="C388" s="2" t="s">
        <v>226</v>
      </c>
    </row>
    <row r="389" spans="1:3" x14ac:dyDescent="0.2">
      <c r="A389" s="2">
        <v>387</v>
      </c>
      <c r="B389" s="2">
        <f t="shared" ca="1" si="6"/>
        <v>0.85441450389844165</v>
      </c>
      <c r="C389" s="2" t="s">
        <v>226</v>
      </c>
    </row>
    <row r="390" spans="1:3" x14ac:dyDescent="0.2">
      <c r="A390" s="2">
        <v>388</v>
      </c>
      <c r="B390" s="2">
        <f t="shared" ca="1" si="6"/>
        <v>0.45485537166161466</v>
      </c>
      <c r="C390" s="2" t="s">
        <v>226</v>
      </c>
    </row>
    <row r="391" spans="1:3" x14ac:dyDescent="0.2">
      <c r="A391" s="2">
        <v>389</v>
      </c>
      <c r="B391" s="2">
        <f t="shared" ca="1" si="6"/>
        <v>0.63686067184666539</v>
      </c>
      <c r="C391" s="2" t="s">
        <v>226</v>
      </c>
    </row>
    <row r="392" spans="1:3" x14ac:dyDescent="0.2">
      <c r="A392" s="2">
        <v>390</v>
      </c>
      <c r="B392" s="2">
        <f t="shared" ca="1" si="6"/>
        <v>0.54086491831364136</v>
      </c>
      <c r="C392" s="2" t="s">
        <v>227</v>
      </c>
    </row>
    <row r="393" spans="1:3" x14ac:dyDescent="0.2">
      <c r="A393" s="2">
        <v>391</v>
      </c>
      <c r="B393" s="2">
        <f t="shared" ca="1" si="6"/>
        <v>0.7733837768764954</v>
      </c>
      <c r="C393" s="2" t="s">
        <v>227</v>
      </c>
    </row>
    <row r="394" spans="1:3" x14ac:dyDescent="0.2">
      <c r="A394" s="2">
        <v>392</v>
      </c>
      <c r="B394" s="2">
        <f t="shared" ca="1" si="6"/>
        <v>0.83446231680550331</v>
      </c>
      <c r="C394" s="2" t="s">
        <v>226</v>
      </c>
    </row>
    <row r="395" spans="1:3" x14ac:dyDescent="0.2">
      <c r="A395" s="2">
        <v>393</v>
      </c>
      <c r="B395" s="2">
        <f t="shared" ca="1" si="6"/>
        <v>0.5055373101591325</v>
      </c>
      <c r="C395" s="2" t="s">
        <v>226</v>
      </c>
    </row>
    <row r="396" spans="1:3" x14ac:dyDescent="0.2">
      <c r="A396" s="2">
        <v>394</v>
      </c>
      <c r="B396" s="2">
        <f t="shared" ca="1" si="6"/>
        <v>0.66420820593306429</v>
      </c>
      <c r="C396" s="2" t="s">
        <v>226</v>
      </c>
    </row>
    <row r="397" spans="1:3" x14ac:dyDescent="0.2">
      <c r="A397" s="2">
        <v>395</v>
      </c>
      <c r="B397" s="2">
        <f t="shared" ca="1" si="6"/>
        <v>0.78683915348193068</v>
      </c>
      <c r="C397" s="2" t="s">
        <v>227</v>
      </c>
    </row>
    <row r="398" spans="1:3" x14ac:dyDescent="0.2">
      <c r="A398" s="2">
        <v>396</v>
      </c>
      <c r="B398" s="2">
        <f t="shared" ca="1" si="6"/>
        <v>0.60284944801260576</v>
      </c>
      <c r="C398" s="2" t="s">
        <v>227</v>
      </c>
    </row>
    <row r="399" spans="1:3" x14ac:dyDescent="0.2">
      <c r="A399" s="2">
        <v>397</v>
      </c>
      <c r="B399" s="2">
        <f t="shared" ca="1" si="6"/>
        <v>0.60423978163192882</v>
      </c>
      <c r="C399" s="2" t="s">
        <v>226</v>
      </c>
    </row>
    <row r="400" spans="1:3" x14ac:dyDescent="0.2">
      <c r="A400" s="2">
        <v>398</v>
      </c>
      <c r="B400" s="2">
        <f t="shared" ca="1" si="6"/>
        <v>0.6461341258848956</v>
      </c>
      <c r="C400" s="2" t="s">
        <v>227</v>
      </c>
    </row>
    <row r="401" spans="1:3" x14ac:dyDescent="0.2">
      <c r="A401" s="2">
        <v>399</v>
      </c>
      <c r="B401" s="2">
        <f t="shared" ca="1" si="6"/>
        <v>0.62049544054554806</v>
      </c>
      <c r="C401" s="2" t="s">
        <v>226</v>
      </c>
    </row>
    <row r="402" spans="1:3" x14ac:dyDescent="0.2">
      <c r="A402" s="2">
        <v>400</v>
      </c>
      <c r="B402" s="2">
        <f t="shared" ca="1" si="6"/>
        <v>0.67390829999551116</v>
      </c>
      <c r="C402" s="2" t="s">
        <v>227</v>
      </c>
    </row>
    <row r="403" spans="1:3" x14ac:dyDescent="0.2">
      <c r="A403" s="2">
        <v>401</v>
      </c>
      <c r="B403" s="2">
        <f t="shared" ca="1" si="6"/>
        <v>0.66351755188447015</v>
      </c>
      <c r="C403" s="2" t="s">
        <v>226</v>
      </c>
    </row>
    <row r="404" spans="1:3" x14ac:dyDescent="0.2">
      <c r="A404" s="2">
        <v>402</v>
      </c>
      <c r="B404" s="2">
        <f t="shared" ca="1" si="6"/>
        <v>0.89852424993054858</v>
      </c>
      <c r="C404" s="2" t="s">
        <v>226</v>
      </c>
    </row>
    <row r="405" spans="1:3" x14ac:dyDescent="0.2">
      <c r="A405" s="2">
        <v>403</v>
      </c>
      <c r="B405" s="2">
        <f t="shared" ca="1" si="6"/>
        <v>0.51692524460180778</v>
      </c>
      <c r="C405" s="2" t="s">
        <v>226</v>
      </c>
    </row>
    <row r="406" spans="1:3" x14ac:dyDescent="0.2">
      <c r="A406" s="2">
        <v>404</v>
      </c>
      <c r="B406" s="2">
        <f t="shared" ca="1" si="6"/>
        <v>0.59673977048167304</v>
      </c>
      <c r="C406" s="2" t="s">
        <v>227</v>
      </c>
    </row>
    <row r="407" spans="1:3" x14ac:dyDescent="0.2">
      <c r="A407" s="2">
        <v>405</v>
      </c>
      <c r="B407" s="2">
        <f t="shared" ca="1" si="6"/>
        <v>0.61525624756344122</v>
      </c>
      <c r="C407" s="2" t="s">
        <v>227</v>
      </c>
    </row>
    <row r="408" spans="1:3" x14ac:dyDescent="0.2">
      <c r="A408" s="2">
        <v>406</v>
      </c>
      <c r="B408" s="2">
        <f t="shared" ca="1" si="6"/>
        <v>0.75430865318831564</v>
      </c>
      <c r="C408" s="2" t="s">
        <v>226</v>
      </c>
    </row>
    <row r="409" spans="1:3" x14ac:dyDescent="0.2">
      <c r="A409" s="2">
        <v>407</v>
      </c>
      <c r="B409" s="2">
        <f t="shared" ca="1" si="6"/>
        <v>0.50848516976462865</v>
      </c>
      <c r="C409" s="2" t="s">
        <v>226</v>
      </c>
    </row>
    <row r="410" spans="1:3" x14ac:dyDescent="0.2">
      <c r="A410" s="2">
        <v>408</v>
      </c>
      <c r="B410" s="2">
        <f t="shared" ca="1" si="6"/>
        <v>0.81070601845896584</v>
      </c>
      <c r="C410" s="2" t="s">
        <v>227</v>
      </c>
    </row>
    <row r="411" spans="1:3" x14ac:dyDescent="0.2">
      <c r="A411" s="2">
        <v>409</v>
      </c>
      <c r="B411" s="2">
        <f t="shared" ca="1" si="6"/>
        <v>0.83935284530444954</v>
      </c>
      <c r="C411" s="2" t="s">
        <v>227</v>
      </c>
    </row>
    <row r="412" spans="1:3" x14ac:dyDescent="0.2">
      <c r="A412" s="2">
        <v>410</v>
      </c>
      <c r="B412" s="2">
        <f t="shared" ca="1" si="6"/>
        <v>0.72141436550604632</v>
      </c>
      <c r="C412" s="2" t="s">
        <v>227</v>
      </c>
    </row>
    <row r="413" spans="1:3" x14ac:dyDescent="0.2">
      <c r="A413" s="2">
        <v>411</v>
      </c>
      <c r="B413" s="2">
        <f t="shared" ca="1" si="6"/>
        <v>0.73467381943290366</v>
      </c>
      <c r="C413" s="2" t="s">
        <v>226</v>
      </c>
    </row>
    <row r="414" spans="1:3" x14ac:dyDescent="0.2">
      <c r="A414" s="2">
        <v>412</v>
      </c>
      <c r="B414" s="2">
        <f t="shared" ca="1" si="6"/>
        <v>0.71790825890523746</v>
      </c>
      <c r="C414" s="2" t="s">
        <v>226</v>
      </c>
    </row>
    <row r="415" spans="1:3" x14ac:dyDescent="0.2">
      <c r="A415" s="2">
        <v>413</v>
      </c>
      <c r="B415" s="2">
        <f t="shared" ca="1" si="6"/>
        <v>0.6851056965466964</v>
      </c>
      <c r="C415" s="2" t="s">
        <v>227</v>
      </c>
    </row>
    <row r="416" spans="1:3" x14ac:dyDescent="0.2">
      <c r="A416" s="2">
        <v>414</v>
      </c>
      <c r="B416" s="2">
        <f t="shared" ca="1" si="6"/>
        <v>0.65159998386498286</v>
      </c>
      <c r="C416" s="2" t="s">
        <v>227</v>
      </c>
    </row>
    <row r="417" spans="1:3" x14ac:dyDescent="0.2">
      <c r="A417" s="2">
        <v>415</v>
      </c>
      <c r="B417" s="2">
        <f t="shared" ca="1" si="6"/>
        <v>0.52550357795961489</v>
      </c>
      <c r="C417" s="2" t="s">
        <v>226</v>
      </c>
    </row>
    <row r="418" spans="1:3" x14ac:dyDescent="0.2">
      <c r="A418" s="2">
        <v>416</v>
      </c>
      <c r="B418" s="2">
        <f t="shared" ca="1" si="6"/>
        <v>0.78508460100944133</v>
      </c>
      <c r="C418" s="2" t="s">
        <v>227</v>
      </c>
    </row>
    <row r="419" spans="1:3" x14ac:dyDescent="0.2">
      <c r="A419" s="2">
        <v>417</v>
      </c>
      <c r="B419" s="2">
        <f t="shared" ca="1" si="6"/>
        <v>0.6998618092689497</v>
      </c>
      <c r="C419" s="2" t="s">
        <v>227</v>
      </c>
    </row>
    <row r="420" spans="1:3" x14ac:dyDescent="0.2">
      <c r="A420" s="2">
        <v>418</v>
      </c>
      <c r="B420" s="2">
        <f t="shared" ca="1" si="6"/>
        <v>0.40486988013069036</v>
      </c>
      <c r="C420" s="2" t="s">
        <v>226</v>
      </c>
    </row>
    <row r="421" spans="1:3" x14ac:dyDescent="0.2">
      <c r="A421" s="2">
        <v>419</v>
      </c>
      <c r="B421" s="2">
        <f t="shared" ca="1" si="6"/>
        <v>0.92098770279185893</v>
      </c>
      <c r="C421" s="2" t="s">
        <v>226</v>
      </c>
    </row>
    <row r="422" spans="1:3" x14ac:dyDescent="0.2">
      <c r="A422" s="2">
        <v>420</v>
      </c>
      <c r="B422" s="2">
        <f t="shared" ca="1" si="6"/>
        <v>0.74885766958332389</v>
      </c>
      <c r="C422" s="2" t="s">
        <v>227</v>
      </c>
    </row>
    <row r="423" spans="1:3" x14ac:dyDescent="0.2">
      <c r="A423" s="2">
        <v>421</v>
      </c>
      <c r="B423" s="2">
        <f t="shared" ca="1" si="6"/>
        <v>0.75162508436925246</v>
      </c>
      <c r="C423" s="2" t="s">
        <v>227</v>
      </c>
    </row>
    <row r="424" spans="1:3" x14ac:dyDescent="0.2">
      <c r="A424" s="2">
        <v>422</v>
      </c>
      <c r="B424" s="2">
        <f t="shared" ca="1" si="6"/>
        <v>0.4373459934949202</v>
      </c>
      <c r="C424" s="2" t="s">
        <v>226</v>
      </c>
    </row>
    <row r="425" spans="1:3" x14ac:dyDescent="0.2">
      <c r="A425" s="2">
        <v>423</v>
      </c>
      <c r="B425" s="2">
        <f t="shared" ca="1" si="6"/>
        <v>0.87646148445609029</v>
      </c>
      <c r="C425" s="2" t="s">
        <v>226</v>
      </c>
    </row>
    <row r="426" spans="1:3" x14ac:dyDescent="0.2">
      <c r="A426" s="2">
        <v>424</v>
      </c>
      <c r="B426" s="2">
        <f t="shared" ca="1" si="6"/>
        <v>0.47585435441941515</v>
      </c>
      <c r="C426" s="2" t="s">
        <v>226</v>
      </c>
    </row>
    <row r="427" spans="1:3" x14ac:dyDescent="0.2">
      <c r="A427" s="2">
        <v>425</v>
      </c>
      <c r="B427" s="2">
        <f t="shared" ca="1" si="6"/>
        <v>0.63668497740980756</v>
      </c>
      <c r="C427" s="2" t="s">
        <v>227</v>
      </c>
    </row>
    <row r="428" spans="1:3" x14ac:dyDescent="0.2">
      <c r="A428" s="2">
        <v>426</v>
      </c>
      <c r="B428" s="2">
        <f t="shared" ca="1" si="6"/>
        <v>0.67981531758937463</v>
      </c>
      <c r="C428" s="2" t="s">
        <v>226</v>
      </c>
    </row>
    <row r="429" spans="1:3" x14ac:dyDescent="0.2">
      <c r="A429" s="2">
        <v>427</v>
      </c>
      <c r="B429" s="2">
        <f t="shared" ca="1" si="6"/>
        <v>0.82224833128107688</v>
      </c>
      <c r="C429" s="2" t="s">
        <v>227</v>
      </c>
    </row>
    <row r="430" spans="1:3" x14ac:dyDescent="0.2">
      <c r="A430" s="2">
        <v>428</v>
      </c>
      <c r="B430" s="2">
        <f t="shared" ca="1" si="6"/>
        <v>0.62626049734162137</v>
      </c>
      <c r="C430" s="2" t="s">
        <v>226</v>
      </c>
    </row>
    <row r="431" spans="1:3" x14ac:dyDescent="0.2">
      <c r="A431" s="2">
        <v>429</v>
      </c>
      <c r="B431" s="2">
        <f t="shared" ca="1" si="6"/>
        <v>0.91834292621105096</v>
      </c>
      <c r="C431" s="2" t="s">
        <v>226</v>
      </c>
    </row>
    <row r="432" spans="1:3" x14ac:dyDescent="0.2">
      <c r="A432" s="2">
        <v>430</v>
      </c>
      <c r="B432" s="2">
        <f t="shared" ca="1" si="6"/>
        <v>0.66913163571696177</v>
      </c>
      <c r="C432" s="2" t="s">
        <v>227</v>
      </c>
    </row>
    <row r="433" spans="1:3" x14ac:dyDescent="0.2">
      <c r="A433" s="2">
        <v>431</v>
      </c>
      <c r="B433" s="2">
        <f t="shared" ca="1" si="6"/>
        <v>0.78674704921289051</v>
      </c>
      <c r="C433" s="2" t="s">
        <v>227</v>
      </c>
    </row>
    <row r="434" spans="1:3" x14ac:dyDescent="0.2">
      <c r="A434" s="2">
        <v>432</v>
      </c>
      <c r="B434" s="2">
        <f t="shared" ca="1" si="6"/>
        <v>0.62329862315437545</v>
      </c>
      <c r="C434" s="2" t="s">
        <v>226</v>
      </c>
    </row>
    <row r="435" spans="1:3" x14ac:dyDescent="0.2">
      <c r="A435" s="2">
        <v>433</v>
      </c>
      <c r="B435" s="2">
        <f t="shared" ca="1" si="6"/>
        <v>0.77518982170057205</v>
      </c>
      <c r="C435" s="2" t="s">
        <v>227</v>
      </c>
    </row>
    <row r="436" spans="1:3" x14ac:dyDescent="0.2">
      <c r="A436" s="2">
        <v>434</v>
      </c>
      <c r="B436" s="2">
        <f t="shared" ca="1" si="6"/>
        <v>0.53956741994597368</v>
      </c>
      <c r="C436" s="2" t="s">
        <v>226</v>
      </c>
    </row>
    <row r="437" spans="1:3" x14ac:dyDescent="0.2">
      <c r="A437" s="2">
        <v>435</v>
      </c>
      <c r="B437" s="2">
        <f t="shared" ca="1" si="6"/>
        <v>0.6595892815745602</v>
      </c>
      <c r="C437" s="2" t="s">
        <v>227</v>
      </c>
    </row>
    <row r="438" spans="1:3" x14ac:dyDescent="0.2">
      <c r="A438" s="2">
        <v>436</v>
      </c>
      <c r="B438" s="2">
        <f t="shared" ca="1" si="6"/>
        <v>0.62022653168400821</v>
      </c>
      <c r="C438" s="2" t="s">
        <v>227</v>
      </c>
    </row>
    <row r="439" spans="1:3" x14ac:dyDescent="0.2">
      <c r="A439" s="2">
        <v>437</v>
      </c>
      <c r="B439" s="2">
        <f t="shared" ca="1" si="6"/>
        <v>0.58947489763411987</v>
      </c>
      <c r="C439" s="2" t="s">
        <v>226</v>
      </c>
    </row>
    <row r="440" spans="1:3" x14ac:dyDescent="0.2">
      <c r="A440" s="2">
        <v>438</v>
      </c>
      <c r="B440" s="2">
        <f t="shared" ca="1" si="6"/>
        <v>0.74208958588271412</v>
      </c>
      <c r="C440" s="2" t="s">
        <v>227</v>
      </c>
    </row>
    <row r="441" spans="1:3" x14ac:dyDescent="0.2">
      <c r="A441" s="2">
        <v>439</v>
      </c>
      <c r="B441" s="2">
        <f t="shared" ca="1" si="6"/>
        <v>0.81141590444570921</v>
      </c>
      <c r="C441" s="2" t="s">
        <v>227</v>
      </c>
    </row>
    <row r="442" spans="1:3" x14ac:dyDescent="0.2">
      <c r="A442" s="2">
        <v>440</v>
      </c>
      <c r="B442" s="2">
        <f t="shared" ca="1" si="6"/>
        <v>0.68821605381621664</v>
      </c>
      <c r="C442" s="2" t="s">
        <v>227</v>
      </c>
    </row>
    <row r="443" spans="1:3" x14ac:dyDescent="0.2">
      <c r="A443" s="2">
        <v>441</v>
      </c>
      <c r="B443" s="2">
        <f t="shared" ca="1" si="6"/>
        <v>0.8108852104362676</v>
      </c>
      <c r="C443" s="2" t="s">
        <v>227</v>
      </c>
    </row>
    <row r="444" spans="1:3" x14ac:dyDescent="0.2">
      <c r="A444" s="2">
        <v>442</v>
      </c>
      <c r="B444" s="2">
        <f t="shared" ca="1" si="6"/>
        <v>0.8090121877664127</v>
      </c>
      <c r="C444" s="2" t="s">
        <v>227</v>
      </c>
    </row>
    <row r="445" spans="1:3" x14ac:dyDescent="0.2">
      <c r="A445" s="2">
        <v>443</v>
      </c>
      <c r="B445" s="2">
        <f t="shared" ca="1" si="6"/>
        <v>0.61242615264019618</v>
      </c>
      <c r="C445" s="2" t="s">
        <v>227</v>
      </c>
    </row>
    <row r="446" spans="1:3" x14ac:dyDescent="0.2">
      <c r="A446" s="2">
        <v>444</v>
      </c>
      <c r="B446" s="2">
        <f t="shared" ca="1" si="6"/>
        <v>0.78281967787104245</v>
      </c>
      <c r="C446" s="2" t="s">
        <v>226</v>
      </c>
    </row>
    <row r="447" spans="1:3" x14ac:dyDescent="0.2">
      <c r="A447" s="2">
        <v>445</v>
      </c>
      <c r="B447" s="2">
        <f t="shared" ca="1" si="6"/>
        <v>0.67358311128761383</v>
      </c>
      <c r="C447" s="2" t="s">
        <v>226</v>
      </c>
    </row>
    <row r="448" spans="1:3" x14ac:dyDescent="0.2">
      <c r="A448" s="2">
        <v>446</v>
      </c>
      <c r="B448" s="2">
        <f t="shared" ca="1" si="6"/>
        <v>0.64400415371304287</v>
      </c>
      <c r="C448" s="2" t="s">
        <v>227</v>
      </c>
    </row>
    <row r="449" spans="1:3" x14ac:dyDescent="0.2">
      <c r="A449" s="2">
        <v>447</v>
      </c>
      <c r="B449" s="2">
        <f t="shared" ca="1" si="6"/>
        <v>0.74766158828813745</v>
      </c>
      <c r="C449" s="2" t="s">
        <v>226</v>
      </c>
    </row>
    <row r="450" spans="1:3" x14ac:dyDescent="0.2">
      <c r="A450" s="2">
        <v>448</v>
      </c>
      <c r="B450" s="2">
        <f t="shared" ca="1" si="6"/>
        <v>0.85142353595655529</v>
      </c>
      <c r="C450" s="2" t="s">
        <v>227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0.70791660934487666</v>
      </c>
      <c r="C451" s="2" t="s">
        <v>227</v>
      </c>
    </row>
    <row r="452" spans="1:3" x14ac:dyDescent="0.2">
      <c r="A452" s="2">
        <v>450</v>
      </c>
      <c r="B452" s="2">
        <f t="shared" ca="1" si="7"/>
        <v>0.40350315297230455</v>
      </c>
      <c r="C452" s="2" t="s">
        <v>226</v>
      </c>
    </row>
    <row r="453" spans="1:3" x14ac:dyDescent="0.2">
      <c r="A453" s="2">
        <v>451</v>
      </c>
      <c r="B453" s="2">
        <f t="shared" ca="1" si="7"/>
        <v>0.75433866848732301</v>
      </c>
      <c r="C453" s="2" t="s">
        <v>227</v>
      </c>
    </row>
    <row r="454" spans="1:3" x14ac:dyDescent="0.2">
      <c r="A454" s="2">
        <v>452</v>
      </c>
      <c r="B454" s="2">
        <f t="shared" ca="1" si="7"/>
        <v>0.72929798371499555</v>
      </c>
      <c r="C454" s="2" t="s">
        <v>227</v>
      </c>
    </row>
    <row r="455" spans="1:3" x14ac:dyDescent="0.2">
      <c r="A455" s="2">
        <v>453</v>
      </c>
      <c r="B455" s="2">
        <f t="shared" ca="1" si="7"/>
        <v>0.52940958382920478</v>
      </c>
      <c r="C455" s="2" t="s">
        <v>226</v>
      </c>
    </row>
    <row r="456" spans="1:3" x14ac:dyDescent="0.2">
      <c r="A456" s="2">
        <v>454</v>
      </c>
      <c r="B456" s="2">
        <f t="shared" ca="1" si="7"/>
        <v>0.7628372047502886</v>
      </c>
      <c r="C456" s="2" t="s">
        <v>227</v>
      </c>
    </row>
    <row r="457" spans="1:3" x14ac:dyDescent="0.2">
      <c r="A457" s="2">
        <v>455</v>
      </c>
      <c r="B457" s="2">
        <f t="shared" ca="1" si="7"/>
        <v>0.48809112599054449</v>
      </c>
      <c r="C457" s="2" t="s">
        <v>226</v>
      </c>
    </row>
    <row r="458" spans="1:3" x14ac:dyDescent="0.2">
      <c r="A458" s="2">
        <v>456</v>
      </c>
      <c r="B458" s="2">
        <f t="shared" ca="1" si="7"/>
        <v>0.84088758328015945</v>
      </c>
      <c r="C458" s="2" t="s">
        <v>226</v>
      </c>
    </row>
    <row r="459" spans="1:3" x14ac:dyDescent="0.2">
      <c r="A459" s="2">
        <v>457</v>
      </c>
      <c r="B459" s="2">
        <f t="shared" ca="1" si="7"/>
        <v>1.0358200658305128</v>
      </c>
      <c r="C459" s="2" t="s">
        <v>226</v>
      </c>
    </row>
    <row r="460" spans="1:3" x14ac:dyDescent="0.2">
      <c r="A460" s="2">
        <v>458</v>
      </c>
      <c r="B460" s="2">
        <f t="shared" ca="1" si="7"/>
        <v>0.58406816008883589</v>
      </c>
      <c r="C460" s="2" t="s">
        <v>226</v>
      </c>
    </row>
    <row r="461" spans="1:3" x14ac:dyDescent="0.2">
      <c r="A461" s="2">
        <v>459</v>
      </c>
      <c r="B461" s="2">
        <f t="shared" ca="1" si="7"/>
        <v>0.7192404861362014</v>
      </c>
      <c r="C461" s="2" t="s">
        <v>227</v>
      </c>
    </row>
    <row r="462" spans="1:3" x14ac:dyDescent="0.2">
      <c r="A462" s="2">
        <v>460</v>
      </c>
      <c r="B462" s="2">
        <f t="shared" ca="1" si="7"/>
        <v>0.67928080582069794</v>
      </c>
      <c r="C462" s="2" t="s">
        <v>227</v>
      </c>
    </row>
    <row r="463" spans="1:3" x14ac:dyDescent="0.2">
      <c r="A463" s="2">
        <v>461</v>
      </c>
      <c r="B463" s="2">
        <f t="shared" ca="1" si="7"/>
        <v>0.55741217194339221</v>
      </c>
      <c r="C463" s="2" t="s">
        <v>226</v>
      </c>
    </row>
    <row r="464" spans="1:3" x14ac:dyDescent="0.2">
      <c r="A464" s="2">
        <v>462</v>
      </c>
      <c r="B464" s="2">
        <f t="shared" ca="1" si="7"/>
        <v>0.54735099216749239</v>
      </c>
      <c r="C464" s="2" t="s">
        <v>227</v>
      </c>
    </row>
    <row r="465" spans="1:3" x14ac:dyDescent="0.2">
      <c r="A465" s="2">
        <v>463</v>
      </c>
      <c r="B465" s="2">
        <f t="shared" ca="1" si="7"/>
        <v>0.52172771351390512</v>
      </c>
      <c r="C465" s="2" t="s">
        <v>227</v>
      </c>
    </row>
    <row r="466" spans="1:3" x14ac:dyDescent="0.2">
      <c r="A466" s="2">
        <v>464</v>
      </c>
      <c r="B466" s="2">
        <f t="shared" ca="1" si="7"/>
        <v>0.58952315453529969</v>
      </c>
      <c r="C466" s="2" t="s">
        <v>227</v>
      </c>
    </row>
    <row r="467" spans="1:3" x14ac:dyDescent="0.2">
      <c r="A467" s="2">
        <v>465</v>
      </c>
      <c r="B467" s="2">
        <f t="shared" ca="1" si="7"/>
        <v>0.71415655229598596</v>
      </c>
      <c r="C467" s="2" t="s">
        <v>227</v>
      </c>
    </row>
    <row r="468" spans="1:3" x14ac:dyDescent="0.2">
      <c r="A468" s="2">
        <v>466</v>
      </c>
      <c r="B468" s="2">
        <f t="shared" ca="1" si="7"/>
        <v>0.6202609509740501</v>
      </c>
      <c r="C468" s="2" t="s">
        <v>226</v>
      </c>
    </row>
    <row r="469" spans="1:3" x14ac:dyDescent="0.2">
      <c r="A469" s="2">
        <v>467</v>
      </c>
      <c r="B469" s="2">
        <f t="shared" ca="1" si="7"/>
        <v>0.71704142136410276</v>
      </c>
      <c r="C469" s="2" t="s">
        <v>226</v>
      </c>
    </row>
    <row r="470" spans="1:3" x14ac:dyDescent="0.2">
      <c r="A470" s="2">
        <v>468</v>
      </c>
      <c r="B470" s="2">
        <f t="shared" ca="1" si="7"/>
        <v>0.55920869271094509</v>
      </c>
      <c r="C470" s="2" t="s">
        <v>226</v>
      </c>
    </row>
    <row r="471" spans="1:3" x14ac:dyDescent="0.2">
      <c r="A471" s="2">
        <v>469</v>
      </c>
      <c r="B471" s="2">
        <f t="shared" ca="1" si="7"/>
        <v>0.87866109037263329</v>
      </c>
      <c r="C471" s="2" t="s">
        <v>227</v>
      </c>
    </row>
    <row r="472" spans="1:3" x14ac:dyDescent="0.2">
      <c r="A472" s="2">
        <v>470</v>
      </c>
      <c r="B472" s="2">
        <f t="shared" ca="1" si="7"/>
        <v>0.52328784144377405</v>
      </c>
      <c r="C472" s="2" t="s">
        <v>226</v>
      </c>
    </row>
    <row r="473" spans="1:3" x14ac:dyDescent="0.2">
      <c r="A473" s="2">
        <v>471</v>
      </c>
      <c r="B473" s="2">
        <f t="shared" ca="1" si="7"/>
        <v>0.69634016327339976</v>
      </c>
      <c r="C473" s="2" t="s">
        <v>227</v>
      </c>
    </row>
    <row r="474" spans="1:3" x14ac:dyDescent="0.2">
      <c r="A474" s="2">
        <v>472</v>
      </c>
      <c r="B474" s="2">
        <f t="shared" ca="1" si="7"/>
        <v>0.77582346328082097</v>
      </c>
      <c r="C474" s="2" t="s">
        <v>227</v>
      </c>
    </row>
    <row r="475" spans="1:3" x14ac:dyDescent="0.2">
      <c r="A475" s="2">
        <v>473</v>
      </c>
      <c r="B475" s="2">
        <f t="shared" ca="1" si="7"/>
        <v>0.66121196999593668</v>
      </c>
      <c r="C475" s="2" t="s">
        <v>227</v>
      </c>
    </row>
    <row r="476" spans="1:3" x14ac:dyDescent="0.2">
      <c r="A476" s="2">
        <v>474</v>
      </c>
      <c r="B476" s="2">
        <f t="shared" ca="1" si="7"/>
        <v>0.6766064864540976</v>
      </c>
      <c r="C476" s="2" t="s">
        <v>226</v>
      </c>
    </row>
    <row r="477" spans="1:3" x14ac:dyDescent="0.2">
      <c r="A477" s="2">
        <v>475</v>
      </c>
      <c r="B477" s="2">
        <f t="shared" ca="1" si="7"/>
        <v>0.72804156628869698</v>
      </c>
      <c r="C477" s="2" t="s">
        <v>227</v>
      </c>
    </row>
    <row r="478" spans="1:3" x14ac:dyDescent="0.2">
      <c r="A478" s="2">
        <v>476</v>
      </c>
      <c r="B478" s="2">
        <f t="shared" ca="1" si="7"/>
        <v>0.7109867622144781</v>
      </c>
      <c r="C478" s="2" t="s">
        <v>227</v>
      </c>
    </row>
    <row r="479" spans="1:3" x14ac:dyDescent="0.2">
      <c r="A479" s="2">
        <v>477</v>
      </c>
      <c r="B479" s="2">
        <f t="shared" ca="1" si="7"/>
        <v>0.36415306143908449</v>
      </c>
      <c r="C479" s="2" t="s">
        <v>226</v>
      </c>
    </row>
    <row r="480" spans="1:3" x14ac:dyDescent="0.2">
      <c r="A480" s="2">
        <v>478</v>
      </c>
      <c r="B480" s="2">
        <f t="shared" ca="1" si="7"/>
        <v>0.47686684853710393</v>
      </c>
      <c r="C480" s="2" t="s">
        <v>226</v>
      </c>
    </row>
    <row r="481" spans="1:3" x14ac:dyDescent="0.2">
      <c r="A481" s="2">
        <v>479</v>
      </c>
      <c r="B481" s="2">
        <f t="shared" ca="1" si="7"/>
        <v>0.86135842197556056</v>
      </c>
      <c r="C481" s="2" t="s">
        <v>227</v>
      </c>
    </row>
    <row r="482" spans="1:3" x14ac:dyDescent="0.2">
      <c r="A482" s="2">
        <v>480</v>
      </c>
      <c r="B482" s="2">
        <f t="shared" ca="1" si="7"/>
        <v>0.64288232417108238</v>
      </c>
      <c r="C482" s="2" t="s">
        <v>227</v>
      </c>
    </row>
    <row r="483" spans="1:3" x14ac:dyDescent="0.2">
      <c r="A483" s="2">
        <v>481</v>
      </c>
      <c r="B483" s="2">
        <f t="shared" ca="1" si="7"/>
        <v>0.63584882363387996</v>
      </c>
      <c r="C483" s="2" t="s">
        <v>226</v>
      </c>
    </row>
    <row r="484" spans="1:3" x14ac:dyDescent="0.2">
      <c r="A484" s="2">
        <v>482</v>
      </c>
      <c r="B484" s="2">
        <f t="shared" ca="1" si="7"/>
        <v>0.71365730517359183</v>
      </c>
      <c r="C484" s="2" t="s">
        <v>226</v>
      </c>
    </row>
    <row r="485" spans="1:3" x14ac:dyDescent="0.2">
      <c r="A485" s="2">
        <v>483</v>
      </c>
      <c r="B485" s="2">
        <f t="shared" ca="1" si="7"/>
        <v>0.61032960744937004</v>
      </c>
      <c r="C485" s="2" t="s">
        <v>227</v>
      </c>
    </row>
    <row r="486" spans="1:3" x14ac:dyDescent="0.2">
      <c r="A486" s="2">
        <v>484</v>
      </c>
      <c r="B486" s="2">
        <f t="shared" ca="1" si="7"/>
        <v>0.72539920804898328</v>
      </c>
      <c r="C486" s="2" t="s">
        <v>227</v>
      </c>
    </row>
    <row r="487" spans="1:3" x14ac:dyDescent="0.2">
      <c r="A487" s="2">
        <v>485</v>
      </c>
      <c r="B487" s="2">
        <f t="shared" ca="1" si="7"/>
        <v>0.90421164438874024</v>
      </c>
      <c r="C487" s="2" t="s">
        <v>227</v>
      </c>
    </row>
    <row r="488" spans="1:3" x14ac:dyDescent="0.2">
      <c r="A488" s="2">
        <v>486</v>
      </c>
      <c r="B488" s="2">
        <f t="shared" ca="1" si="7"/>
        <v>0.66497051509416361</v>
      </c>
      <c r="C488" s="2" t="s">
        <v>226</v>
      </c>
    </row>
    <row r="489" spans="1:3" x14ac:dyDescent="0.2">
      <c r="A489" s="2">
        <v>487</v>
      </c>
      <c r="B489" s="2">
        <f t="shared" ca="1" si="7"/>
        <v>0.73036901926212627</v>
      </c>
      <c r="C489" s="2" t="s">
        <v>227</v>
      </c>
    </row>
    <row r="490" spans="1:3" x14ac:dyDescent="0.2">
      <c r="A490" s="2">
        <v>488</v>
      </c>
      <c r="B490" s="2">
        <f t="shared" ca="1" si="7"/>
        <v>0.66782101807628036</v>
      </c>
      <c r="C490" s="2" t="s">
        <v>226</v>
      </c>
    </row>
    <row r="491" spans="1:3" x14ac:dyDescent="0.2">
      <c r="A491" s="2">
        <v>489</v>
      </c>
      <c r="B491" s="2">
        <f t="shared" ca="1" si="7"/>
        <v>0.68189806037387746</v>
      </c>
      <c r="C491" s="2" t="s">
        <v>226</v>
      </c>
    </row>
    <row r="492" spans="1:3" x14ac:dyDescent="0.2">
      <c r="A492" s="2">
        <v>490</v>
      </c>
      <c r="B492" s="2">
        <f t="shared" ca="1" si="7"/>
        <v>0.6378961626433034</v>
      </c>
      <c r="C492" s="2" t="s">
        <v>227</v>
      </c>
    </row>
    <row r="493" spans="1:3" x14ac:dyDescent="0.2">
      <c r="A493" s="2">
        <v>491</v>
      </c>
      <c r="B493" s="2">
        <f t="shared" ca="1" si="7"/>
        <v>0.6067623984344569</v>
      </c>
      <c r="C493" s="2" t="s">
        <v>226</v>
      </c>
    </row>
    <row r="494" spans="1:3" x14ac:dyDescent="0.2">
      <c r="A494" s="2">
        <v>492</v>
      </c>
      <c r="B494" s="2">
        <f t="shared" ca="1" si="7"/>
        <v>0.57849747660723927</v>
      </c>
      <c r="C494" s="2" t="s">
        <v>227</v>
      </c>
    </row>
    <row r="495" spans="1:3" x14ac:dyDescent="0.2">
      <c r="A495" s="2">
        <v>493</v>
      </c>
      <c r="B495" s="2">
        <f t="shared" ca="1" si="7"/>
        <v>0.62704430515665244</v>
      </c>
      <c r="C495" s="2" t="s">
        <v>226</v>
      </c>
    </row>
    <row r="496" spans="1:3" x14ac:dyDescent="0.2">
      <c r="A496" s="2">
        <v>494</v>
      </c>
      <c r="B496" s="2">
        <f t="shared" ca="1" si="7"/>
        <v>0.59079320279075276</v>
      </c>
      <c r="C496" s="2" t="s">
        <v>226</v>
      </c>
    </row>
    <row r="497" spans="1:3" x14ac:dyDescent="0.2">
      <c r="A497" s="2">
        <v>495</v>
      </c>
      <c r="B497" s="2">
        <f t="shared" ca="1" si="7"/>
        <v>0.49537008695373064</v>
      </c>
      <c r="C497" s="2" t="s">
        <v>227</v>
      </c>
    </row>
    <row r="498" spans="1:3" x14ac:dyDescent="0.2">
      <c r="A498" s="2">
        <v>496</v>
      </c>
      <c r="B498" s="2">
        <f t="shared" ca="1" si="7"/>
        <v>0.6984042330843625</v>
      </c>
      <c r="C498" s="2" t="s">
        <v>227</v>
      </c>
    </row>
    <row r="499" spans="1:3" x14ac:dyDescent="0.2">
      <c r="A499" s="2">
        <v>497</v>
      </c>
      <c r="B499" s="2">
        <f t="shared" ca="1" si="7"/>
        <v>0.7996866982084252</v>
      </c>
      <c r="C499" s="2" t="s">
        <v>227</v>
      </c>
    </row>
    <row r="500" spans="1:3" x14ac:dyDescent="0.2">
      <c r="A500" s="2">
        <v>498</v>
      </c>
      <c r="B500" s="2">
        <f t="shared" ca="1" si="7"/>
        <v>0.57481531982532186</v>
      </c>
      <c r="C500" s="2" t="s">
        <v>226</v>
      </c>
    </row>
    <row r="501" spans="1:3" x14ac:dyDescent="0.2">
      <c r="A501" s="2">
        <v>499</v>
      </c>
      <c r="B501" s="2">
        <f t="shared" ca="1" si="7"/>
        <v>0.56948767809036371</v>
      </c>
      <c r="C501" s="2" t="s">
        <v>227</v>
      </c>
    </row>
    <row r="502" spans="1:3" x14ac:dyDescent="0.2">
      <c r="A502" s="2">
        <v>500</v>
      </c>
      <c r="B502" s="2">
        <f t="shared" ca="1" si="7"/>
        <v>0.79691831139011593</v>
      </c>
      <c r="C502" s="2" t="s">
        <v>227</v>
      </c>
    </row>
    <row r="503" spans="1:3" x14ac:dyDescent="0.2">
      <c r="A503" s="2">
        <v>501</v>
      </c>
      <c r="B503" s="2">
        <f t="shared" ca="1" si="7"/>
        <v>0.63357721377423093</v>
      </c>
      <c r="C503" s="2" t="s">
        <v>226</v>
      </c>
    </row>
    <row r="504" spans="1:3" x14ac:dyDescent="0.2">
      <c r="A504" s="2">
        <v>502</v>
      </c>
      <c r="B504" s="2">
        <f t="shared" ca="1" si="7"/>
        <v>0.42708448789335246</v>
      </c>
      <c r="C504" s="2" t="s">
        <v>226</v>
      </c>
    </row>
    <row r="505" spans="1:3" x14ac:dyDescent="0.2">
      <c r="A505" s="2">
        <v>503</v>
      </c>
      <c r="B505" s="2">
        <f t="shared" ca="1" si="7"/>
        <v>0.5772302450608634</v>
      </c>
      <c r="C505" s="2" t="s">
        <v>226</v>
      </c>
    </row>
    <row r="506" spans="1:3" x14ac:dyDescent="0.2">
      <c r="A506" s="2">
        <v>504</v>
      </c>
      <c r="B506" s="2">
        <f t="shared" ca="1" si="7"/>
        <v>0.74295584820902305</v>
      </c>
      <c r="C506" s="2" t="s">
        <v>226</v>
      </c>
    </row>
    <row r="507" spans="1:3" x14ac:dyDescent="0.2">
      <c r="A507" s="2">
        <v>505</v>
      </c>
      <c r="B507" s="2">
        <f t="shared" ca="1" si="7"/>
        <v>0.64290147513996232</v>
      </c>
      <c r="C507" s="2" t="s">
        <v>227</v>
      </c>
    </row>
    <row r="508" spans="1:3" x14ac:dyDescent="0.2">
      <c r="A508" s="2">
        <v>506</v>
      </c>
      <c r="B508" s="2">
        <f t="shared" ca="1" si="7"/>
        <v>0.70071805123206543</v>
      </c>
      <c r="C508" s="2" t="s">
        <v>227</v>
      </c>
    </row>
    <row r="509" spans="1:3" x14ac:dyDescent="0.2">
      <c r="A509" s="2">
        <v>507</v>
      </c>
      <c r="B509" s="2">
        <f t="shared" ca="1" si="7"/>
        <v>0.73299914944162259</v>
      </c>
      <c r="C509" s="2" t="s">
        <v>227</v>
      </c>
    </row>
    <row r="510" spans="1:3" x14ac:dyDescent="0.2">
      <c r="A510" s="2">
        <v>508</v>
      </c>
      <c r="B510" s="2">
        <f t="shared" ca="1" si="7"/>
        <v>0.5714860896822912</v>
      </c>
      <c r="C510" s="2" t="s">
        <v>226</v>
      </c>
    </row>
    <row r="511" spans="1:3" x14ac:dyDescent="0.2">
      <c r="A511" s="2">
        <v>509</v>
      </c>
      <c r="B511" s="2">
        <f t="shared" ca="1" si="7"/>
        <v>0.522187552186682</v>
      </c>
      <c r="C511" s="2" t="s">
        <v>227</v>
      </c>
    </row>
    <row r="512" spans="1:3" x14ac:dyDescent="0.2">
      <c r="A512" s="2">
        <v>510</v>
      </c>
      <c r="B512" s="2">
        <f t="shared" ca="1" si="7"/>
        <v>0.74139498449584018</v>
      </c>
      <c r="C512" s="2" t="s">
        <v>227</v>
      </c>
    </row>
    <row r="513" spans="1:3" x14ac:dyDescent="0.2">
      <c r="A513" s="2">
        <v>511</v>
      </c>
      <c r="B513" s="2">
        <f t="shared" ca="1" si="7"/>
        <v>0.53770658163683382</v>
      </c>
      <c r="C513" s="2" t="s">
        <v>227</v>
      </c>
    </row>
    <row r="514" spans="1:3" x14ac:dyDescent="0.2">
      <c r="A514" s="2">
        <v>512</v>
      </c>
      <c r="B514" s="2">
        <f t="shared" ca="1" si="7"/>
        <v>0.79854246450045552</v>
      </c>
      <c r="C514" s="2" t="s">
        <v>227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0.76963747039665475</v>
      </c>
      <c r="C515" s="2" t="s">
        <v>227</v>
      </c>
    </row>
    <row r="516" spans="1:3" x14ac:dyDescent="0.2">
      <c r="A516" s="2">
        <v>514</v>
      </c>
      <c r="B516" s="2">
        <f t="shared" ca="1" si="8"/>
        <v>0.25627274238252079</v>
      </c>
      <c r="C516" s="2" t="s">
        <v>226</v>
      </c>
    </row>
    <row r="517" spans="1:3" x14ac:dyDescent="0.2">
      <c r="A517" s="2">
        <v>515</v>
      </c>
      <c r="B517" s="2">
        <f t="shared" ca="1" si="8"/>
        <v>0.60408412578198234</v>
      </c>
      <c r="C517" s="2" t="s">
        <v>227</v>
      </c>
    </row>
    <row r="518" spans="1:3" x14ac:dyDescent="0.2">
      <c r="A518" s="2">
        <v>516</v>
      </c>
      <c r="B518" s="2">
        <f t="shared" ca="1" si="8"/>
        <v>0.73446158894474445</v>
      </c>
      <c r="C518" s="2" t="s">
        <v>227</v>
      </c>
    </row>
    <row r="519" spans="1:3" x14ac:dyDescent="0.2">
      <c r="A519" s="2">
        <v>517</v>
      </c>
      <c r="B519" s="2">
        <f t="shared" ca="1" si="8"/>
        <v>0.76809428163754234</v>
      </c>
      <c r="C519" s="2" t="s">
        <v>227</v>
      </c>
    </row>
    <row r="520" spans="1:3" x14ac:dyDescent="0.2">
      <c r="A520" s="2">
        <v>518</v>
      </c>
      <c r="B520" s="2">
        <f t="shared" ca="1" si="8"/>
        <v>0.44416963397768094</v>
      </c>
      <c r="C520" s="2" t="s">
        <v>226</v>
      </c>
    </row>
    <row r="521" spans="1:3" x14ac:dyDescent="0.2">
      <c r="A521" s="2">
        <v>519</v>
      </c>
      <c r="B521" s="2">
        <f t="shared" ca="1" si="8"/>
        <v>0.60166478027786108</v>
      </c>
      <c r="C521" s="2" t="s">
        <v>227</v>
      </c>
    </row>
    <row r="522" spans="1:3" x14ac:dyDescent="0.2">
      <c r="A522" s="2">
        <v>520</v>
      </c>
      <c r="B522" s="2">
        <f t="shared" ca="1" si="8"/>
        <v>0.59979512094157439</v>
      </c>
      <c r="C522" s="2" t="s">
        <v>226</v>
      </c>
    </row>
    <row r="523" spans="1:3" x14ac:dyDescent="0.2">
      <c r="A523" s="2">
        <v>521</v>
      </c>
      <c r="B523" s="2">
        <f t="shared" ca="1" si="8"/>
        <v>0.7643529170417096</v>
      </c>
      <c r="C523" s="2" t="s">
        <v>226</v>
      </c>
    </row>
    <row r="524" spans="1:3" x14ac:dyDescent="0.2">
      <c r="A524" s="2">
        <v>522</v>
      </c>
      <c r="B524" s="2">
        <f t="shared" ca="1" si="8"/>
        <v>0.71473216593764621</v>
      </c>
      <c r="C524" s="2" t="s">
        <v>227</v>
      </c>
    </row>
    <row r="525" spans="1:3" x14ac:dyDescent="0.2">
      <c r="A525" s="2">
        <v>523</v>
      </c>
      <c r="B525" s="2">
        <f t="shared" ca="1" si="8"/>
        <v>0.62609778313521991</v>
      </c>
      <c r="C525" s="2" t="s">
        <v>227</v>
      </c>
    </row>
    <row r="526" spans="1:3" x14ac:dyDescent="0.2">
      <c r="A526" s="2">
        <v>524</v>
      </c>
      <c r="B526" s="2">
        <f t="shared" ca="1" si="8"/>
        <v>0.55338633761606104</v>
      </c>
      <c r="C526" s="2" t="s">
        <v>226</v>
      </c>
    </row>
    <row r="527" spans="1:3" x14ac:dyDescent="0.2">
      <c r="A527" s="2">
        <v>525</v>
      </c>
      <c r="B527" s="2">
        <f t="shared" ca="1" si="8"/>
        <v>0.7311315984845459</v>
      </c>
      <c r="C527" s="2" t="s">
        <v>227</v>
      </c>
    </row>
    <row r="528" spans="1:3" x14ac:dyDescent="0.2">
      <c r="A528" s="2">
        <v>526</v>
      </c>
      <c r="B528" s="2">
        <f t="shared" ca="1" si="8"/>
        <v>0.55916552516996587</v>
      </c>
      <c r="C528" s="2" t="s">
        <v>226</v>
      </c>
    </row>
    <row r="529" spans="1:3" x14ac:dyDescent="0.2">
      <c r="A529" s="2">
        <v>527</v>
      </c>
      <c r="B529" s="2">
        <f t="shared" ca="1" si="8"/>
        <v>0.7192268076511833</v>
      </c>
      <c r="C529" s="2" t="s">
        <v>226</v>
      </c>
    </row>
    <row r="530" spans="1:3" x14ac:dyDescent="0.2">
      <c r="A530" s="2">
        <v>528</v>
      </c>
      <c r="B530" s="2">
        <f t="shared" ca="1" si="8"/>
        <v>0.69821877968040769</v>
      </c>
      <c r="C530" s="2" t="s">
        <v>227</v>
      </c>
    </row>
    <row r="531" spans="1:3" x14ac:dyDescent="0.2">
      <c r="A531" s="2">
        <v>529</v>
      </c>
      <c r="B531" s="2">
        <f t="shared" ca="1" si="8"/>
        <v>0.74577240118641097</v>
      </c>
      <c r="C531" s="2" t="s">
        <v>227</v>
      </c>
    </row>
    <row r="532" spans="1:3" x14ac:dyDescent="0.2">
      <c r="A532" s="2">
        <v>530</v>
      </c>
      <c r="B532" s="2">
        <f t="shared" ca="1" si="8"/>
        <v>0.77430633188266529</v>
      </c>
      <c r="C532" s="2" t="s">
        <v>226</v>
      </c>
    </row>
    <row r="533" spans="1:3" x14ac:dyDescent="0.2">
      <c r="A533" s="2">
        <v>531</v>
      </c>
      <c r="B533" s="2">
        <f t="shared" ca="1" si="8"/>
        <v>0.5876374870271579</v>
      </c>
      <c r="C533" s="2" t="s">
        <v>227</v>
      </c>
    </row>
    <row r="534" spans="1:3" x14ac:dyDescent="0.2">
      <c r="A534" s="2">
        <v>532</v>
      </c>
      <c r="B534" s="2">
        <f t="shared" ca="1" si="8"/>
        <v>0.70294915607561137</v>
      </c>
      <c r="C534" s="2" t="s">
        <v>226</v>
      </c>
    </row>
    <row r="535" spans="1:3" x14ac:dyDescent="0.2">
      <c r="A535" s="2">
        <v>533</v>
      </c>
      <c r="B535" s="2">
        <f t="shared" ca="1" si="8"/>
        <v>0.79871946714680608</v>
      </c>
      <c r="C535" s="2" t="s">
        <v>226</v>
      </c>
    </row>
    <row r="536" spans="1:3" x14ac:dyDescent="0.2">
      <c r="A536" s="2">
        <v>534</v>
      </c>
      <c r="B536" s="2">
        <f t="shared" ca="1" si="8"/>
        <v>0.78771681813804006</v>
      </c>
      <c r="C536" s="2" t="s">
        <v>227</v>
      </c>
    </row>
    <row r="537" spans="1:3" x14ac:dyDescent="0.2">
      <c r="A537" s="2">
        <v>535</v>
      </c>
      <c r="B537" s="2">
        <f t="shared" ca="1" si="8"/>
        <v>0.24403646366021797</v>
      </c>
      <c r="C537" s="2" t="s">
        <v>226</v>
      </c>
    </row>
    <row r="538" spans="1:3" x14ac:dyDescent="0.2">
      <c r="A538" s="2">
        <v>536</v>
      </c>
      <c r="B538" s="2">
        <f t="shared" ca="1" si="8"/>
        <v>0.87928044516434678</v>
      </c>
      <c r="C538" s="2" t="s">
        <v>226</v>
      </c>
    </row>
    <row r="539" spans="1:3" x14ac:dyDescent="0.2">
      <c r="A539" s="2">
        <v>537</v>
      </c>
      <c r="B539" s="2">
        <f t="shared" ca="1" si="8"/>
        <v>0.61595482116910205</v>
      </c>
      <c r="C539" s="2" t="s">
        <v>226</v>
      </c>
    </row>
    <row r="540" spans="1:3" x14ac:dyDescent="0.2">
      <c r="A540" s="2">
        <v>538</v>
      </c>
      <c r="B540" s="2">
        <f t="shared" ca="1" si="8"/>
        <v>0.63453911733672397</v>
      </c>
      <c r="C540" s="2" t="s">
        <v>227</v>
      </c>
    </row>
    <row r="541" spans="1:3" x14ac:dyDescent="0.2">
      <c r="A541" s="2">
        <v>539</v>
      </c>
      <c r="B541" s="2">
        <f t="shared" ca="1" si="8"/>
        <v>0.2914202896746827</v>
      </c>
      <c r="C541" s="2" t="s">
        <v>226</v>
      </c>
    </row>
    <row r="542" spans="1:3" x14ac:dyDescent="0.2">
      <c r="A542" s="2">
        <v>540</v>
      </c>
      <c r="B542" s="2">
        <f t="shared" ca="1" si="8"/>
        <v>0.43990245633732533</v>
      </c>
      <c r="C542" s="2" t="s">
        <v>226</v>
      </c>
    </row>
    <row r="543" spans="1:3" x14ac:dyDescent="0.2">
      <c r="A543" s="2">
        <v>541</v>
      </c>
      <c r="B543" s="2">
        <f t="shared" ca="1" si="8"/>
        <v>0.67847017018247169</v>
      </c>
      <c r="C543" s="2" t="s">
        <v>226</v>
      </c>
    </row>
    <row r="544" spans="1:3" x14ac:dyDescent="0.2">
      <c r="A544" s="2">
        <v>542</v>
      </c>
      <c r="B544" s="2">
        <f t="shared" ca="1" si="8"/>
        <v>0.51408864972549961</v>
      </c>
      <c r="C544" s="2" t="s">
        <v>227</v>
      </c>
    </row>
    <row r="545" spans="1:3" x14ac:dyDescent="0.2">
      <c r="A545" s="2">
        <v>543</v>
      </c>
      <c r="B545" s="2">
        <f t="shared" ca="1" si="8"/>
        <v>0.61238588257132309</v>
      </c>
      <c r="C545" s="2" t="s">
        <v>227</v>
      </c>
    </row>
    <row r="546" spans="1:3" x14ac:dyDescent="0.2">
      <c r="A546" s="2">
        <v>544</v>
      </c>
      <c r="B546" s="2">
        <f t="shared" ca="1" si="8"/>
        <v>0.55721024942821118</v>
      </c>
      <c r="C546" s="2" t="s">
        <v>227</v>
      </c>
    </row>
    <row r="547" spans="1:3" x14ac:dyDescent="0.2">
      <c r="A547" s="2">
        <v>545</v>
      </c>
      <c r="B547" s="2">
        <f t="shared" ca="1" si="8"/>
        <v>0.50825285813276788</v>
      </c>
      <c r="C547" s="2" t="s">
        <v>226</v>
      </c>
    </row>
    <row r="548" spans="1:3" x14ac:dyDescent="0.2">
      <c r="A548" s="2">
        <v>546</v>
      </c>
      <c r="B548" s="2">
        <f t="shared" ca="1" si="8"/>
        <v>0.56106400795311995</v>
      </c>
      <c r="C548" s="2" t="s">
        <v>226</v>
      </c>
    </row>
    <row r="549" spans="1:3" x14ac:dyDescent="0.2">
      <c r="A549" s="2">
        <v>547</v>
      </c>
      <c r="B549" s="2">
        <f t="shared" ca="1" si="8"/>
        <v>0.5938916876498862</v>
      </c>
      <c r="C549" s="2" t="s">
        <v>227</v>
      </c>
    </row>
    <row r="550" spans="1:3" x14ac:dyDescent="0.2">
      <c r="A550" s="2">
        <v>548</v>
      </c>
      <c r="B550" s="2">
        <f t="shared" ca="1" si="8"/>
        <v>0.65302020215613532</v>
      </c>
      <c r="C550" s="2" t="s">
        <v>227</v>
      </c>
    </row>
    <row r="551" spans="1:3" x14ac:dyDescent="0.2">
      <c r="A551" s="2">
        <v>549</v>
      </c>
      <c r="B551" s="2">
        <f t="shared" ca="1" si="8"/>
        <v>0.44514859697270581</v>
      </c>
      <c r="C551" s="2" t="s">
        <v>226</v>
      </c>
    </row>
    <row r="552" spans="1:3" x14ac:dyDescent="0.2">
      <c r="A552" s="2">
        <v>550</v>
      </c>
      <c r="B552" s="2">
        <f t="shared" ca="1" si="8"/>
        <v>0.68847560836004307</v>
      </c>
      <c r="C552" s="2" t="s">
        <v>227</v>
      </c>
    </row>
    <row r="553" spans="1:3" x14ac:dyDescent="0.2">
      <c r="A553" s="2">
        <v>551</v>
      </c>
      <c r="B553" s="2">
        <f t="shared" ca="1" si="8"/>
        <v>0.35680355363283323</v>
      </c>
      <c r="C553" s="2" t="s">
        <v>226</v>
      </c>
    </row>
    <row r="554" spans="1:3" x14ac:dyDescent="0.2">
      <c r="A554" s="2">
        <v>552</v>
      </c>
      <c r="B554" s="2">
        <f t="shared" ca="1" si="8"/>
        <v>0.64421214509466651</v>
      </c>
      <c r="C554" s="2" t="s">
        <v>226</v>
      </c>
    </row>
    <row r="555" spans="1:3" x14ac:dyDescent="0.2">
      <c r="A555" s="2">
        <v>553</v>
      </c>
      <c r="B555" s="2">
        <f t="shared" ca="1" si="8"/>
        <v>0.48899765229436787</v>
      </c>
      <c r="C555" s="2" t="s">
        <v>226</v>
      </c>
    </row>
    <row r="556" spans="1:3" x14ac:dyDescent="0.2">
      <c r="A556" s="2">
        <v>554</v>
      </c>
      <c r="B556" s="2">
        <f t="shared" ca="1" si="8"/>
        <v>0.73594809165867814</v>
      </c>
      <c r="C556" s="2" t="s">
        <v>227</v>
      </c>
    </row>
    <row r="557" spans="1:3" x14ac:dyDescent="0.2">
      <c r="A557" s="2">
        <v>555</v>
      </c>
      <c r="B557" s="2">
        <f t="shared" ca="1" si="8"/>
        <v>0.68421086115537344</v>
      </c>
      <c r="C557" s="2" t="s">
        <v>226</v>
      </c>
    </row>
    <row r="558" spans="1:3" x14ac:dyDescent="0.2">
      <c r="A558" s="2">
        <v>556</v>
      </c>
      <c r="B558" s="2">
        <f t="shared" ca="1" si="8"/>
        <v>0.83473644266792402</v>
      </c>
      <c r="C558" s="2" t="s">
        <v>227</v>
      </c>
    </row>
    <row r="559" spans="1:3" x14ac:dyDescent="0.2">
      <c r="A559" s="2">
        <v>557</v>
      </c>
      <c r="B559" s="2">
        <f t="shared" ca="1" si="8"/>
        <v>0.60241355322944179</v>
      </c>
      <c r="C559" s="2" t="s">
        <v>227</v>
      </c>
    </row>
    <row r="560" spans="1:3" x14ac:dyDescent="0.2">
      <c r="A560" s="2">
        <v>558</v>
      </c>
      <c r="B560" s="2">
        <f t="shared" ca="1" si="8"/>
        <v>0.67612063609318129</v>
      </c>
      <c r="C560" s="2" t="s">
        <v>226</v>
      </c>
    </row>
    <row r="561" spans="1:3" x14ac:dyDescent="0.2">
      <c r="A561" s="2">
        <v>559</v>
      </c>
      <c r="B561" s="2">
        <f t="shared" ca="1" si="8"/>
        <v>0.76058675286227984</v>
      </c>
      <c r="C561" s="2" t="s">
        <v>227</v>
      </c>
    </row>
    <row r="562" spans="1:3" x14ac:dyDescent="0.2">
      <c r="A562" s="2">
        <v>560</v>
      </c>
      <c r="B562" s="2">
        <f t="shared" ca="1" si="8"/>
        <v>0.76714281023802156</v>
      </c>
      <c r="C562" s="2" t="s">
        <v>226</v>
      </c>
    </row>
    <row r="563" spans="1:3" x14ac:dyDescent="0.2">
      <c r="A563" s="2">
        <v>561</v>
      </c>
      <c r="B563" s="2">
        <f t="shared" ca="1" si="8"/>
        <v>0.89527966725487595</v>
      </c>
      <c r="C563" s="2" t="s">
        <v>226</v>
      </c>
    </row>
    <row r="564" spans="1:3" x14ac:dyDescent="0.2">
      <c r="A564" s="2">
        <v>562</v>
      </c>
      <c r="B564" s="2">
        <f t="shared" ca="1" si="8"/>
        <v>0.69302483632924028</v>
      </c>
      <c r="C564" s="2" t="s">
        <v>226</v>
      </c>
    </row>
    <row r="565" spans="1:3" x14ac:dyDescent="0.2">
      <c r="A565" s="2">
        <v>563</v>
      </c>
      <c r="B565" s="2">
        <f t="shared" ca="1" si="8"/>
        <v>0.7545286465025447</v>
      </c>
      <c r="C565" s="2" t="s">
        <v>226</v>
      </c>
    </row>
    <row r="566" spans="1:3" x14ac:dyDescent="0.2">
      <c r="A566" s="2">
        <v>564</v>
      </c>
      <c r="B566" s="2">
        <f t="shared" ca="1" si="8"/>
        <v>0.53865349327596634</v>
      </c>
      <c r="C566" s="2" t="s">
        <v>226</v>
      </c>
    </row>
    <row r="567" spans="1:3" x14ac:dyDescent="0.2">
      <c r="A567" s="2">
        <v>565</v>
      </c>
      <c r="B567" s="2">
        <f t="shared" ca="1" si="8"/>
        <v>0.6715290180789234</v>
      </c>
      <c r="C567" s="2" t="s">
        <v>226</v>
      </c>
    </row>
    <row r="568" spans="1:3" x14ac:dyDescent="0.2">
      <c r="A568" s="2">
        <v>566</v>
      </c>
      <c r="B568" s="2">
        <f t="shared" ca="1" si="8"/>
        <v>0.71805205589166476</v>
      </c>
      <c r="C568" s="2" t="s">
        <v>227</v>
      </c>
    </row>
    <row r="569" spans="1:3" x14ac:dyDescent="0.2">
      <c r="A569" s="2">
        <v>567</v>
      </c>
      <c r="B569" s="2">
        <f t="shared" ca="1" si="8"/>
        <v>0.64803321606301534</v>
      </c>
      <c r="C569" s="2" t="s">
        <v>227</v>
      </c>
    </row>
    <row r="570" spans="1:3" x14ac:dyDescent="0.2">
      <c r="A570" s="2">
        <v>568</v>
      </c>
      <c r="B570" s="2">
        <f t="shared" ca="1" si="8"/>
        <v>0.60959557230108841</v>
      </c>
      <c r="C570" s="2" t="s">
        <v>227</v>
      </c>
    </row>
    <row r="571" spans="1:3" x14ac:dyDescent="0.2">
      <c r="A571" s="2">
        <v>569</v>
      </c>
      <c r="B571" s="2">
        <f t="shared" ca="1" si="8"/>
        <v>0.76505266798255012</v>
      </c>
      <c r="C571" s="2" t="s">
        <v>226</v>
      </c>
    </row>
    <row r="572" spans="1:3" x14ac:dyDescent="0.2">
      <c r="A572" s="2">
        <v>570</v>
      </c>
      <c r="B572" s="2">
        <f t="shared" ca="1" si="8"/>
        <v>0.68198996650740851</v>
      </c>
      <c r="C572" s="2" t="s">
        <v>227</v>
      </c>
    </row>
    <row r="573" spans="1:3" x14ac:dyDescent="0.2">
      <c r="A573" s="2">
        <v>571</v>
      </c>
      <c r="B573" s="2">
        <f t="shared" ca="1" si="8"/>
        <v>0.71053043695369067</v>
      </c>
      <c r="C573" s="2" t="s">
        <v>226</v>
      </c>
    </row>
    <row r="574" spans="1:3" x14ac:dyDescent="0.2">
      <c r="A574" s="2">
        <v>572</v>
      </c>
      <c r="B574" s="2">
        <f t="shared" ca="1" si="8"/>
        <v>0.80880600798273738</v>
      </c>
      <c r="C574" s="2" t="s">
        <v>227</v>
      </c>
    </row>
    <row r="575" spans="1:3" x14ac:dyDescent="0.2">
      <c r="A575" s="2">
        <v>573</v>
      </c>
      <c r="B575" s="2">
        <f t="shared" ca="1" si="8"/>
        <v>0.82145295387145545</v>
      </c>
      <c r="C575" s="2" t="s">
        <v>227</v>
      </c>
    </row>
    <row r="576" spans="1:3" x14ac:dyDescent="0.2">
      <c r="A576" s="2">
        <v>574</v>
      </c>
      <c r="B576" s="2">
        <f t="shared" ca="1" si="8"/>
        <v>0.72807751158770784</v>
      </c>
      <c r="C576" s="2" t="s">
        <v>227</v>
      </c>
    </row>
    <row r="577" spans="1:3" x14ac:dyDescent="0.2">
      <c r="A577" s="2">
        <v>575</v>
      </c>
      <c r="B577" s="2">
        <f t="shared" ca="1" si="8"/>
        <v>0.74993975973286375</v>
      </c>
      <c r="C577" s="2" t="s">
        <v>226</v>
      </c>
    </row>
    <row r="578" spans="1:3" x14ac:dyDescent="0.2">
      <c r="A578" s="2">
        <v>576</v>
      </c>
      <c r="B578" s="2">
        <f t="shared" ca="1" si="8"/>
        <v>0.68851053481444346</v>
      </c>
      <c r="C578" s="2" t="s">
        <v>226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0.51069200743311394</v>
      </c>
      <c r="C579" s="2" t="s">
        <v>226</v>
      </c>
    </row>
    <row r="580" spans="1:3" x14ac:dyDescent="0.2">
      <c r="A580" s="2">
        <v>578</v>
      </c>
      <c r="B580" s="2">
        <f t="shared" ca="1" si="9"/>
        <v>0.79562698197165138</v>
      </c>
      <c r="C580" s="2" t="s">
        <v>227</v>
      </c>
    </row>
    <row r="581" spans="1:3" x14ac:dyDescent="0.2">
      <c r="A581" s="2">
        <v>579</v>
      </c>
      <c r="B581" s="2">
        <f t="shared" ca="1" si="9"/>
        <v>0.7449790252952615</v>
      </c>
      <c r="C581" s="2" t="s">
        <v>227</v>
      </c>
    </row>
    <row r="582" spans="1:3" x14ac:dyDescent="0.2">
      <c r="A582" s="2">
        <v>580</v>
      </c>
      <c r="B582" s="2">
        <f t="shared" ca="1" si="9"/>
        <v>0.52888160740070211</v>
      </c>
      <c r="C582" s="2" t="s">
        <v>227</v>
      </c>
    </row>
    <row r="583" spans="1:3" x14ac:dyDescent="0.2">
      <c r="A583" s="2">
        <v>581</v>
      </c>
      <c r="B583" s="2">
        <f t="shared" ca="1" si="9"/>
        <v>0.57869370824253852</v>
      </c>
      <c r="C583" s="2" t="s">
        <v>226</v>
      </c>
    </row>
    <row r="584" spans="1:3" x14ac:dyDescent="0.2">
      <c r="A584" s="2">
        <v>582</v>
      </c>
      <c r="B584" s="2">
        <f t="shared" ca="1" si="9"/>
        <v>0.63652379955055305</v>
      </c>
      <c r="C584" s="2" t="s">
        <v>227</v>
      </c>
    </row>
    <row r="585" spans="1:3" x14ac:dyDescent="0.2">
      <c r="A585" s="2">
        <v>583</v>
      </c>
      <c r="B585" s="2">
        <f t="shared" ca="1" si="9"/>
        <v>0.71322545711130125</v>
      </c>
      <c r="C585" s="2" t="s">
        <v>226</v>
      </c>
    </row>
    <row r="586" spans="1:3" x14ac:dyDescent="0.2">
      <c r="A586" s="2">
        <v>584</v>
      </c>
      <c r="B586" s="2">
        <f t="shared" ca="1" si="9"/>
        <v>0.67417959125662896</v>
      </c>
      <c r="C586" s="2" t="s">
        <v>227</v>
      </c>
    </row>
    <row r="587" spans="1:3" x14ac:dyDescent="0.2">
      <c r="A587" s="2">
        <v>585</v>
      </c>
      <c r="B587" s="2">
        <f t="shared" ca="1" si="9"/>
        <v>0.46933131484998242</v>
      </c>
      <c r="C587" s="2" t="s">
        <v>226</v>
      </c>
    </row>
    <row r="588" spans="1:3" x14ac:dyDescent="0.2">
      <c r="A588" s="2">
        <v>586</v>
      </c>
      <c r="B588" s="2">
        <f t="shared" ca="1" si="9"/>
        <v>0.36678793323209269</v>
      </c>
      <c r="C588" s="2" t="s">
        <v>226</v>
      </c>
    </row>
    <row r="589" spans="1:3" x14ac:dyDescent="0.2">
      <c r="A589" s="2">
        <v>587</v>
      </c>
      <c r="B589" s="2">
        <f t="shared" ca="1" si="9"/>
        <v>0.738849046306576</v>
      </c>
      <c r="C589" s="2" t="s">
        <v>227</v>
      </c>
    </row>
    <row r="590" spans="1:3" x14ac:dyDescent="0.2">
      <c r="A590" s="2">
        <v>588</v>
      </c>
      <c r="B590" s="2">
        <f t="shared" ca="1" si="9"/>
        <v>0.52675172335912845</v>
      </c>
      <c r="C590" s="2" t="s">
        <v>226</v>
      </c>
    </row>
    <row r="591" spans="1:3" x14ac:dyDescent="0.2">
      <c r="A591" s="2">
        <v>589</v>
      </c>
      <c r="B591" s="2">
        <f t="shared" ca="1" si="9"/>
        <v>0.67909600314412844</v>
      </c>
      <c r="C591" s="2" t="s">
        <v>226</v>
      </c>
    </row>
    <row r="592" spans="1:3" x14ac:dyDescent="0.2">
      <c r="A592" s="2">
        <v>590</v>
      </c>
      <c r="B592" s="2">
        <f t="shared" ca="1" si="9"/>
        <v>0.78187752617095918</v>
      </c>
      <c r="C592" s="2" t="s">
        <v>227</v>
      </c>
    </row>
    <row r="593" spans="1:3" x14ac:dyDescent="0.2">
      <c r="A593" s="2">
        <v>591</v>
      </c>
      <c r="B593" s="2">
        <f t="shared" ca="1" si="9"/>
        <v>0.49969954877872585</v>
      </c>
      <c r="C593" s="2" t="s">
        <v>226</v>
      </c>
    </row>
    <row r="594" spans="1:3" x14ac:dyDescent="0.2">
      <c r="A594" s="2">
        <v>592</v>
      </c>
      <c r="B594" s="2">
        <f t="shared" ca="1" si="9"/>
        <v>0.81161621822761321</v>
      </c>
      <c r="C594" s="2" t="s">
        <v>227</v>
      </c>
    </row>
    <row r="595" spans="1:3" x14ac:dyDescent="0.2">
      <c r="A595" s="2">
        <v>593</v>
      </c>
      <c r="B595" s="2">
        <f t="shared" ca="1" si="9"/>
        <v>0.80289594301380873</v>
      </c>
      <c r="C595" s="2" t="s">
        <v>226</v>
      </c>
    </row>
    <row r="596" spans="1:3" x14ac:dyDescent="0.2">
      <c r="A596" s="2">
        <v>594</v>
      </c>
      <c r="B596" s="2">
        <f t="shared" ca="1" si="9"/>
        <v>0.84662631870361382</v>
      </c>
      <c r="C596" s="2" t="s">
        <v>227</v>
      </c>
    </row>
    <row r="597" spans="1:3" x14ac:dyDescent="0.2">
      <c r="A597" s="2">
        <v>595</v>
      </c>
      <c r="B597" s="2">
        <f t="shared" ca="1" si="9"/>
        <v>0.47338074468639929</v>
      </c>
      <c r="C597" s="2" t="s">
        <v>227</v>
      </c>
    </row>
    <row r="598" spans="1:3" x14ac:dyDescent="0.2">
      <c r="A598" s="2">
        <v>596</v>
      </c>
      <c r="B598" s="2">
        <f t="shared" ca="1" si="9"/>
        <v>0.60762241665073513</v>
      </c>
      <c r="C598" s="2" t="s">
        <v>227</v>
      </c>
    </row>
    <row r="599" spans="1:3" x14ac:dyDescent="0.2">
      <c r="A599" s="2">
        <v>597</v>
      </c>
      <c r="B599" s="2">
        <f t="shared" ca="1" si="9"/>
        <v>0.68989517987993187</v>
      </c>
      <c r="C599" s="2" t="s">
        <v>227</v>
      </c>
    </row>
    <row r="600" spans="1:3" x14ac:dyDescent="0.2">
      <c r="A600" s="2">
        <v>598</v>
      </c>
      <c r="B600" s="2">
        <f t="shared" ca="1" si="9"/>
        <v>0.71805238900148849</v>
      </c>
      <c r="C600" s="2" t="s">
        <v>226</v>
      </c>
    </row>
    <row r="601" spans="1:3" x14ac:dyDescent="0.2">
      <c r="A601" s="2">
        <v>599</v>
      </c>
      <c r="B601" s="2">
        <f t="shared" ca="1" si="9"/>
        <v>0.53197346384194266</v>
      </c>
      <c r="C601" s="2" t="s">
        <v>227</v>
      </c>
    </row>
    <row r="602" spans="1:3" x14ac:dyDescent="0.2">
      <c r="A602" s="2">
        <v>600</v>
      </c>
      <c r="B602" s="2">
        <f t="shared" ca="1" si="9"/>
        <v>0.51550052104612964</v>
      </c>
      <c r="C602" s="2" t="s">
        <v>227</v>
      </c>
    </row>
    <row r="603" spans="1:3" x14ac:dyDescent="0.2">
      <c r="A603" s="2">
        <v>601</v>
      </c>
      <c r="B603" s="2">
        <f t="shared" ca="1" si="9"/>
        <v>0.64133625058505017</v>
      </c>
      <c r="C603" s="2" t="s">
        <v>226</v>
      </c>
    </row>
    <row r="604" spans="1:3" x14ac:dyDescent="0.2">
      <c r="A604" s="2">
        <v>602</v>
      </c>
      <c r="B604" s="2">
        <f t="shared" ca="1" si="9"/>
        <v>0.54930086466640304</v>
      </c>
      <c r="C604" s="2" t="s">
        <v>226</v>
      </c>
    </row>
    <row r="605" spans="1:3" x14ac:dyDescent="0.2">
      <c r="A605" s="2">
        <v>603</v>
      </c>
      <c r="B605" s="2">
        <f t="shared" ca="1" si="9"/>
        <v>0.73206604564629485</v>
      </c>
      <c r="C605" s="2" t="s">
        <v>226</v>
      </c>
    </row>
    <row r="606" spans="1:3" x14ac:dyDescent="0.2">
      <c r="A606" s="2">
        <v>604</v>
      </c>
      <c r="B606" s="2">
        <f t="shared" ca="1" si="9"/>
        <v>0.75481505303141427</v>
      </c>
      <c r="C606" s="2" t="s">
        <v>227</v>
      </c>
    </row>
    <row r="607" spans="1:3" x14ac:dyDescent="0.2">
      <c r="A607" s="2">
        <v>605</v>
      </c>
      <c r="B607" s="2">
        <f t="shared" ca="1" si="9"/>
        <v>0.85232932275825002</v>
      </c>
      <c r="C607" s="2" t="s">
        <v>226</v>
      </c>
    </row>
    <row r="608" spans="1:3" x14ac:dyDescent="0.2">
      <c r="A608" s="2">
        <v>606</v>
      </c>
      <c r="B608" s="2">
        <f t="shared" ca="1" si="9"/>
        <v>0.62850471637719052</v>
      </c>
      <c r="C608" s="2" t="s">
        <v>227</v>
      </c>
    </row>
    <row r="609" spans="1:3" x14ac:dyDescent="0.2">
      <c r="A609" s="2">
        <v>607</v>
      </c>
      <c r="B609" s="2">
        <f t="shared" ca="1" si="9"/>
        <v>0.30284369662489175</v>
      </c>
      <c r="C609" s="2" t="s">
        <v>226</v>
      </c>
    </row>
    <row r="610" spans="1:3" x14ac:dyDescent="0.2">
      <c r="A610" s="2">
        <v>608</v>
      </c>
      <c r="B610" s="2">
        <f t="shared" ca="1" si="9"/>
        <v>0.61265443281258058</v>
      </c>
      <c r="C610" s="2" t="s">
        <v>227</v>
      </c>
    </row>
    <row r="611" spans="1:3" x14ac:dyDescent="0.2">
      <c r="A611" s="2">
        <v>609</v>
      </c>
      <c r="B611" s="2">
        <f t="shared" ca="1" si="9"/>
        <v>0.24635424500746345</v>
      </c>
      <c r="C611" s="2" t="s">
        <v>226</v>
      </c>
    </row>
    <row r="612" spans="1:3" x14ac:dyDescent="0.2">
      <c r="A612" s="2">
        <v>610</v>
      </c>
      <c r="B612" s="2">
        <f t="shared" ca="1" si="9"/>
        <v>0.76565849194637137</v>
      </c>
      <c r="C612" s="2" t="s">
        <v>226</v>
      </c>
    </row>
    <row r="613" spans="1:3" x14ac:dyDescent="0.2">
      <c r="A613" s="2">
        <v>611</v>
      </c>
      <c r="B613" s="2">
        <f t="shared" ca="1" si="9"/>
        <v>0.71270362349884042</v>
      </c>
      <c r="C613" s="2" t="s">
        <v>227</v>
      </c>
    </row>
    <row r="614" spans="1:3" x14ac:dyDescent="0.2">
      <c r="A614" s="2">
        <v>612</v>
      </c>
      <c r="B614" s="2">
        <f t="shared" ca="1" si="9"/>
        <v>0.74795019361602699</v>
      </c>
      <c r="C614" s="2" t="s">
        <v>227</v>
      </c>
    </row>
    <row r="615" spans="1:3" x14ac:dyDescent="0.2">
      <c r="A615" s="2">
        <v>613</v>
      </c>
      <c r="B615" s="2">
        <f t="shared" ca="1" si="9"/>
        <v>0.87803258044575538</v>
      </c>
      <c r="C615" s="2" t="s">
        <v>226</v>
      </c>
    </row>
    <row r="616" spans="1:3" x14ac:dyDescent="0.2">
      <c r="A616" s="2">
        <v>614</v>
      </c>
      <c r="B616" s="2">
        <f t="shared" ca="1" si="9"/>
        <v>0.63216226322680868</v>
      </c>
      <c r="C616" s="2" t="s">
        <v>226</v>
      </c>
    </row>
    <row r="617" spans="1:3" x14ac:dyDescent="0.2">
      <c r="A617" s="2">
        <v>615</v>
      </c>
      <c r="B617" s="2">
        <f t="shared" ca="1" si="9"/>
        <v>0.65772782025679788</v>
      </c>
      <c r="C617" s="2" t="s">
        <v>226</v>
      </c>
    </row>
    <row r="618" spans="1:3" x14ac:dyDescent="0.2">
      <c r="A618" s="2">
        <v>616</v>
      </c>
      <c r="B618" s="2">
        <f t="shared" ca="1" si="9"/>
        <v>0.65628548868745673</v>
      </c>
      <c r="C618" s="2" t="s">
        <v>227</v>
      </c>
    </row>
    <row r="619" spans="1:3" x14ac:dyDescent="0.2">
      <c r="A619" s="2">
        <v>617</v>
      </c>
      <c r="B619" s="2">
        <f t="shared" ca="1" si="9"/>
        <v>0.80610135758305734</v>
      </c>
      <c r="C619" s="2" t="s">
        <v>227</v>
      </c>
    </row>
    <row r="620" spans="1:3" x14ac:dyDescent="0.2">
      <c r="A620" s="2">
        <v>618</v>
      </c>
      <c r="B620" s="2">
        <f t="shared" ca="1" si="9"/>
        <v>0.62797548584938545</v>
      </c>
      <c r="C620" s="2" t="s">
        <v>227</v>
      </c>
    </row>
    <row r="621" spans="1:3" x14ac:dyDescent="0.2">
      <c r="A621" s="2">
        <v>619</v>
      </c>
      <c r="B621" s="2">
        <f t="shared" ca="1" si="9"/>
        <v>0.60684970802094329</v>
      </c>
      <c r="C621" s="2" t="s">
        <v>226</v>
      </c>
    </row>
    <row r="622" spans="1:3" x14ac:dyDescent="0.2">
      <c r="A622" s="2">
        <v>620</v>
      </c>
      <c r="B622" s="2">
        <f t="shared" ca="1" si="9"/>
        <v>1.0178395730851177</v>
      </c>
      <c r="C622" s="2" t="s">
        <v>226</v>
      </c>
    </row>
    <row r="623" spans="1:3" x14ac:dyDescent="0.2">
      <c r="A623" s="2">
        <v>621</v>
      </c>
      <c r="B623" s="2">
        <f t="shared" ca="1" si="9"/>
        <v>0.63965879432372119</v>
      </c>
      <c r="C623" s="2" t="s">
        <v>227</v>
      </c>
    </row>
    <row r="624" spans="1:3" x14ac:dyDescent="0.2">
      <c r="A624" s="2">
        <v>622</v>
      </c>
      <c r="B624" s="2">
        <f t="shared" ca="1" si="9"/>
        <v>0.58409154091698534</v>
      </c>
      <c r="C624" s="2" t="s">
        <v>227</v>
      </c>
    </row>
    <row r="625" spans="1:3" x14ac:dyDescent="0.2">
      <c r="A625" s="2">
        <v>623</v>
      </c>
      <c r="B625" s="2">
        <f t="shared" ca="1" si="9"/>
        <v>0.73745619330344436</v>
      </c>
      <c r="C625" s="2" t="s">
        <v>227</v>
      </c>
    </row>
    <row r="626" spans="1:3" x14ac:dyDescent="0.2">
      <c r="A626" s="2">
        <v>624</v>
      </c>
      <c r="B626" s="2">
        <f t="shared" ca="1" si="9"/>
        <v>0.42623969964744024</v>
      </c>
      <c r="C626" s="2" t="s">
        <v>226</v>
      </c>
    </row>
    <row r="627" spans="1:3" x14ac:dyDescent="0.2">
      <c r="A627" s="2">
        <v>625</v>
      </c>
      <c r="B627" s="2">
        <f t="shared" ca="1" si="9"/>
        <v>0.75002944444626063</v>
      </c>
      <c r="C627" s="2" t="s">
        <v>227</v>
      </c>
    </row>
    <row r="628" spans="1:3" x14ac:dyDescent="0.2">
      <c r="A628" s="2">
        <v>626</v>
      </c>
      <c r="B628" s="2">
        <f t="shared" ca="1" si="9"/>
        <v>0.61241984509015768</v>
      </c>
      <c r="C628" s="2" t="s">
        <v>226</v>
      </c>
    </row>
    <row r="629" spans="1:3" x14ac:dyDescent="0.2">
      <c r="A629" s="2">
        <v>627</v>
      </c>
      <c r="B629" s="2">
        <f t="shared" ca="1" si="9"/>
        <v>0.49246224872912736</v>
      </c>
      <c r="C629" s="2" t="s">
        <v>226</v>
      </c>
    </row>
    <row r="630" spans="1:3" x14ac:dyDescent="0.2">
      <c r="A630" s="2">
        <v>628</v>
      </c>
      <c r="B630" s="2">
        <f t="shared" ca="1" si="9"/>
        <v>0.8017397337337685</v>
      </c>
      <c r="C630" s="2" t="s">
        <v>226</v>
      </c>
    </row>
    <row r="631" spans="1:3" x14ac:dyDescent="0.2">
      <c r="A631" s="2">
        <v>629</v>
      </c>
      <c r="B631" s="2">
        <f t="shared" ca="1" si="9"/>
        <v>0.77935222826028561</v>
      </c>
      <c r="C631" s="2" t="s">
        <v>226</v>
      </c>
    </row>
    <row r="632" spans="1:3" x14ac:dyDescent="0.2">
      <c r="A632" s="2">
        <v>630</v>
      </c>
      <c r="B632" s="2">
        <f t="shared" ca="1" si="9"/>
        <v>0.78344328166989663</v>
      </c>
      <c r="C632" s="2" t="s">
        <v>227</v>
      </c>
    </row>
    <row r="633" spans="1:3" x14ac:dyDescent="0.2">
      <c r="A633" s="2">
        <v>631</v>
      </c>
      <c r="B633" s="2">
        <f t="shared" ca="1" si="9"/>
        <v>0.60307070143920971</v>
      </c>
      <c r="C633" s="2" t="s">
        <v>227</v>
      </c>
    </row>
    <row r="634" spans="1:3" x14ac:dyDescent="0.2">
      <c r="A634" s="2">
        <v>632</v>
      </c>
      <c r="B634" s="2">
        <f t="shared" ca="1" si="9"/>
        <v>0.5225780740920859</v>
      </c>
      <c r="C634" s="2" t="s">
        <v>226</v>
      </c>
    </row>
    <row r="635" spans="1:3" x14ac:dyDescent="0.2">
      <c r="A635" s="2">
        <v>633</v>
      </c>
      <c r="B635" s="2">
        <f t="shared" ca="1" si="9"/>
        <v>0.59233541626994413</v>
      </c>
      <c r="C635" s="2" t="s">
        <v>227</v>
      </c>
    </row>
    <row r="636" spans="1:3" x14ac:dyDescent="0.2">
      <c r="A636" s="2">
        <v>634</v>
      </c>
      <c r="B636" s="2">
        <f t="shared" ca="1" si="9"/>
        <v>0.66892497276891572</v>
      </c>
      <c r="C636" s="2" t="s">
        <v>227</v>
      </c>
    </row>
    <row r="637" spans="1:3" x14ac:dyDescent="0.2">
      <c r="A637" s="2">
        <v>635</v>
      </c>
      <c r="B637" s="2">
        <f t="shared" ca="1" si="9"/>
        <v>0.57316978175192923</v>
      </c>
      <c r="C637" s="2" t="s">
        <v>227</v>
      </c>
    </row>
    <row r="638" spans="1:3" x14ac:dyDescent="0.2">
      <c r="A638" s="2">
        <v>636</v>
      </c>
      <c r="B638" s="2">
        <f t="shared" ca="1" si="9"/>
        <v>0.60375154326786351</v>
      </c>
      <c r="C638" s="2" t="s">
        <v>226</v>
      </c>
    </row>
    <row r="639" spans="1:3" x14ac:dyDescent="0.2">
      <c r="A639" s="2">
        <v>637</v>
      </c>
      <c r="B639" s="2">
        <f t="shared" ca="1" si="9"/>
        <v>0.49845518346622381</v>
      </c>
      <c r="C639" s="2" t="s">
        <v>226</v>
      </c>
    </row>
    <row r="640" spans="1:3" x14ac:dyDescent="0.2">
      <c r="A640" s="2">
        <v>638</v>
      </c>
      <c r="B640" s="2">
        <f t="shared" ca="1" si="9"/>
        <v>0.67703714593847097</v>
      </c>
      <c r="C640" s="2" t="s">
        <v>227</v>
      </c>
    </row>
    <row r="641" spans="1:3" x14ac:dyDescent="0.2">
      <c r="A641" s="2">
        <v>639</v>
      </c>
      <c r="B641" s="2">
        <f t="shared" ca="1" si="9"/>
        <v>0.67073031412733886</v>
      </c>
      <c r="C641" s="2" t="s">
        <v>226</v>
      </c>
    </row>
    <row r="642" spans="1:3" x14ac:dyDescent="0.2">
      <c r="A642" s="2">
        <v>640</v>
      </c>
      <c r="B642" s="2">
        <f t="shared" ca="1" si="9"/>
        <v>0.76895392314420075</v>
      </c>
      <c r="C642" s="2" t="s">
        <v>227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0.67531051500289951</v>
      </c>
      <c r="C643" s="2" t="s">
        <v>227</v>
      </c>
    </row>
    <row r="644" spans="1:3" x14ac:dyDescent="0.2">
      <c r="A644" s="2">
        <v>642</v>
      </c>
      <c r="B644" s="2">
        <f t="shared" ca="1" si="10"/>
        <v>0.60247216185703811</v>
      </c>
      <c r="C644" s="2" t="s">
        <v>226</v>
      </c>
    </row>
    <row r="645" spans="1:3" x14ac:dyDescent="0.2">
      <c r="A645" s="2">
        <v>643</v>
      </c>
      <c r="B645" s="2">
        <f t="shared" ca="1" si="10"/>
        <v>0.82260194280753041</v>
      </c>
      <c r="C645" s="2" t="s">
        <v>227</v>
      </c>
    </row>
    <row r="646" spans="1:3" x14ac:dyDescent="0.2">
      <c r="A646" s="2">
        <v>644</v>
      </c>
      <c r="B646" s="2">
        <f t="shared" ca="1" si="10"/>
        <v>0.92518051175087734</v>
      </c>
      <c r="C646" s="2" t="s">
        <v>226</v>
      </c>
    </row>
    <row r="647" spans="1:3" x14ac:dyDescent="0.2">
      <c r="A647" s="2">
        <v>645</v>
      </c>
      <c r="B647" s="2">
        <f t="shared" ca="1" si="10"/>
        <v>0.53843442645617468</v>
      </c>
      <c r="C647" s="2" t="s">
        <v>226</v>
      </c>
    </row>
    <row r="648" spans="1:3" x14ac:dyDescent="0.2">
      <c r="A648" s="2">
        <v>646</v>
      </c>
      <c r="B648" s="2">
        <f t="shared" ca="1" si="10"/>
        <v>0.69883427737021364</v>
      </c>
      <c r="C648" s="2" t="s">
        <v>226</v>
      </c>
    </row>
    <row r="649" spans="1:3" x14ac:dyDescent="0.2">
      <c r="A649" s="2">
        <v>647</v>
      </c>
      <c r="B649" s="2">
        <f t="shared" ca="1" si="10"/>
        <v>0.77999863225039157</v>
      </c>
      <c r="C649" s="2" t="s">
        <v>227</v>
      </c>
    </row>
    <row r="650" spans="1:3" x14ac:dyDescent="0.2">
      <c r="A650" s="2">
        <v>648</v>
      </c>
      <c r="B650" s="2">
        <f t="shared" ca="1" si="10"/>
        <v>0.77082853505452875</v>
      </c>
      <c r="C650" s="2" t="s">
        <v>227</v>
      </c>
    </row>
    <row r="651" spans="1:3" x14ac:dyDescent="0.2">
      <c r="A651" s="2">
        <v>649</v>
      </c>
      <c r="B651" s="2">
        <f t="shared" ca="1" si="10"/>
        <v>0.77778235117460237</v>
      </c>
      <c r="C651" s="2" t="s">
        <v>227</v>
      </c>
    </row>
    <row r="652" spans="1:3" x14ac:dyDescent="0.2">
      <c r="A652" s="2">
        <v>650</v>
      </c>
      <c r="B652" s="2">
        <f t="shared" ca="1" si="10"/>
        <v>0.80556874213416085</v>
      </c>
      <c r="C652" s="2" t="s">
        <v>227</v>
      </c>
    </row>
    <row r="653" spans="1:3" x14ac:dyDescent="0.2">
      <c r="A653" s="2">
        <v>651</v>
      </c>
      <c r="B653" s="2">
        <f t="shared" ca="1" si="10"/>
        <v>0.72994909380179696</v>
      </c>
      <c r="C653" s="2" t="s">
        <v>226</v>
      </c>
    </row>
    <row r="654" spans="1:3" x14ac:dyDescent="0.2">
      <c r="A654" s="2">
        <v>652</v>
      </c>
      <c r="B654" s="2">
        <f t="shared" ca="1" si="10"/>
        <v>0.40890350677501269</v>
      </c>
      <c r="C654" s="2" t="s">
        <v>226</v>
      </c>
    </row>
    <row r="655" spans="1:3" x14ac:dyDescent="0.2">
      <c r="A655" s="2">
        <v>653</v>
      </c>
      <c r="B655" s="2">
        <f t="shared" ca="1" si="10"/>
        <v>0.71309452447928168</v>
      </c>
      <c r="C655" s="2" t="s">
        <v>226</v>
      </c>
    </row>
    <row r="656" spans="1:3" x14ac:dyDescent="0.2">
      <c r="A656" s="2">
        <v>654</v>
      </c>
      <c r="B656" s="2">
        <f t="shared" ca="1" si="10"/>
        <v>0.50773140476146428</v>
      </c>
      <c r="C656" s="2" t="s">
        <v>226</v>
      </c>
    </row>
    <row r="657" spans="1:3" x14ac:dyDescent="0.2">
      <c r="A657" s="2">
        <v>655</v>
      </c>
      <c r="B657" s="2">
        <f t="shared" ca="1" si="10"/>
        <v>0.58179436858459477</v>
      </c>
      <c r="C657" s="2" t="s">
        <v>226</v>
      </c>
    </row>
    <row r="658" spans="1:3" x14ac:dyDescent="0.2">
      <c r="A658" s="2">
        <v>656</v>
      </c>
      <c r="B658" s="2">
        <f t="shared" ca="1" si="10"/>
        <v>0.67846658090001155</v>
      </c>
      <c r="C658" s="2" t="s">
        <v>226</v>
      </c>
    </row>
    <row r="659" spans="1:3" x14ac:dyDescent="0.2">
      <c r="A659" s="2">
        <v>657</v>
      </c>
      <c r="B659" s="2">
        <f t="shared" ca="1" si="10"/>
        <v>0.69449418907639682</v>
      </c>
      <c r="C659" s="2" t="s">
        <v>227</v>
      </c>
    </row>
    <row r="660" spans="1:3" x14ac:dyDescent="0.2">
      <c r="A660" s="2">
        <v>658</v>
      </c>
      <c r="B660" s="2">
        <f t="shared" ca="1" si="10"/>
        <v>0.29775773218653434</v>
      </c>
      <c r="C660" s="2" t="s">
        <v>226</v>
      </c>
    </row>
    <row r="661" spans="1:3" x14ac:dyDescent="0.2">
      <c r="A661" s="2">
        <v>659</v>
      </c>
      <c r="B661" s="2">
        <f t="shared" ca="1" si="10"/>
        <v>0.8478303299115022</v>
      </c>
      <c r="C661" s="2" t="s">
        <v>227</v>
      </c>
    </row>
    <row r="662" spans="1:3" x14ac:dyDescent="0.2">
      <c r="A662" s="2">
        <v>660</v>
      </c>
      <c r="B662" s="2">
        <f t="shared" ca="1" si="10"/>
        <v>0.67077699086436926</v>
      </c>
      <c r="C662" s="2" t="s">
        <v>226</v>
      </c>
    </row>
    <row r="663" spans="1:3" x14ac:dyDescent="0.2">
      <c r="A663" s="2">
        <v>661</v>
      </c>
      <c r="B663" s="2">
        <f t="shared" ca="1" si="10"/>
        <v>0.76087564218099601</v>
      </c>
      <c r="C663" s="2" t="s">
        <v>227</v>
      </c>
    </row>
    <row r="664" spans="1:3" x14ac:dyDescent="0.2">
      <c r="A664" s="2">
        <v>662</v>
      </c>
      <c r="B664" s="2">
        <f t="shared" ca="1" si="10"/>
        <v>0.70136164032118686</v>
      </c>
      <c r="C664" s="2" t="s">
        <v>226</v>
      </c>
    </row>
    <row r="665" spans="1:3" x14ac:dyDescent="0.2">
      <c r="A665" s="2">
        <v>663</v>
      </c>
      <c r="B665" s="2">
        <f t="shared" ca="1" si="10"/>
        <v>0.9144496046809083</v>
      </c>
      <c r="C665" s="2" t="s">
        <v>226</v>
      </c>
    </row>
    <row r="666" spans="1:3" x14ac:dyDescent="0.2">
      <c r="A666" s="2">
        <v>664</v>
      </c>
      <c r="B666" s="2">
        <f t="shared" ca="1" si="10"/>
        <v>0.84061390837965788</v>
      </c>
      <c r="C666" s="2" t="s">
        <v>227</v>
      </c>
    </row>
    <row r="667" spans="1:3" x14ac:dyDescent="0.2">
      <c r="A667" s="2">
        <v>665</v>
      </c>
      <c r="B667" s="2">
        <f t="shared" ca="1" si="10"/>
        <v>0.45813809924552029</v>
      </c>
      <c r="C667" s="2" t="s">
        <v>226</v>
      </c>
    </row>
    <row r="668" spans="1:3" x14ac:dyDescent="0.2">
      <c r="A668" s="2">
        <v>666</v>
      </c>
      <c r="B668" s="2">
        <f t="shared" ca="1" si="10"/>
        <v>0.6707717402832698</v>
      </c>
      <c r="C668" s="2" t="s">
        <v>226</v>
      </c>
    </row>
    <row r="669" spans="1:3" x14ac:dyDescent="0.2">
      <c r="A669" s="2">
        <v>667</v>
      </c>
      <c r="B669" s="2">
        <f t="shared" ca="1" si="10"/>
        <v>0.65445052188316899</v>
      </c>
      <c r="C669" s="2" t="s">
        <v>227</v>
      </c>
    </row>
    <row r="670" spans="1:3" x14ac:dyDescent="0.2">
      <c r="A670" s="2">
        <v>668</v>
      </c>
      <c r="B670" s="2">
        <f t="shared" ca="1" si="10"/>
        <v>0.32010785225063665</v>
      </c>
      <c r="C670" s="2" t="s">
        <v>226</v>
      </c>
    </row>
    <row r="671" spans="1:3" x14ac:dyDescent="0.2">
      <c r="A671" s="2">
        <v>669</v>
      </c>
      <c r="B671" s="2">
        <f t="shared" ca="1" si="10"/>
        <v>0.55282142826524505</v>
      </c>
      <c r="C671" s="2" t="s">
        <v>226</v>
      </c>
    </row>
    <row r="672" spans="1:3" x14ac:dyDescent="0.2">
      <c r="A672" s="2">
        <v>670</v>
      </c>
      <c r="B672" s="2">
        <f t="shared" ca="1" si="10"/>
        <v>0.62282213100177086</v>
      </c>
      <c r="C672" s="2" t="s">
        <v>226</v>
      </c>
    </row>
    <row r="673" spans="1:3" x14ac:dyDescent="0.2">
      <c r="A673" s="2">
        <v>671</v>
      </c>
      <c r="B673" s="2">
        <f t="shared" ca="1" si="10"/>
        <v>0.55527472030417835</v>
      </c>
      <c r="C673" s="2" t="s">
        <v>226</v>
      </c>
    </row>
    <row r="674" spans="1:3" x14ac:dyDescent="0.2">
      <c r="A674" s="2">
        <v>672</v>
      </c>
      <c r="B674" s="2">
        <f t="shared" ca="1" si="10"/>
        <v>0.28736435040700048</v>
      </c>
      <c r="C674" s="2" t="s">
        <v>226</v>
      </c>
    </row>
    <row r="675" spans="1:3" x14ac:dyDescent="0.2">
      <c r="A675" s="2">
        <v>673</v>
      </c>
      <c r="B675" s="2">
        <f t="shared" ca="1" si="10"/>
        <v>0.42591254028100811</v>
      </c>
      <c r="C675" s="2" t="s">
        <v>226</v>
      </c>
    </row>
    <row r="676" spans="1:3" x14ac:dyDescent="0.2">
      <c r="A676" s="2">
        <v>674</v>
      </c>
      <c r="B676" s="2">
        <f t="shared" ca="1" si="10"/>
        <v>0.58744019615117726</v>
      </c>
      <c r="C676" s="2" t="s">
        <v>227</v>
      </c>
    </row>
    <row r="677" spans="1:3" x14ac:dyDescent="0.2">
      <c r="A677" s="2">
        <v>675</v>
      </c>
      <c r="B677" s="2">
        <f t="shared" ca="1" si="10"/>
        <v>0.55406147831444497</v>
      </c>
      <c r="C677" s="2" t="s">
        <v>226</v>
      </c>
    </row>
    <row r="678" spans="1:3" x14ac:dyDescent="0.2">
      <c r="A678" s="2">
        <v>676</v>
      </c>
      <c r="B678" s="2">
        <f t="shared" ca="1" si="10"/>
        <v>0.81963089236767928</v>
      </c>
      <c r="C678" s="2" t="s">
        <v>227</v>
      </c>
    </row>
    <row r="679" spans="1:3" x14ac:dyDescent="0.2">
      <c r="A679" s="2">
        <v>677</v>
      </c>
      <c r="B679" s="2">
        <f t="shared" ca="1" si="10"/>
        <v>0.42826603423744486</v>
      </c>
      <c r="C679" s="2" t="s">
        <v>226</v>
      </c>
    </row>
    <row r="680" spans="1:3" x14ac:dyDescent="0.2">
      <c r="A680" s="2">
        <v>678</v>
      </c>
      <c r="B680" s="2">
        <f t="shared" ca="1" si="10"/>
        <v>0.80818281313015128</v>
      </c>
      <c r="C680" s="2" t="s">
        <v>227</v>
      </c>
    </row>
    <row r="681" spans="1:3" x14ac:dyDescent="0.2">
      <c r="A681" s="2">
        <v>679</v>
      </c>
      <c r="B681" s="2">
        <f t="shared" ca="1" si="10"/>
        <v>0.67974771812378121</v>
      </c>
      <c r="C681" s="2" t="s">
        <v>226</v>
      </c>
    </row>
    <row r="682" spans="1:3" x14ac:dyDescent="0.2">
      <c r="A682" s="2">
        <v>680</v>
      </c>
      <c r="B682" s="2">
        <f t="shared" ca="1" si="10"/>
        <v>0.49384290829128952</v>
      </c>
      <c r="C682" s="2" t="s">
        <v>226</v>
      </c>
    </row>
    <row r="683" spans="1:3" x14ac:dyDescent="0.2">
      <c r="A683" s="2">
        <v>681</v>
      </c>
      <c r="B683" s="2">
        <f t="shared" ca="1" si="10"/>
        <v>0.95981886870627753</v>
      </c>
      <c r="C683" s="2" t="s">
        <v>226</v>
      </c>
    </row>
    <row r="684" spans="1:3" x14ac:dyDescent="0.2">
      <c r="A684" s="2">
        <v>682</v>
      </c>
      <c r="B684" s="2">
        <f t="shared" ca="1" si="10"/>
        <v>0.48292159989660277</v>
      </c>
      <c r="C684" s="2" t="s">
        <v>226</v>
      </c>
    </row>
    <row r="685" spans="1:3" x14ac:dyDescent="0.2">
      <c r="A685" s="2">
        <v>683</v>
      </c>
      <c r="B685" s="2">
        <f t="shared" ca="1" si="10"/>
        <v>0.64864951691044936</v>
      </c>
      <c r="C685" s="2" t="s">
        <v>226</v>
      </c>
    </row>
    <row r="686" spans="1:3" x14ac:dyDescent="0.2">
      <c r="A686" s="2">
        <v>684</v>
      </c>
      <c r="B686" s="2">
        <f t="shared" ca="1" si="10"/>
        <v>0.92336258887851552</v>
      </c>
      <c r="C686" s="2" t="s">
        <v>226</v>
      </c>
    </row>
    <row r="687" spans="1:3" x14ac:dyDescent="0.2">
      <c r="A687" s="2">
        <v>685</v>
      </c>
      <c r="B687" s="2">
        <f t="shared" ca="1" si="10"/>
        <v>0.67472352828450477</v>
      </c>
      <c r="C687" s="2" t="s">
        <v>227</v>
      </c>
    </row>
    <row r="688" spans="1:3" x14ac:dyDescent="0.2">
      <c r="A688" s="2">
        <v>686</v>
      </c>
      <c r="B688" s="2">
        <f t="shared" ca="1" si="10"/>
        <v>0.56510516336813188</v>
      </c>
      <c r="C688" s="2" t="s">
        <v>226</v>
      </c>
    </row>
    <row r="689" spans="1:3" x14ac:dyDescent="0.2">
      <c r="A689" s="2">
        <v>687</v>
      </c>
      <c r="B689" s="2">
        <f t="shared" ca="1" si="10"/>
        <v>0.52803728172138242</v>
      </c>
      <c r="C689" s="2" t="s">
        <v>226</v>
      </c>
    </row>
    <row r="690" spans="1:3" x14ac:dyDescent="0.2">
      <c r="A690" s="2">
        <v>688</v>
      </c>
      <c r="B690" s="2">
        <f t="shared" ca="1" si="10"/>
        <v>0.40686660612271097</v>
      </c>
      <c r="C690" s="2" t="s">
        <v>226</v>
      </c>
    </row>
    <row r="691" spans="1:3" x14ac:dyDescent="0.2">
      <c r="A691" s="2">
        <v>689</v>
      </c>
      <c r="B691" s="2">
        <f t="shared" ca="1" si="10"/>
        <v>0.37473709290260637</v>
      </c>
      <c r="C691" s="2" t="s">
        <v>226</v>
      </c>
    </row>
    <row r="692" spans="1:3" x14ac:dyDescent="0.2">
      <c r="A692" s="2">
        <v>690</v>
      </c>
      <c r="B692" s="2">
        <f t="shared" ca="1" si="10"/>
        <v>0.8617002370452248</v>
      </c>
      <c r="C692" s="2" t="s">
        <v>227</v>
      </c>
    </row>
    <row r="693" spans="1:3" x14ac:dyDescent="0.2">
      <c r="A693" s="2">
        <v>691</v>
      </c>
      <c r="B693" s="2">
        <f t="shared" ca="1" si="10"/>
        <v>0.54349290301102426</v>
      </c>
      <c r="C693" s="2" t="s">
        <v>227</v>
      </c>
    </row>
    <row r="694" spans="1:3" x14ac:dyDescent="0.2">
      <c r="A694" s="2">
        <v>692</v>
      </c>
      <c r="B694" s="2">
        <f t="shared" ca="1" si="10"/>
        <v>0.73396731992096453</v>
      </c>
      <c r="C694" s="2" t="s">
        <v>227</v>
      </c>
    </row>
    <row r="695" spans="1:3" x14ac:dyDescent="0.2">
      <c r="A695" s="2">
        <v>693</v>
      </c>
      <c r="B695" s="2">
        <f t="shared" ca="1" si="10"/>
        <v>0.77222573009862994</v>
      </c>
      <c r="C695" s="2" t="s">
        <v>227</v>
      </c>
    </row>
    <row r="696" spans="1:3" x14ac:dyDescent="0.2">
      <c r="A696" s="2">
        <v>694</v>
      </c>
      <c r="B696" s="2">
        <f t="shared" ca="1" si="10"/>
        <v>0.65189305315815327</v>
      </c>
      <c r="C696" s="2" t="s">
        <v>226</v>
      </c>
    </row>
    <row r="697" spans="1:3" x14ac:dyDescent="0.2">
      <c r="A697" s="2">
        <v>695</v>
      </c>
      <c r="B697" s="2">
        <f t="shared" ca="1" si="10"/>
        <v>0.64930272564585234</v>
      </c>
      <c r="C697" s="2" t="s">
        <v>226</v>
      </c>
    </row>
    <row r="698" spans="1:3" x14ac:dyDescent="0.2">
      <c r="A698" s="2">
        <v>696</v>
      </c>
      <c r="B698" s="2">
        <f t="shared" ca="1" si="10"/>
        <v>0.79888077478322739</v>
      </c>
      <c r="C698" s="2" t="s">
        <v>226</v>
      </c>
    </row>
    <row r="699" spans="1:3" x14ac:dyDescent="0.2">
      <c r="A699" s="2">
        <v>697</v>
      </c>
      <c r="B699" s="2">
        <f t="shared" ca="1" si="10"/>
        <v>0.43316440752880481</v>
      </c>
      <c r="C699" s="2" t="s">
        <v>226</v>
      </c>
    </row>
    <row r="700" spans="1:3" x14ac:dyDescent="0.2">
      <c r="A700" s="2">
        <v>698</v>
      </c>
      <c r="B700" s="2">
        <f t="shared" ca="1" si="10"/>
        <v>0.69724877751876102</v>
      </c>
      <c r="C700" s="2" t="s">
        <v>227</v>
      </c>
    </row>
    <row r="701" spans="1:3" x14ac:dyDescent="0.2">
      <c r="A701" s="2">
        <v>699</v>
      </c>
      <c r="B701" s="2">
        <f t="shared" ca="1" si="10"/>
        <v>0.64785977409944573</v>
      </c>
      <c r="C701" s="2" t="s">
        <v>226</v>
      </c>
    </row>
    <row r="702" spans="1:3" x14ac:dyDescent="0.2">
      <c r="A702" s="2">
        <v>700</v>
      </c>
      <c r="B702" s="2">
        <f t="shared" ca="1" si="10"/>
        <v>0.57454008216399621</v>
      </c>
      <c r="C702" s="2" t="s">
        <v>226</v>
      </c>
    </row>
    <row r="703" spans="1:3" x14ac:dyDescent="0.2">
      <c r="A703" s="2">
        <v>701</v>
      </c>
      <c r="B703" s="2">
        <f t="shared" ca="1" si="10"/>
        <v>0.62922070261800567</v>
      </c>
      <c r="C703" s="2" t="s">
        <v>226</v>
      </c>
    </row>
    <row r="704" spans="1:3" x14ac:dyDescent="0.2">
      <c r="A704" s="2">
        <v>702</v>
      </c>
      <c r="B704" s="2">
        <f t="shared" ca="1" si="10"/>
        <v>0.72515728582048822</v>
      </c>
      <c r="C704" s="2" t="s">
        <v>226</v>
      </c>
    </row>
    <row r="705" spans="1:3" x14ac:dyDescent="0.2">
      <c r="A705" s="2">
        <v>703</v>
      </c>
      <c r="B705" s="2">
        <f t="shared" ca="1" si="10"/>
        <v>0.74278679214492094</v>
      </c>
      <c r="C705" s="2" t="s">
        <v>227</v>
      </c>
    </row>
    <row r="706" spans="1:3" x14ac:dyDescent="0.2">
      <c r="A706" s="2">
        <v>704</v>
      </c>
      <c r="B706" s="2">
        <f t="shared" ca="1" si="10"/>
        <v>0.82842613757996642</v>
      </c>
      <c r="C706" s="2" t="s">
        <v>227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0.71055427276251992</v>
      </c>
      <c r="C707" s="2" t="s">
        <v>226</v>
      </c>
    </row>
    <row r="708" spans="1:3" x14ac:dyDescent="0.2">
      <c r="A708" s="2">
        <v>706</v>
      </c>
      <c r="B708" s="2">
        <f t="shared" ca="1" si="11"/>
        <v>0.78568543345587472</v>
      </c>
      <c r="C708" s="2" t="s">
        <v>226</v>
      </c>
    </row>
    <row r="709" spans="1:3" x14ac:dyDescent="0.2">
      <c r="A709" s="2">
        <v>707</v>
      </c>
      <c r="B709" s="2">
        <f t="shared" ca="1" si="11"/>
        <v>0.61615555554601087</v>
      </c>
      <c r="C709" s="2" t="s">
        <v>226</v>
      </c>
    </row>
    <row r="710" spans="1:3" x14ac:dyDescent="0.2">
      <c r="A710" s="2">
        <v>708</v>
      </c>
      <c r="B710" s="2">
        <f t="shared" ca="1" si="11"/>
        <v>0.64144356253832258</v>
      </c>
      <c r="C710" s="2" t="s">
        <v>227</v>
      </c>
    </row>
    <row r="711" spans="1:3" x14ac:dyDescent="0.2">
      <c r="A711" s="2">
        <v>709</v>
      </c>
      <c r="B711" s="2">
        <f t="shared" ca="1" si="11"/>
        <v>0.85911561134874526</v>
      </c>
      <c r="C711" s="2" t="s">
        <v>227</v>
      </c>
    </row>
    <row r="712" spans="1:3" x14ac:dyDescent="0.2">
      <c r="A712" s="2">
        <v>710</v>
      </c>
      <c r="B712" s="2">
        <f t="shared" ca="1" si="11"/>
        <v>0.69117178671158441</v>
      </c>
      <c r="C712" s="2" t="s">
        <v>227</v>
      </c>
    </row>
    <row r="713" spans="1:3" x14ac:dyDescent="0.2">
      <c r="A713" s="2">
        <v>711</v>
      </c>
      <c r="B713" s="2">
        <f t="shared" ca="1" si="11"/>
        <v>0.47527370132002483</v>
      </c>
      <c r="C713" s="2" t="s">
        <v>226</v>
      </c>
    </row>
    <row r="714" spans="1:3" x14ac:dyDescent="0.2">
      <c r="A714" s="2">
        <v>712</v>
      </c>
      <c r="B714" s="2">
        <f t="shared" ca="1" si="11"/>
        <v>0.76892005205029967</v>
      </c>
      <c r="C714" s="2" t="s">
        <v>227</v>
      </c>
    </row>
    <row r="715" spans="1:3" x14ac:dyDescent="0.2">
      <c r="A715" s="2">
        <v>713</v>
      </c>
      <c r="B715" s="2">
        <f t="shared" ca="1" si="11"/>
        <v>0.25987938338934041</v>
      </c>
      <c r="C715" s="2" t="s">
        <v>226</v>
      </c>
    </row>
    <row r="716" spans="1:3" x14ac:dyDescent="0.2">
      <c r="A716" s="2">
        <v>714</v>
      </c>
      <c r="B716" s="2">
        <f t="shared" ca="1" si="11"/>
        <v>0.71523168481571731</v>
      </c>
      <c r="C716" s="2" t="s">
        <v>226</v>
      </c>
    </row>
    <row r="717" spans="1:3" x14ac:dyDescent="0.2">
      <c r="A717" s="2">
        <v>715</v>
      </c>
      <c r="B717" s="2">
        <f t="shared" ca="1" si="11"/>
        <v>0.60217031045594527</v>
      </c>
      <c r="C717" s="2" t="s">
        <v>226</v>
      </c>
    </row>
    <row r="718" spans="1:3" x14ac:dyDescent="0.2">
      <c r="A718" s="2">
        <v>716</v>
      </c>
      <c r="B718" s="2">
        <f t="shared" ca="1" si="11"/>
        <v>0.54765986564597591</v>
      </c>
      <c r="C718" s="2" t="s">
        <v>227</v>
      </c>
    </row>
    <row r="719" spans="1:3" x14ac:dyDescent="0.2">
      <c r="A719" s="2">
        <v>717</v>
      </c>
      <c r="B719" s="2">
        <f t="shared" ca="1" si="11"/>
        <v>0.62580392912263838</v>
      </c>
      <c r="C719" s="2" t="s">
        <v>226</v>
      </c>
    </row>
    <row r="720" spans="1:3" x14ac:dyDescent="0.2">
      <c r="A720" s="2">
        <v>718</v>
      </c>
      <c r="B720" s="2">
        <f t="shared" ca="1" si="11"/>
        <v>0.4088386600029203</v>
      </c>
      <c r="C720" s="2" t="s">
        <v>226</v>
      </c>
    </row>
    <row r="721" spans="1:3" x14ac:dyDescent="0.2">
      <c r="A721" s="2">
        <v>719</v>
      </c>
      <c r="B721" s="2">
        <f t="shared" ca="1" si="11"/>
        <v>0.71434785576637416</v>
      </c>
      <c r="C721" s="2" t="s">
        <v>226</v>
      </c>
    </row>
    <row r="722" spans="1:3" x14ac:dyDescent="0.2">
      <c r="A722" s="2">
        <v>720</v>
      </c>
      <c r="B722" s="2">
        <f t="shared" ca="1" si="11"/>
        <v>0.94746082143145172</v>
      </c>
      <c r="C722" s="2" t="s">
        <v>226</v>
      </c>
    </row>
    <row r="723" spans="1:3" x14ac:dyDescent="0.2">
      <c r="A723" s="2">
        <v>721</v>
      </c>
      <c r="B723" s="2">
        <f t="shared" ca="1" si="11"/>
        <v>0.73707944749152576</v>
      </c>
      <c r="C723" s="2" t="s">
        <v>227</v>
      </c>
    </row>
    <row r="724" spans="1:3" x14ac:dyDescent="0.2">
      <c r="A724" s="2">
        <v>722</v>
      </c>
      <c r="B724" s="2">
        <f t="shared" ca="1" si="11"/>
        <v>0.56389334232615307</v>
      </c>
      <c r="C724" s="2" t="s">
        <v>226</v>
      </c>
    </row>
    <row r="725" spans="1:3" x14ac:dyDescent="0.2">
      <c r="A725" s="2">
        <v>723</v>
      </c>
      <c r="B725" s="2">
        <f t="shared" ca="1" si="11"/>
        <v>0.62736508471833152</v>
      </c>
      <c r="C725" s="2" t="s">
        <v>227</v>
      </c>
    </row>
    <row r="726" spans="1:3" x14ac:dyDescent="0.2">
      <c r="A726" s="2">
        <v>724</v>
      </c>
      <c r="B726" s="2">
        <f t="shared" ca="1" si="11"/>
        <v>0.76310927324039923</v>
      </c>
      <c r="C726" s="2" t="s">
        <v>227</v>
      </c>
    </row>
    <row r="727" spans="1:3" x14ac:dyDescent="0.2">
      <c r="A727" s="2">
        <v>725</v>
      </c>
      <c r="B727" s="2">
        <f t="shared" ca="1" si="11"/>
        <v>0.7654977902093989</v>
      </c>
      <c r="C727" s="2" t="s">
        <v>226</v>
      </c>
    </row>
    <row r="728" spans="1:3" x14ac:dyDescent="0.2">
      <c r="A728" s="2">
        <v>726</v>
      </c>
      <c r="B728" s="2">
        <f t="shared" ca="1" si="11"/>
        <v>0.62550731772597801</v>
      </c>
      <c r="C728" s="2" t="s">
        <v>226</v>
      </c>
    </row>
    <row r="729" spans="1:3" x14ac:dyDescent="0.2">
      <c r="A729" s="2">
        <v>727</v>
      </c>
      <c r="B729" s="2">
        <f t="shared" ca="1" si="11"/>
        <v>0.71218244037121992</v>
      </c>
      <c r="C729" s="2" t="s">
        <v>227</v>
      </c>
    </row>
    <row r="730" spans="1:3" x14ac:dyDescent="0.2">
      <c r="A730" s="2">
        <v>728</v>
      </c>
      <c r="B730" s="2">
        <f t="shared" ca="1" si="11"/>
        <v>1.0521092778902186</v>
      </c>
      <c r="C730" s="2" t="s">
        <v>226</v>
      </c>
    </row>
    <row r="731" spans="1:3" x14ac:dyDescent="0.2">
      <c r="A731" s="2">
        <v>729</v>
      </c>
      <c r="B731" s="2">
        <f t="shared" ca="1" si="11"/>
        <v>0.77175551472738357</v>
      </c>
      <c r="C731" s="2" t="s">
        <v>227</v>
      </c>
    </row>
    <row r="732" spans="1:3" x14ac:dyDescent="0.2">
      <c r="A732" s="2">
        <v>730</v>
      </c>
      <c r="B732" s="2">
        <f t="shared" ca="1" si="11"/>
        <v>0.6357035039024066</v>
      </c>
      <c r="C732" s="2" t="s">
        <v>227</v>
      </c>
    </row>
    <row r="733" spans="1:3" x14ac:dyDescent="0.2">
      <c r="A733" s="2">
        <v>731</v>
      </c>
      <c r="B733" s="2">
        <f t="shared" ca="1" si="11"/>
        <v>0.76747392950700932</v>
      </c>
      <c r="C733" s="2" t="s">
        <v>227</v>
      </c>
    </row>
    <row r="734" spans="1:3" x14ac:dyDescent="0.2">
      <c r="A734" s="2">
        <v>732</v>
      </c>
      <c r="B734" s="2">
        <f t="shared" ca="1" si="11"/>
        <v>0.59451524428385882</v>
      </c>
      <c r="C734" s="2" t="s">
        <v>226</v>
      </c>
    </row>
    <row r="735" spans="1:3" x14ac:dyDescent="0.2">
      <c r="A735" s="2">
        <v>733</v>
      </c>
      <c r="B735" s="2">
        <f t="shared" ca="1" si="11"/>
        <v>0.68161143924591949</v>
      </c>
      <c r="C735" s="2" t="s">
        <v>226</v>
      </c>
    </row>
    <row r="736" spans="1:3" x14ac:dyDescent="0.2">
      <c r="A736" s="2">
        <v>734</v>
      </c>
      <c r="B736" s="2">
        <f t="shared" ca="1" si="11"/>
        <v>0.60345218647304544</v>
      </c>
      <c r="C736" s="2" t="s">
        <v>226</v>
      </c>
    </row>
    <row r="737" spans="1:3" x14ac:dyDescent="0.2">
      <c r="A737" s="2">
        <v>735</v>
      </c>
      <c r="B737" s="2">
        <f t="shared" ca="1" si="11"/>
        <v>0.47363260826237419</v>
      </c>
      <c r="C737" s="2" t="s">
        <v>227</v>
      </c>
    </row>
    <row r="738" spans="1:3" x14ac:dyDescent="0.2">
      <c r="A738" s="2">
        <v>736</v>
      </c>
      <c r="B738" s="2">
        <f t="shared" ca="1" si="11"/>
        <v>0.66460096752983033</v>
      </c>
      <c r="C738" s="2" t="s">
        <v>227</v>
      </c>
    </row>
    <row r="739" spans="1:3" x14ac:dyDescent="0.2">
      <c r="A739" s="2">
        <v>737</v>
      </c>
      <c r="B739" s="2">
        <f t="shared" ca="1" si="11"/>
        <v>0.54129105615867712</v>
      </c>
      <c r="C739" s="2" t="s">
        <v>226</v>
      </c>
    </row>
    <row r="740" spans="1:3" x14ac:dyDescent="0.2">
      <c r="A740" s="2">
        <v>738</v>
      </c>
      <c r="B740" s="2">
        <f t="shared" ca="1" si="11"/>
        <v>0.52746700106952316</v>
      </c>
      <c r="C740" s="2" t="s">
        <v>226</v>
      </c>
    </row>
    <row r="741" spans="1:3" x14ac:dyDescent="0.2">
      <c r="A741" s="2">
        <v>739</v>
      </c>
      <c r="B741" s="2">
        <f t="shared" ca="1" si="11"/>
        <v>0.82568667251033201</v>
      </c>
      <c r="C741" s="2" t="s">
        <v>227</v>
      </c>
    </row>
    <row r="742" spans="1:3" x14ac:dyDescent="0.2">
      <c r="A742" s="2">
        <v>740</v>
      </c>
      <c r="B742" s="2">
        <f t="shared" ca="1" si="11"/>
        <v>0.46371551563233804</v>
      </c>
      <c r="C742" s="2" t="s">
        <v>226</v>
      </c>
    </row>
    <row r="743" spans="1:3" x14ac:dyDescent="0.2">
      <c r="A743" s="2">
        <v>741</v>
      </c>
      <c r="B743" s="2">
        <f t="shared" ca="1" si="11"/>
        <v>0.59862481858432726</v>
      </c>
      <c r="C743" s="2" t="s">
        <v>226</v>
      </c>
    </row>
    <row r="744" spans="1:3" x14ac:dyDescent="0.2">
      <c r="A744" s="2">
        <v>742</v>
      </c>
      <c r="B744" s="2">
        <f t="shared" ca="1" si="11"/>
        <v>0.66958113818465659</v>
      </c>
      <c r="C744" s="2" t="s">
        <v>226</v>
      </c>
    </row>
    <row r="745" spans="1:3" x14ac:dyDescent="0.2">
      <c r="A745" s="2">
        <v>743</v>
      </c>
      <c r="B745" s="2">
        <f t="shared" ca="1" si="11"/>
        <v>0.73082042499787725</v>
      </c>
      <c r="C745" s="2" t="s">
        <v>226</v>
      </c>
    </row>
    <row r="746" spans="1:3" x14ac:dyDescent="0.2">
      <c r="A746" s="2">
        <v>744</v>
      </c>
      <c r="B746" s="2">
        <f t="shared" ca="1" si="11"/>
        <v>0.51828680121285942</v>
      </c>
      <c r="C746" s="2" t="s">
        <v>226</v>
      </c>
    </row>
    <row r="747" spans="1:3" x14ac:dyDescent="0.2">
      <c r="A747" s="2">
        <v>745</v>
      </c>
      <c r="B747" s="2">
        <f t="shared" ca="1" si="11"/>
        <v>0.68556181244204961</v>
      </c>
      <c r="C747" s="2" t="s">
        <v>226</v>
      </c>
    </row>
    <row r="748" spans="1:3" x14ac:dyDescent="0.2">
      <c r="A748" s="2">
        <v>746</v>
      </c>
      <c r="B748" s="2">
        <f t="shared" ca="1" si="11"/>
        <v>0.63522829203657949</v>
      </c>
      <c r="C748" s="2" t="s">
        <v>227</v>
      </c>
    </row>
    <row r="749" spans="1:3" x14ac:dyDescent="0.2">
      <c r="A749" s="2">
        <v>747</v>
      </c>
      <c r="B749" s="2">
        <f t="shared" ca="1" si="11"/>
        <v>0.52904066091972035</v>
      </c>
      <c r="C749" s="2" t="s">
        <v>227</v>
      </c>
    </row>
    <row r="750" spans="1:3" x14ac:dyDescent="0.2">
      <c r="A750" s="2">
        <v>748</v>
      </c>
      <c r="B750" s="2">
        <f t="shared" ca="1" si="11"/>
        <v>0.67753796830215562</v>
      </c>
      <c r="C750" s="2" t="s">
        <v>226</v>
      </c>
    </row>
    <row r="751" spans="1:3" x14ac:dyDescent="0.2">
      <c r="A751" s="2">
        <v>749</v>
      </c>
      <c r="B751" s="2">
        <f t="shared" ca="1" si="11"/>
        <v>0.67254069553219142</v>
      </c>
      <c r="C751" s="2" t="s">
        <v>227</v>
      </c>
    </row>
    <row r="752" spans="1:3" x14ac:dyDescent="0.2">
      <c r="A752" s="2">
        <v>750</v>
      </c>
      <c r="B752" s="2">
        <f t="shared" ca="1" si="11"/>
        <v>0.6548939736470375</v>
      </c>
      <c r="C752" s="2" t="s">
        <v>226</v>
      </c>
    </row>
    <row r="753" spans="1:3" x14ac:dyDescent="0.2">
      <c r="A753" s="2">
        <v>751</v>
      </c>
      <c r="B753" s="2">
        <f t="shared" ca="1" si="11"/>
        <v>0.68604803436549744</v>
      </c>
      <c r="C753" s="2" t="s">
        <v>227</v>
      </c>
    </row>
    <row r="754" spans="1:3" x14ac:dyDescent="0.2">
      <c r="A754" s="2">
        <v>752</v>
      </c>
      <c r="B754" s="2">
        <f t="shared" ca="1" si="11"/>
        <v>0.67716787904957454</v>
      </c>
      <c r="C754" s="2" t="s">
        <v>227</v>
      </c>
    </row>
    <row r="755" spans="1:3" x14ac:dyDescent="0.2">
      <c r="A755" s="2">
        <v>753</v>
      </c>
      <c r="B755" s="2">
        <f t="shared" ca="1" si="11"/>
        <v>0.64065762931576697</v>
      </c>
      <c r="C755" s="2" t="s">
        <v>227</v>
      </c>
    </row>
    <row r="756" spans="1:3" x14ac:dyDescent="0.2">
      <c r="A756" s="2">
        <v>754</v>
      </c>
      <c r="B756" s="2">
        <f t="shared" ca="1" si="11"/>
        <v>0.85216158088180094</v>
      </c>
      <c r="C756" s="2" t="s">
        <v>227</v>
      </c>
    </row>
    <row r="757" spans="1:3" x14ac:dyDescent="0.2">
      <c r="A757" s="2">
        <v>755</v>
      </c>
      <c r="B757" s="2">
        <f t="shared" ca="1" si="11"/>
        <v>0.53883461202554916</v>
      </c>
      <c r="C757" s="2" t="s">
        <v>226</v>
      </c>
    </row>
    <row r="758" spans="1:3" x14ac:dyDescent="0.2">
      <c r="A758" s="2">
        <v>756</v>
      </c>
      <c r="B758" s="2">
        <f t="shared" ca="1" si="11"/>
        <v>0.69695235220805274</v>
      </c>
      <c r="C758" s="2" t="s">
        <v>227</v>
      </c>
    </row>
    <row r="759" spans="1:3" x14ac:dyDescent="0.2">
      <c r="A759" s="2">
        <v>757</v>
      </c>
      <c r="B759" s="2">
        <f t="shared" ca="1" si="11"/>
        <v>0.7622833407521088</v>
      </c>
      <c r="C759" s="2" t="s">
        <v>227</v>
      </c>
    </row>
    <row r="760" spans="1:3" x14ac:dyDescent="0.2">
      <c r="A760" s="2">
        <v>758</v>
      </c>
      <c r="B760" s="2">
        <f t="shared" ca="1" si="11"/>
        <v>0.76791677748023601</v>
      </c>
      <c r="C760" s="2" t="s">
        <v>227</v>
      </c>
    </row>
    <row r="761" spans="1:3" x14ac:dyDescent="0.2">
      <c r="A761" s="2">
        <v>759</v>
      </c>
      <c r="B761" s="2">
        <f t="shared" ca="1" si="11"/>
        <v>0.34705119854510852</v>
      </c>
      <c r="C761" s="2" t="s">
        <v>226</v>
      </c>
    </row>
    <row r="762" spans="1:3" x14ac:dyDescent="0.2">
      <c r="A762" s="2">
        <v>760</v>
      </c>
      <c r="B762" s="2">
        <f t="shared" ca="1" si="11"/>
        <v>0.76024069189504295</v>
      </c>
      <c r="C762" s="2" t="s">
        <v>227</v>
      </c>
    </row>
    <row r="763" spans="1:3" x14ac:dyDescent="0.2">
      <c r="A763" s="2">
        <v>761</v>
      </c>
      <c r="B763" s="2">
        <f t="shared" ca="1" si="11"/>
        <v>0.66585274278088091</v>
      </c>
      <c r="C763" s="2" t="s">
        <v>226</v>
      </c>
    </row>
    <row r="764" spans="1:3" x14ac:dyDescent="0.2">
      <c r="A764" s="2">
        <v>762</v>
      </c>
      <c r="B764" s="2">
        <f t="shared" ca="1" si="11"/>
        <v>0.36024406089174782</v>
      </c>
      <c r="C764" s="2" t="s">
        <v>226</v>
      </c>
    </row>
    <row r="765" spans="1:3" x14ac:dyDescent="0.2">
      <c r="A765" s="2">
        <v>763</v>
      </c>
      <c r="B765" s="2">
        <f t="shared" ca="1" si="11"/>
        <v>0.44585826531987793</v>
      </c>
      <c r="C765" s="2" t="s">
        <v>226</v>
      </c>
    </row>
    <row r="766" spans="1:3" x14ac:dyDescent="0.2">
      <c r="A766" s="2">
        <v>764</v>
      </c>
      <c r="B766" s="2">
        <f t="shared" ca="1" si="11"/>
        <v>0.56761169750524088</v>
      </c>
      <c r="C766" s="2" t="s">
        <v>226</v>
      </c>
    </row>
    <row r="767" spans="1:3" x14ac:dyDescent="0.2">
      <c r="A767" s="2">
        <v>765</v>
      </c>
      <c r="B767" s="2">
        <f t="shared" ca="1" si="11"/>
        <v>0.75252314770620032</v>
      </c>
      <c r="C767" s="2" t="s">
        <v>226</v>
      </c>
    </row>
    <row r="768" spans="1:3" x14ac:dyDescent="0.2">
      <c r="A768" s="2">
        <v>766</v>
      </c>
      <c r="B768" s="2">
        <f t="shared" ca="1" si="11"/>
        <v>0.51789502355322914</v>
      </c>
      <c r="C768" s="2" t="s">
        <v>226</v>
      </c>
    </row>
    <row r="769" spans="1:3" x14ac:dyDescent="0.2">
      <c r="A769" s="2">
        <v>767</v>
      </c>
      <c r="B769" s="2">
        <f t="shared" ca="1" si="11"/>
        <v>0.8109320650294376</v>
      </c>
      <c r="C769" s="2" t="s">
        <v>227</v>
      </c>
    </row>
    <row r="770" spans="1:3" x14ac:dyDescent="0.2">
      <c r="A770" s="2">
        <v>768</v>
      </c>
      <c r="B770" s="2">
        <f t="shared" ca="1" si="11"/>
        <v>0.61233726166644342</v>
      </c>
      <c r="C770" s="2" t="s">
        <v>227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0.52274758241944763</v>
      </c>
      <c r="C771" s="2" t="s">
        <v>226</v>
      </c>
    </row>
    <row r="772" spans="1:3" x14ac:dyDescent="0.2">
      <c r="A772" s="2">
        <v>770</v>
      </c>
      <c r="B772" s="2">
        <f t="shared" ca="1" si="12"/>
        <v>0.67326897105322636</v>
      </c>
      <c r="C772" s="2" t="s">
        <v>227</v>
      </c>
    </row>
    <row r="773" spans="1:3" x14ac:dyDescent="0.2">
      <c r="A773" s="2">
        <v>771</v>
      </c>
      <c r="B773" s="2">
        <f t="shared" ca="1" si="12"/>
        <v>0.64145714282151012</v>
      </c>
      <c r="C773" s="2" t="s">
        <v>226</v>
      </c>
    </row>
    <row r="774" spans="1:3" x14ac:dyDescent="0.2">
      <c r="A774" s="2">
        <v>772</v>
      </c>
      <c r="B774" s="2">
        <f t="shared" ca="1" si="12"/>
        <v>0.62347957508478224</v>
      </c>
      <c r="C774" s="2" t="s">
        <v>226</v>
      </c>
    </row>
    <row r="775" spans="1:3" x14ac:dyDescent="0.2">
      <c r="A775" s="2">
        <v>773</v>
      </c>
      <c r="B775" s="2">
        <f t="shared" ca="1" si="12"/>
        <v>0.38440957748024779</v>
      </c>
      <c r="C775" s="2" t="s">
        <v>226</v>
      </c>
    </row>
    <row r="776" spans="1:3" x14ac:dyDescent="0.2">
      <c r="A776" s="2">
        <v>774</v>
      </c>
      <c r="B776" s="2">
        <f t="shared" ca="1" si="12"/>
        <v>0.48884974164506328</v>
      </c>
      <c r="C776" s="2" t="s">
        <v>226</v>
      </c>
    </row>
    <row r="777" spans="1:3" x14ac:dyDescent="0.2">
      <c r="A777" s="2">
        <v>775</v>
      </c>
      <c r="B777" s="2">
        <f t="shared" ca="1" si="12"/>
        <v>0.61158299272004413</v>
      </c>
      <c r="C777" s="2" t="s">
        <v>227</v>
      </c>
    </row>
    <row r="778" spans="1:3" x14ac:dyDescent="0.2">
      <c r="A778" s="2">
        <v>776</v>
      </c>
      <c r="B778" s="2">
        <f t="shared" ca="1" si="12"/>
        <v>0.5783938981896094</v>
      </c>
      <c r="C778" s="2" t="s">
        <v>226</v>
      </c>
    </row>
    <row r="779" spans="1:3" x14ac:dyDescent="0.2">
      <c r="A779" s="2">
        <v>777</v>
      </c>
      <c r="B779" s="2">
        <f t="shared" ca="1" si="12"/>
        <v>0.84736591258107585</v>
      </c>
      <c r="C779" s="2" t="s">
        <v>227</v>
      </c>
    </row>
    <row r="780" spans="1:3" x14ac:dyDescent="0.2">
      <c r="A780" s="2">
        <v>778</v>
      </c>
      <c r="B780" s="2">
        <f t="shared" ca="1" si="12"/>
        <v>0.78050394314490701</v>
      </c>
      <c r="C780" s="2" t="s">
        <v>227</v>
      </c>
    </row>
    <row r="781" spans="1:3" x14ac:dyDescent="0.2">
      <c r="A781" s="2">
        <v>779</v>
      </c>
      <c r="B781" s="2">
        <f t="shared" ca="1" si="12"/>
        <v>0.86438315854910597</v>
      </c>
      <c r="C781" s="2" t="s">
        <v>227</v>
      </c>
    </row>
    <row r="782" spans="1:3" x14ac:dyDescent="0.2">
      <c r="A782" s="2">
        <v>780</v>
      </c>
      <c r="B782" s="2">
        <f t="shared" ca="1" si="12"/>
        <v>0.8084969408587962</v>
      </c>
      <c r="C782" s="2" t="s">
        <v>227</v>
      </c>
    </row>
    <row r="783" spans="1:3" x14ac:dyDescent="0.2">
      <c r="A783" s="2">
        <v>781</v>
      </c>
      <c r="B783" s="2">
        <f t="shared" ca="1" si="12"/>
        <v>0.59487470902270045</v>
      </c>
      <c r="C783" s="2" t="s">
        <v>227</v>
      </c>
    </row>
    <row r="784" spans="1:3" x14ac:dyDescent="0.2">
      <c r="A784" s="2">
        <v>782</v>
      </c>
      <c r="B784" s="2">
        <f t="shared" ca="1" si="12"/>
        <v>0.74555014969818068</v>
      </c>
      <c r="C784" s="2" t="s">
        <v>227</v>
      </c>
    </row>
    <row r="785" spans="1:3" x14ac:dyDescent="0.2">
      <c r="A785" s="2">
        <v>783</v>
      </c>
      <c r="B785" s="2">
        <f t="shared" ca="1" si="12"/>
        <v>0.66946701627485072</v>
      </c>
      <c r="C785" s="2" t="s">
        <v>227</v>
      </c>
    </row>
    <row r="786" spans="1:3" x14ac:dyDescent="0.2">
      <c r="A786" s="2">
        <v>784</v>
      </c>
      <c r="B786" s="2">
        <f t="shared" ca="1" si="12"/>
        <v>0.37267383656534803</v>
      </c>
      <c r="C786" s="2" t="s">
        <v>226</v>
      </c>
    </row>
    <row r="787" spans="1:3" x14ac:dyDescent="0.2">
      <c r="A787" s="2">
        <v>785</v>
      </c>
      <c r="B787" s="2">
        <f t="shared" ca="1" si="12"/>
        <v>0.58154552300073048</v>
      </c>
      <c r="C787" s="2" t="s">
        <v>226</v>
      </c>
    </row>
    <row r="788" spans="1:3" x14ac:dyDescent="0.2">
      <c r="A788" s="2">
        <v>786</v>
      </c>
      <c r="B788" s="2">
        <f t="shared" ca="1" si="12"/>
        <v>0.51655607409213067</v>
      </c>
      <c r="C788" s="2" t="s">
        <v>226</v>
      </c>
    </row>
    <row r="789" spans="1:3" x14ac:dyDescent="0.2">
      <c r="A789" s="2">
        <v>787</v>
      </c>
      <c r="B789" s="2">
        <f t="shared" ca="1" si="12"/>
        <v>0.72629988594540529</v>
      </c>
      <c r="C789" s="2" t="s">
        <v>227</v>
      </c>
    </row>
    <row r="790" spans="1:3" x14ac:dyDescent="0.2">
      <c r="A790" s="2">
        <v>788</v>
      </c>
      <c r="B790" s="2">
        <f t="shared" ca="1" si="12"/>
        <v>0.60285481911363081</v>
      </c>
      <c r="C790" s="2" t="s">
        <v>226</v>
      </c>
    </row>
    <row r="791" spans="1:3" x14ac:dyDescent="0.2">
      <c r="A791" s="2">
        <v>789</v>
      </c>
      <c r="B791" s="2">
        <f t="shared" ca="1" si="12"/>
        <v>0.77684941263971652</v>
      </c>
      <c r="C791" s="2" t="s">
        <v>227</v>
      </c>
    </row>
    <row r="792" spans="1:3" x14ac:dyDescent="0.2">
      <c r="A792" s="2">
        <v>790</v>
      </c>
      <c r="B792" s="2">
        <f t="shared" ca="1" si="12"/>
        <v>0.70562814601369983</v>
      </c>
      <c r="C792" s="2" t="s">
        <v>227</v>
      </c>
    </row>
    <row r="793" spans="1:3" x14ac:dyDescent="0.2">
      <c r="A793" s="2">
        <v>791</v>
      </c>
      <c r="B793" s="2">
        <f t="shared" ca="1" si="12"/>
        <v>0.32566618777749529</v>
      </c>
      <c r="C793" s="2" t="s">
        <v>226</v>
      </c>
    </row>
    <row r="794" spans="1:3" x14ac:dyDescent="0.2">
      <c r="A794" s="2">
        <v>792</v>
      </c>
      <c r="B794" s="2">
        <f t="shared" ca="1" si="12"/>
        <v>0.35109945220294303</v>
      </c>
      <c r="C794" s="2" t="s">
        <v>226</v>
      </c>
    </row>
    <row r="795" spans="1:3" x14ac:dyDescent="0.2">
      <c r="A795" s="2">
        <v>793</v>
      </c>
      <c r="B795" s="2">
        <f t="shared" ca="1" si="12"/>
        <v>0.849860384165111</v>
      </c>
      <c r="C795" s="2" t="s">
        <v>227</v>
      </c>
    </row>
    <row r="796" spans="1:3" x14ac:dyDescent="0.2">
      <c r="A796" s="2">
        <v>794</v>
      </c>
      <c r="B796" s="2">
        <f t="shared" ca="1" si="12"/>
        <v>0.69984963787419308</v>
      </c>
      <c r="C796" s="2" t="s">
        <v>226</v>
      </c>
    </row>
    <row r="797" spans="1:3" x14ac:dyDescent="0.2">
      <c r="A797" s="2">
        <v>795</v>
      </c>
      <c r="B797" s="2">
        <f t="shared" ca="1" si="12"/>
        <v>0.23960632497705486</v>
      </c>
      <c r="C797" s="2" t="s">
        <v>226</v>
      </c>
    </row>
    <row r="798" spans="1:3" x14ac:dyDescent="0.2">
      <c r="A798" s="2">
        <v>796</v>
      </c>
      <c r="B798" s="2">
        <f t="shared" ca="1" si="12"/>
        <v>0.72866756681009204</v>
      </c>
      <c r="C798" s="2" t="s">
        <v>226</v>
      </c>
    </row>
    <row r="799" spans="1:3" x14ac:dyDescent="0.2">
      <c r="A799" s="2">
        <v>797</v>
      </c>
      <c r="B799" s="2">
        <f t="shared" ca="1" si="12"/>
        <v>0.65006173799281874</v>
      </c>
      <c r="C799" s="2" t="s">
        <v>226</v>
      </c>
    </row>
    <row r="800" spans="1:3" x14ac:dyDescent="0.2">
      <c r="A800" s="2">
        <v>798</v>
      </c>
      <c r="B800" s="2">
        <f t="shared" ca="1" si="12"/>
        <v>0.67550974002811781</v>
      </c>
      <c r="C800" s="2" t="s">
        <v>227</v>
      </c>
    </row>
    <row r="801" spans="1:3" x14ac:dyDescent="0.2">
      <c r="A801" s="2">
        <v>799</v>
      </c>
      <c r="B801" s="2">
        <f t="shared" ca="1" si="12"/>
        <v>0.49389071030836884</v>
      </c>
      <c r="C801" s="2" t="s">
        <v>226</v>
      </c>
    </row>
    <row r="802" spans="1:3" x14ac:dyDescent="0.2">
      <c r="A802" s="2">
        <v>800</v>
      </c>
      <c r="B802" s="2">
        <f t="shared" ca="1" si="12"/>
        <v>0.31182179872734478</v>
      </c>
      <c r="C802" s="2" t="s">
        <v>226</v>
      </c>
    </row>
    <row r="803" spans="1:3" x14ac:dyDescent="0.2">
      <c r="A803" s="2">
        <v>801</v>
      </c>
      <c r="B803" s="2">
        <f t="shared" ca="1" si="12"/>
        <v>0.70473354008772826</v>
      </c>
      <c r="C803" s="2" t="s">
        <v>226</v>
      </c>
    </row>
    <row r="804" spans="1:3" x14ac:dyDescent="0.2">
      <c r="A804" s="2">
        <v>802</v>
      </c>
      <c r="B804" s="2">
        <f t="shared" ca="1" si="12"/>
        <v>0.37078345752988395</v>
      </c>
      <c r="C804" s="2" t="s">
        <v>226</v>
      </c>
    </row>
    <row r="805" spans="1:3" x14ac:dyDescent="0.2">
      <c r="A805" s="2">
        <v>803</v>
      </c>
      <c r="B805" s="2">
        <f t="shared" ca="1" si="12"/>
        <v>0.82965478056224351</v>
      </c>
      <c r="C805" s="2" t="s">
        <v>227</v>
      </c>
    </row>
    <row r="806" spans="1:3" x14ac:dyDescent="0.2">
      <c r="A806" s="2">
        <v>804</v>
      </c>
      <c r="B806" s="2">
        <f t="shared" ca="1" si="12"/>
        <v>0.31866710738688475</v>
      </c>
      <c r="C806" s="2" t="s">
        <v>226</v>
      </c>
    </row>
    <row r="807" spans="1:3" x14ac:dyDescent="0.2">
      <c r="A807" s="2">
        <v>805</v>
      </c>
      <c r="B807" s="2">
        <f t="shared" ca="1" si="12"/>
        <v>0.67982242851056718</v>
      </c>
      <c r="C807" s="2" t="s">
        <v>227</v>
      </c>
    </row>
    <row r="808" spans="1:3" x14ac:dyDescent="0.2">
      <c r="A808" s="2">
        <v>806</v>
      </c>
      <c r="B808" s="2">
        <f t="shared" ca="1" si="12"/>
        <v>0.71151310341328722</v>
      </c>
      <c r="C808" s="2" t="s">
        <v>226</v>
      </c>
    </row>
    <row r="809" spans="1:3" x14ac:dyDescent="0.2">
      <c r="A809" s="2">
        <v>807</v>
      </c>
      <c r="B809" s="2">
        <f t="shared" ca="1" si="12"/>
        <v>0.93301070184999446</v>
      </c>
      <c r="C809" s="2" t="s">
        <v>227</v>
      </c>
    </row>
    <row r="810" spans="1:3" x14ac:dyDescent="0.2">
      <c r="A810" s="2">
        <v>808</v>
      </c>
      <c r="B810" s="2">
        <f t="shared" ca="1" si="12"/>
        <v>0.45431693427441</v>
      </c>
      <c r="C810" s="2" t="s">
        <v>227</v>
      </c>
    </row>
    <row r="811" spans="1:3" x14ac:dyDescent="0.2">
      <c r="A811" s="2">
        <v>809</v>
      </c>
      <c r="B811" s="2">
        <f t="shared" ca="1" si="12"/>
        <v>0.69476429912771853</v>
      </c>
      <c r="C811" s="2" t="s">
        <v>227</v>
      </c>
    </row>
    <row r="812" spans="1:3" x14ac:dyDescent="0.2">
      <c r="A812" s="2">
        <v>810</v>
      </c>
      <c r="B812" s="2">
        <f t="shared" ca="1" si="12"/>
        <v>0.75004889243431005</v>
      </c>
      <c r="C812" s="2" t="s">
        <v>227</v>
      </c>
    </row>
    <row r="813" spans="1:3" x14ac:dyDescent="0.2">
      <c r="A813" s="2">
        <v>811</v>
      </c>
      <c r="B813" s="2">
        <f t="shared" ca="1" si="12"/>
        <v>0.45187640630983467</v>
      </c>
      <c r="C813" s="2" t="s">
        <v>226</v>
      </c>
    </row>
    <row r="814" spans="1:3" x14ac:dyDescent="0.2">
      <c r="A814" s="2">
        <v>812</v>
      </c>
      <c r="B814" s="2">
        <f t="shared" ca="1" si="12"/>
        <v>0.66995699108025286</v>
      </c>
      <c r="C814" s="2" t="s">
        <v>227</v>
      </c>
    </row>
    <row r="815" spans="1:3" x14ac:dyDescent="0.2">
      <c r="A815" s="2">
        <v>813</v>
      </c>
      <c r="B815" s="2">
        <f t="shared" ca="1" si="12"/>
        <v>0.87689674467725054</v>
      </c>
      <c r="C815" s="2" t="s">
        <v>227</v>
      </c>
    </row>
    <row r="816" spans="1:3" x14ac:dyDescent="0.2">
      <c r="A816" s="2">
        <v>814</v>
      </c>
      <c r="B816" s="2">
        <f t="shared" ca="1" si="12"/>
        <v>0.44312596267873572</v>
      </c>
      <c r="C816" s="2" t="s">
        <v>226</v>
      </c>
    </row>
    <row r="817" spans="1:3" x14ac:dyDescent="0.2">
      <c r="A817" s="2">
        <v>815</v>
      </c>
      <c r="B817" s="2">
        <f t="shared" ca="1" si="12"/>
        <v>0.73207874861986721</v>
      </c>
      <c r="C817" s="2" t="s">
        <v>226</v>
      </c>
    </row>
    <row r="818" spans="1:3" x14ac:dyDescent="0.2">
      <c r="A818" s="2">
        <v>816</v>
      </c>
      <c r="B818" s="2">
        <f t="shared" ca="1" si="12"/>
        <v>0.4713675047060123</v>
      </c>
      <c r="C818" s="2" t="s">
        <v>226</v>
      </c>
    </row>
    <row r="819" spans="1:3" x14ac:dyDescent="0.2">
      <c r="A819" s="2">
        <v>817</v>
      </c>
      <c r="B819" s="2">
        <f t="shared" ca="1" si="12"/>
        <v>0.5929943971197823</v>
      </c>
      <c r="C819" s="2" t="s">
        <v>226</v>
      </c>
    </row>
    <row r="820" spans="1:3" x14ac:dyDescent="0.2">
      <c r="A820" s="2">
        <v>818</v>
      </c>
      <c r="B820" s="2">
        <f t="shared" ca="1" si="12"/>
        <v>0.80432275776888051</v>
      </c>
      <c r="C820" s="2" t="s">
        <v>226</v>
      </c>
    </row>
    <row r="821" spans="1:3" x14ac:dyDescent="0.2">
      <c r="A821" s="2">
        <v>819</v>
      </c>
      <c r="B821" s="2">
        <f t="shared" ca="1" si="12"/>
        <v>0.48824442088083564</v>
      </c>
      <c r="C821" s="2" t="s">
        <v>226</v>
      </c>
    </row>
    <row r="822" spans="1:3" x14ac:dyDescent="0.2">
      <c r="A822" s="2">
        <v>820</v>
      </c>
      <c r="B822" s="2">
        <f t="shared" ca="1" si="12"/>
        <v>0.51292269531686208</v>
      </c>
      <c r="C822" s="2" t="s">
        <v>226</v>
      </c>
    </row>
    <row r="823" spans="1:3" x14ac:dyDescent="0.2">
      <c r="A823" s="2">
        <v>821</v>
      </c>
      <c r="B823" s="2">
        <f t="shared" ca="1" si="12"/>
        <v>0.67537054195390667</v>
      </c>
      <c r="C823" s="2" t="s">
        <v>227</v>
      </c>
    </row>
    <row r="824" spans="1:3" x14ac:dyDescent="0.2">
      <c r="A824" s="2">
        <v>822</v>
      </c>
      <c r="B824" s="2">
        <f t="shared" ca="1" si="12"/>
        <v>0.72669755748646847</v>
      </c>
      <c r="C824" s="2" t="s">
        <v>226</v>
      </c>
    </row>
    <row r="825" spans="1:3" x14ac:dyDescent="0.2">
      <c r="A825" s="2">
        <v>823</v>
      </c>
      <c r="B825" s="2">
        <f t="shared" ca="1" si="12"/>
        <v>0.5818034069183331</v>
      </c>
      <c r="C825" s="2" t="s">
        <v>227</v>
      </c>
    </row>
    <row r="826" spans="1:3" x14ac:dyDescent="0.2">
      <c r="A826" s="2">
        <v>824</v>
      </c>
      <c r="B826" s="2">
        <f t="shared" ca="1" si="12"/>
        <v>0.72539805193781193</v>
      </c>
      <c r="C826" s="2" t="s">
        <v>227</v>
      </c>
    </row>
    <row r="827" spans="1:3" x14ac:dyDescent="0.2">
      <c r="A827" s="2">
        <v>825</v>
      </c>
      <c r="B827" s="2">
        <f t="shared" ca="1" si="12"/>
        <v>0.62946863462265512</v>
      </c>
      <c r="C827" s="2" t="s">
        <v>227</v>
      </c>
    </row>
    <row r="828" spans="1:3" x14ac:dyDescent="0.2">
      <c r="A828" s="2">
        <v>826</v>
      </c>
      <c r="B828" s="2">
        <f t="shared" ca="1" si="12"/>
        <v>0.26878141016503432</v>
      </c>
      <c r="C828" s="2" t="s">
        <v>226</v>
      </c>
    </row>
    <row r="829" spans="1:3" x14ac:dyDescent="0.2">
      <c r="A829" s="2">
        <v>827</v>
      </c>
      <c r="B829" s="2">
        <f t="shared" ca="1" si="12"/>
        <v>0.40071029250643442</v>
      </c>
      <c r="C829" s="2" t="s">
        <v>226</v>
      </c>
    </row>
    <row r="830" spans="1:3" x14ac:dyDescent="0.2">
      <c r="A830" s="2">
        <v>828</v>
      </c>
      <c r="B830" s="2">
        <f t="shared" ca="1" si="12"/>
        <v>0.78167863481606326</v>
      </c>
      <c r="C830" s="2" t="s">
        <v>226</v>
      </c>
    </row>
    <row r="831" spans="1:3" x14ac:dyDescent="0.2">
      <c r="A831" s="2">
        <v>829</v>
      </c>
      <c r="B831" s="2">
        <f t="shared" ca="1" si="12"/>
        <v>0.49952357791895879</v>
      </c>
      <c r="C831" s="2" t="s">
        <v>227</v>
      </c>
    </row>
    <row r="832" spans="1:3" x14ac:dyDescent="0.2">
      <c r="A832" s="2">
        <v>830</v>
      </c>
      <c r="B832" s="2">
        <f t="shared" ca="1" si="12"/>
        <v>0.90473770666883202</v>
      </c>
      <c r="C832" s="2" t="s">
        <v>226</v>
      </c>
    </row>
    <row r="833" spans="1:3" x14ac:dyDescent="0.2">
      <c r="A833" s="2">
        <v>831</v>
      </c>
      <c r="B833" s="2">
        <f t="shared" ca="1" si="12"/>
        <v>0.57865709253265796</v>
      </c>
      <c r="C833" s="2" t="s">
        <v>226</v>
      </c>
    </row>
    <row r="834" spans="1:3" x14ac:dyDescent="0.2">
      <c r="A834" s="2">
        <v>832</v>
      </c>
      <c r="B834" s="2">
        <f t="shared" ca="1" si="12"/>
        <v>0.73523292605037527</v>
      </c>
      <c r="C834" s="2" t="s">
        <v>226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0.81998307656042524</v>
      </c>
      <c r="C835" s="2" t="s">
        <v>227</v>
      </c>
    </row>
    <row r="836" spans="1:3" x14ac:dyDescent="0.2">
      <c r="A836" s="2">
        <v>834</v>
      </c>
      <c r="B836" s="2">
        <f t="shared" ca="1" si="13"/>
        <v>0.44571331799535197</v>
      </c>
      <c r="C836" s="2" t="s">
        <v>226</v>
      </c>
    </row>
    <row r="837" spans="1:3" x14ac:dyDescent="0.2">
      <c r="A837" s="2">
        <v>835</v>
      </c>
      <c r="B837" s="2">
        <f t="shared" ca="1" si="13"/>
        <v>0.6020494831146711</v>
      </c>
      <c r="C837" s="2" t="s">
        <v>227</v>
      </c>
    </row>
    <row r="838" spans="1:3" x14ac:dyDescent="0.2">
      <c r="A838" s="2">
        <v>836</v>
      </c>
      <c r="B838" s="2">
        <f t="shared" ca="1" si="13"/>
        <v>0.54996522745277665</v>
      </c>
      <c r="C838" s="2" t="s">
        <v>226</v>
      </c>
    </row>
    <row r="839" spans="1:3" x14ac:dyDescent="0.2">
      <c r="A839" s="2">
        <v>837</v>
      </c>
      <c r="B839" s="2">
        <f t="shared" ca="1" si="13"/>
        <v>0.7874921013169025</v>
      </c>
      <c r="C839" s="2" t="s">
        <v>227</v>
      </c>
    </row>
    <row r="840" spans="1:3" x14ac:dyDescent="0.2">
      <c r="A840" s="2">
        <v>838</v>
      </c>
      <c r="B840" s="2">
        <f t="shared" ca="1" si="13"/>
        <v>0.43298514378519903</v>
      </c>
      <c r="C840" s="2" t="s">
        <v>226</v>
      </c>
    </row>
    <row r="841" spans="1:3" x14ac:dyDescent="0.2">
      <c r="A841" s="2">
        <v>839</v>
      </c>
      <c r="B841" s="2">
        <f t="shared" ca="1" si="13"/>
        <v>0.6653511654135329</v>
      </c>
      <c r="C841" s="2" t="s">
        <v>227</v>
      </c>
    </row>
    <row r="842" spans="1:3" x14ac:dyDescent="0.2">
      <c r="A842" s="2">
        <v>840</v>
      </c>
      <c r="B842" s="2">
        <f t="shared" ca="1" si="13"/>
        <v>0.66871082276144578</v>
      </c>
      <c r="C842" s="2" t="s">
        <v>227</v>
      </c>
    </row>
    <row r="843" spans="1:3" x14ac:dyDescent="0.2">
      <c r="A843" s="2">
        <v>841</v>
      </c>
      <c r="B843" s="2">
        <f t="shared" ca="1" si="13"/>
        <v>0.6578804118900935</v>
      </c>
      <c r="C843" s="2" t="s">
        <v>227</v>
      </c>
    </row>
    <row r="844" spans="1:3" x14ac:dyDescent="0.2">
      <c r="A844" s="2">
        <v>842</v>
      </c>
      <c r="B844" s="2">
        <f t="shared" ca="1" si="13"/>
        <v>0.67501040936792001</v>
      </c>
      <c r="C844" s="2" t="s">
        <v>226</v>
      </c>
    </row>
    <row r="845" spans="1:3" x14ac:dyDescent="0.2">
      <c r="A845" s="2">
        <v>843</v>
      </c>
      <c r="B845" s="2">
        <f t="shared" ca="1" si="13"/>
        <v>0.5054590106709802</v>
      </c>
      <c r="C845" s="2" t="s">
        <v>226</v>
      </c>
    </row>
    <row r="846" spans="1:3" x14ac:dyDescent="0.2">
      <c r="A846" s="2">
        <v>844</v>
      </c>
      <c r="B846" s="2">
        <f t="shared" ca="1" si="13"/>
        <v>0.76762508081438163</v>
      </c>
      <c r="C846" s="2" t="s">
        <v>226</v>
      </c>
    </row>
    <row r="847" spans="1:3" x14ac:dyDescent="0.2">
      <c r="A847" s="2">
        <v>845</v>
      </c>
      <c r="B847" s="2">
        <f t="shared" ca="1" si="13"/>
        <v>0.53989585364111825</v>
      </c>
      <c r="C847" s="2" t="s">
        <v>226</v>
      </c>
    </row>
    <row r="848" spans="1:3" x14ac:dyDescent="0.2">
      <c r="A848" s="2">
        <v>846</v>
      </c>
      <c r="B848" s="2">
        <f t="shared" ca="1" si="13"/>
        <v>0.50827032489558566</v>
      </c>
      <c r="C848" s="2" t="s">
        <v>226</v>
      </c>
    </row>
    <row r="849" spans="1:3" x14ac:dyDescent="0.2">
      <c r="A849" s="2">
        <v>847</v>
      </c>
      <c r="B849" s="2">
        <f t="shared" ca="1" si="13"/>
        <v>0.73989776573742172</v>
      </c>
      <c r="C849" s="2" t="s">
        <v>227</v>
      </c>
    </row>
    <row r="850" spans="1:3" x14ac:dyDescent="0.2">
      <c r="A850" s="2">
        <v>848</v>
      </c>
      <c r="B850" s="2">
        <f t="shared" ca="1" si="13"/>
        <v>0.54695085480761874</v>
      </c>
      <c r="C850" s="2" t="s">
        <v>226</v>
      </c>
    </row>
    <row r="851" spans="1:3" x14ac:dyDescent="0.2">
      <c r="A851" s="2">
        <v>849</v>
      </c>
      <c r="B851" s="2">
        <f t="shared" ca="1" si="13"/>
        <v>0.74201834396858113</v>
      </c>
      <c r="C851" s="2" t="s">
        <v>227</v>
      </c>
    </row>
    <row r="852" spans="1:3" x14ac:dyDescent="0.2">
      <c r="A852" s="2">
        <v>850</v>
      </c>
      <c r="B852" s="2">
        <f t="shared" ca="1" si="13"/>
        <v>0.51123414392395516</v>
      </c>
      <c r="C852" s="2" t="s">
        <v>226</v>
      </c>
    </row>
    <row r="853" spans="1:3" x14ac:dyDescent="0.2">
      <c r="A853" s="2">
        <v>851</v>
      </c>
      <c r="B853" s="2">
        <f t="shared" ca="1" si="13"/>
        <v>0.32018477298192877</v>
      </c>
      <c r="C853" s="2" t="s">
        <v>226</v>
      </c>
    </row>
    <row r="854" spans="1:3" x14ac:dyDescent="0.2">
      <c r="A854" s="2">
        <v>852</v>
      </c>
      <c r="B854" s="2">
        <f t="shared" ca="1" si="13"/>
        <v>0.63760411442688769</v>
      </c>
      <c r="C854" s="2" t="s">
        <v>226</v>
      </c>
    </row>
    <row r="855" spans="1:3" x14ac:dyDescent="0.2">
      <c r="A855" s="2">
        <v>853</v>
      </c>
      <c r="B855" s="2">
        <f t="shared" ca="1" si="13"/>
        <v>0.44471212641321189</v>
      </c>
      <c r="C855" s="2" t="s">
        <v>226</v>
      </c>
    </row>
    <row r="856" spans="1:3" x14ac:dyDescent="0.2">
      <c r="A856" s="2">
        <v>854</v>
      </c>
      <c r="B856" s="2">
        <f t="shared" ca="1" si="13"/>
        <v>0.54848281741673766</v>
      </c>
      <c r="C856" s="2" t="s">
        <v>226</v>
      </c>
    </row>
    <row r="857" spans="1:3" x14ac:dyDescent="0.2">
      <c r="A857" s="2">
        <v>855</v>
      </c>
      <c r="B857" s="2">
        <f t="shared" ca="1" si="13"/>
        <v>0.73466217758609498</v>
      </c>
      <c r="C857" s="2" t="s">
        <v>227</v>
      </c>
    </row>
    <row r="858" spans="1:3" x14ac:dyDescent="0.2">
      <c r="A858" s="2">
        <v>856</v>
      </c>
      <c r="B858" s="2">
        <f t="shared" ca="1" si="13"/>
        <v>0.55786474347037729</v>
      </c>
      <c r="C858" s="2" t="s">
        <v>227</v>
      </c>
    </row>
    <row r="859" spans="1:3" x14ac:dyDescent="0.2">
      <c r="A859" s="2">
        <v>857</v>
      </c>
      <c r="B859" s="2">
        <f t="shared" ca="1" si="13"/>
        <v>0.78035961258055231</v>
      </c>
      <c r="C859" s="2" t="s">
        <v>226</v>
      </c>
    </row>
    <row r="860" spans="1:3" x14ac:dyDescent="0.2">
      <c r="A860" s="2">
        <v>858</v>
      </c>
      <c r="B860" s="2">
        <f t="shared" ca="1" si="13"/>
        <v>0.59416882380438951</v>
      </c>
      <c r="C860" s="2" t="s">
        <v>226</v>
      </c>
    </row>
    <row r="861" spans="1:3" x14ac:dyDescent="0.2">
      <c r="A861" s="2">
        <v>859</v>
      </c>
      <c r="B861" s="2">
        <f t="shared" ca="1" si="13"/>
        <v>0.59601108038208783</v>
      </c>
      <c r="C861" s="2" t="s">
        <v>226</v>
      </c>
    </row>
    <row r="862" spans="1:3" x14ac:dyDescent="0.2">
      <c r="A862" s="2">
        <v>860</v>
      </c>
      <c r="B862" s="2">
        <f t="shared" ca="1" si="13"/>
        <v>0.60133229398838073</v>
      </c>
      <c r="C862" s="2" t="s">
        <v>226</v>
      </c>
    </row>
    <row r="863" spans="1:3" x14ac:dyDescent="0.2">
      <c r="A863" s="2">
        <v>861</v>
      </c>
      <c r="B863" s="2">
        <f t="shared" ca="1" si="13"/>
        <v>0.53131262956450898</v>
      </c>
      <c r="C863" s="2" t="s">
        <v>227</v>
      </c>
    </row>
    <row r="864" spans="1:3" x14ac:dyDescent="0.2">
      <c r="A864" s="2">
        <v>862</v>
      </c>
      <c r="B864" s="2">
        <f t="shared" ca="1" si="13"/>
        <v>0.70431288047261753</v>
      </c>
      <c r="C864" s="2" t="s">
        <v>226</v>
      </c>
    </row>
    <row r="865" spans="1:3" x14ac:dyDescent="0.2">
      <c r="A865" s="2">
        <v>863</v>
      </c>
      <c r="B865" s="2">
        <f t="shared" ca="1" si="13"/>
        <v>0.67932896751854521</v>
      </c>
      <c r="C865" s="2" t="s">
        <v>226</v>
      </c>
    </row>
    <row r="866" spans="1:3" x14ac:dyDescent="0.2">
      <c r="A866" s="2">
        <v>864</v>
      </c>
      <c r="B866" s="2">
        <f t="shared" ca="1" si="13"/>
        <v>0.70534813698857524</v>
      </c>
      <c r="C866" s="2" t="s">
        <v>226</v>
      </c>
    </row>
    <row r="867" spans="1:3" x14ac:dyDescent="0.2">
      <c r="A867" s="2">
        <v>865</v>
      </c>
      <c r="B867" s="2">
        <f t="shared" ca="1" si="13"/>
        <v>0.43858923182119203</v>
      </c>
      <c r="C867" s="2" t="s">
        <v>226</v>
      </c>
    </row>
    <row r="868" spans="1:3" x14ac:dyDescent="0.2">
      <c r="A868" s="2">
        <v>866</v>
      </c>
      <c r="B868" s="2">
        <f t="shared" ca="1" si="13"/>
        <v>0.48411954075412988</v>
      </c>
      <c r="C868" s="2" t="s">
        <v>226</v>
      </c>
    </row>
    <row r="869" spans="1:3" x14ac:dyDescent="0.2">
      <c r="A869" s="2">
        <v>867</v>
      </c>
      <c r="B869" s="2">
        <f t="shared" ca="1" si="13"/>
        <v>0.67133129047244955</v>
      </c>
      <c r="C869" s="2" t="s">
        <v>226</v>
      </c>
    </row>
    <row r="870" spans="1:3" x14ac:dyDescent="0.2">
      <c r="A870" s="2">
        <v>868</v>
      </c>
      <c r="B870" s="2">
        <f t="shared" ca="1" si="13"/>
        <v>0.14973596707432607</v>
      </c>
      <c r="C870" s="2" t="s">
        <v>226</v>
      </c>
    </row>
    <row r="871" spans="1:3" x14ac:dyDescent="0.2">
      <c r="A871" s="2">
        <v>869</v>
      </c>
      <c r="B871" s="2">
        <f t="shared" ca="1" si="13"/>
        <v>0.53521645982609312</v>
      </c>
      <c r="C871" s="2" t="s">
        <v>226</v>
      </c>
    </row>
    <row r="872" spans="1:3" x14ac:dyDescent="0.2">
      <c r="A872" s="2">
        <v>870</v>
      </c>
      <c r="B872" s="2">
        <f t="shared" ca="1" si="13"/>
        <v>0.51559706919749237</v>
      </c>
      <c r="C872" s="2" t="s">
        <v>226</v>
      </c>
    </row>
    <row r="873" spans="1:3" x14ac:dyDescent="0.2">
      <c r="A873" s="2">
        <v>871</v>
      </c>
      <c r="B873" s="2">
        <f t="shared" ca="1" si="13"/>
        <v>0.50515351086732874</v>
      </c>
      <c r="C873" s="2" t="s">
        <v>227</v>
      </c>
    </row>
    <row r="874" spans="1:3" x14ac:dyDescent="0.2">
      <c r="A874" s="2">
        <v>872</v>
      </c>
      <c r="B874" s="2">
        <f t="shared" ca="1" si="13"/>
        <v>0.72615437831315854</v>
      </c>
      <c r="C874" s="2" t="s">
        <v>227</v>
      </c>
    </row>
    <row r="875" spans="1:3" x14ac:dyDescent="0.2">
      <c r="A875" s="2">
        <v>873</v>
      </c>
      <c r="B875" s="2">
        <f t="shared" ca="1" si="13"/>
        <v>0.58318036773604964</v>
      </c>
      <c r="C875" s="2" t="s">
        <v>227</v>
      </c>
    </row>
    <row r="876" spans="1:3" x14ac:dyDescent="0.2">
      <c r="A876" s="2">
        <v>874</v>
      </c>
      <c r="B876" s="2">
        <f t="shared" ca="1" si="13"/>
        <v>0.7578474277803503</v>
      </c>
      <c r="C876" s="2" t="s">
        <v>226</v>
      </c>
    </row>
    <row r="877" spans="1:3" x14ac:dyDescent="0.2">
      <c r="A877" s="2">
        <v>875</v>
      </c>
      <c r="B877" s="2">
        <f t="shared" ca="1" si="13"/>
        <v>0.57891500406656626</v>
      </c>
      <c r="C877" s="2" t="s">
        <v>226</v>
      </c>
    </row>
    <row r="878" spans="1:3" x14ac:dyDescent="0.2">
      <c r="A878" s="2">
        <v>876</v>
      </c>
      <c r="B878" s="2">
        <f t="shared" ca="1" si="13"/>
        <v>0.76425366210329559</v>
      </c>
      <c r="C878" s="2" t="s">
        <v>227</v>
      </c>
    </row>
    <row r="879" spans="1:3" x14ac:dyDescent="0.2">
      <c r="A879" s="2">
        <v>877</v>
      </c>
      <c r="B879" s="2">
        <f t="shared" ca="1" si="13"/>
        <v>0.48022803723055529</v>
      </c>
      <c r="C879" s="2" t="s">
        <v>226</v>
      </c>
    </row>
    <row r="880" spans="1:3" x14ac:dyDescent="0.2">
      <c r="A880" s="2">
        <v>878</v>
      </c>
      <c r="B880" s="2">
        <f t="shared" ca="1" si="13"/>
        <v>0.50636511534860007</v>
      </c>
      <c r="C880" s="2" t="s">
        <v>226</v>
      </c>
    </row>
    <row r="881" spans="1:3" x14ac:dyDescent="0.2">
      <c r="A881" s="2">
        <v>879</v>
      </c>
      <c r="B881" s="2">
        <f t="shared" ca="1" si="13"/>
        <v>0.82110194206305609</v>
      </c>
      <c r="C881" s="2" t="s">
        <v>227</v>
      </c>
    </row>
    <row r="882" spans="1:3" x14ac:dyDescent="0.2">
      <c r="A882" s="2">
        <v>880</v>
      </c>
      <c r="B882" s="2">
        <f t="shared" ca="1" si="13"/>
        <v>0.55519268137658129</v>
      </c>
      <c r="C882" s="2" t="s">
        <v>227</v>
      </c>
    </row>
    <row r="883" spans="1:3" x14ac:dyDescent="0.2">
      <c r="A883" s="2">
        <v>881</v>
      </c>
      <c r="B883" s="2">
        <f t="shared" ca="1" si="13"/>
        <v>0.59469250027057652</v>
      </c>
      <c r="C883" s="2" t="s">
        <v>227</v>
      </c>
    </row>
    <row r="884" spans="1:3" x14ac:dyDescent="0.2">
      <c r="A884" s="2">
        <v>882</v>
      </c>
      <c r="B884" s="2">
        <f t="shared" ca="1" si="13"/>
        <v>0.75156267614962846</v>
      </c>
      <c r="C884" s="2" t="s">
        <v>227</v>
      </c>
    </row>
    <row r="885" spans="1:3" x14ac:dyDescent="0.2">
      <c r="A885" s="2">
        <v>883</v>
      </c>
      <c r="B885" s="2">
        <f t="shared" ca="1" si="13"/>
        <v>0.5791090224907216</v>
      </c>
      <c r="C885" s="2" t="s">
        <v>226</v>
      </c>
    </row>
    <row r="886" spans="1:3" x14ac:dyDescent="0.2">
      <c r="A886" s="2">
        <v>884</v>
      </c>
      <c r="B886" s="2">
        <f t="shared" ca="1" si="13"/>
        <v>0.62689487502778107</v>
      </c>
      <c r="C886" s="2" t="s">
        <v>226</v>
      </c>
    </row>
    <row r="887" spans="1:3" x14ac:dyDescent="0.2">
      <c r="A887" s="2">
        <v>885</v>
      </c>
      <c r="B887" s="2">
        <f t="shared" ca="1" si="13"/>
        <v>0.34576015546453864</v>
      </c>
      <c r="C887" s="2" t="s">
        <v>226</v>
      </c>
    </row>
    <row r="888" spans="1:3" x14ac:dyDescent="0.2">
      <c r="A888" s="2">
        <v>886</v>
      </c>
      <c r="B888" s="2">
        <f t="shared" ca="1" si="13"/>
        <v>0.83059340317966479</v>
      </c>
      <c r="C888" s="2" t="s">
        <v>227</v>
      </c>
    </row>
    <row r="889" spans="1:3" x14ac:dyDescent="0.2">
      <c r="A889" s="2">
        <v>887</v>
      </c>
      <c r="B889" s="2">
        <f t="shared" ca="1" si="13"/>
        <v>0.70690981342943759</v>
      </c>
      <c r="C889" s="2" t="s">
        <v>227</v>
      </c>
    </row>
    <row r="890" spans="1:3" x14ac:dyDescent="0.2">
      <c r="A890" s="2">
        <v>888</v>
      </c>
      <c r="B890" s="2">
        <f t="shared" ca="1" si="13"/>
        <v>0.72335061269949597</v>
      </c>
      <c r="C890" s="2" t="s">
        <v>227</v>
      </c>
    </row>
    <row r="891" spans="1:3" x14ac:dyDescent="0.2">
      <c r="A891" s="2">
        <v>889</v>
      </c>
      <c r="B891" s="2">
        <f t="shared" ca="1" si="13"/>
        <v>0.62709940321737789</v>
      </c>
      <c r="C891" s="2" t="s">
        <v>226</v>
      </c>
    </row>
    <row r="892" spans="1:3" x14ac:dyDescent="0.2">
      <c r="A892" s="2">
        <v>890</v>
      </c>
      <c r="B892" s="2">
        <f t="shared" ca="1" si="13"/>
        <v>0.54257539982281122</v>
      </c>
      <c r="C892" s="2" t="s">
        <v>226</v>
      </c>
    </row>
    <row r="893" spans="1:3" x14ac:dyDescent="0.2">
      <c r="A893" s="2">
        <v>891</v>
      </c>
      <c r="B893" s="2">
        <f t="shared" ca="1" si="13"/>
        <v>0.45713368901290508</v>
      </c>
      <c r="C893" s="2" t="s">
        <v>226</v>
      </c>
    </row>
    <row r="894" spans="1:3" x14ac:dyDescent="0.2">
      <c r="A894" s="2">
        <v>892</v>
      </c>
      <c r="B894" s="2">
        <f t="shared" ca="1" si="13"/>
        <v>0.67757439725263147</v>
      </c>
      <c r="C894" s="2" t="s">
        <v>227</v>
      </c>
    </row>
    <row r="895" spans="1:3" x14ac:dyDescent="0.2">
      <c r="A895" s="2">
        <v>893</v>
      </c>
      <c r="B895" s="2">
        <f t="shared" ca="1" si="13"/>
        <v>0.81319905828518724</v>
      </c>
      <c r="C895" s="2" t="s">
        <v>226</v>
      </c>
    </row>
    <row r="896" spans="1:3" x14ac:dyDescent="0.2">
      <c r="A896" s="2">
        <v>894</v>
      </c>
      <c r="B896" s="2">
        <f t="shared" ca="1" si="13"/>
        <v>0.577291626988511</v>
      </c>
      <c r="C896" s="2" t="s">
        <v>227</v>
      </c>
    </row>
    <row r="897" spans="1:3" x14ac:dyDescent="0.2">
      <c r="A897" s="2">
        <v>895</v>
      </c>
      <c r="B897" s="2">
        <f t="shared" ca="1" si="13"/>
        <v>0.53547599338770957</v>
      </c>
      <c r="C897" s="2" t="s">
        <v>226</v>
      </c>
    </row>
    <row r="898" spans="1:3" x14ac:dyDescent="0.2">
      <c r="A898" s="2">
        <v>896</v>
      </c>
      <c r="B898" s="2">
        <f t="shared" ca="1" si="13"/>
        <v>0.65957179708411895</v>
      </c>
      <c r="C898" s="2" t="s">
        <v>227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0.80565294323833736</v>
      </c>
      <c r="C899" s="2" t="s">
        <v>227</v>
      </c>
    </row>
    <row r="900" spans="1:3" x14ac:dyDescent="0.2">
      <c r="A900" s="2">
        <v>898</v>
      </c>
      <c r="B900" s="2">
        <f t="shared" ca="1" si="14"/>
        <v>0.827323999293057</v>
      </c>
      <c r="C900" s="2" t="s">
        <v>227</v>
      </c>
    </row>
    <row r="901" spans="1:3" x14ac:dyDescent="0.2">
      <c r="A901" s="2">
        <v>899</v>
      </c>
      <c r="B901" s="2">
        <f t="shared" ca="1" si="14"/>
        <v>0.71516524222469358</v>
      </c>
      <c r="C901" s="2" t="s">
        <v>226</v>
      </c>
    </row>
    <row r="902" spans="1:3" x14ac:dyDescent="0.2">
      <c r="A902" s="2">
        <v>900</v>
      </c>
      <c r="B902" s="2">
        <f t="shared" ca="1" si="14"/>
        <v>0.65134725624575818</v>
      </c>
      <c r="C902" s="2" t="s">
        <v>227</v>
      </c>
    </row>
    <row r="903" spans="1:3" x14ac:dyDescent="0.2">
      <c r="A903" s="2">
        <v>901</v>
      </c>
      <c r="B903" s="2">
        <f t="shared" ca="1" si="14"/>
        <v>0.77642602491743573</v>
      </c>
      <c r="C903" s="2" t="s">
        <v>227</v>
      </c>
    </row>
    <row r="904" spans="1:3" x14ac:dyDescent="0.2">
      <c r="A904" s="2">
        <v>902</v>
      </c>
      <c r="B904" s="2">
        <f t="shared" ca="1" si="14"/>
        <v>0.50771153027831739</v>
      </c>
      <c r="C904" s="2" t="s">
        <v>227</v>
      </c>
    </row>
    <row r="905" spans="1:3" x14ac:dyDescent="0.2">
      <c r="A905" s="2">
        <v>903</v>
      </c>
      <c r="B905" s="2">
        <f t="shared" ca="1" si="14"/>
        <v>0.68453868233210824</v>
      </c>
      <c r="C905" s="2" t="s">
        <v>227</v>
      </c>
    </row>
    <row r="906" spans="1:3" x14ac:dyDescent="0.2">
      <c r="A906" s="2">
        <v>904</v>
      </c>
      <c r="B906" s="2">
        <f t="shared" ca="1" si="14"/>
        <v>0.65395492760708829</v>
      </c>
      <c r="C906" s="2" t="s">
        <v>227</v>
      </c>
    </row>
    <row r="907" spans="1:3" x14ac:dyDescent="0.2">
      <c r="A907" s="2">
        <v>905</v>
      </c>
      <c r="B907" s="2">
        <f t="shared" ca="1" si="14"/>
        <v>0.43921652799436978</v>
      </c>
      <c r="C907" s="2" t="s">
        <v>226</v>
      </c>
    </row>
    <row r="908" spans="1:3" x14ac:dyDescent="0.2">
      <c r="A908" s="2">
        <v>906</v>
      </c>
      <c r="B908" s="2">
        <f t="shared" ca="1" si="14"/>
        <v>0.29237514500561995</v>
      </c>
      <c r="C908" s="2" t="s">
        <v>226</v>
      </c>
    </row>
    <row r="909" spans="1:3" x14ac:dyDescent="0.2">
      <c r="A909" s="2">
        <v>907</v>
      </c>
      <c r="B909" s="2">
        <f t="shared" ca="1" si="14"/>
        <v>0.44529629801102211</v>
      </c>
      <c r="C909" s="2" t="s">
        <v>226</v>
      </c>
    </row>
    <row r="910" spans="1:3" x14ac:dyDescent="0.2">
      <c r="A910" s="2">
        <v>908</v>
      </c>
      <c r="B910" s="2">
        <f t="shared" ca="1" si="14"/>
        <v>0.5215475502797895</v>
      </c>
      <c r="C910" s="2" t="s">
        <v>226</v>
      </c>
    </row>
    <row r="911" spans="1:3" x14ac:dyDescent="0.2">
      <c r="A911" s="2">
        <v>909</v>
      </c>
      <c r="B911" s="2">
        <f t="shared" ca="1" si="14"/>
        <v>0.76048864136943484</v>
      </c>
      <c r="C911" s="2" t="s">
        <v>226</v>
      </c>
    </row>
    <row r="912" spans="1:3" x14ac:dyDescent="0.2">
      <c r="A912" s="2">
        <v>910</v>
      </c>
      <c r="B912" s="2">
        <f t="shared" ca="1" si="14"/>
        <v>0.74445615029097545</v>
      </c>
      <c r="C912" s="2" t="s">
        <v>227</v>
      </c>
    </row>
    <row r="913" spans="1:3" x14ac:dyDescent="0.2">
      <c r="A913" s="2">
        <v>911</v>
      </c>
      <c r="B913" s="2">
        <f t="shared" ca="1" si="14"/>
        <v>0.73504139505777755</v>
      </c>
      <c r="C913" s="2" t="s">
        <v>226</v>
      </c>
    </row>
    <row r="914" spans="1:3" x14ac:dyDescent="0.2">
      <c r="A914" s="2">
        <v>912</v>
      </c>
      <c r="B914" s="2">
        <f t="shared" ca="1" si="14"/>
        <v>0.78403413073383466</v>
      </c>
      <c r="C914" s="2" t="s">
        <v>226</v>
      </c>
    </row>
    <row r="915" spans="1:3" x14ac:dyDescent="0.2">
      <c r="A915" s="2">
        <v>913</v>
      </c>
      <c r="B915" s="2">
        <f t="shared" ca="1" si="14"/>
        <v>0.43005599246372317</v>
      </c>
      <c r="C915" s="2" t="s">
        <v>226</v>
      </c>
    </row>
    <row r="916" spans="1:3" x14ac:dyDescent="0.2">
      <c r="A916" s="2">
        <v>914</v>
      </c>
      <c r="B916" s="2">
        <f t="shared" ca="1" si="14"/>
        <v>0.68152855446582894</v>
      </c>
      <c r="C916" s="2" t="s">
        <v>227</v>
      </c>
    </row>
    <row r="917" spans="1:3" x14ac:dyDescent="0.2">
      <c r="A917" s="2">
        <v>915</v>
      </c>
      <c r="B917" s="2">
        <f t="shared" ca="1" si="14"/>
        <v>0.44077611159027608</v>
      </c>
      <c r="C917" s="2" t="s">
        <v>226</v>
      </c>
    </row>
    <row r="918" spans="1:3" x14ac:dyDescent="0.2">
      <c r="A918" s="2">
        <v>916</v>
      </c>
      <c r="B918" s="2">
        <f t="shared" ca="1" si="14"/>
        <v>0.64177225538220761</v>
      </c>
      <c r="C918" s="2" t="s">
        <v>227</v>
      </c>
    </row>
    <row r="919" spans="1:3" x14ac:dyDescent="0.2">
      <c r="A919" s="2">
        <v>917</v>
      </c>
      <c r="B919" s="2">
        <f t="shared" ca="1" si="14"/>
        <v>0.47476633468204699</v>
      </c>
      <c r="C919" s="2" t="s">
        <v>226</v>
      </c>
    </row>
    <row r="920" spans="1:3" x14ac:dyDescent="0.2">
      <c r="A920" s="2">
        <v>918</v>
      </c>
      <c r="B920" s="2">
        <f t="shared" ca="1" si="14"/>
        <v>0.77463449041586319</v>
      </c>
      <c r="C920" s="2" t="s">
        <v>227</v>
      </c>
    </row>
    <row r="921" spans="1:3" x14ac:dyDescent="0.2">
      <c r="A921" s="2">
        <v>919</v>
      </c>
      <c r="B921" s="2">
        <f t="shared" ca="1" si="14"/>
        <v>0.39010541179424396</v>
      </c>
      <c r="C921" s="2" t="s">
        <v>226</v>
      </c>
    </row>
    <row r="922" spans="1:3" x14ac:dyDescent="0.2">
      <c r="A922" s="2">
        <v>920</v>
      </c>
      <c r="B922" s="2">
        <f t="shared" ca="1" si="14"/>
        <v>0.73652577381385254</v>
      </c>
      <c r="C922" s="2" t="s">
        <v>227</v>
      </c>
    </row>
    <row r="923" spans="1:3" x14ac:dyDescent="0.2">
      <c r="A923" s="2">
        <v>921</v>
      </c>
      <c r="B923" s="2">
        <f t="shared" ca="1" si="14"/>
        <v>0.74243219551104656</v>
      </c>
      <c r="C923" s="2" t="s">
        <v>227</v>
      </c>
    </row>
    <row r="924" spans="1:3" x14ac:dyDescent="0.2">
      <c r="A924" s="2">
        <v>922</v>
      </c>
      <c r="B924" s="2">
        <f t="shared" ca="1" si="14"/>
        <v>0.43706775748785043</v>
      </c>
      <c r="C924" s="2" t="s">
        <v>226</v>
      </c>
    </row>
    <row r="925" spans="1:3" x14ac:dyDescent="0.2">
      <c r="A925" s="2">
        <v>923</v>
      </c>
      <c r="B925" s="2">
        <f t="shared" ca="1" si="14"/>
        <v>0.6357304494240773</v>
      </c>
      <c r="C925" s="2" t="s">
        <v>226</v>
      </c>
    </row>
    <row r="926" spans="1:3" x14ac:dyDescent="0.2">
      <c r="A926" s="2">
        <v>924</v>
      </c>
      <c r="B926" s="2">
        <f t="shared" ca="1" si="14"/>
        <v>0.69415792920879416</v>
      </c>
      <c r="C926" s="2" t="s">
        <v>226</v>
      </c>
    </row>
    <row r="927" spans="1:3" x14ac:dyDescent="0.2">
      <c r="A927" s="2">
        <v>925</v>
      </c>
      <c r="B927" s="2">
        <f t="shared" ca="1" si="14"/>
        <v>0.68727701795739782</v>
      </c>
      <c r="C927" s="2" t="s">
        <v>227</v>
      </c>
    </row>
    <row r="928" spans="1:3" x14ac:dyDescent="0.2">
      <c r="A928" s="2">
        <v>926</v>
      </c>
      <c r="B928" s="2">
        <f t="shared" ca="1" si="14"/>
        <v>0.65002603736973041</v>
      </c>
      <c r="C928" s="2" t="s">
        <v>227</v>
      </c>
    </row>
    <row r="929" spans="1:3" x14ac:dyDescent="0.2">
      <c r="A929" s="2">
        <v>927</v>
      </c>
      <c r="B929" s="2">
        <f t="shared" ca="1" si="14"/>
        <v>0.84466246949100354</v>
      </c>
      <c r="C929" s="2" t="s">
        <v>227</v>
      </c>
    </row>
    <row r="930" spans="1:3" x14ac:dyDescent="0.2">
      <c r="A930" s="2">
        <v>928</v>
      </c>
      <c r="B930" s="2">
        <f t="shared" ca="1" si="14"/>
        <v>0.64980661669057682</v>
      </c>
      <c r="C930" s="2" t="s">
        <v>227</v>
      </c>
    </row>
    <row r="931" spans="1:3" x14ac:dyDescent="0.2">
      <c r="A931" s="2">
        <v>929</v>
      </c>
      <c r="B931" s="2">
        <f t="shared" ca="1" si="14"/>
        <v>0.89203693076836965</v>
      </c>
      <c r="C931" s="2" t="s">
        <v>227</v>
      </c>
    </row>
    <row r="932" spans="1:3" x14ac:dyDescent="0.2">
      <c r="A932" s="2">
        <v>930</v>
      </c>
      <c r="B932" s="2">
        <f t="shared" ca="1" si="14"/>
        <v>0.76112168248177825</v>
      </c>
      <c r="C932" s="2" t="s">
        <v>227</v>
      </c>
    </row>
    <row r="933" spans="1:3" x14ac:dyDescent="0.2">
      <c r="A933" s="2">
        <v>931</v>
      </c>
      <c r="B933" s="2">
        <f t="shared" ca="1" si="14"/>
        <v>0.7155817019142181</v>
      </c>
      <c r="C933" s="2" t="s">
        <v>226</v>
      </c>
    </row>
    <row r="934" spans="1:3" x14ac:dyDescent="0.2">
      <c r="A934" s="2">
        <v>932</v>
      </c>
      <c r="B934" s="2">
        <f t="shared" ca="1" si="14"/>
        <v>0.62301176814821135</v>
      </c>
      <c r="C934" s="2" t="s">
        <v>227</v>
      </c>
    </row>
    <row r="935" spans="1:3" x14ac:dyDescent="0.2">
      <c r="A935" s="2">
        <v>933</v>
      </c>
      <c r="B935" s="2">
        <f t="shared" ca="1" si="14"/>
        <v>0.66252475918839449</v>
      </c>
      <c r="C935" s="2" t="s">
        <v>226</v>
      </c>
    </row>
    <row r="936" spans="1:3" x14ac:dyDescent="0.2">
      <c r="A936" s="2">
        <v>934</v>
      </c>
      <c r="B936" s="2">
        <f t="shared" ca="1" si="14"/>
        <v>0.67977176122144889</v>
      </c>
      <c r="C936" s="2" t="s">
        <v>227</v>
      </c>
    </row>
    <row r="937" spans="1:3" x14ac:dyDescent="0.2">
      <c r="A937" s="2">
        <v>935</v>
      </c>
      <c r="B937" s="2">
        <f t="shared" ca="1" si="14"/>
        <v>0.78976220075913883</v>
      </c>
      <c r="C937" s="2" t="s">
        <v>227</v>
      </c>
    </row>
    <row r="938" spans="1:3" x14ac:dyDescent="0.2">
      <c r="A938" s="2">
        <v>936</v>
      </c>
      <c r="B938" s="2">
        <f t="shared" ca="1" si="14"/>
        <v>0.66905604954419973</v>
      </c>
      <c r="C938" s="2" t="s">
        <v>226</v>
      </c>
    </row>
    <row r="939" spans="1:3" x14ac:dyDescent="0.2">
      <c r="A939" s="2">
        <v>937</v>
      </c>
      <c r="B939" s="2">
        <f t="shared" ca="1" si="14"/>
        <v>0.53918179017380374</v>
      </c>
      <c r="C939" s="2" t="s">
        <v>226</v>
      </c>
    </row>
    <row r="940" spans="1:3" x14ac:dyDescent="0.2">
      <c r="A940" s="2">
        <v>938</v>
      </c>
      <c r="B940" s="2">
        <f t="shared" ca="1" si="14"/>
        <v>0.71112416934418687</v>
      </c>
      <c r="C940" s="2" t="s">
        <v>227</v>
      </c>
    </row>
    <row r="941" spans="1:3" x14ac:dyDescent="0.2">
      <c r="A941" s="2">
        <v>939</v>
      </c>
      <c r="B941" s="2">
        <f t="shared" ca="1" si="14"/>
        <v>0.87355785671004715</v>
      </c>
      <c r="C941" s="2" t="s">
        <v>227</v>
      </c>
    </row>
    <row r="942" spans="1:3" x14ac:dyDescent="0.2">
      <c r="A942" s="2">
        <v>940</v>
      </c>
      <c r="B942" s="2">
        <f t="shared" ca="1" si="14"/>
        <v>0.58044577319154922</v>
      </c>
      <c r="C942" s="2" t="s">
        <v>226</v>
      </c>
    </row>
    <row r="943" spans="1:3" x14ac:dyDescent="0.2">
      <c r="A943" s="2">
        <v>941</v>
      </c>
      <c r="B943" s="2">
        <f t="shared" ca="1" si="14"/>
        <v>0.43592930912054195</v>
      </c>
      <c r="C943" s="2" t="s">
        <v>226</v>
      </c>
    </row>
    <row r="944" spans="1:3" x14ac:dyDescent="0.2">
      <c r="A944" s="2">
        <v>942</v>
      </c>
      <c r="B944" s="2">
        <f t="shared" ca="1" si="14"/>
        <v>0.48145404381356133</v>
      </c>
      <c r="C944" s="2" t="s">
        <v>226</v>
      </c>
    </row>
    <row r="945" spans="1:3" x14ac:dyDescent="0.2">
      <c r="A945" s="2">
        <v>943</v>
      </c>
      <c r="B945" s="2">
        <f t="shared" ca="1" si="14"/>
        <v>0.63008793591463086</v>
      </c>
      <c r="C945" s="2" t="s">
        <v>226</v>
      </c>
    </row>
    <row r="946" spans="1:3" x14ac:dyDescent="0.2">
      <c r="A946" s="2">
        <v>944</v>
      </c>
      <c r="B946" s="2">
        <f t="shared" ca="1" si="14"/>
        <v>0.53717685241130242</v>
      </c>
      <c r="C946" s="2" t="s">
        <v>226</v>
      </c>
    </row>
    <row r="947" spans="1:3" x14ac:dyDescent="0.2">
      <c r="A947" s="2">
        <v>945</v>
      </c>
      <c r="B947" s="2">
        <f t="shared" ca="1" si="14"/>
        <v>0.85351370036919216</v>
      </c>
      <c r="C947" s="2" t="s">
        <v>227</v>
      </c>
    </row>
    <row r="948" spans="1:3" x14ac:dyDescent="0.2">
      <c r="A948" s="2">
        <v>946</v>
      </c>
      <c r="B948" s="2">
        <f t="shared" ca="1" si="14"/>
        <v>0.40357348295983131</v>
      </c>
      <c r="C948" s="2" t="s">
        <v>226</v>
      </c>
    </row>
    <row r="949" spans="1:3" x14ac:dyDescent="0.2">
      <c r="A949" s="2">
        <v>947</v>
      </c>
      <c r="B949" s="2">
        <f t="shared" ca="1" si="14"/>
        <v>0.76878282433334966</v>
      </c>
      <c r="C949" s="2" t="s">
        <v>227</v>
      </c>
    </row>
    <row r="950" spans="1:3" x14ac:dyDescent="0.2">
      <c r="A950" s="2">
        <v>948</v>
      </c>
      <c r="B950" s="2">
        <f t="shared" ca="1" si="14"/>
        <v>0.34403565194871655</v>
      </c>
      <c r="C950" s="2" t="s">
        <v>226</v>
      </c>
    </row>
    <row r="951" spans="1:3" x14ac:dyDescent="0.2">
      <c r="A951" s="2">
        <v>949</v>
      </c>
      <c r="B951" s="2">
        <f t="shared" ca="1" si="14"/>
        <v>0.6166010295801031</v>
      </c>
      <c r="C951" s="2" t="s">
        <v>227</v>
      </c>
    </row>
    <row r="952" spans="1:3" x14ac:dyDescent="0.2">
      <c r="A952" s="2">
        <v>950</v>
      </c>
      <c r="B952" s="2">
        <f t="shared" ca="1" si="14"/>
        <v>0.61003359638675447</v>
      </c>
      <c r="C952" s="2" t="s">
        <v>227</v>
      </c>
    </row>
    <row r="953" spans="1:3" x14ac:dyDescent="0.2">
      <c r="A953" s="2">
        <v>951</v>
      </c>
      <c r="B953" s="2">
        <f t="shared" ca="1" si="14"/>
        <v>0.21534774517754096</v>
      </c>
      <c r="C953" s="2" t="s">
        <v>226</v>
      </c>
    </row>
    <row r="954" spans="1:3" x14ac:dyDescent="0.2">
      <c r="A954" s="2">
        <v>952</v>
      </c>
      <c r="B954" s="2">
        <f t="shared" ca="1" si="14"/>
        <v>0.50743589155157964</v>
      </c>
      <c r="C954" s="2" t="s">
        <v>226</v>
      </c>
    </row>
    <row r="955" spans="1:3" x14ac:dyDescent="0.2">
      <c r="A955" s="2">
        <v>953</v>
      </c>
      <c r="B955" s="2">
        <f t="shared" ca="1" si="14"/>
        <v>0.78669062089949182</v>
      </c>
      <c r="C955" s="2" t="s">
        <v>227</v>
      </c>
    </row>
    <row r="956" spans="1:3" x14ac:dyDescent="0.2">
      <c r="A956" s="2">
        <v>954</v>
      </c>
      <c r="B956" s="2">
        <f t="shared" ca="1" si="14"/>
        <v>0.57764244789996866</v>
      </c>
      <c r="C956" s="2" t="s">
        <v>226</v>
      </c>
    </row>
    <row r="957" spans="1:3" x14ac:dyDescent="0.2">
      <c r="A957" s="2">
        <v>955</v>
      </c>
      <c r="B957" s="2">
        <f t="shared" ca="1" si="14"/>
        <v>0.70849493894335458</v>
      </c>
      <c r="C957" s="2" t="s">
        <v>227</v>
      </c>
    </row>
    <row r="958" spans="1:3" x14ac:dyDescent="0.2">
      <c r="A958" s="2">
        <v>956</v>
      </c>
      <c r="B958" s="2">
        <f t="shared" ca="1" si="14"/>
        <v>0.83754694463248636</v>
      </c>
      <c r="C958" s="2" t="s">
        <v>227</v>
      </c>
    </row>
    <row r="959" spans="1:3" x14ac:dyDescent="0.2">
      <c r="A959" s="2">
        <v>957</v>
      </c>
      <c r="B959" s="2">
        <f t="shared" ca="1" si="14"/>
        <v>0.77860544869055148</v>
      </c>
      <c r="C959" s="2" t="s">
        <v>226</v>
      </c>
    </row>
    <row r="960" spans="1:3" x14ac:dyDescent="0.2">
      <c r="A960" s="2">
        <v>958</v>
      </c>
      <c r="B960" s="2">
        <f t="shared" ca="1" si="14"/>
        <v>0.54379137484692508</v>
      </c>
      <c r="C960" s="2" t="s">
        <v>227</v>
      </c>
    </row>
    <row r="961" spans="1:3" x14ac:dyDescent="0.2">
      <c r="A961" s="2">
        <v>959</v>
      </c>
      <c r="B961" s="2">
        <f t="shared" ca="1" si="14"/>
        <v>0.45509237995850144</v>
      </c>
      <c r="C961" s="2" t="s">
        <v>226</v>
      </c>
    </row>
    <row r="962" spans="1:3" x14ac:dyDescent="0.2">
      <c r="A962" s="2">
        <v>960</v>
      </c>
      <c r="B962" s="2">
        <f t="shared" ca="1" si="14"/>
        <v>0.35823154509869837</v>
      </c>
      <c r="C962" s="2" t="s">
        <v>226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0.72762494665234345</v>
      </c>
      <c r="C963" s="2" t="s">
        <v>227</v>
      </c>
    </row>
    <row r="964" spans="1:3" x14ac:dyDescent="0.2">
      <c r="A964" s="2">
        <v>962</v>
      </c>
      <c r="B964" s="2">
        <f t="shared" ca="1" si="15"/>
        <v>0.71805074227479671</v>
      </c>
      <c r="C964" s="2" t="s">
        <v>227</v>
      </c>
    </row>
    <row r="965" spans="1:3" x14ac:dyDescent="0.2">
      <c r="A965" s="2">
        <v>963</v>
      </c>
      <c r="B965" s="2">
        <f t="shared" ca="1" si="15"/>
        <v>0.83203150559849071</v>
      </c>
      <c r="C965" s="2" t="s">
        <v>227</v>
      </c>
    </row>
    <row r="966" spans="1:3" x14ac:dyDescent="0.2">
      <c r="A966" s="2">
        <v>964</v>
      </c>
      <c r="B966" s="2">
        <f t="shared" ca="1" si="15"/>
        <v>0.6780059690598621</v>
      </c>
      <c r="C966" s="2" t="s">
        <v>227</v>
      </c>
    </row>
    <row r="967" spans="1:3" x14ac:dyDescent="0.2">
      <c r="A967" s="2">
        <v>965</v>
      </c>
      <c r="B967" s="2">
        <f t="shared" ca="1" si="15"/>
        <v>0.65882728324563544</v>
      </c>
      <c r="C967" s="2" t="s">
        <v>227</v>
      </c>
    </row>
    <row r="968" spans="1:3" x14ac:dyDescent="0.2">
      <c r="A968" s="2">
        <v>966</v>
      </c>
      <c r="B968" s="2">
        <f t="shared" ca="1" si="15"/>
        <v>0.66745851602655004</v>
      </c>
      <c r="C968" s="2" t="s">
        <v>227</v>
      </c>
    </row>
    <row r="969" spans="1:3" x14ac:dyDescent="0.2">
      <c r="A969" s="2">
        <v>967</v>
      </c>
      <c r="B969" s="2">
        <f t="shared" ca="1" si="15"/>
        <v>0.60647859909916824</v>
      </c>
      <c r="C969" s="2" t="s">
        <v>227</v>
      </c>
    </row>
    <row r="970" spans="1:3" x14ac:dyDescent="0.2">
      <c r="A970" s="2">
        <v>968</v>
      </c>
      <c r="B970" s="2">
        <f t="shared" ca="1" si="15"/>
        <v>0.67429060086170767</v>
      </c>
      <c r="C970" s="2" t="s">
        <v>227</v>
      </c>
    </row>
    <row r="971" spans="1:3" x14ac:dyDescent="0.2">
      <c r="A971" s="2">
        <v>969</v>
      </c>
      <c r="B971" s="2">
        <f t="shared" ca="1" si="15"/>
        <v>0.7367450490147297</v>
      </c>
      <c r="C971" s="2" t="s">
        <v>226</v>
      </c>
    </row>
    <row r="972" spans="1:3" x14ac:dyDescent="0.2">
      <c r="A972" s="2">
        <v>970</v>
      </c>
      <c r="B972" s="2">
        <f t="shared" ca="1" si="15"/>
        <v>0.59754484311962186</v>
      </c>
      <c r="C972" s="2" t="s">
        <v>226</v>
      </c>
    </row>
    <row r="973" spans="1:3" x14ac:dyDescent="0.2">
      <c r="A973" s="2">
        <v>971</v>
      </c>
      <c r="B973" s="2">
        <f t="shared" ca="1" si="15"/>
        <v>0.74165264295856048</v>
      </c>
      <c r="C973" s="2" t="s">
        <v>227</v>
      </c>
    </row>
    <row r="974" spans="1:3" x14ac:dyDescent="0.2">
      <c r="A974" s="2">
        <v>972</v>
      </c>
      <c r="B974" s="2">
        <f t="shared" ca="1" si="15"/>
        <v>0.40152962713539098</v>
      </c>
      <c r="C974" s="2" t="s">
        <v>226</v>
      </c>
    </row>
    <row r="975" spans="1:3" x14ac:dyDescent="0.2">
      <c r="A975" s="2">
        <v>973</v>
      </c>
      <c r="B975" s="2">
        <f t="shared" ca="1" si="15"/>
        <v>0.56549615056680591</v>
      </c>
      <c r="C975" s="2" t="s">
        <v>227</v>
      </c>
    </row>
    <row r="976" spans="1:3" x14ac:dyDescent="0.2">
      <c r="A976" s="2">
        <v>974</v>
      </c>
      <c r="B976" s="2">
        <f t="shared" ca="1" si="15"/>
        <v>0.59695929959802996</v>
      </c>
      <c r="C976" s="2" t="s">
        <v>227</v>
      </c>
    </row>
    <row r="977" spans="1:3" x14ac:dyDescent="0.2">
      <c r="A977" s="2">
        <v>975</v>
      </c>
      <c r="B977" s="2">
        <f t="shared" ca="1" si="15"/>
        <v>0.82035400401368364</v>
      </c>
      <c r="C977" s="2" t="s">
        <v>227</v>
      </c>
    </row>
    <row r="978" spans="1:3" x14ac:dyDescent="0.2">
      <c r="A978" s="2">
        <v>976</v>
      </c>
      <c r="B978" s="2">
        <f t="shared" ca="1" si="15"/>
        <v>0.59284386675598466</v>
      </c>
      <c r="C978" s="2" t="s">
        <v>227</v>
      </c>
    </row>
    <row r="979" spans="1:3" x14ac:dyDescent="0.2">
      <c r="A979" s="2">
        <v>977</v>
      </c>
      <c r="B979" s="2">
        <f t="shared" ca="1" si="15"/>
        <v>0.70810150321415277</v>
      </c>
      <c r="C979" s="2" t="s">
        <v>227</v>
      </c>
    </row>
    <row r="980" spans="1:3" x14ac:dyDescent="0.2">
      <c r="A980" s="2">
        <v>978</v>
      </c>
      <c r="B980" s="2">
        <f t="shared" ca="1" si="15"/>
        <v>0.74392059319115944</v>
      </c>
      <c r="C980" s="2" t="s">
        <v>227</v>
      </c>
    </row>
    <row r="981" spans="1:3" x14ac:dyDescent="0.2">
      <c r="A981" s="2">
        <v>979</v>
      </c>
      <c r="B981" s="2">
        <f t="shared" ca="1" si="15"/>
        <v>0.84240723730159428</v>
      </c>
      <c r="C981" s="2" t="s">
        <v>227</v>
      </c>
    </row>
    <row r="982" spans="1:3" x14ac:dyDescent="0.2">
      <c r="A982" s="2">
        <v>980</v>
      </c>
      <c r="B982" s="2">
        <f t="shared" ca="1" si="15"/>
        <v>0.76190275065476087</v>
      </c>
      <c r="C982" s="2" t="s">
        <v>226</v>
      </c>
    </row>
    <row r="983" spans="1:3" x14ac:dyDescent="0.2">
      <c r="A983" s="2">
        <v>981</v>
      </c>
      <c r="B983" s="2">
        <f t="shared" ca="1" si="15"/>
        <v>0.447271566621679</v>
      </c>
      <c r="C983" s="2" t="s">
        <v>226</v>
      </c>
    </row>
    <row r="984" spans="1:3" x14ac:dyDescent="0.2">
      <c r="A984" s="2">
        <v>982</v>
      </c>
      <c r="B984" s="2">
        <f t="shared" ca="1" si="15"/>
        <v>0.56583593467663329</v>
      </c>
      <c r="C984" s="2" t="s">
        <v>227</v>
      </c>
    </row>
    <row r="985" spans="1:3" x14ac:dyDescent="0.2">
      <c r="A985" s="2">
        <v>983</v>
      </c>
      <c r="B985" s="2">
        <f t="shared" ca="1" si="15"/>
        <v>0.78270866664352645</v>
      </c>
      <c r="C985" s="2" t="s">
        <v>227</v>
      </c>
    </row>
    <row r="986" spans="1:3" x14ac:dyDescent="0.2">
      <c r="A986" s="2">
        <v>984</v>
      </c>
      <c r="B986" s="2">
        <f t="shared" ca="1" si="15"/>
        <v>0.56691370119117079</v>
      </c>
      <c r="C986" s="2" t="s">
        <v>226</v>
      </c>
    </row>
    <row r="987" spans="1:3" x14ac:dyDescent="0.2">
      <c r="A987" s="2">
        <v>985</v>
      </c>
      <c r="B987" s="2">
        <f t="shared" ca="1" si="15"/>
        <v>0.3168055007669055</v>
      </c>
      <c r="C987" s="2" t="s">
        <v>226</v>
      </c>
    </row>
    <row r="988" spans="1:3" x14ac:dyDescent="0.2">
      <c r="A988" s="2">
        <v>986</v>
      </c>
      <c r="B988" s="2">
        <f t="shared" ca="1" si="15"/>
        <v>0.63014920302387878</v>
      </c>
      <c r="C988" s="2" t="s">
        <v>227</v>
      </c>
    </row>
    <row r="989" spans="1:3" x14ac:dyDescent="0.2">
      <c r="A989" s="2">
        <v>987</v>
      </c>
      <c r="B989" s="2">
        <f t="shared" ca="1" si="15"/>
        <v>0.4548803626882898</v>
      </c>
      <c r="C989" s="2" t="s">
        <v>226</v>
      </c>
    </row>
    <row r="990" spans="1:3" x14ac:dyDescent="0.2">
      <c r="A990" s="2">
        <v>988</v>
      </c>
      <c r="B990" s="2">
        <f t="shared" ca="1" si="15"/>
        <v>0.63433861457308893</v>
      </c>
      <c r="C990" s="2" t="s">
        <v>226</v>
      </c>
    </row>
    <row r="991" spans="1:3" x14ac:dyDescent="0.2">
      <c r="A991" s="2">
        <v>989</v>
      </c>
      <c r="B991" s="2">
        <f t="shared" ca="1" si="15"/>
        <v>0.62999155414704577</v>
      </c>
      <c r="C991" s="2" t="s">
        <v>227</v>
      </c>
    </row>
    <row r="992" spans="1:3" x14ac:dyDescent="0.2">
      <c r="A992" s="2">
        <v>990</v>
      </c>
      <c r="B992" s="2">
        <f t="shared" ca="1" si="15"/>
        <v>0.32887998541973629</v>
      </c>
      <c r="C992" s="2" t="s">
        <v>226</v>
      </c>
    </row>
    <row r="993" spans="1:3" x14ac:dyDescent="0.2">
      <c r="A993" s="2">
        <v>991</v>
      </c>
      <c r="B993" s="2">
        <f t="shared" ca="1" si="15"/>
        <v>0.58600432767626764</v>
      </c>
      <c r="C993" s="2" t="s">
        <v>227</v>
      </c>
    </row>
    <row r="994" spans="1:3" x14ac:dyDescent="0.2">
      <c r="A994" s="2">
        <v>992</v>
      </c>
      <c r="B994" s="2">
        <f t="shared" ca="1" si="15"/>
        <v>0.48382568457253172</v>
      </c>
      <c r="C994" s="2" t="s">
        <v>226</v>
      </c>
    </row>
    <row r="995" spans="1:3" x14ac:dyDescent="0.2">
      <c r="A995" s="2">
        <v>993</v>
      </c>
      <c r="B995" s="2">
        <f t="shared" ca="1" si="15"/>
        <v>0.58842752300878876</v>
      </c>
      <c r="C995" s="2" t="s">
        <v>227</v>
      </c>
    </row>
    <row r="996" spans="1:3" x14ac:dyDescent="0.2">
      <c r="A996" s="2">
        <v>994</v>
      </c>
      <c r="B996" s="2">
        <f t="shared" ca="1" si="15"/>
        <v>0.55625014560927388</v>
      </c>
      <c r="C996" s="2" t="s">
        <v>227</v>
      </c>
    </row>
    <row r="997" spans="1:3" x14ac:dyDescent="0.2">
      <c r="A997" s="2">
        <v>995</v>
      </c>
      <c r="B997" s="2">
        <f t="shared" ca="1" si="15"/>
        <v>0.4318697962537737</v>
      </c>
      <c r="C997" s="2" t="s">
        <v>226</v>
      </c>
    </row>
    <row r="998" spans="1:3" x14ac:dyDescent="0.2">
      <c r="A998" s="2">
        <v>996</v>
      </c>
      <c r="B998" s="2">
        <f t="shared" ca="1" si="15"/>
        <v>0.77046043056935654</v>
      </c>
      <c r="C998" s="2" t="s">
        <v>227</v>
      </c>
    </row>
    <row r="999" spans="1:3" x14ac:dyDescent="0.2">
      <c r="A999" s="2">
        <v>997</v>
      </c>
      <c r="B999" s="2">
        <f t="shared" ca="1" si="15"/>
        <v>0.56941513382930031</v>
      </c>
      <c r="C999" s="2" t="s">
        <v>226</v>
      </c>
    </row>
    <row r="1000" spans="1:3" x14ac:dyDescent="0.2">
      <c r="A1000" s="2">
        <v>998</v>
      </c>
      <c r="B1000" s="2">
        <f t="shared" ca="1" si="15"/>
        <v>0.80979306854476452</v>
      </c>
      <c r="C1000" s="2" t="s">
        <v>226</v>
      </c>
    </row>
    <row r="1001" spans="1:3" x14ac:dyDescent="0.2">
      <c r="A1001" s="2">
        <v>999</v>
      </c>
      <c r="B1001" s="2">
        <f t="shared" ca="1" si="15"/>
        <v>0.54716256250743422</v>
      </c>
      <c r="C1001" s="2" t="s">
        <v>226</v>
      </c>
    </row>
    <row r="1002" spans="1:3" x14ac:dyDescent="0.2">
      <c r="A1002" s="2">
        <v>1000</v>
      </c>
      <c r="B1002" s="2">
        <f t="shared" ca="1" si="15"/>
        <v>0.52262915856581327</v>
      </c>
      <c r="C1002" s="2" t="s">
        <v>226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11ABE-7E98-B14E-A968-861A5973F123}">
  <sheetPr codeName="Sheet5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231</v>
      </c>
      <c r="C2" s="2" t="s">
        <v>10</v>
      </c>
      <c r="J2" s="4" t="s">
        <v>232</v>
      </c>
      <c r="K2" s="4" t="s">
        <v>229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0.17609091322753423</v>
      </c>
      <c r="C3" s="2" t="str">
        <f ca="1">IF(RAND()&lt;0.5,"Bomb","Bird")</f>
        <v>Bird</v>
      </c>
      <c r="E3" s="2" t="s">
        <v>230</v>
      </c>
      <c r="I3" s="3"/>
      <c r="J3" s="34">
        <f ca="1">F10</f>
        <v>1</v>
      </c>
      <c r="K3" s="34">
        <f ca="1">E10</f>
        <v>1</v>
      </c>
    </row>
    <row r="4" spans="1:11" x14ac:dyDescent="0.2">
      <c r="A4" s="2">
        <v>2</v>
      </c>
      <c r="B4" s="2">
        <f t="shared" ca="1" si="0"/>
        <v>0.63120345399754973</v>
      </c>
      <c r="C4" s="2" t="s">
        <v>227</v>
      </c>
      <c r="E4" s="31">
        <v>0</v>
      </c>
      <c r="I4" s="34">
        <v>0.03</v>
      </c>
      <c r="J4" s="33">
        <f t="dataTable" ref="J4:K36" dt2D="0" dtr="0" r1="E4" ca="1"/>
        <v>1</v>
      </c>
      <c r="K4" s="33">
        <v>1</v>
      </c>
    </row>
    <row r="5" spans="1:11" x14ac:dyDescent="0.2">
      <c r="A5" s="2">
        <v>3</v>
      </c>
      <c r="B5" s="2">
        <f t="shared" ca="1" si="0"/>
        <v>0.83780560191799025</v>
      </c>
      <c r="C5" s="2" t="s">
        <v>226</v>
      </c>
      <c r="I5" s="34">
        <v>0.06</v>
      </c>
      <c r="J5" s="33">
        <v>0.99805068226120852</v>
      </c>
      <c r="K5" s="33">
        <v>1</v>
      </c>
    </row>
    <row r="6" spans="1:11" x14ac:dyDescent="0.2">
      <c r="A6" s="2">
        <v>4</v>
      </c>
      <c r="B6" s="2">
        <f t="shared" ca="1" si="0"/>
        <v>0.66302920634724216</v>
      </c>
      <c r="C6" s="2" t="s">
        <v>227</v>
      </c>
      <c r="E6" s="4" t="s">
        <v>229</v>
      </c>
      <c r="F6" s="4" t="s">
        <v>228</v>
      </c>
      <c r="I6" s="34">
        <v>0.09</v>
      </c>
      <c r="J6" s="33">
        <v>0.99805068226120852</v>
      </c>
      <c r="K6" s="33">
        <v>1</v>
      </c>
    </row>
    <row r="7" spans="1:11" x14ac:dyDescent="0.2">
      <c r="A7" s="2">
        <v>5</v>
      </c>
      <c r="B7" s="2">
        <f t="shared" ca="1" si="0"/>
        <v>0.63764319145786608</v>
      </c>
      <c r="C7" s="2" t="s">
        <v>227</v>
      </c>
      <c r="E7" s="32">
        <f ca="1">COUNTIFS(B:B,"&gt;" &amp;E4,C:C,"="&amp;"Bomb")/COUNTIFS(C:C,"="&amp;"Bomb")</f>
        <v>1</v>
      </c>
      <c r="F7" s="32">
        <f ca="1">COUNTIFS(B:B,"&lt;" &amp;E4,C:C,"="&amp;"Bird")/COUNTIFS(C:C,"="&amp;"Bird")</f>
        <v>0</v>
      </c>
      <c r="I7" s="34">
        <v>0.12</v>
      </c>
      <c r="J7" s="33">
        <v>1</v>
      </c>
      <c r="K7" s="33">
        <v>1</v>
      </c>
    </row>
    <row r="8" spans="1:11" x14ac:dyDescent="0.2">
      <c r="A8" s="2">
        <v>6</v>
      </c>
      <c r="B8" s="2">
        <f t="shared" ca="1" si="0"/>
        <v>0.73521069001725503</v>
      </c>
      <c r="C8" s="2" t="s">
        <v>227</v>
      </c>
      <c r="I8" s="34">
        <v>0.15</v>
      </c>
      <c r="J8" s="33">
        <v>1</v>
      </c>
      <c r="K8" s="33">
        <v>1</v>
      </c>
    </row>
    <row r="9" spans="1:11" x14ac:dyDescent="0.2">
      <c r="A9" s="2">
        <v>7</v>
      </c>
      <c r="B9" s="2">
        <f t="shared" ca="1" si="0"/>
        <v>0.66848201691016751</v>
      </c>
      <c r="C9" s="2" t="s">
        <v>227</v>
      </c>
      <c r="E9" s="4" t="s">
        <v>229</v>
      </c>
      <c r="F9" s="4" t="s">
        <v>240</v>
      </c>
      <c r="I9" s="34">
        <v>0.18</v>
      </c>
      <c r="J9" s="33">
        <v>0.99805447470817121</v>
      </c>
      <c r="K9" s="33">
        <v>1</v>
      </c>
    </row>
    <row r="10" spans="1:11" x14ac:dyDescent="0.2">
      <c r="A10" s="2">
        <v>8</v>
      </c>
      <c r="B10" s="2">
        <f t="shared" ca="1" si="0"/>
        <v>0.64398561451566705</v>
      </c>
      <c r="C10" s="2" t="s">
        <v>226</v>
      </c>
      <c r="E10" s="31">
        <f ca="1">E7</f>
        <v>1</v>
      </c>
      <c r="F10" s="31">
        <f ca="1">1-F7</f>
        <v>1</v>
      </c>
      <c r="I10" s="34">
        <v>0.21</v>
      </c>
      <c r="J10" s="33">
        <v>0.99610136452241715</v>
      </c>
      <c r="K10" s="33">
        <v>1</v>
      </c>
    </row>
    <row r="11" spans="1:11" x14ac:dyDescent="0.2">
      <c r="A11" s="2">
        <v>9</v>
      </c>
      <c r="B11" s="2">
        <f t="shared" ca="1" si="0"/>
        <v>0.37713253021948523</v>
      </c>
      <c r="C11" s="2" t="s">
        <v>226</v>
      </c>
      <c r="I11" s="34">
        <v>0.24</v>
      </c>
      <c r="J11" s="33">
        <v>0.99220272904483431</v>
      </c>
      <c r="K11" s="33">
        <v>1</v>
      </c>
    </row>
    <row r="12" spans="1:11" x14ac:dyDescent="0.2">
      <c r="A12" s="2">
        <v>10</v>
      </c>
      <c r="B12" s="2">
        <f t="shared" ca="1" si="0"/>
        <v>0.6868570736788876</v>
      </c>
      <c r="C12" s="2" t="s">
        <v>226</v>
      </c>
      <c r="I12" s="34">
        <v>0.27</v>
      </c>
      <c r="J12" s="33">
        <v>0.98443579766536971</v>
      </c>
      <c r="K12" s="33">
        <v>1</v>
      </c>
    </row>
    <row r="13" spans="1:11" x14ac:dyDescent="0.2">
      <c r="A13" s="2">
        <v>11</v>
      </c>
      <c r="B13" s="2">
        <f t="shared" ca="1" si="0"/>
        <v>0.64518600994035946</v>
      </c>
      <c r="C13" s="2" t="s">
        <v>226</v>
      </c>
      <c r="I13" s="34">
        <v>0.3</v>
      </c>
      <c r="J13" s="33">
        <v>0.96692607003891051</v>
      </c>
      <c r="K13" s="33">
        <v>1</v>
      </c>
    </row>
    <row r="14" spans="1:11" x14ac:dyDescent="0.2">
      <c r="A14" s="2">
        <v>12</v>
      </c>
      <c r="B14" s="2">
        <f t="shared" ca="1" si="0"/>
        <v>0.96820765720662583</v>
      </c>
      <c r="C14" s="2" t="s">
        <v>226</v>
      </c>
      <c r="I14" s="34">
        <v>0.33</v>
      </c>
      <c r="J14" s="33">
        <v>0.96498054474708173</v>
      </c>
      <c r="K14" s="33">
        <v>1</v>
      </c>
    </row>
    <row r="15" spans="1:11" x14ac:dyDescent="0.2">
      <c r="A15" s="2">
        <v>13</v>
      </c>
      <c r="B15" s="2">
        <f t="shared" ca="1" si="0"/>
        <v>0.65833732983504589</v>
      </c>
      <c r="C15" s="2" t="s">
        <v>227</v>
      </c>
      <c r="I15" s="34">
        <v>0.36</v>
      </c>
      <c r="J15" s="33">
        <v>0.95906432748538006</v>
      </c>
      <c r="K15" s="33">
        <v>1</v>
      </c>
    </row>
    <row r="16" spans="1:11" x14ac:dyDescent="0.2">
      <c r="A16" s="2">
        <v>14</v>
      </c>
      <c r="B16" s="2">
        <f t="shared" ca="1" si="0"/>
        <v>0.7282175422993602</v>
      </c>
      <c r="C16" s="2" t="s">
        <v>227</v>
      </c>
      <c r="I16" s="34">
        <v>0.39</v>
      </c>
      <c r="J16" s="33">
        <v>0.92982456140350878</v>
      </c>
      <c r="K16" s="33">
        <v>1</v>
      </c>
    </row>
    <row r="17" spans="1:11" x14ac:dyDescent="0.2">
      <c r="A17" s="2">
        <v>15</v>
      </c>
      <c r="B17" s="2">
        <f t="shared" ca="1" si="0"/>
        <v>0.68730008890373195</v>
      </c>
      <c r="C17" s="2" t="s">
        <v>227</v>
      </c>
      <c r="I17" s="34">
        <v>0.42</v>
      </c>
      <c r="J17" s="33">
        <v>0.89105058365758749</v>
      </c>
      <c r="K17" s="33">
        <v>0.99382716049382713</v>
      </c>
    </row>
    <row r="18" spans="1:11" x14ac:dyDescent="0.2">
      <c r="A18" s="2">
        <v>16</v>
      </c>
      <c r="B18" s="2">
        <f t="shared" ca="1" si="0"/>
        <v>0.72475788682049291</v>
      </c>
      <c r="C18" s="2" t="s">
        <v>226</v>
      </c>
      <c r="I18" s="34">
        <v>0.45</v>
      </c>
      <c r="J18" s="33">
        <v>0.83073929961089488</v>
      </c>
      <c r="K18" s="33">
        <v>0.99588477366255146</v>
      </c>
    </row>
    <row r="19" spans="1:11" x14ac:dyDescent="0.2">
      <c r="A19" s="2">
        <v>17</v>
      </c>
      <c r="B19" s="2">
        <f t="shared" ca="1" si="0"/>
        <v>0.61051081490329762</v>
      </c>
      <c r="C19" s="2" t="s">
        <v>227</v>
      </c>
      <c r="I19" s="34">
        <v>0.48</v>
      </c>
      <c r="J19" s="33">
        <v>0.77237354085603116</v>
      </c>
      <c r="K19" s="33">
        <v>0.98559670781893005</v>
      </c>
    </row>
    <row r="20" spans="1:11" x14ac:dyDescent="0.2">
      <c r="A20" s="2">
        <v>18</v>
      </c>
      <c r="B20" s="2">
        <f t="shared" ca="1" si="0"/>
        <v>0.45686818320569145</v>
      </c>
      <c r="C20" s="2" t="s">
        <v>226</v>
      </c>
      <c r="I20" s="34">
        <v>0.51</v>
      </c>
      <c r="J20" s="33">
        <v>0.73684210526315796</v>
      </c>
      <c r="K20" s="33">
        <v>0.9691991786447639</v>
      </c>
    </row>
    <row r="21" spans="1:11" x14ac:dyDescent="0.2">
      <c r="A21" s="2">
        <v>19</v>
      </c>
      <c r="B21" s="2">
        <f t="shared" ca="1" si="0"/>
        <v>0.7385438716592726</v>
      </c>
      <c r="C21" s="2" t="s">
        <v>227</v>
      </c>
      <c r="I21" s="34">
        <v>0.54</v>
      </c>
      <c r="J21" s="33">
        <v>0.62840466926070038</v>
      </c>
      <c r="K21" s="33">
        <v>0.95884773662551437</v>
      </c>
    </row>
    <row r="22" spans="1:11" x14ac:dyDescent="0.2">
      <c r="A22" s="2">
        <v>20</v>
      </c>
      <c r="B22" s="2">
        <f t="shared" ca="1" si="0"/>
        <v>0.79497201127202866</v>
      </c>
      <c r="C22" s="2" t="s">
        <v>227</v>
      </c>
      <c r="I22" s="34">
        <v>0.56999999999999995</v>
      </c>
      <c r="J22" s="33">
        <v>0.56335282651072127</v>
      </c>
      <c r="K22" s="33">
        <v>0.91581108829568791</v>
      </c>
    </row>
    <row r="23" spans="1:11" x14ac:dyDescent="0.2">
      <c r="A23" s="2">
        <v>21</v>
      </c>
      <c r="B23" s="2">
        <f t="shared" ca="1" si="0"/>
        <v>0.59852421931466071</v>
      </c>
      <c r="C23" s="2" t="s">
        <v>227</v>
      </c>
      <c r="I23" s="34">
        <v>0.6</v>
      </c>
      <c r="J23" s="33">
        <v>0.48054474708171202</v>
      </c>
      <c r="K23" s="33">
        <v>0.83539094650205759</v>
      </c>
    </row>
    <row r="24" spans="1:11" x14ac:dyDescent="0.2">
      <c r="A24" s="2">
        <v>22</v>
      </c>
      <c r="B24" s="2">
        <f t="shared" ca="1" si="0"/>
        <v>0.80193739087785798</v>
      </c>
      <c r="C24" s="2" t="s">
        <v>226</v>
      </c>
      <c r="I24" s="34">
        <v>0.63</v>
      </c>
      <c r="J24" s="33">
        <v>0.44249512670565305</v>
      </c>
      <c r="K24" s="33">
        <v>0.757700205338809</v>
      </c>
    </row>
    <row r="25" spans="1:11" x14ac:dyDescent="0.2">
      <c r="A25" s="2">
        <v>23</v>
      </c>
      <c r="B25" s="2">
        <f t="shared" ca="1" si="0"/>
        <v>0.66614432410161384</v>
      </c>
      <c r="C25" s="2" t="s">
        <v>227</v>
      </c>
      <c r="I25" s="34">
        <v>0.66</v>
      </c>
      <c r="J25" s="33">
        <v>0.3235867446393762</v>
      </c>
      <c r="K25" s="33">
        <v>0.67351129363449691</v>
      </c>
    </row>
    <row r="26" spans="1:11" x14ac:dyDescent="0.2">
      <c r="A26" s="2">
        <v>24</v>
      </c>
      <c r="B26" s="2">
        <f t="shared" ca="1" si="0"/>
        <v>0.64306371450201483</v>
      </c>
      <c r="C26" s="2" t="s">
        <v>227</v>
      </c>
      <c r="I26" s="34">
        <v>0.69</v>
      </c>
      <c r="J26" s="33">
        <v>0.28404669260700388</v>
      </c>
      <c r="K26" s="33">
        <v>0.55555555555555558</v>
      </c>
    </row>
    <row r="27" spans="1:11" x14ac:dyDescent="0.2">
      <c r="A27" s="2">
        <v>25</v>
      </c>
      <c r="B27" s="2">
        <f t="shared" ca="1" si="0"/>
        <v>0.52239844115867051</v>
      </c>
      <c r="C27" s="2" t="s">
        <v>227</v>
      </c>
      <c r="I27" s="34">
        <v>0.72</v>
      </c>
      <c r="J27" s="33">
        <v>0.21789883268482491</v>
      </c>
      <c r="K27" s="33">
        <v>0.41152263374485598</v>
      </c>
    </row>
    <row r="28" spans="1:11" x14ac:dyDescent="0.2">
      <c r="A28" s="2">
        <v>26</v>
      </c>
      <c r="B28" s="2">
        <f t="shared" ca="1" si="0"/>
        <v>0.6384427143880681</v>
      </c>
      <c r="C28" s="2" t="s">
        <v>227</v>
      </c>
      <c r="I28" s="34">
        <v>0.75</v>
      </c>
      <c r="J28" s="33">
        <v>0.13813229571984431</v>
      </c>
      <c r="K28" s="33">
        <v>0.27366255144032919</v>
      </c>
    </row>
    <row r="29" spans="1:11" x14ac:dyDescent="0.2">
      <c r="A29" s="2">
        <v>27</v>
      </c>
      <c r="B29" s="2">
        <f t="shared" ca="1" si="0"/>
        <v>0.77791334264060241</v>
      </c>
      <c r="C29" s="2" t="s">
        <v>226</v>
      </c>
      <c r="I29" s="34">
        <v>0.78</v>
      </c>
      <c r="J29" s="33">
        <v>0.13424124513618674</v>
      </c>
      <c r="K29" s="33">
        <v>0.18518518518518517</v>
      </c>
    </row>
    <row r="30" spans="1:11" x14ac:dyDescent="0.2">
      <c r="A30" s="2">
        <v>28</v>
      </c>
      <c r="B30" s="2">
        <f t="shared" ca="1" si="0"/>
        <v>0.71091035806393021</v>
      </c>
      <c r="C30" s="2" t="s">
        <v>227</v>
      </c>
      <c r="I30" s="34">
        <v>0.81</v>
      </c>
      <c r="J30" s="33">
        <v>0.10505836575875482</v>
      </c>
      <c r="K30" s="33">
        <v>0.13580246913580246</v>
      </c>
    </row>
    <row r="31" spans="1:11" x14ac:dyDescent="0.2">
      <c r="A31" s="2">
        <v>29</v>
      </c>
      <c r="B31" s="2">
        <f t="shared" ca="1" si="0"/>
        <v>0.4920992867145656</v>
      </c>
      <c r="C31" s="2" t="s">
        <v>226</v>
      </c>
      <c r="I31" s="34">
        <v>0.84</v>
      </c>
      <c r="J31" s="33">
        <v>3.5087719298245612E-2</v>
      </c>
      <c r="K31" s="33">
        <v>9.4455852156057493E-2</v>
      </c>
    </row>
    <row r="32" spans="1:11" x14ac:dyDescent="0.2">
      <c r="A32" s="2">
        <v>30</v>
      </c>
      <c r="B32" s="2">
        <f t="shared" ca="1" si="0"/>
        <v>0.84285202416977445</v>
      </c>
      <c r="C32" s="2" t="s">
        <v>227</v>
      </c>
      <c r="I32" s="34">
        <v>0.87</v>
      </c>
      <c r="J32" s="33">
        <v>3.8986354775828458E-2</v>
      </c>
      <c r="K32" s="33">
        <v>4.7227926078028747E-2</v>
      </c>
    </row>
    <row r="33" spans="1:11" x14ac:dyDescent="0.2">
      <c r="A33" s="2">
        <v>31</v>
      </c>
      <c r="B33" s="2">
        <f t="shared" ca="1" si="0"/>
        <v>0.55293019255720932</v>
      </c>
      <c r="C33" s="2" t="s">
        <v>227</v>
      </c>
      <c r="I33" s="34">
        <v>0.9</v>
      </c>
      <c r="J33" s="33">
        <v>1.9493177387914229E-2</v>
      </c>
      <c r="K33" s="33">
        <v>3.9014373716632446E-2</v>
      </c>
    </row>
    <row r="34" spans="1:11" x14ac:dyDescent="0.2">
      <c r="A34" s="2">
        <v>32</v>
      </c>
      <c r="B34" s="2">
        <f t="shared" ca="1" si="0"/>
        <v>0.43622607223280119</v>
      </c>
      <c r="C34" s="2" t="s">
        <v>226</v>
      </c>
      <c r="I34" s="34">
        <v>0.93</v>
      </c>
      <c r="J34" s="33">
        <v>1.7509727626459193E-2</v>
      </c>
      <c r="K34" s="33">
        <v>1.2345679012345678E-2</v>
      </c>
    </row>
    <row r="35" spans="1:11" x14ac:dyDescent="0.2">
      <c r="A35" s="2">
        <v>33</v>
      </c>
      <c r="B35" s="2">
        <f t="shared" ca="1" si="0"/>
        <v>0.4778359016686039</v>
      </c>
      <c r="C35" s="2" t="s">
        <v>226</v>
      </c>
      <c r="I35" s="34">
        <v>0.96</v>
      </c>
      <c r="J35" s="33">
        <v>3.8910505836575737E-3</v>
      </c>
      <c r="K35" s="33">
        <v>0</v>
      </c>
    </row>
    <row r="36" spans="1:11" x14ac:dyDescent="0.2">
      <c r="A36" s="2">
        <v>34</v>
      </c>
      <c r="B36" s="2">
        <f t="shared" ca="1" si="0"/>
        <v>0.52292967500106524</v>
      </c>
      <c r="C36" s="2" t="s">
        <v>226</v>
      </c>
      <c r="I36" s="34">
        <v>0.99</v>
      </c>
      <c r="J36" s="33">
        <v>1.9493177387914784E-3</v>
      </c>
      <c r="K36" s="33">
        <v>0</v>
      </c>
    </row>
    <row r="37" spans="1:11" x14ac:dyDescent="0.2">
      <c r="A37" s="2">
        <v>35</v>
      </c>
      <c r="B37" s="2">
        <f t="shared" ca="1" si="0"/>
        <v>0.93358446374294246</v>
      </c>
      <c r="C37" s="2" t="s">
        <v>227</v>
      </c>
      <c r="I37" s="31"/>
    </row>
    <row r="38" spans="1:11" x14ac:dyDescent="0.2">
      <c r="A38" s="2">
        <v>36</v>
      </c>
      <c r="B38" s="2">
        <f t="shared" ca="1" si="0"/>
        <v>0.46501478606138102</v>
      </c>
      <c r="C38" s="2" t="s">
        <v>226</v>
      </c>
    </row>
    <row r="39" spans="1:11" x14ac:dyDescent="0.2">
      <c r="A39" s="2">
        <v>37</v>
      </c>
      <c r="B39" s="2">
        <f t="shared" ca="1" si="0"/>
        <v>0.54895764676608394</v>
      </c>
      <c r="C39" s="2" t="s">
        <v>226</v>
      </c>
    </row>
    <row r="40" spans="1:11" x14ac:dyDescent="0.2">
      <c r="A40" s="2">
        <v>38</v>
      </c>
      <c r="B40" s="2">
        <f t="shared" ca="1" si="0"/>
        <v>0.75810942394723135</v>
      </c>
      <c r="C40" s="2" t="s">
        <v>227</v>
      </c>
    </row>
    <row r="41" spans="1:11" x14ac:dyDescent="0.2">
      <c r="A41" s="2">
        <v>39</v>
      </c>
      <c r="B41" s="2">
        <f t="shared" ca="1" si="0"/>
        <v>0.56153604818490055</v>
      </c>
      <c r="C41" s="2" t="s">
        <v>226</v>
      </c>
    </row>
    <row r="42" spans="1:11" x14ac:dyDescent="0.2">
      <c r="A42" s="2">
        <v>40</v>
      </c>
      <c r="B42" s="2">
        <f t="shared" ca="1" si="0"/>
        <v>0.76641975521214056</v>
      </c>
      <c r="C42" s="2" t="s">
        <v>227</v>
      </c>
    </row>
    <row r="43" spans="1:11" x14ac:dyDescent="0.2">
      <c r="A43" s="2">
        <v>41</v>
      </c>
      <c r="B43" s="2">
        <f t="shared" ca="1" si="0"/>
        <v>0.37613804500029191</v>
      </c>
      <c r="C43" s="2" t="s">
        <v>226</v>
      </c>
    </row>
    <row r="44" spans="1:11" x14ac:dyDescent="0.2">
      <c r="A44" s="2">
        <v>42</v>
      </c>
      <c r="B44" s="2">
        <f t="shared" ca="1" si="0"/>
        <v>0.40221990381189032</v>
      </c>
      <c r="C44" s="2" t="s">
        <v>226</v>
      </c>
    </row>
    <row r="45" spans="1:11" x14ac:dyDescent="0.2">
      <c r="A45" s="2">
        <v>43</v>
      </c>
      <c r="B45" s="2">
        <f t="shared" ca="1" si="0"/>
        <v>0.48866101272047346</v>
      </c>
      <c r="C45" s="2" t="s">
        <v>226</v>
      </c>
    </row>
    <row r="46" spans="1:11" x14ac:dyDescent="0.2">
      <c r="A46" s="2">
        <v>44</v>
      </c>
      <c r="B46" s="2">
        <f t="shared" ca="1" si="0"/>
        <v>0.7065485081196603</v>
      </c>
      <c r="C46" s="2" t="s">
        <v>226</v>
      </c>
    </row>
    <row r="47" spans="1:11" x14ac:dyDescent="0.2">
      <c r="A47" s="2">
        <v>45</v>
      </c>
      <c r="B47" s="2">
        <f t="shared" ca="1" si="0"/>
        <v>0.80444552014520132</v>
      </c>
      <c r="C47" s="2" t="s">
        <v>226</v>
      </c>
    </row>
    <row r="48" spans="1:11" x14ac:dyDescent="0.2">
      <c r="A48" s="2">
        <v>46</v>
      </c>
      <c r="B48" s="2">
        <f t="shared" ca="1" si="0"/>
        <v>0.7542360249207205</v>
      </c>
      <c r="C48" s="2" t="s">
        <v>227</v>
      </c>
    </row>
    <row r="49" spans="1:3" x14ac:dyDescent="0.2">
      <c r="A49" s="2">
        <v>47</v>
      </c>
      <c r="B49" s="2">
        <f t="shared" ca="1" si="0"/>
        <v>0.71116370764438397</v>
      </c>
      <c r="C49" s="2" t="s">
        <v>227</v>
      </c>
    </row>
    <row r="50" spans="1:3" x14ac:dyDescent="0.2">
      <c r="A50" s="2">
        <v>48</v>
      </c>
      <c r="B50" s="2">
        <f t="shared" ca="1" si="0"/>
        <v>0.55401071082668019</v>
      </c>
      <c r="C50" s="2" t="s">
        <v>226</v>
      </c>
    </row>
    <row r="51" spans="1:3" x14ac:dyDescent="0.2">
      <c r="A51" s="2">
        <v>49</v>
      </c>
      <c r="B51" s="2">
        <f t="shared" ca="1" si="0"/>
        <v>0.8208990698249623</v>
      </c>
      <c r="C51" s="2" t="s">
        <v>227</v>
      </c>
    </row>
    <row r="52" spans="1:3" x14ac:dyDescent="0.2">
      <c r="A52" s="2">
        <v>50</v>
      </c>
      <c r="B52" s="2">
        <f t="shared" ca="1" si="0"/>
        <v>0.68455120222502441</v>
      </c>
      <c r="C52" s="2" t="s">
        <v>227</v>
      </c>
    </row>
    <row r="53" spans="1:3" x14ac:dyDescent="0.2">
      <c r="A53" s="2">
        <v>51</v>
      </c>
      <c r="B53" s="2">
        <f t="shared" ca="1" si="0"/>
        <v>0.59634288007312808</v>
      </c>
      <c r="C53" s="2" t="s">
        <v>227</v>
      </c>
    </row>
    <row r="54" spans="1:3" x14ac:dyDescent="0.2">
      <c r="A54" s="2">
        <v>52</v>
      </c>
      <c r="B54" s="2">
        <f t="shared" ca="1" si="0"/>
        <v>0.60525001886115171</v>
      </c>
      <c r="C54" s="2" t="s">
        <v>226</v>
      </c>
    </row>
    <row r="55" spans="1:3" x14ac:dyDescent="0.2">
      <c r="A55" s="2">
        <v>53</v>
      </c>
      <c r="B55" s="2">
        <f t="shared" ca="1" si="0"/>
        <v>0.47389681394071037</v>
      </c>
      <c r="C55" s="2" t="s">
        <v>226</v>
      </c>
    </row>
    <row r="56" spans="1:3" x14ac:dyDescent="0.2">
      <c r="A56" s="2">
        <v>54</v>
      </c>
      <c r="B56" s="2">
        <f t="shared" ca="1" si="0"/>
        <v>0.707342377207831</v>
      </c>
      <c r="C56" s="2" t="s">
        <v>227</v>
      </c>
    </row>
    <row r="57" spans="1:3" x14ac:dyDescent="0.2">
      <c r="A57" s="2">
        <v>55</v>
      </c>
      <c r="B57" s="2">
        <f t="shared" ca="1" si="0"/>
        <v>0.73244387884129625</v>
      </c>
      <c r="C57" s="2" t="s">
        <v>227</v>
      </c>
    </row>
    <row r="58" spans="1:3" x14ac:dyDescent="0.2">
      <c r="A58" s="2">
        <v>56</v>
      </c>
      <c r="B58" s="2">
        <f t="shared" ca="1" si="0"/>
        <v>0.78133650453110026</v>
      </c>
      <c r="C58" s="2" t="s">
        <v>227</v>
      </c>
    </row>
    <row r="59" spans="1:3" x14ac:dyDescent="0.2">
      <c r="A59" s="2">
        <v>57</v>
      </c>
      <c r="B59" s="2">
        <f t="shared" ca="1" si="0"/>
        <v>0.64856039473980531</v>
      </c>
      <c r="C59" s="2" t="s">
        <v>226</v>
      </c>
    </row>
    <row r="60" spans="1:3" x14ac:dyDescent="0.2">
      <c r="A60" s="2">
        <v>58</v>
      </c>
      <c r="B60" s="2">
        <f t="shared" ca="1" si="0"/>
        <v>0.60396308210544736</v>
      </c>
      <c r="C60" s="2" t="s">
        <v>227</v>
      </c>
    </row>
    <row r="61" spans="1:3" x14ac:dyDescent="0.2">
      <c r="A61" s="2">
        <v>59</v>
      </c>
      <c r="B61" s="2">
        <f t="shared" ca="1" si="0"/>
        <v>0.67643235950993263</v>
      </c>
      <c r="C61" s="2" t="s">
        <v>227</v>
      </c>
    </row>
    <row r="62" spans="1:3" x14ac:dyDescent="0.2">
      <c r="A62" s="2">
        <v>60</v>
      </c>
      <c r="B62" s="2">
        <f t="shared" ca="1" si="0"/>
        <v>0.63064757334603627</v>
      </c>
      <c r="C62" s="2" t="s">
        <v>226</v>
      </c>
    </row>
    <row r="63" spans="1:3" x14ac:dyDescent="0.2">
      <c r="A63" s="2">
        <v>61</v>
      </c>
      <c r="B63" s="2">
        <f t="shared" ca="1" si="0"/>
        <v>0.46241173465971164</v>
      </c>
      <c r="C63" s="2" t="s">
        <v>226</v>
      </c>
    </row>
    <row r="64" spans="1:3" x14ac:dyDescent="0.2">
      <c r="A64" s="2">
        <v>62</v>
      </c>
      <c r="B64" s="2">
        <f t="shared" ca="1" si="0"/>
        <v>0.95533370305816701</v>
      </c>
      <c r="C64" s="2" t="s">
        <v>226</v>
      </c>
    </row>
    <row r="65" spans="1:3" x14ac:dyDescent="0.2">
      <c r="A65" s="2">
        <v>63</v>
      </c>
      <c r="B65" s="2">
        <f t="shared" ca="1" si="0"/>
        <v>0.75134308681478823</v>
      </c>
      <c r="C65" s="2" t="s">
        <v>227</v>
      </c>
    </row>
    <row r="66" spans="1:3" x14ac:dyDescent="0.2">
      <c r="A66" s="2">
        <v>64</v>
      </c>
      <c r="B66" s="2">
        <f t="shared" ca="1" si="0"/>
        <v>0.60494307686485538</v>
      </c>
      <c r="C66" s="2" t="s">
        <v>227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0.66378014173200828</v>
      </c>
      <c r="C67" s="2" t="s">
        <v>227</v>
      </c>
    </row>
    <row r="68" spans="1:3" x14ac:dyDescent="0.2">
      <c r="A68" s="2">
        <v>66</v>
      </c>
      <c r="B68" s="2">
        <f t="shared" ca="1" si="1"/>
        <v>0.69180889564228554</v>
      </c>
      <c r="C68" s="2" t="s">
        <v>227</v>
      </c>
    </row>
    <row r="69" spans="1:3" x14ac:dyDescent="0.2">
      <c r="A69" s="2">
        <v>67</v>
      </c>
      <c r="B69" s="2">
        <f t="shared" ca="1" si="1"/>
        <v>0.63394109155161538</v>
      </c>
      <c r="C69" s="2" t="s">
        <v>227</v>
      </c>
    </row>
    <row r="70" spans="1:3" x14ac:dyDescent="0.2">
      <c r="A70" s="2">
        <v>68</v>
      </c>
      <c r="B70" s="2">
        <f t="shared" ca="1" si="1"/>
        <v>0.64067507541169977</v>
      </c>
      <c r="C70" s="2" t="s">
        <v>226</v>
      </c>
    </row>
    <row r="71" spans="1:3" x14ac:dyDescent="0.2">
      <c r="A71" s="2">
        <v>69</v>
      </c>
      <c r="B71" s="2">
        <f t="shared" ca="1" si="1"/>
        <v>0.56925340114958489</v>
      </c>
      <c r="C71" s="2" t="s">
        <v>226</v>
      </c>
    </row>
    <row r="72" spans="1:3" x14ac:dyDescent="0.2">
      <c r="A72" s="2">
        <v>70</v>
      </c>
      <c r="B72" s="2">
        <f t="shared" ca="1" si="1"/>
        <v>0.52812370502726991</v>
      </c>
      <c r="C72" s="2" t="s">
        <v>226</v>
      </c>
    </row>
    <row r="73" spans="1:3" x14ac:dyDescent="0.2">
      <c r="A73" s="2">
        <v>71</v>
      </c>
      <c r="B73" s="2">
        <f t="shared" ca="1" si="1"/>
        <v>0.58255185406721699</v>
      </c>
      <c r="C73" s="2" t="s">
        <v>226</v>
      </c>
    </row>
    <row r="74" spans="1:3" x14ac:dyDescent="0.2">
      <c r="A74" s="2">
        <v>72</v>
      </c>
      <c r="B74" s="2">
        <f t="shared" ca="1" si="1"/>
        <v>0.48631391083855557</v>
      </c>
      <c r="C74" s="2" t="s">
        <v>226</v>
      </c>
    </row>
    <row r="75" spans="1:3" x14ac:dyDescent="0.2">
      <c r="A75" s="2">
        <v>73</v>
      </c>
      <c r="B75" s="2">
        <f t="shared" ca="1" si="1"/>
        <v>0.54922082959799867</v>
      </c>
      <c r="C75" s="2" t="s">
        <v>227</v>
      </c>
    </row>
    <row r="76" spans="1:3" x14ac:dyDescent="0.2">
      <c r="A76" s="2">
        <v>74</v>
      </c>
      <c r="B76" s="2">
        <f t="shared" ca="1" si="1"/>
        <v>0.79028285534228282</v>
      </c>
      <c r="C76" s="2" t="s">
        <v>227</v>
      </c>
    </row>
    <row r="77" spans="1:3" x14ac:dyDescent="0.2">
      <c r="A77" s="2">
        <v>75</v>
      </c>
      <c r="B77" s="2">
        <f t="shared" ca="1" si="1"/>
        <v>0.72395102812489509</v>
      </c>
      <c r="C77" s="2" t="s">
        <v>227</v>
      </c>
    </row>
    <row r="78" spans="1:3" x14ac:dyDescent="0.2">
      <c r="A78" s="2">
        <v>76</v>
      </c>
      <c r="B78" s="2">
        <f t="shared" ca="1" si="1"/>
        <v>0.64113974671143081</v>
      </c>
      <c r="C78" s="2" t="s">
        <v>227</v>
      </c>
    </row>
    <row r="79" spans="1:3" x14ac:dyDescent="0.2">
      <c r="A79" s="2">
        <v>77</v>
      </c>
      <c r="B79" s="2">
        <f t="shared" ca="1" si="1"/>
        <v>0.83480417737484935</v>
      </c>
      <c r="C79" s="2" t="s">
        <v>226</v>
      </c>
    </row>
    <row r="80" spans="1:3" x14ac:dyDescent="0.2">
      <c r="A80" s="2">
        <v>78</v>
      </c>
      <c r="B80" s="2">
        <f t="shared" ca="1" si="1"/>
        <v>0.72184543482758889</v>
      </c>
      <c r="C80" s="2" t="s">
        <v>227</v>
      </c>
    </row>
    <row r="81" spans="1:3" x14ac:dyDescent="0.2">
      <c r="A81" s="2">
        <v>79</v>
      </c>
      <c r="B81" s="2">
        <f t="shared" ca="1" si="1"/>
        <v>0.77986399669716844</v>
      </c>
      <c r="C81" s="2" t="s">
        <v>226</v>
      </c>
    </row>
    <row r="82" spans="1:3" x14ac:dyDescent="0.2">
      <c r="A82" s="2">
        <v>80</v>
      </c>
      <c r="B82" s="2">
        <f t="shared" ca="1" si="1"/>
        <v>0.71467167438258528</v>
      </c>
      <c r="C82" s="2" t="s">
        <v>227</v>
      </c>
    </row>
    <row r="83" spans="1:3" x14ac:dyDescent="0.2">
      <c r="A83" s="2">
        <v>81</v>
      </c>
      <c r="B83" s="2">
        <f t="shared" ca="1" si="1"/>
        <v>0.68407656164587316</v>
      </c>
      <c r="C83" s="2" t="s">
        <v>227</v>
      </c>
    </row>
    <row r="84" spans="1:3" x14ac:dyDescent="0.2">
      <c r="A84" s="2">
        <v>82</v>
      </c>
      <c r="B84" s="2">
        <f t="shared" ca="1" si="1"/>
        <v>0.61482441602485993</v>
      </c>
      <c r="C84" s="2" t="s">
        <v>226</v>
      </c>
    </row>
    <row r="85" spans="1:3" x14ac:dyDescent="0.2">
      <c r="A85" s="2">
        <v>83</v>
      </c>
      <c r="B85" s="2">
        <f t="shared" ca="1" si="1"/>
        <v>0.68830719250388517</v>
      </c>
      <c r="C85" s="2" t="s">
        <v>227</v>
      </c>
    </row>
    <row r="86" spans="1:3" x14ac:dyDescent="0.2">
      <c r="A86" s="2">
        <v>84</v>
      </c>
      <c r="B86" s="2">
        <f t="shared" ca="1" si="1"/>
        <v>0.79897830227401734</v>
      </c>
      <c r="C86" s="2" t="s">
        <v>227</v>
      </c>
    </row>
    <row r="87" spans="1:3" x14ac:dyDescent="0.2">
      <c r="A87" s="2">
        <v>85</v>
      </c>
      <c r="B87" s="2">
        <f t="shared" ca="1" si="1"/>
        <v>0.70840799235674501</v>
      </c>
      <c r="C87" s="2" t="s">
        <v>226</v>
      </c>
    </row>
    <row r="88" spans="1:3" x14ac:dyDescent="0.2">
      <c r="A88" s="2">
        <v>86</v>
      </c>
      <c r="B88" s="2">
        <f t="shared" ca="1" si="1"/>
        <v>0.51681492939598772</v>
      </c>
      <c r="C88" s="2" t="s">
        <v>226</v>
      </c>
    </row>
    <row r="89" spans="1:3" x14ac:dyDescent="0.2">
      <c r="A89" s="2">
        <v>87</v>
      </c>
      <c r="B89" s="2">
        <f t="shared" ca="1" si="1"/>
        <v>0.62486354102857877</v>
      </c>
      <c r="C89" s="2" t="s">
        <v>226</v>
      </c>
    </row>
    <row r="90" spans="1:3" x14ac:dyDescent="0.2">
      <c r="A90" s="2">
        <v>88</v>
      </c>
      <c r="B90" s="2">
        <f t="shared" ca="1" si="1"/>
        <v>0.69004214682918541</v>
      </c>
      <c r="C90" s="2" t="s">
        <v>226</v>
      </c>
    </row>
    <row r="91" spans="1:3" x14ac:dyDescent="0.2">
      <c r="A91" s="2">
        <v>89</v>
      </c>
      <c r="B91" s="2">
        <f t="shared" ca="1" si="1"/>
        <v>0.58139330933289302</v>
      </c>
      <c r="C91" s="2" t="s">
        <v>226</v>
      </c>
    </row>
    <row r="92" spans="1:3" x14ac:dyDescent="0.2">
      <c r="A92" s="2">
        <v>90</v>
      </c>
      <c r="B92" s="2">
        <f t="shared" ca="1" si="1"/>
        <v>0.77397086022062622</v>
      </c>
      <c r="C92" s="2" t="s">
        <v>227</v>
      </c>
    </row>
    <row r="93" spans="1:3" x14ac:dyDescent="0.2">
      <c r="A93" s="2">
        <v>91</v>
      </c>
      <c r="B93" s="2">
        <f t="shared" ca="1" si="1"/>
        <v>0.7506282378355551</v>
      </c>
      <c r="C93" s="2" t="s">
        <v>227</v>
      </c>
    </row>
    <row r="94" spans="1:3" x14ac:dyDescent="0.2">
      <c r="A94" s="2">
        <v>92</v>
      </c>
      <c r="B94" s="2">
        <f t="shared" ca="1" si="1"/>
        <v>0.45150832936661273</v>
      </c>
      <c r="C94" s="2" t="s">
        <v>226</v>
      </c>
    </row>
    <row r="95" spans="1:3" x14ac:dyDescent="0.2">
      <c r="A95" s="2">
        <v>93</v>
      </c>
      <c r="B95" s="2">
        <f t="shared" ca="1" si="1"/>
        <v>0.70943387685487513</v>
      </c>
      <c r="C95" s="2" t="s">
        <v>227</v>
      </c>
    </row>
    <row r="96" spans="1:3" x14ac:dyDescent="0.2">
      <c r="A96" s="2">
        <v>94</v>
      </c>
      <c r="B96" s="2">
        <f t="shared" ca="1" si="1"/>
        <v>0.5832514667206965</v>
      </c>
      <c r="C96" s="2" t="s">
        <v>227</v>
      </c>
    </row>
    <row r="97" spans="1:3" x14ac:dyDescent="0.2">
      <c r="A97" s="2">
        <v>95</v>
      </c>
      <c r="B97" s="2">
        <f t="shared" ca="1" si="1"/>
        <v>0.69903717804387477</v>
      </c>
      <c r="C97" s="2" t="s">
        <v>226</v>
      </c>
    </row>
    <row r="98" spans="1:3" x14ac:dyDescent="0.2">
      <c r="A98" s="2">
        <v>96</v>
      </c>
      <c r="B98" s="2">
        <f t="shared" ca="1" si="1"/>
        <v>0.58966397721832564</v>
      </c>
      <c r="C98" s="2" t="s">
        <v>226</v>
      </c>
    </row>
    <row r="99" spans="1:3" x14ac:dyDescent="0.2">
      <c r="A99" s="2">
        <v>97</v>
      </c>
      <c r="B99" s="2">
        <f t="shared" ca="1" si="1"/>
        <v>0.67077857192326262</v>
      </c>
      <c r="C99" s="2" t="s">
        <v>227</v>
      </c>
    </row>
    <row r="100" spans="1:3" x14ac:dyDescent="0.2">
      <c r="A100" s="2">
        <v>98</v>
      </c>
      <c r="B100" s="2">
        <f t="shared" ca="1" si="1"/>
        <v>0.86487903744764916</v>
      </c>
      <c r="C100" s="2" t="s">
        <v>227</v>
      </c>
    </row>
    <row r="101" spans="1:3" x14ac:dyDescent="0.2">
      <c r="A101" s="2">
        <v>99</v>
      </c>
      <c r="B101" s="2">
        <f t="shared" ca="1" si="1"/>
        <v>0.49242605783378712</v>
      </c>
      <c r="C101" s="2" t="s">
        <v>227</v>
      </c>
    </row>
    <row r="102" spans="1:3" x14ac:dyDescent="0.2">
      <c r="A102" s="2">
        <v>100</v>
      </c>
      <c r="B102" s="2">
        <f t="shared" ca="1" si="1"/>
        <v>0.41367662069991806</v>
      </c>
      <c r="C102" s="2" t="s">
        <v>226</v>
      </c>
    </row>
    <row r="103" spans="1:3" x14ac:dyDescent="0.2">
      <c r="A103" s="2">
        <v>101</v>
      </c>
      <c r="B103" s="2">
        <f t="shared" ca="1" si="1"/>
        <v>0.66363634912172065</v>
      </c>
      <c r="C103" s="2" t="s">
        <v>227</v>
      </c>
    </row>
    <row r="104" spans="1:3" x14ac:dyDescent="0.2">
      <c r="A104" s="2">
        <v>102</v>
      </c>
      <c r="B104" s="2">
        <f t="shared" ca="1" si="1"/>
        <v>0.81908717524341779</v>
      </c>
      <c r="C104" s="2" t="s">
        <v>226</v>
      </c>
    </row>
    <row r="105" spans="1:3" x14ac:dyDescent="0.2">
      <c r="A105" s="2">
        <v>103</v>
      </c>
      <c r="B105" s="2">
        <f t="shared" ca="1" si="1"/>
        <v>0.58337820633636639</v>
      </c>
      <c r="C105" s="2" t="s">
        <v>226</v>
      </c>
    </row>
    <row r="106" spans="1:3" x14ac:dyDescent="0.2">
      <c r="A106" s="2">
        <v>104</v>
      </c>
      <c r="B106" s="2">
        <f t="shared" ca="1" si="1"/>
        <v>0.6923282074307231</v>
      </c>
      <c r="C106" s="2" t="s">
        <v>226</v>
      </c>
    </row>
    <row r="107" spans="1:3" x14ac:dyDescent="0.2">
      <c r="A107" s="2">
        <v>105</v>
      </c>
      <c r="B107" s="2">
        <f t="shared" ca="1" si="1"/>
        <v>0.6341071783263954</v>
      </c>
      <c r="C107" s="2" t="s">
        <v>227</v>
      </c>
    </row>
    <row r="108" spans="1:3" x14ac:dyDescent="0.2">
      <c r="A108" s="2">
        <v>106</v>
      </c>
      <c r="B108" s="2">
        <f t="shared" ca="1" si="1"/>
        <v>0.64358494797333565</v>
      </c>
      <c r="C108" s="2" t="s">
        <v>226</v>
      </c>
    </row>
    <row r="109" spans="1:3" x14ac:dyDescent="0.2">
      <c r="A109" s="2">
        <v>107</v>
      </c>
      <c r="B109" s="2">
        <f t="shared" ca="1" si="1"/>
        <v>0.55885257165486502</v>
      </c>
      <c r="C109" s="2" t="s">
        <v>226</v>
      </c>
    </row>
    <row r="110" spans="1:3" x14ac:dyDescent="0.2">
      <c r="A110" s="2">
        <v>108</v>
      </c>
      <c r="B110" s="2">
        <f t="shared" ca="1" si="1"/>
        <v>0.46467676408970027</v>
      </c>
      <c r="C110" s="2" t="s">
        <v>226</v>
      </c>
    </row>
    <row r="111" spans="1:3" x14ac:dyDescent="0.2">
      <c r="A111" s="2">
        <v>109</v>
      </c>
      <c r="B111" s="2">
        <f t="shared" ca="1" si="1"/>
        <v>0.49634007562499943</v>
      </c>
      <c r="C111" s="2" t="s">
        <v>226</v>
      </c>
    </row>
    <row r="112" spans="1:3" x14ac:dyDescent="0.2">
      <c r="A112" s="2">
        <v>110</v>
      </c>
      <c r="B112" s="2">
        <f t="shared" ca="1" si="1"/>
        <v>0.66178050826416202</v>
      </c>
      <c r="C112" s="2" t="s">
        <v>226</v>
      </c>
    </row>
    <row r="113" spans="1:3" x14ac:dyDescent="0.2">
      <c r="A113" s="2">
        <v>111</v>
      </c>
      <c r="B113" s="2">
        <f t="shared" ca="1" si="1"/>
        <v>0.68514766470116051</v>
      </c>
      <c r="C113" s="2" t="s">
        <v>227</v>
      </c>
    </row>
    <row r="114" spans="1:3" x14ac:dyDescent="0.2">
      <c r="A114" s="2">
        <v>112</v>
      </c>
      <c r="B114" s="2">
        <f t="shared" ca="1" si="1"/>
        <v>0.39696994403331576</v>
      </c>
      <c r="C114" s="2" t="s">
        <v>226</v>
      </c>
    </row>
    <row r="115" spans="1:3" x14ac:dyDescent="0.2">
      <c r="A115" s="2">
        <v>113</v>
      </c>
      <c r="B115" s="2">
        <f t="shared" ca="1" si="1"/>
        <v>0.90547186325067219</v>
      </c>
      <c r="C115" s="2" t="s">
        <v>226</v>
      </c>
    </row>
    <row r="116" spans="1:3" x14ac:dyDescent="0.2">
      <c r="A116" s="2">
        <v>114</v>
      </c>
      <c r="B116" s="2">
        <f t="shared" ca="1" si="1"/>
        <v>0.44334514854119722</v>
      </c>
      <c r="C116" s="2" t="s">
        <v>226</v>
      </c>
    </row>
    <row r="117" spans="1:3" x14ac:dyDescent="0.2">
      <c r="A117" s="2">
        <v>115</v>
      </c>
      <c r="B117" s="2">
        <f t="shared" ca="1" si="1"/>
        <v>0.90658406113398415</v>
      </c>
      <c r="C117" s="2" t="s">
        <v>226</v>
      </c>
    </row>
    <row r="118" spans="1:3" x14ac:dyDescent="0.2">
      <c r="A118" s="2">
        <v>116</v>
      </c>
      <c r="B118" s="2">
        <f t="shared" ca="1" si="1"/>
        <v>0.81897155676142042</v>
      </c>
      <c r="C118" s="2" t="s">
        <v>226</v>
      </c>
    </row>
    <row r="119" spans="1:3" x14ac:dyDescent="0.2">
      <c r="A119" s="2">
        <v>117</v>
      </c>
      <c r="B119" s="2">
        <f t="shared" ca="1" si="1"/>
        <v>0.40468858112094852</v>
      </c>
      <c r="C119" s="2" t="s">
        <v>226</v>
      </c>
    </row>
    <row r="120" spans="1:3" x14ac:dyDescent="0.2">
      <c r="A120" s="2">
        <v>118</v>
      </c>
      <c r="B120" s="2">
        <f t="shared" ca="1" si="1"/>
        <v>0.79139516509437657</v>
      </c>
      <c r="C120" s="2" t="s">
        <v>226</v>
      </c>
    </row>
    <row r="121" spans="1:3" x14ac:dyDescent="0.2">
      <c r="A121" s="2">
        <v>119</v>
      </c>
      <c r="B121" s="2">
        <f t="shared" ca="1" si="1"/>
        <v>0.56593191657882314</v>
      </c>
      <c r="C121" s="2" t="s">
        <v>226</v>
      </c>
    </row>
    <row r="122" spans="1:3" x14ac:dyDescent="0.2">
      <c r="A122" s="2">
        <v>120</v>
      </c>
      <c r="B122" s="2">
        <f t="shared" ca="1" si="1"/>
        <v>0.63162013004413775</v>
      </c>
      <c r="C122" s="2" t="s">
        <v>227</v>
      </c>
    </row>
    <row r="123" spans="1:3" x14ac:dyDescent="0.2">
      <c r="A123" s="2">
        <v>121</v>
      </c>
      <c r="B123" s="2">
        <f t="shared" ca="1" si="1"/>
        <v>0.69139258880119436</v>
      </c>
      <c r="C123" s="2" t="s">
        <v>227</v>
      </c>
    </row>
    <row r="124" spans="1:3" x14ac:dyDescent="0.2">
      <c r="A124" s="2">
        <v>122</v>
      </c>
      <c r="B124" s="2">
        <f t="shared" ca="1" si="1"/>
        <v>0.94877071971038862</v>
      </c>
      <c r="C124" s="2" t="s">
        <v>226</v>
      </c>
    </row>
    <row r="125" spans="1:3" x14ac:dyDescent="0.2">
      <c r="A125" s="2">
        <v>123</v>
      </c>
      <c r="B125" s="2">
        <f t="shared" ca="1" si="1"/>
        <v>0.78131211150325353</v>
      </c>
      <c r="C125" s="2" t="s">
        <v>227</v>
      </c>
    </row>
    <row r="126" spans="1:3" x14ac:dyDescent="0.2">
      <c r="A126" s="2">
        <v>124</v>
      </c>
      <c r="B126" s="2">
        <f t="shared" ca="1" si="1"/>
        <v>0.87534000842905468</v>
      </c>
      <c r="C126" s="2" t="s">
        <v>227</v>
      </c>
    </row>
    <row r="127" spans="1:3" x14ac:dyDescent="0.2">
      <c r="A127" s="2">
        <v>125</v>
      </c>
      <c r="B127" s="2">
        <f t="shared" ca="1" si="1"/>
        <v>0.76124101325633398</v>
      </c>
      <c r="C127" s="2" t="s">
        <v>226</v>
      </c>
    </row>
    <row r="128" spans="1:3" x14ac:dyDescent="0.2">
      <c r="A128" s="2">
        <v>126</v>
      </c>
      <c r="B128" s="2">
        <f t="shared" ca="1" si="1"/>
        <v>0.56399925209147006</v>
      </c>
      <c r="C128" s="2" t="s">
        <v>226</v>
      </c>
    </row>
    <row r="129" spans="1:3" x14ac:dyDescent="0.2">
      <c r="A129" s="2">
        <v>127</v>
      </c>
      <c r="B129" s="2">
        <f t="shared" ca="1" si="1"/>
        <v>0.66245525781581072</v>
      </c>
      <c r="C129" s="2" t="s">
        <v>226</v>
      </c>
    </row>
    <row r="130" spans="1:3" x14ac:dyDescent="0.2">
      <c r="A130" s="2">
        <v>128</v>
      </c>
      <c r="B130" s="2">
        <f t="shared" ca="1" si="1"/>
        <v>0.63630088848333966</v>
      </c>
      <c r="C130" s="2" t="s">
        <v>226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0.58386709922896463</v>
      </c>
      <c r="C131" s="2" t="s">
        <v>226</v>
      </c>
    </row>
    <row r="132" spans="1:3" x14ac:dyDescent="0.2">
      <c r="A132" s="2">
        <v>130</v>
      </c>
      <c r="B132" s="2">
        <f t="shared" ca="1" si="2"/>
        <v>0.5853658013277161</v>
      </c>
      <c r="C132" s="2" t="s">
        <v>227</v>
      </c>
    </row>
    <row r="133" spans="1:3" x14ac:dyDescent="0.2">
      <c r="A133" s="2">
        <v>131</v>
      </c>
      <c r="B133" s="2">
        <f t="shared" ca="1" si="2"/>
        <v>0.80163087194833427</v>
      </c>
      <c r="C133" s="2" t="s">
        <v>227</v>
      </c>
    </row>
    <row r="134" spans="1:3" x14ac:dyDescent="0.2">
      <c r="A134" s="2">
        <v>132</v>
      </c>
      <c r="B134" s="2">
        <f t="shared" ca="1" si="2"/>
        <v>0.73164069735362658</v>
      </c>
      <c r="C134" s="2" t="s">
        <v>227</v>
      </c>
    </row>
    <row r="135" spans="1:3" x14ac:dyDescent="0.2">
      <c r="A135" s="2">
        <v>133</v>
      </c>
      <c r="B135" s="2">
        <f t="shared" ca="1" si="2"/>
        <v>0.59663018163311143</v>
      </c>
      <c r="C135" s="2" t="s">
        <v>227</v>
      </c>
    </row>
    <row r="136" spans="1:3" x14ac:dyDescent="0.2">
      <c r="A136" s="2">
        <v>134</v>
      </c>
      <c r="B136" s="2">
        <f t="shared" ca="1" si="2"/>
        <v>0.38549773507983642</v>
      </c>
      <c r="C136" s="2" t="s">
        <v>226</v>
      </c>
    </row>
    <row r="137" spans="1:3" x14ac:dyDescent="0.2">
      <c r="A137" s="2">
        <v>135</v>
      </c>
      <c r="B137" s="2">
        <f t="shared" ca="1" si="2"/>
        <v>0.65443798609588733</v>
      </c>
      <c r="C137" s="2" t="s">
        <v>227</v>
      </c>
    </row>
    <row r="138" spans="1:3" x14ac:dyDescent="0.2">
      <c r="A138" s="2">
        <v>136</v>
      </c>
      <c r="B138" s="2">
        <f t="shared" ca="1" si="2"/>
        <v>0.70980686132872051</v>
      </c>
      <c r="C138" s="2" t="s">
        <v>227</v>
      </c>
    </row>
    <row r="139" spans="1:3" x14ac:dyDescent="0.2">
      <c r="A139" s="2">
        <v>137</v>
      </c>
      <c r="B139" s="2">
        <f t="shared" ca="1" si="2"/>
        <v>0.55338419317605914</v>
      </c>
      <c r="C139" s="2" t="s">
        <v>226</v>
      </c>
    </row>
    <row r="140" spans="1:3" x14ac:dyDescent="0.2">
      <c r="A140" s="2">
        <v>138</v>
      </c>
      <c r="B140" s="2">
        <f t="shared" ca="1" si="2"/>
        <v>0.65759110270573307</v>
      </c>
      <c r="C140" s="2" t="s">
        <v>227</v>
      </c>
    </row>
    <row r="141" spans="1:3" x14ac:dyDescent="0.2">
      <c r="A141" s="2">
        <v>139</v>
      </c>
      <c r="B141" s="2">
        <f t="shared" ca="1" si="2"/>
        <v>0.7208809611813336</v>
      </c>
      <c r="C141" s="2" t="s">
        <v>226</v>
      </c>
    </row>
    <row r="142" spans="1:3" x14ac:dyDescent="0.2">
      <c r="A142" s="2">
        <v>140</v>
      </c>
      <c r="B142" s="2">
        <f t="shared" ca="1" si="2"/>
        <v>0.36438468764363946</v>
      </c>
      <c r="C142" s="2" t="s">
        <v>226</v>
      </c>
    </row>
    <row r="143" spans="1:3" x14ac:dyDescent="0.2">
      <c r="A143" s="2">
        <v>141</v>
      </c>
      <c r="B143" s="2">
        <f t="shared" ca="1" si="2"/>
        <v>0.29256923032697735</v>
      </c>
      <c r="C143" s="2" t="s">
        <v>226</v>
      </c>
    </row>
    <row r="144" spans="1:3" x14ac:dyDescent="0.2">
      <c r="A144" s="2">
        <v>142</v>
      </c>
      <c r="B144" s="2">
        <f t="shared" ca="1" si="2"/>
        <v>0.73984760106279623</v>
      </c>
      <c r="C144" s="2" t="s">
        <v>227</v>
      </c>
    </row>
    <row r="145" spans="1:3" x14ac:dyDescent="0.2">
      <c r="A145" s="2">
        <v>143</v>
      </c>
      <c r="B145" s="2">
        <f t="shared" ca="1" si="2"/>
        <v>0.4388554831863648</v>
      </c>
      <c r="C145" s="2" t="s">
        <v>226</v>
      </c>
    </row>
    <row r="146" spans="1:3" x14ac:dyDescent="0.2">
      <c r="A146" s="2">
        <v>144</v>
      </c>
      <c r="B146" s="2">
        <f t="shared" ca="1" si="2"/>
        <v>0.71738522203807276</v>
      </c>
      <c r="C146" s="2" t="s">
        <v>227</v>
      </c>
    </row>
    <row r="147" spans="1:3" x14ac:dyDescent="0.2">
      <c r="A147" s="2">
        <v>145</v>
      </c>
      <c r="B147" s="2">
        <f t="shared" ca="1" si="2"/>
        <v>0.55276561537429914</v>
      </c>
      <c r="C147" s="2" t="s">
        <v>226</v>
      </c>
    </row>
    <row r="148" spans="1:3" x14ac:dyDescent="0.2">
      <c r="A148" s="2">
        <v>146</v>
      </c>
      <c r="B148" s="2">
        <f t="shared" ca="1" si="2"/>
        <v>0.70516833862753336</v>
      </c>
      <c r="C148" s="2" t="s">
        <v>226</v>
      </c>
    </row>
    <row r="149" spans="1:3" x14ac:dyDescent="0.2">
      <c r="A149" s="2">
        <v>147</v>
      </c>
      <c r="B149" s="2">
        <f t="shared" ca="1" si="2"/>
        <v>0.82080653282665084</v>
      </c>
      <c r="C149" s="2" t="s">
        <v>227</v>
      </c>
    </row>
    <row r="150" spans="1:3" x14ac:dyDescent="0.2">
      <c r="A150" s="2">
        <v>148</v>
      </c>
      <c r="B150" s="2">
        <f t="shared" ca="1" si="2"/>
        <v>0.66712038781177696</v>
      </c>
      <c r="C150" s="2" t="s">
        <v>226</v>
      </c>
    </row>
    <row r="151" spans="1:3" x14ac:dyDescent="0.2">
      <c r="A151" s="2">
        <v>149</v>
      </c>
      <c r="B151" s="2">
        <f t="shared" ca="1" si="2"/>
        <v>0.67278073260341953</v>
      </c>
      <c r="C151" s="2" t="s">
        <v>226</v>
      </c>
    </row>
    <row r="152" spans="1:3" x14ac:dyDescent="0.2">
      <c r="A152" s="2">
        <v>150</v>
      </c>
      <c r="B152" s="2">
        <f t="shared" ca="1" si="2"/>
        <v>0.50865551054123981</v>
      </c>
      <c r="C152" s="2" t="s">
        <v>226</v>
      </c>
    </row>
    <row r="153" spans="1:3" x14ac:dyDescent="0.2">
      <c r="A153" s="2">
        <v>151</v>
      </c>
      <c r="B153" s="2">
        <f t="shared" ca="1" si="2"/>
        <v>0.64774962592925245</v>
      </c>
      <c r="C153" s="2" t="s">
        <v>227</v>
      </c>
    </row>
    <row r="154" spans="1:3" x14ac:dyDescent="0.2">
      <c r="A154" s="2">
        <v>152</v>
      </c>
      <c r="B154" s="2">
        <f t="shared" ca="1" si="2"/>
        <v>0.69300350205577577</v>
      </c>
      <c r="C154" s="2" t="s">
        <v>227</v>
      </c>
    </row>
    <row r="155" spans="1:3" x14ac:dyDescent="0.2">
      <c r="A155" s="2">
        <v>153</v>
      </c>
      <c r="B155" s="2">
        <f t="shared" ca="1" si="2"/>
        <v>0.7121196080238934</v>
      </c>
      <c r="C155" s="2" t="s">
        <v>227</v>
      </c>
    </row>
    <row r="156" spans="1:3" x14ac:dyDescent="0.2">
      <c r="A156" s="2">
        <v>154</v>
      </c>
      <c r="B156" s="2">
        <f t="shared" ca="1" si="2"/>
        <v>0.69361239247044471</v>
      </c>
      <c r="C156" s="2" t="s">
        <v>226</v>
      </c>
    </row>
    <row r="157" spans="1:3" x14ac:dyDescent="0.2">
      <c r="A157" s="2">
        <v>155</v>
      </c>
      <c r="B157" s="2">
        <f t="shared" ca="1" si="2"/>
        <v>0.74911212329694821</v>
      </c>
      <c r="C157" s="2" t="s">
        <v>227</v>
      </c>
    </row>
    <row r="158" spans="1:3" x14ac:dyDescent="0.2">
      <c r="A158" s="2">
        <v>156</v>
      </c>
      <c r="B158" s="2">
        <f t="shared" ca="1" si="2"/>
        <v>0.80829467378716968</v>
      </c>
      <c r="C158" s="2" t="s">
        <v>227</v>
      </c>
    </row>
    <row r="159" spans="1:3" x14ac:dyDescent="0.2">
      <c r="A159" s="2">
        <v>157</v>
      </c>
      <c r="B159" s="2">
        <f t="shared" ca="1" si="2"/>
        <v>0.69579093546117976</v>
      </c>
      <c r="C159" s="2" t="s">
        <v>226</v>
      </c>
    </row>
    <row r="160" spans="1:3" x14ac:dyDescent="0.2">
      <c r="A160" s="2">
        <v>158</v>
      </c>
      <c r="B160" s="2">
        <f t="shared" ca="1" si="2"/>
        <v>0.76080602628984795</v>
      </c>
      <c r="C160" s="2" t="s">
        <v>226</v>
      </c>
    </row>
    <row r="161" spans="1:3" x14ac:dyDescent="0.2">
      <c r="A161" s="2">
        <v>159</v>
      </c>
      <c r="B161" s="2">
        <f t="shared" ca="1" si="2"/>
        <v>0.82570753047538703</v>
      </c>
      <c r="C161" s="2" t="s">
        <v>227</v>
      </c>
    </row>
    <row r="162" spans="1:3" x14ac:dyDescent="0.2">
      <c r="A162" s="2">
        <v>160</v>
      </c>
      <c r="B162" s="2">
        <f t="shared" ca="1" si="2"/>
        <v>0.6513459350746903</v>
      </c>
      <c r="C162" s="2" t="s">
        <v>227</v>
      </c>
    </row>
    <row r="163" spans="1:3" x14ac:dyDescent="0.2">
      <c r="A163" s="2">
        <v>161</v>
      </c>
      <c r="B163" s="2">
        <f t="shared" ca="1" si="2"/>
        <v>0.66788240679834343</v>
      </c>
      <c r="C163" s="2" t="s">
        <v>227</v>
      </c>
    </row>
    <row r="164" spans="1:3" x14ac:dyDescent="0.2">
      <c r="A164" s="2">
        <v>162</v>
      </c>
      <c r="B164" s="2">
        <f t="shared" ca="1" si="2"/>
        <v>0.55648251646474278</v>
      </c>
      <c r="C164" s="2" t="s">
        <v>226</v>
      </c>
    </row>
    <row r="165" spans="1:3" x14ac:dyDescent="0.2">
      <c r="A165" s="2">
        <v>163</v>
      </c>
      <c r="B165" s="2">
        <f t="shared" ca="1" si="2"/>
        <v>0.58638486470363305</v>
      </c>
      <c r="C165" s="2" t="s">
        <v>226</v>
      </c>
    </row>
    <row r="166" spans="1:3" x14ac:dyDescent="0.2">
      <c r="A166" s="2">
        <v>164</v>
      </c>
      <c r="B166" s="2">
        <f t="shared" ca="1" si="2"/>
        <v>0.48629023049309339</v>
      </c>
      <c r="C166" s="2" t="s">
        <v>226</v>
      </c>
    </row>
    <row r="167" spans="1:3" x14ac:dyDescent="0.2">
      <c r="A167" s="2">
        <v>165</v>
      </c>
      <c r="B167" s="2">
        <f t="shared" ca="1" si="2"/>
        <v>0.45436787433203285</v>
      </c>
      <c r="C167" s="2" t="s">
        <v>226</v>
      </c>
    </row>
    <row r="168" spans="1:3" x14ac:dyDescent="0.2">
      <c r="A168" s="2">
        <v>166</v>
      </c>
      <c r="B168" s="2">
        <f t="shared" ca="1" si="2"/>
        <v>0.73827494267427907</v>
      </c>
      <c r="C168" s="2" t="s">
        <v>227</v>
      </c>
    </row>
    <row r="169" spans="1:3" x14ac:dyDescent="0.2">
      <c r="A169" s="2">
        <v>167</v>
      </c>
      <c r="B169" s="2">
        <f t="shared" ca="1" si="2"/>
        <v>0.70318261075267385</v>
      </c>
      <c r="C169" s="2" t="s">
        <v>227</v>
      </c>
    </row>
    <row r="170" spans="1:3" x14ac:dyDescent="0.2">
      <c r="A170" s="2">
        <v>168</v>
      </c>
      <c r="B170" s="2">
        <f t="shared" ca="1" si="2"/>
        <v>0.66380938148583279</v>
      </c>
      <c r="C170" s="2" t="s">
        <v>227</v>
      </c>
    </row>
    <row r="171" spans="1:3" x14ac:dyDescent="0.2">
      <c r="A171" s="2">
        <v>169</v>
      </c>
      <c r="B171" s="2">
        <f t="shared" ca="1" si="2"/>
        <v>0.44602606967213509</v>
      </c>
      <c r="C171" s="2" t="s">
        <v>226</v>
      </c>
    </row>
    <row r="172" spans="1:3" x14ac:dyDescent="0.2">
      <c r="A172" s="2">
        <v>170</v>
      </c>
      <c r="B172" s="2">
        <f t="shared" ca="1" si="2"/>
        <v>0.62637357441007291</v>
      </c>
      <c r="C172" s="2" t="s">
        <v>226</v>
      </c>
    </row>
    <row r="173" spans="1:3" x14ac:dyDescent="0.2">
      <c r="A173" s="2">
        <v>171</v>
      </c>
      <c r="B173" s="2">
        <f t="shared" ca="1" si="2"/>
        <v>0.66755815675308405</v>
      </c>
      <c r="C173" s="2" t="s">
        <v>227</v>
      </c>
    </row>
    <row r="174" spans="1:3" x14ac:dyDescent="0.2">
      <c r="A174" s="2">
        <v>172</v>
      </c>
      <c r="B174" s="2">
        <f t="shared" ca="1" si="2"/>
        <v>0.82806872655516017</v>
      </c>
      <c r="C174" s="2" t="s">
        <v>227</v>
      </c>
    </row>
    <row r="175" spans="1:3" x14ac:dyDescent="0.2">
      <c r="A175" s="2">
        <v>173</v>
      </c>
      <c r="B175" s="2">
        <f t="shared" ca="1" si="2"/>
        <v>0.60682364682376577</v>
      </c>
      <c r="C175" s="2" t="s">
        <v>227</v>
      </c>
    </row>
    <row r="176" spans="1:3" x14ac:dyDescent="0.2">
      <c r="A176" s="2">
        <v>174</v>
      </c>
      <c r="B176" s="2">
        <f t="shared" ca="1" si="2"/>
        <v>0.57461908431463071</v>
      </c>
      <c r="C176" s="2" t="s">
        <v>226</v>
      </c>
    </row>
    <row r="177" spans="1:3" x14ac:dyDescent="0.2">
      <c r="A177" s="2">
        <v>175</v>
      </c>
      <c r="B177" s="2">
        <f t="shared" ca="1" si="2"/>
        <v>0.52883314638225709</v>
      </c>
      <c r="C177" s="2" t="s">
        <v>227</v>
      </c>
    </row>
    <row r="178" spans="1:3" x14ac:dyDescent="0.2">
      <c r="A178" s="2">
        <v>176</v>
      </c>
      <c r="B178" s="2">
        <f t="shared" ca="1" si="2"/>
        <v>0.86031631408035403</v>
      </c>
      <c r="C178" s="2" t="s">
        <v>227</v>
      </c>
    </row>
    <row r="179" spans="1:3" x14ac:dyDescent="0.2">
      <c r="A179" s="2">
        <v>177</v>
      </c>
      <c r="B179" s="2">
        <f t="shared" ca="1" si="2"/>
        <v>0.48752150170635561</v>
      </c>
      <c r="C179" s="2" t="s">
        <v>226</v>
      </c>
    </row>
    <row r="180" spans="1:3" x14ac:dyDescent="0.2">
      <c r="A180" s="2">
        <v>178</v>
      </c>
      <c r="B180" s="2">
        <f t="shared" ca="1" si="2"/>
        <v>0.27060356275359376</v>
      </c>
      <c r="C180" s="2" t="s">
        <v>226</v>
      </c>
    </row>
    <row r="181" spans="1:3" x14ac:dyDescent="0.2">
      <c r="A181" s="2">
        <v>179</v>
      </c>
      <c r="B181" s="2">
        <f t="shared" ca="1" si="2"/>
        <v>0.59695085618602706</v>
      </c>
      <c r="C181" s="2" t="s">
        <v>227</v>
      </c>
    </row>
    <row r="182" spans="1:3" x14ac:dyDescent="0.2">
      <c r="A182" s="2">
        <v>180</v>
      </c>
      <c r="B182" s="2">
        <f t="shared" ca="1" si="2"/>
        <v>0.81910192570709617</v>
      </c>
      <c r="C182" s="2" t="s">
        <v>227</v>
      </c>
    </row>
    <row r="183" spans="1:3" x14ac:dyDescent="0.2">
      <c r="A183" s="2">
        <v>181</v>
      </c>
      <c r="B183" s="2">
        <f t="shared" ca="1" si="2"/>
        <v>0.61680854366844606</v>
      </c>
      <c r="C183" s="2" t="s">
        <v>227</v>
      </c>
    </row>
    <row r="184" spans="1:3" x14ac:dyDescent="0.2">
      <c r="A184" s="2">
        <v>182</v>
      </c>
      <c r="B184" s="2">
        <f t="shared" ca="1" si="2"/>
        <v>0.81309918323074659</v>
      </c>
      <c r="C184" s="2" t="s">
        <v>227</v>
      </c>
    </row>
    <row r="185" spans="1:3" x14ac:dyDescent="0.2">
      <c r="A185" s="2">
        <v>183</v>
      </c>
      <c r="B185" s="2">
        <f t="shared" ca="1" si="2"/>
        <v>0.71978316131743991</v>
      </c>
      <c r="C185" s="2" t="s">
        <v>226</v>
      </c>
    </row>
    <row r="186" spans="1:3" x14ac:dyDescent="0.2">
      <c r="A186" s="2">
        <v>184</v>
      </c>
      <c r="B186" s="2">
        <f t="shared" ca="1" si="2"/>
        <v>0.53337062836668725</v>
      </c>
      <c r="C186" s="2" t="s">
        <v>227</v>
      </c>
    </row>
    <row r="187" spans="1:3" x14ac:dyDescent="0.2">
      <c r="A187" s="2">
        <v>185</v>
      </c>
      <c r="B187" s="2">
        <f t="shared" ca="1" si="2"/>
        <v>0.25899959716586374</v>
      </c>
      <c r="C187" s="2" t="s">
        <v>226</v>
      </c>
    </row>
    <row r="188" spans="1:3" x14ac:dyDescent="0.2">
      <c r="A188" s="2">
        <v>186</v>
      </c>
      <c r="B188" s="2">
        <f t="shared" ca="1" si="2"/>
        <v>0.7356800775336646</v>
      </c>
      <c r="C188" s="2" t="s">
        <v>227</v>
      </c>
    </row>
    <row r="189" spans="1:3" x14ac:dyDescent="0.2">
      <c r="A189" s="2">
        <v>187</v>
      </c>
      <c r="B189" s="2">
        <f t="shared" ca="1" si="2"/>
        <v>0.33870364906729783</v>
      </c>
      <c r="C189" s="2" t="s">
        <v>226</v>
      </c>
    </row>
    <row r="190" spans="1:3" x14ac:dyDescent="0.2">
      <c r="A190" s="2">
        <v>188</v>
      </c>
      <c r="B190" s="2">
        <f t="shared" ca="1" si="2"/>
        <v>0.69229986869548077</v>
      </c>
      <c r="C190" s="2" t="s">
        <v>227</v>
      </c>
    </row>
    <row r="191" spans="1:3" x14ac:dyDescent="0.2">
      <c r="A191" s="2">
        <v>189</v>
      </c>
      <c r="B191" s="2">
        <f t="shared" ca="1" si="2"/>
        <v>0.45476495443972953</v>
      </c>
      <c r="C191" s="2" t="s">
        <v>227</v>
      </c>
    </row>
    <row r="192" spans="1:3" x14ac:dyDescent="0.2">
      <c r="A192" s="2">
        <v>190</v>
      </c>
      <c r="B192" s="2">
        <f t="shared" ca="1" si="2"/>
        <v>0.66387282203847464</v>
      </c>
      <c r="C192" s="2" t="s">
        <v>226</v>
      </c>
    </row>
    <row r="193" spans="1:3" x14ac:dyDescent="0.2">
      <c r="A193" s="2">
        <v>191</v>
      </c>
      <c r="B193" s="2">
        <f t="shared" ca="1" si="2"/>
        <v>0.82670322640325011</v>
      </c>
      <c r="C193" s="2" t="s">
        <v>227</v>
      </c>
    </row>
    <row r="194" spans="1:3" x14ac:dyDescent="0.2">
      <c r="A194" s="2">
        <v>192</v>
      </c>
      <c r="B194" s="2">
        <f t="shared" ca="1" si="2"/>
        <v>0.53318459908074978</v>
      </c>
      <c r="C194" s="2" t="s">
        <v>226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0.87233884618919832</v>
      </c>
      <c r="C195" s="2" t="s">
        <v>227</v>
      </c>
    </row>
    <row r="196" spans="1:3" x14ac:dyDescent="0.2">
      <c r="A196" s="2">
        <v>194</v>
      </c>
      <c r="B196" s="2">
        <f t="shared" ca="1" si="3"/>
        <v>0.51808201435975043</v>
      </c>
      <c r="C196" s="2" t="s">
        <v>226</v>
      </c>
    </row>
    <row r="197" spans="1:3" x14ac:dyDescent="0.2">
      <c r="A197" s="2">
        <v>195</v>
      </c>
      <c r="B197" s="2">
        <f t="shared" ca="1" si="3"/>
        <v>0.50450055123795312</v>
      </c>
      <c r="C197" s="2" t="s">
        <v>226</v>
      </c>
    </row>
    <row r="198" spans="1:3" x14ac:dyDescent="0.2">
      <c r="A198" s="2">
        <v>196</v>
      </c>
      <c r="B198" s="2">
        <f t="shared" ca="1" si="3"/>
        <v>0.86752923537965576</v>
      </c>
      <c r="C198" s="2" t="s">
        <v>227</v>
      </c>
    </row>
    <row r="199" spans="1:3" x14ac:dyDescent="0.2">
      <c r="A199" s="2">
        <v>197</v>
      </c>
      <c r="B199" s="2">
        <f t="shared" ca="1" si="3"/>
        <v>0.59035236175605132</v>
      </c>
      <c r="C199" s="2" t="s">
        <v>226</v>
      </c>
    </row>
    <row r="200" spans="1:3" x14ac:dyDescent="0.2">
      <c r="A200" s="2">
        <v>198</v>
      </c>
      <c r="B200" s="2">
        <f t="shared" ca="1" si="3"/>
        <v>0.60365950059113671</v>
      </c>
      <c r="C200" s="2" t="s">
        <v>227</v>
      </c>
    </row>
    <row r="201" spans="1:3" x14ac:dyDescent="0.2">
      <c r="A201" s="2">
        <v>199</v>
      </c>
      <c r="B201" s="2">
        <f t="shared" ca="1" si="3"/>
        <v>0.67328219845123283</v>
      </c>
      <c r="C201" s="2" t="s">
        <v>226</v>
      </c>
    </row>
    <row r="202" spans="1:3" x14ac:dyDescent="0.2">
      <c r="A202" s="2">
        <v>200</v>
      </c>
      <c r="B202" s="2">
        <f t="shared" ca="1" si="3"/>
        <v>0.77291263849737613</v>
      </c>
      <c r="C202" s="2" t="s">
        <v>227</v>
      </c>
    </row>
    <row r="203" spans="1:3" x14ac:dyDescent="0.2">
      <c r="A203" s="2">
        <v>201</v>
      </c>
      <c r="B203" s="2">
        <f t="shared" ca="1" si="3"/>
        <v>0.58810532721839504</v>
      </c>
      <c r="C203" s="2" t="s">
        <v>226</v>
      </c>
    </row>
    <row r="204" spans="1:3" x14ac:dyDescent="0.2">
      <c r="A204" s="2">
        <v>202</v>
      </c>
      <c r="B204" s="2">
        <f t="shared" ca="1" si="3"/>
        <v>0.48226334626801054</v>
      </c>
      <c r="C204" s="2" t="s">
        <v>227</v>
      </c>
    </row>
    <row r="205" spans="1:3" x14ac:dyDescent="0.2">
      <c r="A205" s="2">
        <v>203</v>
      </c>
      <c r="B205" s="2">
        <f t="shared" ca="1" si="3"/>
        <v>0.68371659043541133</v>
      </c>
      <c r="C205" s="2" t="s">
        <v>226</v>
      </c>
    </row>
    <row r="206" spans="1:3" x14ac:dyDescent="0.2">
      <c r="A206" s="2">
        <v>204</v>
      </c>
      <c r="B206" s="2">
        <f t="shared" ca="1" si="3"/>
        <v>0.33947172313993751</v>
      </c>
      <c r="C206" s="2" t="s">
        <v>226</v>
      </c>
    </row>
    <row r="207" spans="1:3" x14ac:dyDescent="0.2">
      <c r="A207" s="2">
        <v>205</v>
      </c>
      <c r="B207" s="2">
        <f t="shared" ca="1" si="3"/>
        <v>0.53868470208273023</v>
      </c>
      <c r="C207" s="2" t="s">
        <v>226</v>
      </c>
    </row>
    <row r="208" spans="1:3" x14ac:dyDescent="0.2">
      <c r="A208" s="2">
        <v>206</v>
      </c>
      <c r="B208" s="2">
        <f t="shared" ca="1" si="3"/>
        <v>0.89092543753997733</v>
      </c>
      <c r="C208" s="2" t="s">
        <v>227</v>
      </c>
    </row>
    <row r="209" spans="1:3" x14ac:dyDescent="0.2">
      <c r="A209" s="2">
        <v>207</v>
      </c>
      <c r="B209" s="2">
        <f t="shared" ca="1" si="3"/>
        <v>0.90556889812614672</v>
      </c>
      <c r="C209" s="2" t="s">
        <v>227</v>
      </c>
    </row>
    <row r="210" spans="1:3" x14ac:dyDescent="0.2">
      <c r="A210" s="2">
        <v>208</v>
      </c>
      <c r="B210" s="2">
        <f t="shared" ca="1" si="3"/>
        <v>0.89673939609412989</v>
      </c>
      <c r="C210" s="2" t="s">
        <v>227</v>
      </c>
    </row>
    <row r="211" spans="1:3" x14ac:dyDescent="0.2">
      <c r="A211" s="2">
        <v>209</v>
      </c>
      <c r="B211" s="2">
        <f t="shared" ca="1" si="3"/>
        <v>0.59970315449050193</v>
      </c>
      <c r="C211" s="2" t="s">
        <v>226</v>
      </c>
    </row>
    <row r="212" spans="1:3" x14ac:dyDescent="0.2">
      <c r="A212" s="2">
        <v>210</v>
      </c>
      <c r="B212" s="2">
        <f t="shared" ca="1" si="3"/>
        <v>0.75398875486812966</v>
      </c>
      <c r="C212" s="2" t="s">
        <v>226</v>
      </c>
    </row>
    <row r="213" spans="1:3" x14ac:dyDescent="0.2">
      <c r="A213" s="2">
        <v>211</v>
      </c>
      <c r="B213" s="2">
        <f t="shared" ca="1" si="3"/>
        <v>0.45459170777657337</v>
      </c>
      <c r="C213" s="2" t="s">
        <v>226</v>
      </c>
    </row>
    <row r="214" spans="1:3" x14ac:dyDescent="0.2">
      <c r="A214" s="2">
        <v>212</v>
      </c>
      <c r="B214" s="2">
        <f t="shared" ca="1" si="3"/>
        <v>0.51283047915739199</v>
      </c>
      <c r="C214" s="2" t="s">
        <v>226</v>
      </c>
    </row>
    <row r="215" spans="1:3" x14ac:dyDescent="0.2">
      <c r="A215" s="2">
        <v>213</v>
      </c>
      <c r="B215" s="2">
        <f t="shared" ca="1" si="3"/>
        <v>0.39536031554016282</v>
      </c>
      <c r="C215" s="2" t="s">
        <v>226</v>
      </c>
    </row>
    <row r="216" spans="1:3" x14ac:dyDescent="0.2">
      <c r="A216" s="2">
        <v>214</v>
      </c>
      <c r="B216" s="2">
        <f t="shared" ca="1" si="3"/>
        <v>0.77913080537105972</v>
      </c>
      <c r="C216" s="2" t="s">
        <v>226</v>
      </c>
    </row>
    <row r="217" spans="1:3" x14ac:dyDescent="0.2">
      <c r="A217" s="2">
        <v>215</v>
      </c>
      <c r="B217" s="2">
        <f t="shared" ca="1" si="3"/>
        <v>0.49960037356944448</v>
      </c>
      <c r="C217" s="2" t="s">
        <v>227</v>
      </c>
    </row>
    <row r="218" spans="1:3" x14ac:dyDescent="0.2">
      <c r="A218" s="2">
        <v>216</v>
      </c>
      <c r="B218" s="2">
        <f t="shared" ca="1" si="3"/>
        <v>0.9444175921383372</v>
      </c>
      <c r="C218" s="2" t="s">
        <v>227</v>
      </c>
    </row>
    <row r="219" spans="1:3" x14ac:dyDescent="0.2">
      <c r="A219" s="2">
        <v>217</v>
      </c>
      <c r="B219" s="2">
        <f t="shared" ca="1" si="3"/>
        <v>0.66501726197197775</v>
      </c>
      <c r="C219" s="2" t="s">
        <v>227</v>
      </c>
    </row>
    <row r="220" spans="1:3" x14ac:dyDescent="0.2">
      <c r="A220" s="2">
        <v>218</v>
      </c>
      <c r="B220" s="2">
        <f t="shared" ca="1" si="3"/>
        <v>0.89413246076525921</v>
      </c>
      <c r="C220" s="2" t="s">
        <v>226</v>
      </c>
    </row>
    <row r="221" spans="1:3" x14ac:dyDescent="0.2">
      <c r="A221" s="2">
        <v>219</v>
      </c>
      <c r="B221" s="2">
        <f t="shared" ca="1" si="3"/>
        <v>0.81481692711112996</v>
      </c>
      <c r="C221" s="2" t="s">
        <v>227</v>
      </c>
    </row>
    <row r="222" spans="1:3" x14ac:dyDescent="0.2">
      <c r="A222" s="2">
        <v>220</v>
      </c>
      <c r="B222" s="2">
        <f t="shared" ca="1" si="3"/>
        <v>0.36248171523775119</v>
      </c>
      <c r="C222" s="2" t="s">
        <v>226</v>
      </c>
    </row>
    <row r="223" spans="1:3" x14ac:dyDescent="0.2">
      <c r="A223" s="2">
        <v>221</v>
      </c>
      <c r="B223" s="2">
        <f t="shared" ca="1" si="3"/>
        <v>0.78160924767541873</v>
      </c>
      <c r="C223" s="2" t="s">
        <v>227</v>
      </c>
    </row>
    <row r="224" spans="1:3" x14ac:dyDescent="0.2">
      <c r="A224" s="2">
        <v>222</v>
      </c>
      <c r="B224" s="2">
        <f t="shared" ca="1" si="3"/>
        <v>0.74012176490753601</v>
      </c>
      <c r="C224" s="2" t="s">
        <v>227</v>
      </c>
    </row>
    <row r="225" spans="1:3" x14ac:dyDescent="0.2">
      <c r="A225" s="2">
        <v>223</v>
      </c>
      <c r="B225" s="2">
        <f t="shared" ca="1" si="3"/>
        <v>0.64501285226397542</v>
      </c>
      <c r="C225" s="2" t="s">
        <v>226</v>
      </c>
    </row>
    <row r="226" spans="1:3" x14ac:dyDescent="0.2">
      <c r="A226" s="2">
        <v>224</v>
      </c>
      <c r="B226" s="2">
        <f t="shared" ca="1" si="3"/>
        <v>0.51597754797732787</v>
      </c>
      <c r="C226" s="2" t="s">
        <v>226</v>
      </c>
    </row>
    <row r="227" spans="1:3" x14ac:dyDescent="0.2">
      <c r="A227" s="2">
        <v>225</v>
      </c>
      <c r="B227" s="2">
        <f t="shared" ca="1" si="3"/>
        <v>0.53466946965306361</v>
      </c>
      <c r="C227" s="2" t="s">
        <v>227</v>
      </c>
    </row>
    <row r="228" spans="1:3" x14ac:dyDescent="0.2">
      <c r="A228" s="2">
        <v>226</v>
      </c>
      <c r="B228" s="2">
        <f t="shared" ca="1" si="3"/>
        <v>0.69614373111773908</v>
      </c>
      <c r="C228" s="2" t="s">
        <v>226</v>
      </c>
    </row>
    <row r="229" spans="1:3" x14ac:dyDescent="0.2">
      <c r="A229" s="2">
        <v>227</v>
      </c>
      <c r="B229" s="2">
        <f t="shared" ca="1" si="3"/>
        <v>0.32260487854425146</v>
      </c>
      <c r="C229" s="2" t="s">
        <v>226</v>
      </c>
    </row>
    <row r="230" spans="1:3" x14ac:dyDescent="0.2">
      <c r="A230" s="2">
        <v>228</v>
      </c>
      <c r="B230" s="2">
        <f t="shared" ca="1" si="3"/>
        <v>0.71591966064125578</v>
      </c>
      <c r="C230" s="2" t="s">
        <v>226</v>
      </c>
    </row>
    <row r="231" spans="1:3" x14ac:dyDescent="0.2">
      <c r="A231" s="2">
        <v>229</v>
      </c>
      <c r="B231" s="2">
        <f t="shared" ca="1" si="3"/>
        <v>0.57210716632092962</v>
      </c>
      <c r="C231" s="2" t="s">
        <v>226</v>
      </c>
    </row>
    <row r="232" spans="1:3" x14ac:dyDescent="0.2">
      <c r="A232" s="2">
        <v>230</v>
      </c>
      <c r="B232" s="2">
        <f t="shared" ca="1" si="3"/>
        <v>0.75027963485135252</v>
      </c>
      <c r="C232" s="2" t="s">
        <v>227</v>
      </c>
    </row>
    <row r="233" spans="1:3" x14ac:dyDescent="0.2">
      <c r="A233" s="2">
        <v>231</v>
      </c>
      <c r="B233" s="2">
        <f t="shared" ca="1" si="3"/>
        <v>0.77314448980795691</v>
      </c>
      <c r="C233" s="2" t="s">
        <v>227</v>
      </c>
    </row>
    <row r="234" spans="1:3" x14ac:dyDescent="0.2">
      <c r="A234" s="2">
        <v>232</v>
      </c>
      <c r="B234" s="2">
        <f t="shared" ca="1" si="3"/>
        <v>0.35278592237621709</v>
      </c>
      <c r="C234" s="2" t="s">
        <v>226</v>
      </c>
    </row>
    <row r="235" spans="1:3" x14ac:dyDescent="0.2">
      <c r="A235" s="2">
        <v>233</v>
      </c>
      <c r="B235" s="2">
        <f t="shared" ca="1" si="3"/>
        <v>0.6926964738777277</v>
      </c>
      <c r="C235" s="2" t="s">
        <v>226</v>
      </c>
    </row>
    <row r="236" spans="1:3" x14ac:dyDescent="0.2">
      <c r="A236" s="2">
        <v>234</v>
      </c>
      <c r="B236" s="2">
        <f t="shared" ca="1" si="3"/>
        <v>0.69065647814810138</v>
      </c>
      <c r="C236" s="2" t="s">
        <v>227</v>
      </c>
    </row>
    <row r="237" spans="1:3" x14ac:dyDescent="0.2">
      <c r="A237" s="2">
        <v>235</v>
      </c>
      <c r="B237" s="2">
        <f t="shared" ca="1" si="3"/>
        <v>0.61071503941998417</v>
      </c>
      <c r="C237" s="2" t="s">
        <v>226</v>
      </c>
    </row>
    <row r="238" spans="1:3" x14ac:dyDescent="0.2">
      <c r="A238" s="2">
        <v>236</v>
      </c>
      <c r="B238" s="2">
        <f t="shared" ca="1" si="3"/>
        <v>0.6981086585150883</v>
      </c>
      <c r="C238" s="2" t="s">
        <v>227</v>
      </c>
    </row>
    <row r="239" spans="1:3" x14ac:dyDescent="0.2">
      <c r="A239" s="2">
        <v>237</v>
      </c>
      <c r="B239" s="2">
        <f t="shared" ca="1" si="3"/>
        <v>0.69390701153976631</v>
      </c>
      <c r="C239" s="2" t="s">
        <v>226</v>
      </c>
    </row>
    <row r="240" spans="1:3" x14ac:dyDescent="0.2">
      <c r="A240" s="2">
        <v>238</v>
      </c>
      <c r="B240" s="2">
        <f t="shared" ca="1" si="3"/>
        <v>0.69778116708088789</v>
      </c>
      <c r="C240" s="2" t="s">
        <v>227</v>
      </c>
    </row>
    <row r="241" spans="1:3" x14ac:dyDescent="0.2">
      <c r="A241" s="2">
        <v>239</v>
      </c>
      <c r="B241" s="2">
        <f t="shared" ca="1" si="3"/>
        <v>0.78090090120686728</v>
      </c>
      <c r="C241" s="2" t="s">
        <v>226</v>
      </c>
    </row>
    <row r="242" spans="1:3" x14ac:dyDescent="0.2">
      <c r="A242" s="2">
        <v>240</v>
      </c>
      <c r="B242" s="2">
        <f t="shared" ca="1" si="3"/>
        <v>0.492148828516629</v>
      </c>
      <c r="C242" s="2" t="s">
        <v>226</v>
      </c>
    </row>
    <row r="243" spans="1:3" x14ac:dyDescent="0.2">
      <c r="A243" s="2">
        <v>241</v>
      </c>
      <c r="B243" s="2">
        <f t="shared" ca="1" si="3"/>
        <v>0.67863250920070961</v>
      </c>
      <c r="C243" s="2" t="s">
        <v>227</v>
      </c>
    </row>
    <row r="244" spans="1:3" x14ac:dyDescent="0.2">
      <c r="A244" s="2">
        <v>242</v>
      </c>
      <c r="B244" s="2">
        <f t="shared" ca="1" si="3"/>
        <v>0.71762704156615886</v>
      </c>
      <c r="C244" s="2" t="s">
        <v>227</v>
      </c>
    </row>
    <row r="245" spans="1:3" x14ac:dyDescent="0.2">
      <c r="A245" s="2">
        <v>243</v>
      </c>
      <c r="B245" s="2">
        <f t="shared" ca="1" si="3"/>
        <v>0.80824093339932546</v>
      </c>
      <c r="C245" s="2" t="s">
        <v>227</v>
      </c>
    </row>
    <row r="246" spans="1:3" x14ac:dyDescent="0.2">
      <c r="A246" s="2">
        <v>244</v>
      </c>
      <c r="B246" s="2">
        <f t="shared" ca="1" si="3"/>
        <v>0.64821703401293618</v>
      </c>
      <c r="C246" s="2" t="s">
        <v>226</v>
      </c>
    </row>
    <row r="247" spans="1:3" x14ac:dyDescent="0.2">
      <c r="A247" s="2">
        <v>245</v>
      </c>
      <c r="B247" s="2">
        <f t="shared" ca="1" si="3"/>
        <v>0.67333395898382165</v>
      </c>
      <c r="C247" s="2" t="s">
        <v>227</v>
      </c>
    </row>
    <row r="248" spans="1:3" x14ac:dyDescent="0.2">
      <c r="A248" s="2">
        <v>246</v>
      </c>
      <c r="B248" s="2">
        <f t="shared" ca="1" si="3"/>
        <v>0.63575351650279821</v>
      </c>
      <c r="C248" s="2" t="s">
        <v>227</v>
      </c>
    </row>
    <row r="249" spans="1:3" x14ac:dyDescent="0.2">
      <c r="A249" s="2">
        <v>247</v>
      </c>
      <c r="B249" s="2">
        <f t="shared" ca="1" si="3"/>
        <v>0.59713989567474901</v>
      </c>
      <c r="C249" s="2" t="s">
        <v>226</v>
      </c>
    </row>
    <row r="250" spans="1:3" x14ac:dyDescent="0.2">
      <c r="A250" s="2">
        <v>248</v>
      </c>
      <c r="B250" s="2">
        <f t="shared" ca="1" si="3"/>
        <v>0.63575567676472289</v>
      </c>
      <c r="C250" s="2" t="s">
        <v>227</v>
      </c>
    </row>
    <row r="251" spans="1:3" x14ac:dyDescent="0.2">
      <c r="A251" s="2">
        <v>249</v>
      </c>
      <c r="B251" s="2">
        <f t="shared" ca="1" si="3"/>
        <v>0.5813996333963739</v>
      </c>
      <c r="C251" s="2" t="s">
        <v>226</v>
      </c>
    </row>
    <row r="252" spans="1:3" x14ac:dyDescent="0.2">
      <c r="A252" s="2">
        <v>250</v>
      </c>
      <c r="B252" s="2">
        <f t="shared" ca="1" si="3"/>
        <v>0.7656187892609494</v>
      </c>
      <c r="C252" s="2" t="s">
        <v>227</v>
      </c>
    </row>
    <row r="253" spans="1:3" x14ac:dyDescent="0.2">
      <c r="A253" s="2">
        <v>251</v>
      </c>
      <c r="B253" s="2">
        <f t="shared" ca="1" si="3"/>
        <v>0.41050592043158907</v>
      </c>
      <c r="C253" s="2" t="s">
        <v>226</v>
      </c>
    </row>
    <row r="254" spans="1:3" x14ac:dyDescent="0.2">
      <c r="A254" s="2">
        <v>252</v>
      </c>
      <c r="B254" s="2">
        <f t="shared" ca="1" si="3"/>
        <v>0.68367634868056371</v>
      </c>
      <c r="C254" s="2" t="s">
        <v>227</v>
      </c>
    </row>
    <row r="255" spans="1:3" x14ac:dyDescent="0.2">
      <c r="A255" s="2">
        <v>253</v>
      </c>
      <c r="B255" s="2">
        <f t="shared" ca="1" si="3"/>
        <v>0.63138065084409889</v>
      </c>
      <c r="C255" s="2" t="s">
        <v>227</v>
      </c>
    </row>
    <row r="256" spans="1:3" x14ac:dyDescent="0.2">
      <c r="A256" s="2">
        <v>254</v>
      </c>
      <c r="B256" s="2">
        <f t="shared" ca="1" si="3"/>
        <v>0.86922622868117139</v>
      </c>
      <c r="C256" s="2" t="s">
        <v>227</v>
      </c>
    </row>
    <row r="257" spans="1:3" x14ac:dyDescent="0.2">
      <c r="A257" s="2">
        <v>255</v>
      </c>
      <c r="B257" s="2">
        <f t="shared" ca="1" si="3"/>
        <v>0.43687931030316574</v>
      </c>
      <c r="C257" s="2" t="s">
        <v>226</v>
      </c>
    </row>
    <row r="258" spans="1:3" x14ac:dyDescent="0.2">
      <c r="A258" s="2">
        <v>256</v>
      </c>
      <c r="B258" s="2">
        <f t="shared" ca="1" si="3"/>
        <v>0.69146562375295528</v>
      </c>
      <c r="C258" s="2" t="s">
        <v>226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0.62863140058025579</v>
      </c>
      <c r="C259" s="2" t="s">
        <v>226</v>
      </c>
    </row>
    <row r="260" spans="1:3" x14ac:dyDescent="0.2">
      <c r="A260" s="2">
        <v>258</v>
      </c>
      <c r="B260" s="2">
        <f t="shared" ca="1" si="4"/>
        <v>0.97551529336884868</v>
      </c>
      <c r="C260" s="2" t="s">
        <v>226</v>
      </c>
    </row>
    <row r="261" spans="1:3" x14ac:dyDescent="0.2">
      <c r="A261" s="2">
        <v>259</v>
      </c>
      <c r="B261" s="2">
        <f t="shared" ca="1" si="4"/>
        <v>0.78172278875738588</v>
      </c>
      <c r="C261" s="2" t="s">
        <v>226</v>
      </c>
    </row>
    <row r="262" spans="1:3" x14ac:dyDescent="0.2">
      <c r="A262" s="2">
        <v>260</v>
      </c>
      <c r="B262" s="2">
        <f t="shared" ca="1" si="4"/>
        <v>0.61297705615810449</v>
      </c>
      <c r="C262" s="2" t="s">
        <v>227</v>
      </c>
    </row>
    <row r="263" spans="1:3" x14ac:dyDescent="0.2">
      <c r="A263" s="2">
        <v>261</v>
      </c>
      <c r="B263" s="2">
        <f t="shared" ca="1" si="4"/>
        <v>0.91399043688244785</v>
      </c>
      <c r="C263" s="2" t="s">
        <v>227</v>
      </c>
    </row>
    <row r="264" spans="1:3" x14ac:dyDescent="0.2">
      <c r="A264" s="2">
        <v>262</v>
      </c>
      <c r="B264" s="2">
        <f t="shared" ca="1" si="4"/>
        <v>0.56918724328797865</v>
      </c>
      <c r="C264" s="2" t="s">
        <v>227</v>
      </c>
    </row>
    <row r="265" spans="1:3" x14ac:dyDescent="0.2">
      <c r="A265" s="2">
        <v>263</v>
      </c>
      <c r="B265" s="2">
        <f t="shared" ca="1" si="4"/>
        <v>0.65964727076043184</v>
      </c>
      <c r="C265" s="2" t="s">
        <v>227</v>
      </c>
    </row>
    <row r="266" spans="1:3" x14ac:dyDescent="0.2">
      <c r="A266" s="2">
        <v>264</v>
      </c>
      <c r="B266" s="2">
        <f t="shared" ca="1" si="4"/>
        <v>0.8279301092414959</v>
      </c>
      <c r="C266" s="2" t="s">
        <v>226</v>
      </c>
    </row>
    <row r="267" spans="1:3" x14ac:dyDescent="0.2">
      <c r="A267" s="2">
        <v>265</v>
      </c>
      <c r="B267" s="2">
        <f t="shared" ca="1" si="4"/>
        <v>0.60893148202448844</v>
      </c>
      <c r="C267" s="2" t="s">
        <v>227</v>
      </c>
    </row>
    <row r="268" spans="1:3" x14ac:dyDescent="0.2">
      <c r="A268" s="2">
        <v>266</v>
      </c>
      <c r="B268" s="2">
        <f t="shared" ca="1" si="4"/>
        <v>0.66002522045371892</v>
      </c>
      <c r="C268" s="2" t="s">
        <v>227</v>
      </c>
    </row>
    <row r="269" spans="1:3" x14ac:dyDescent="0.2">
      <c r="A269" s="2">
        <v>267</v>
      </c>
      <c r="B269" s="2">
        <f t="shared" ca="1" si="4"/>
        <v>0.51642154479962432</v>
      </c>
      <c r="C269" s="2" t="s">
        <v>226</v>
      </c>
    </row>
    <row r="270" spans="1:3" x14ac:dyDescent="0.2">
      <c r="A270" s="2">
        <v>268</v>
      </c>
      <c r="B270" s="2">
        <f t="shared" ca="1" si="4"/>
        <v>0.43692162615494812</v>
      </c>
      <c r="C270" s="2" t="s">
        <v>226</v>
      </c>
    </row>
    <row r="271" spans="1:3" x14ac:dyDescent="0.2">
      <c r="A271" s="2">
        <v>269</v>
      </c>
      <c r="B271" s="2">
        <f t="shared" ca="1" si="4"/>
        <v>0.68656020231978432</v>
      </c>
      <c r="C271" s="2" t="s">
        <v>227</v>
      </c>
    </row>
    <row r="272" spans="1:3" x14ac:dyDescent="0.2">
      <c r="A272" s="2">
        <v>270</v>
      </c>
      <c r="B272" s="2">
        <f t="shared" ca="1" si="4"/>
        <v>0.57626045561856687</v>
      </c>
      <c r="C272" s="2" t="s">
        <v>227</v>
      </c>
    </row>
    <row r="273" spans="1:3" x14ac:dyDescent="0.2">
      <c r="A273" s="2">
        <v>271</v>
      </c>
      <c r="B273" s="2">
        <f t="shared" ca="1" si="4"/>
        <v>0.48802851440079781</v>
      </c>
      <c r="C273" s="2" t="s">
        <v>226</v>
      </c>
    </row>
    <row r="274" spans="1:3" x14ac:dyDescent="0.2">
      <c r="A274" s="2">
        <v>272</v>
      </c>
      <c r="B274" s="2">
        <f t="shared" ca="1" si="4"/>
        <v>0.70369139169582173</v>
      </c>
      <c r="C274" s="2" t="s">
        <v>226</v>
      </c>
    </row>
    <row r="275" spans="1:3" x14ac:dyDescent="0.2">
      <c r="A275" s="2">
        <v>273</v>
      </c>
      <c r="B275" s="2">
        <f t="shared" ca="1" si="4"/>
        <v>0.78198472535132102</v>
      </c>
      <c r="C275" s="2" t="s">
        <v>227</v>
      </c>
    </row>
    <row r="276" spans="1:3" x14ac:dyDescent="0.2">
      <c r="A276" s="2">
        <v>274</v>
      </c>
      <c r="B276" s="2">
        <f t="shared" ca="1" si="4"/>
        <v>0.5392798926080693</v>
      </c>
      <c r="C276" s="2" t="s">
        <v>226</v>
      </c>
    </row>
    <row r="277" spans="1:3" x14ac:dyDescent="0.2">
      <c r="A277" s="2">
        <v>275</v>
      </c>
      <c r="B277" s="2">
        <f t="shared" ca="1" si="4"/>
        <v>0.76595849131833638</v>
      </c>
      <c r="C277" s="2" t="s">
        <v>226</v>
      </c>
    </row>
    <row r="278" spans="1:3" x14ac:dyDescent="0.2">
      <c r="A278" s="2">
        <v>276</v>
      </c>
      <c r="B278" s="2">
        <f t="shared" ca="1" si="4"/>
        <v>0.6799622505069427</v>
      </c>
      <c r="C278" s="2" t="s">
        <v>227</v>
      </c>
    </row>
    <row r="279" spans="1:3" x14ac:dyDescent="0.2">
      <c r="A279" s="2">
        <v>277</v>
      </c>
      <c r="B279" s="2">
        <f t="shared" ca="1" si="4"/>
        <v>0.48658804229986774</v>
      </c>
      <c r="C279" s="2" t="s">
        <v>227</v>
      </c>
    </row>
    <row r="280" spans="1:3" x14ac:dyDescent="0.2">
      <c r="A280" s="2">
        <v>278</v>
      </c>
      <c r="B280" s="2">
        <f t="shared" ca="1" si="4"/>
        <v>0.62703951701342564</v>
      </c>
      <c r="C280" s="2" t="s">
        <v>226</v>
      </c>
    </row>
    <row r="281" spans="1:3" x14ac:dyDescent="0.2">
      <c r="A281" s="2">
        <v>279</v>
      </c>
      <c r="B281" s="2">
        <f t="shared" ca="1" si="4"/>
        <v>0.40586809509407107</v>
      </c>
      <c r="C281" s="2" t="s">
        <v>226</v>
      </c>
    </row>
    <row r="282" spans="1:3" x14ac:dyDescent="0.2">
      <c r="A282" s="2">
        <v>280</v>
      </c>
      <c r="B282" s="2">
        <f t="shared" ca="1" si="4"/>
        <v>0.87683164401427383</v>
      </c>
      <c r="C282" s="2" t="s">
        <v>226</v>
      </c>
    </row>
    <row r="283" spans="1:3" x14ac:dyDescent="0.2">
      <c r="A283" s="2">
        <v>281</v>
      </c>
      <c r="B283" s="2">
        <f t="shared" ca="1" si="4"/>
        <v>0.31275244718272016</v>
      </c>
      <c r="C283" s="2" t="s">
        <v>226</v>
      </c>
    </row>
    <row r="284" spans="1:3" x14ac:dyDescent="0.2">
      <c r="A284" s="2">
        <v>282</v>
      </c>
      <c r="B284" s="2">
        <f t="shared" ca="1" si="4"/>
        <v>0.71608201384672365</v>
      </c>
      <c r="C284" s="2" t="s">
        <v>227</v>
      </c>
    </row>
    <row r="285" spans="1:3" x14ac:dyDescent="0.2">
      <c r="A285" s="2">
        <v>283</v>
      </c>
      <c r="B285" s="2">
        <f t="shared" ca="1" si="4"/>
        <v>0.57049842481902413</v>
      </c>
      <c r="C285" s="2" t="s">
        <v>227</v>
      </c>
    </row>
    <row r="286" spans="1:3" x14ac:dyDescent="0.2">
      <c r="A286" s="2">
        <v>284</v>
      </c>
      <c r="B286" s="2">
        <f t="shared" ca="1" si="4"/>
        <v>0.68994311353887705</v>
      </c>
      <c r="C286" s="2" t="s">
        <v>227</v>
      </c>
    </row>
    <row r="287" spans="1:3" x14ac:dyDescent="0.2">
      <c r="A287" s="2">
        <v>285</v>
      </c>
      <c r="B287" s="2">
        <f t="shared" ca="1" si="4"/>
        <v>0.3917678333560351</v>
      </c>
      <c r="C287" s="2" t="s">
        <v>226</v>
      </c>
    </row>
    <row r="288" spans="1:3" x14ac:dyDescent="0.2">
      <c r="A288" s="2">
        <v>286</v>
      </c>
      <c r="B288" s="2">
        <f t="shared" ca="1" si="4"/>
        <v>0.92556991423926605</v>
      </c>
      <c r="C288" s="2" t="s">
        <v>227</v>
      </c>
    </row>
    <row r="289" spans="1:3" x14ac:dyDescent="0.2">
      <c r="A289" s="2">
        <v>287</v>
      </c>
      <c r="B289" s="2">
        <f t="shared" ca="1" si="4"/>
        <v>0.54099367184838043</v>
      </c>
      <c r="C289" s="2" t="s">
        <v>227</v>
      </c>
    </row>
    <row r="290" spans="1:3" x14ac:dyDescent="0.2">
      <c r="A290" s="2">
        <v>288</v>
      </c>
      <c r="B290" s="2">
        <f t="shared" ca="1" si="4"/>
        <v>0.69863872438491792</v>
      </c>
      <c r="C290" s="2" t="s">
        <v>227</v>
      </c>
    </row>
    <row r="291" spans="1:3" x14ac:dyDescent="0.2">
      <c r="A291" s="2">
        <v>289</v>
      </c>
      <c r="B291" s="2">
        <f t="shared" ca="1" si="4"/>
        <v>0.69844425545040223</v>
      </c>
      <c r="C291" s="2" t="s">
        <v>227</v>
      </c>
    </row>
    <row r="292" spans="1:3" x14ac:dyDescent="0.2">
      <c r="A292" s="2">
        <v>290</v>
      </c>
      <c r="B292" s="2">
        <f t="shared" ca="1" si="4"/>
        <v>0.58923687936582569</v>
      </c>
      <c r="C292" s="2" t="s">
        <v>226</v>
      </c>
    </row>
    <row r="293" spans="1:3" x14ac:dyDescent="0.2">
      <c r="A293" s="2">
        <v>291</v>
      </c>
      <c r="B293" s="2">
        <f t="shared" ca="1" si="4"/>
        <v>0.73836686119690054</v>
      </c>
      <c r="C293" s="2" t="s">
        <v>227</v>
      </c>
    </row>
    <row r="294" spans="1:3" x14ac:dyDescent="0.2">
      <c r="A294" s="2">
        <v>292</v>
      </c>
      <c r="B294" s="2">
        <f t="shared" ca="1" si="4"/>
        <v>0.77091369081714811</v>
      </c>
      <c r="C294" s="2" t="s">
        <v>226</v>
      </c>
    </row>
    <row r="295" spans="1:3" x14ac:dyDescent="0.2">
      <c r="A295" s="2">
        <v>293</v>
      </c>
      <c r="B295" s="2">
        <f t="shared" ca="1" si="4"/>
        <v>0.75105324938939977</v>
      </c>
      <c r="C295" s="2" t="s">
        <v>227</v>
      </c>
    </row>
    <row r="296" spans="1:3" x14ac:dyDescent="0.2">
      <c r="A296" s="2">
        <v>294</v>
      </c>
      <c r="B296" s="2">
        <f t="shared" ca="1" si="4"/>
        <v>0.89765577452112333</v>
      </c>
      <c r="C296" s="2" t="s">
        <v>226</v>
      </c>
    </row>
    <row r="297" spans="1:3" x14ac:dyDescent="0.2">
      <c r="A297" s="2">
        <v>295</v>
      </c>
      <c r="B297" s="2">
        <f t="shared" ca="1" si="4"/>
        <v>0.65428608656622067</v>
      </c>
      <c r="C297" s="2" t="s">
        <v>226</v>
      </c>
    </row>
    <row r="298" spans="1:3" x14ac:dyDescent="0.2">
      <c r="A298" s="2">
        <v>296</v>
      </c>
      <c r="B298" s="2">
        <f t="shared" ca="1" si="4"/>
        <v>0.68190964934892606</v>
      </c>
      <c r="C298" s="2" t="s">
        <v>227</v>
      </c>
    </row>
    <row r="299" spans="1:3" x14ac:dyDescent="0.2">
      <c r="A299" s="2">
        <v>297</v>
      </c>
      <c r="B299" s="2">
        <f t="shared" ca="1" si="4"/>
        <v>0.61378565144134012</v>
      </c>
      <c r="C299" s="2" t="s">
        <v>227</v>
      </c>
    </row>
    <row r="300" spans="1:3" x14ac:dyDescent="0.2">
      <c r="A300" s="2">
        <v>298</v>
      </c>
      <c r="B300" s="2">
        <f t="shared" ca="1" si="4"/>
        <v>0.48937716276114041</v>
      </c>
      <c r="C300" s="2" t="s">
        <v>226</v>
      </c>
    </row>
    <row r="301" spans="1:3" x14ac:dyDescent="0.2">
      <c r="A301" s="2">
        <v>299</v>
      </c>
      <c r="B301" s="2">
        <f t="shared" ca="1" si="4"/>
        <v>0.56413281130402171</v>
      </c>
      <c r="C301" s="2" t="s">
        <v>227</v>
      </c>
    </row>
    <row r="302" spans="1:3" x14ac:dyDescent="0.2">
      <c r="A302" s="2">
        <v>300</v>
      </c>
      <c r="B302" s="2">
        <f t="shared" ca="1" si="4"/>
        <v>0.72360948539803915</v>
      </c>
      <c r="C302" s="2" t="s">
        <v>227</v>
      </c>
    </row>
    <row r="303" spans="1:3" x14ac:dyDescent="0.2">
      <c r="A303" s="2">
        <v>301</v>
      </c>
      <c r="B303" s="2">
        <f t="shared" ca="1" si="4"/>
        <v>0.61126010527264618</v>
      </c>
      <c r="C303" s="2" t="s">
        <v>227</v>
      </c>
    </row>
    <row r="304" spans="1:3" x14ac:dyDescent="0.2">
      <c r="A304" s="2">
        <v>302</v>
      </c>
      <c r="B304" s="2">
        <f t="shared" ca="1" si="4"/>
        <v>0.63326944193584156</v>
      </c>
      <c r="C304" s="2" t="s">
        <v>227</v>
      </c>
    </row>
    <row r="305" spans="1:3" x14ac:dyDescent="0.2">
      <c r="A305" s="2">
        <v>303</v>
      </c>
      <c r="B305" s="2">
        <f t="shared" ca="1" si="4"/>
        <v>0.66918904214814434</v>
      </c>
      <c r="C305" s="2" t="s">
        <v>227</v>
      </c>
    </row>
    <row r="306" spans="1:3" x14ac:dyDescent="0.2">
      <c r="A306" s="2">
        <v>304</v>
      </c>
      <c r="B306" s="2">
        <f t="shared" ca="1" si="4"/>
        <v>0.67586380388818756</v>
      </c>
      <c r="C306" s="2" t="s">
        <v>227</v>
      </c>
    </row>
    <row r="307" spans="1:3" x14ac:dyDescent="0.2">
      <c r="A307" s="2">
        <v>305</v>
      </c>
      <c r="B307" s="2">
        <f t="shared" ca="1" si="4"/>
        <v>0.69443891768065358</v>
      </c>
      <c r="C307" s="2" t="s">
        <v>226</v>
      </c>
    </row>
    <row r="308" spans="1:3" x14ac:dyDescent="0.2">
      <c r="A308" s="2">
        <v>306</v>
      </c>
      <c r="B308" s="2">
        <f t="shared" ca="1" si="4"/>
        <v>0.77243558766738396</v>
      </c>
      <c r="C308" s="2" t="s">
        <v>227</v>
      </c>
    </row>
    <row r="309" spans="1:3" x14ac:dyDescent="0.2">
      <c r="A309" s="2">
        <v>307</v>
      </c>
      <c r="B309" s="2">
        <f t="shared" ca="1" si="4"/>
        <v>0.86037228887122641</v>
      </c>
      <c r="C309" s="2" t="s">
        <v>226</v>
      </c>
    </row>
    <row r="310" spans="1:3" x14ac:dyDescent="0.2">
      <c r="A310" s="2">
        <v>308</v>
      </c>
      <c r="B310" s="2">
        <f t="shared" ca="1" si="4"/>
        <v>0.67907150247825154</v>
      </c>
      <c r="C310" s="2" t="s">
        <v>227</v>
      </c>
    </row>
    <row r="311" spans="1:3" x14ac:dyDescent="0.2">
      <c r="A311" s="2">
        <v>309</v>
      </c>
      <c r="B311" s="2">
        <f t="shared" ca="1" si="4"/>
        <v>0.57356626779116504</v>
      </c>
      <c r="C311" s="2" t="s">
        <v>227</v>
      </c>
    </row>
    <row r="312" spans="1:3" x14ac:dyDescent="0.2">
      <c r="A312" s="2">
        <v>310</v>
      </c>
      <c r="B312" s="2">
        <f t="shared" ca="1" si="4"/>
        <v>0.26027600895955505</v>
      </c>
      <c r="C312" s="2" t="s">
        <v>226</v>
      </c>
    </row>
    <row r="313" spans="1:3" x14ac:dyDescent="0.2">
      <c r="A313" s="2">
        <v>311</v>
      </c>
      <c r="B313" s="2">
        <f t="shared" ca="1" si="4"/>
        <v>0.69350956620704995</v>
      </c>
      <c r="C313" s="2" t="s">
        <v>227</v>
      </c>
    </row>
    <row r="314" spans="1:3" x14ac:dyDescent="0.2">
      <c r="A314" s="2">
        <v>312</v>
      </c>
      <c r="B314" s="2">
        <f t="shared" ca="1" si="4"/>
        <v>0.82965786978232758</v>
      </c>
      <c r="C314" s="2" t="s">
        <v>227</v>
      </c>
    </row>
    <row r="315" spans="1:3" x14ac:dyDescent="0.2">
      <c r="A315" s="2">
        <v>313</v>
      </c>
      <c r="B315" s="2">
        <f t="shared" ca="1" si="4"/>
        <v>0.61879501280568894</v>
      </c>
      <c r="C315" s="2" t="s">
        <v>226</v>
      </c>
    </row>
    <row r="316" spans="1:3" x14ac:dyDescent="0.2">
      <c r="A316" s="2">
        <v>314</v>
      </c>
      <c r="B316" s="2">
        <f t="shared" ca="1" si="4"/>
        <v>0.7588826389344745</v>
      </c>
      <c r="C316" s="2" t="s">
        <v>226</v>
      </c>
    </row>
    <row r="317" spans="1:3" x14ac:dyDescent="0.2">
      <c r="A317" s="2">
        <v>315</v>
      </c>
      <c r="B317" s="2">
        <f t="shared" ca="1" si="4"/>
        <v>0.69678703736533354</v>
      </c>
      <c r="C317" s="2" t="s">
        <v>227</v>
      </c>
    </row>
    <row r="318" spans="1:3" x14ac:dyDescent="0.2">
      <c r="A318" s="2">
        <v>316</v>
      </c>
      <c r="B318" s="2">
        <f t="shared" ca="1" si="4"/>
        <v>0.71541795549974507</v>
      </c>
      <c r="C318" s="2" t="s">
        <v>227</v>
      </c>
    </row>
    <row r="319" spans="1:3" x14ac:dyDescent="0.2">
      <c r="A319" s="2">
        <v>317</v>
      </c>
      <c r="B319" s="2">
        <f t="shared" ca="1" si="4"/>
        <v>0.66725742201855953</v>
      </c>
      <c r="C319" s="2" t="s">
        <v>226</v>
      </c>
    </row>
    <row r="320" spans="1:3" x14ac:dyDescent="0.2">
      <c r="A320" s="2">
        <v>318</v>
      </c>
      <c r="B320" s="2">
        <f t="shared" ca="1" si="4"/>
        <v>0.83105886487639768</v>
      </c>
      <c r="C320" s="2" t="s">
        <v>227</v>
      </c>
    </row>
    <row r="321" spans="1:3" x14ac:dyDescent="0.2">
      <c r="A321" s="2">
        <v>319</v>
      </c>
      <c r="B321" s="2">
        <f t="shared" ca="1" si="4"/>
        <v>0.44607792521890166</v>
      </c>
      <c r="C321" s="2" t="s">
        <v>226</v>
      </c>
    </row>
    <row r="322" spans="1:3" x14ac:dyDescent="0.2">
      <c r="A322" s="2">
        <v>320</v>
      </c>
      <c r="B322" s="2">
        <f t="shared" ca="1" si="4"/>
        <v>0.46234166164770196</v>
      </c>
      <c r="C322" s="2" t="s">
        <v>226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0.77100269708695213</v>
      </c>
      <c r="C323" s="2" t="s">
        <v>227</v>
      </c>
    </row>
    <row r="324" spans="1:3" x14ac:dyDescent="0.2">
      <c r="A324" s="2">
        <v>322</v>
      </c>
      <c r="B324" s="2">
        <f t="shared" ca="1" si="5"/>
        <v>0.68758646570825377</v>
      </c>
      <c r="C324" s="2" t="s">
        <v>227</v>
      </c>
    </row>
    <row r="325" spans="1:3" x14ac:dyDescent="0.2">
      <c r="A325" s="2">
        <v>323</v>
      </c>
      <c r="B325" s="2">
        <f t="shared" ca="1" si="5"/>
        <v>0.68271642341408167</v>
      </c>
      <c r="C325" s="2" t="s">
        <v>227</v>
      </c>
    </row>
    <row r="326" spans="1:3" x14ac:dyDescent="0.2">
      <c r="A326" s="2">
        <v>324</v>
      </c>
      <c r="B326" s="2">
        <f t="shared" ca="1" si="5"/>
        <v>0.56604882156168845</v>
      </c>
      <c r="C326" s="2" t="s">
        <v>226</v>
      </c>
    </row>
    <row r="327" spans="1:3" x14ac:dyDescent="0.2">
      <c r="A327" s="2">
        <v>325</v>
      </c>
      <c r="B327" s="2">
        <f t="shared" ca="1" si="5"/>
        <v>0.42270837072646228</v>
      </c>
      <c r="C327" s="2" t="s">
        <v>226</v>
      </c>
    </row>
    <row r="328" spans="1:3" x14ac:dyDescent="0.2">
      <c r="A328" s="2">
        <v>326</v>
      </c>
      <c r="B328" s="2">
        <f t="shared" ca="1" si="5"/>
        <v>0.81020021202283232</v>
      </c>
      <c r="C328" s="2" t="s">
        <v>227</v>
      </c>
    </row>
    <row r="329" spans="1:3" x14ac:dyDescent="0.2">
      <c r="A329" s="2">
        <v>327</v>
      </c>
      <c r="B329" s="2">
        <f t="shared" ca="1" si="5"/>
        <v>0.54729552005380366</v>
      </c>
      <c r="C329" s="2" t="s">
        <v>226</v>
      </c>
    </row>
    <row r="330" spans="1:3" x14ac:dyDescent="0.2">
      <c r="A330" s="2">
        <v>328</v>
      </c>
      <c r="B330" s="2">
        <f t="shared" ca="1" si="5"/>
        <v>0.66990665335892041</v>
      </c>
      <c r="C330" s="2" t="s">
        <v>226</v>
      </c>
    </row>
    <row r="331" spans="1:3" x14ac:dyDescent="0.2">
      <c r="A331" s="2">
        <v>329</v>
      </c>
      <c r="B331" s="2">
        <f t="shared" ca="1" si="5"/>
        <v>0.61222312489487074</v>
      </c>
      <c r="C331" s="2" t="s">
        <v>227</v>
      </c>
    </row>
    <row r="332" spans="1:3" x14ac:dyDescent="0.2">
      <c r="A332" s="2">
        <v>330</v>
      </c>
      <c r="B332" s="2">
        <f t="shared" ca="1" si="5"/>
        <v>0.64214712712982014</v>
      </c>
      <c r="C332" s="2" t="s">
        <v>226</v>
      </c>
    </row>
    <row r="333" spans="1:3" x14ac:dyDescent="0.2">
      <c r="A333" s="2">
        <v>331</v>
      </c>
      <c r="B333" s="2">
        <f t="shared" ca="1" si="5"/>
        <v>0.88312204809340267</v>
      </c>
      <c r="C333" s="2" t="s">
        <v>226</v>
      </c>
    </row>
    <row r="334" spans="1:3" x14ac:dyDescent="0.2">
      <c r="A334" s="2">
        <v>332</v>
      </c>
      <c r="B334" s="2">
        <f t="shared" ca="1" si="5"/>
        <v>0.68086277179611709</v>
      </c>
      <c r="C334" s="2" t="s">
        <v>227</v>
      </c>
    </row>
    <row r="335" spans="1:3" x14ac:dyDescent="0.2">
      <c r="A335" s="2">
        <v>333</v>
      </c>
      <c r="B335" s="2">
        <f t="shared" ca="1" si="5"/>
        <v>0.36001678332846421</v>
      </c>
      <c r="C335" s="2" t="s">
        <v>226</v>
      </c>
    </row>
    <row r="336" spans="1:3" x14ac:dyDescent="0.2">
      <c r="A336" s="2">
        <v>334</v>
      </c>
      <c r="B336" s="2">
        <f t="shared" ca="1" si="5"/>
        <v>0.79033142333945983</v>
      </c>
      <c r="C336" s="2" t="s">
        <v>226</v>
      </c>
    </row>
    <row r="337" spans="1:3" x14ac:dyDescent="0.2">
      <c r="A337" s="2">
        <v>335</v>
      </c>
      <c r="B337" s="2">
        <f t="shared" ca="1" si="5"/>
        <v>0.54244107413167475</v>
      </c>
      <c r="C337" s="2" t="s">
        <v>226</v>
      </c>
    </row>
    <row r="338" spans="1:3" x14ac:dyDescent="0.2">
      <c r="A338" s="2">
        <v>336</v>
      </c>
      <c r="B338" s="2">
        <f t="shared" ca="1" si="5"/>
        <v>0.6505087042885046</v>
      </c>
      <c r="C338" s="2" t="s">
        <v>227</v>
      </c>
    </row>
    <row r="339" spans="1:3" x14ac:dyDescent="0.2">
      <c r="A339" s="2">
        <v>337</v>
      </c>
      <c r="B339" s="2">
        <f t="shared" ca="1" si="5"/>
        <v>0.65235678557356647</v>
      </c>
      <c r="C339" s="2" t="s">
        <v>227</v>
      </c>
    </row>
    <row r="340" spans="1:3" x14ac:dyDescent="0.2">
      <c r="A340" s="2">
        <v>338</v>
      </c>
      <c r="B340" s="2">
        <f t="shared" ca="1" si="5"/>
        <v>0.63755849491253436</v>
      </c>
      <c r="C340" s="2" t="s">
        <v>227</v>
      </c>
    </row>
    <row r="341" spans="1:3" x14ac:dyDescent="0.2">
      <c r="A341" s="2">
        <v>339</v>
      </c>
      <c r="B341" s="2">
        <f t="shared" ca="1" si="5"/>
        <v>0.58480608979514248</v>
      </c>
      <c r="C341" s="2" t="s">
        <v>226</v>
      </c>
    </row>
    <row r="342" spans="1:3" x14ac:dyDescent="0.2">
      <c r="A342" s="2">
        <v>340</v>
      </c>
      <c r="B342" s="2">
        <f t="shared" ca="1" si="5"/>
        <v>0.35246215651609381</v>
      </c>
      <c r="C342" s="2" t="s">
        <v>226</v>
      </c>
    </row>
    <row r="343" spans="1:3" x14ac:dyDescent="0.2">
      <c r="A343" s="2">
        <v>341</v>
      </c>
      <c r="B343" s="2">
        <f t="shared" ca="1" si="5"/>
        <v>0.91001011551675881</v>
      </c>
      <c r="C343" s="2" t="s">
        <v>226</v>
      </c>
    </row>
    <row r="344" spans="1:3" x14ac:dyDescent="0.2">
      <c r="A344" s="2">
        <v>342</v>
      </c>
      <c r="B344" s="2">
        <f t="shared" ca="1" si="5"/>
        <v>0.70657549353046178</v>
      </c>
      <c r="C344" s="2" t="s">
        <v>226</v>
      </c>
    </row>
    <row r="345" spans="1:3" x14ac:dyDescent="0.2">
      <c r="A345" s="2">
        <v>343</v>
      </c>
      <c r="B345" s="2">
        <f t="shared" ca="1" si="5"/>
        <v>0.78429271490923025</v>
      </c>
      <c r="C345" s="2" t="s">
        <v>227</v>
      </c>
    </row>
    <row r="346" spans="1:3" x14ac:dyDescent="0.2">
      <c r="A346" s="2">
        <v>344</v>
      </c>
      <c r="B346" s="2">
        <f t="shared" ca="1" si="5"/>
        <v>0.54867579949597234</v>
      </c>
      <c r="C346" s="2" t="s">
        <v>227</v>
      </c>
    </row>
    <row r="347" spans="1:3" x14ac:dyDescent="0.2">
      <c r="A347" s="2">
        <v>345</v>
      </c>
      <c r="B347" s="2">
        <f t="shared" ca="1" si="5"/>
        <v>0.77315975144315385</v>
      </c>
      <c r="C347" s="2" t="s">
        <v>226</v>
      </c>
    </row>
    <row r="348" spans="1:3" x14ac:dyDescent="0.2">
      <c r="A348" s="2">
        <v>346</v>
      </c>
      <c r="B348" s="2">
        <f t="shared" ca="1" si="5"/>
        <v>0.82463671162904462</v>
      </c>
      <c r="C348" s="2" t="s">
        <v>227</v>
      </c>
    </row>
    <row r="349" spans="1:3" x14ac:dyDescent="0.2">
      <c r="A349" s="2">
        <v>347</v>
      </c>
      <c r="B349" s="2">
        <f t="shared" ca="1" si="5"/>
        <v>0.38979021038812667</v>
      </c>
      <c r="C349" s="2" t="s">
        <v>226</v>
      </c>
    </row>
    <row r="350" spans="1:3" x14ac:dyDescent="0.2">
      <c r="A350" s="2">
        <v>348</v>
      </c>
      <c r="B350" s="2">
        <f t="shared" ca="1" si="5"/>
        <v>0.71944811523317675</v>
      </c>
      <c r="C350" s="2" t="s">
        <v>227</v>
      </c>
    </row>
    <row r="351" spans="1:3" x14ac:dyDescent="0.2">
      <c r="A351" s="2">
        <v>349</v>
      </c>
      <c r="B351" s="2">
        <f t="shared" ca="1" si="5"/>
        <v>0.55183829243063343</v>
      </c>
      <c r="C351" s="2" t="s">
        <v>227</v>
      </c>
    </row>
    <row r="352" spans="1:3" x14ac:dyDescent="0.2">
      <c r="A352" s="2">
        <v>350</v>
      </c>
      <c r="B352" s="2">
        <f t="shared" ca="1" si="5"/>
        <v>0.58819848031600208</v>
      </c>
      <c r="C352" s="2" t="s">
        <v>226</v>
      </c>
    </row>
    <row r="353" spans="1:3" x14ac:dyDescent="0.2">
      <c r="A353" s="2">
        <v>351</v>
      </c>
      <c r="B353" s="2">
        <f t="shared" ca="1" si="5"/>
        <v>0.63565933221485738</v>
      </c>
      <c r="C353" s="2" t="s">
        <v>226</v>
      </c>
    </row>
    <row r="354" spans="1:3" x14ac:dyDescent="0.2">
      <c r="A354" s="2">
        <v>352</v>
      </c>
      <c r="B354" s="2">
        <f t="shared" ca="1" si="5"/>
        <v>0.5385983264873927</v>
      </c>
      <c r="C354" s="2" t="s">
        <v>226</v>
      </c>
    </row>
    <row r="355" spans="1:3" x14ac:dyDescent="0.2">
      <c r="A355" s="2">
        <v>353</v>
      </c>
      <c r="B355" s="2">
        <f t="shared" ca="1" si="5"/>
        <v>0.64240834847003581</v>
      </c>
      <c r="C355" s="2" t="s">
        <v>227</v>
      </c>
    </row>
    <row r="356" spans="1:3" x14ac:dyDescent="0.2">
      <c r="A356" s="2">
        <v>354</v>
      </c>
      <c r="B356" s="2">
        <f t="shared" ca="1" si="5"/>
        <v>0.80012131375930484</v>
      </c>
      <c r="C356" s="2" t="s">
        <v>227</v>
      </c>
    </row>
    <row r="357" spans="1:3" x14ac:dyDescent="0.2">
      <c r="A357" s="2">
        <v>355</v>
      </c>
      <c r="B357" s="2">
        <f t="shared" ca="1" si="5"/>
        <v>0.75334183120819043</v>
      </c>
      <c r="C357" s="2" t="s">
        <v>227</v>
      </c>
    </row>
    <row r="358" spans="1:3" x14ac:dyDescent="0.2">
      <c r="A358" s="2">
        <v>356</v>
      </c>
      <c r="B358" s="2">
        <f t="shared" ca="1" si="5"/>
        <v>0.600431920519792</v>
      </c>
      <c r="C358" s="2" t="s">
        <v>227</v>
      </c>
    </row>
    <row r="359" spans="1:3" x14ac:dyDescent="0.2">
      <c r="A359" s="2">
        <v>357</v>
      </c>
      <c r="B359" s="2">
        <f t="shared" ca="1" si="5"/>
        <v>0.4821216060068928</v>
      </c>
      <c r="C359" s="2" t="s">
        <v>226</v>
      </c>
    </row>
    <row r="360" spans="1:3" x14ac:dyDescent="0.2">
      <c r="A360" s="2">
        <v>358</v>
      </c>
      <c r="B360" s="2">
        <f t="shared" ca="1" si="5"/>
        <v>0.70379053161512228</v>
      </c>
      <c r="C360" s="2" t="s">
        <v>227</v>
      </c>
    </row>
    <row r="361" spans="1:3" x14ac:dyDescent="0.2">
      <c r="A361" s="2">
        <v>359</v>
      </c>
      <c r="B361" s="2">
        <f t="shared" ca="1" si="5"/>
        <v>0.68871665092047329</v>
      </c>
      <c r="C361" s="2" t="s">
        <v>226</v>
      </c>
    </row>
    <row r="362" spans="1:3" x14ac:dyDescent="0.2">
      <c r="A362" s="2">
        <v>360</v>
      </c>
      <c r="B362" s="2">
        <f t="shared" ca="1" si="5"/>
        <v>0.5440252905905183</v>
      </c>
      <c r="C362" s="2" t="s">
        <v>226</v>
      </c>
    </row>
    <row r="363" spans="1:3" x14ac:dyDescent="0.2">
      <c r="A363" s="2">
        <v>361</v>
      </c>
      <c r="B363" s="2">
        <f t="shared" ca="1" si="5"/>
        <v>0.60735281180002654</v>
      </c>
      <c r="C363" s="2" t="s">
        <v>227</v>
      </c>
    </row>
    <row r="364" spans="1:3" x14ac:dyDescent="0.2">
      <c r="A364" s="2">
        <v>362</v>
      </c>
      <c r="B364" s="2">
        <f t="shared" ca="1" si="5"/>
        <v>0.72448639728387909</v>
      </c>
      <c r="C364" s="2" t="s">
        <v>227</v>
      </c>
    </row>
    <row r="365" spans="1:3" x14ac:dyDescent="0.2">
      <c r="A365" s="2">
        <v>363</v>
      </c>
      <c r="B365" s="2">
        <f t="shared" ca="1" si="5"/>
        <v>0.39226832576599979</v>
      </c>
      <c r="C365" s="2" t="s">
        <v>226</v>
      </c>
    </row>
    <row r="366" spans="1:3" x14ac:dyDescent="0.2">
      <c r="A366" s="2">
        <v>364</v>
      </c>
      <c r="B366" s="2">
        <f t="shared" ca="1" si="5"/>
        <v>0.81323936313389855</v>
      </c>
      <c r="C366" s="2" t="s">
        <v>227</v>
      </c>
    </row>
    <row r="367" spans="1:3" x14ac:dyDescent="0.2">
      <c r="A367" s="2">
        <v>365</v>
      </c>
      <c r="B367" s="2">
        <f t="shared" ca="1" si="5"/>
        <v>0.59191694700144459</v>
      </c>
      <c r="C367" s="2" t="s">
        <v>226</v>
      </c>
    </row>
    <row r="368" spans="1:3" x14ac:dyDescent="0.2">
      <c r="A368" s="2">
        <v>366</v>
      </c>
      <c r="B368" s="2">
        <f t="shared" ca="1" si="5"/>
        <v>0.55446546231576688</v>
      </c>
      <c r="C368" s="2" t="s">
        <v>226</v>
      </c>
    </row>
    <row r="369" spans="1:3" x14ac:dyDescent="0.2">
      <c r="A369" s="2">
        <v>367</v>
      </c>
      <c r="B369" s="2">
        <f t="shared" ca="1" si="5"/>
        <v>0.68171610648901926</v>
      </c>
      <c r="C369" s="2" t="s">
        <v>227</v>
      </c>
    </row>
    <row r="370" spans="1:3" x14ac:dyDescent="0.2">
      <c r="A370" s="2">
        <v>368</v>
      </c>
      <c r="B370" s="2">
        <f t="shared" ca="1" si="5"/>
        <v>0.72274511168589362</v>
      </c>
      <c r="C370" s="2" t="s">
        <v>227</v>
      </c>
    </row>
    <row r="371" spans="1:3" x14ac:dyDescent="0.2">
      <c r="A371" s="2">
        <v>369</v>
      </c>
      <c r="B371" s="2">
        <f t="shared" ca="1" si="5"/>
        <v>0.55638559245528996</v>
      </c>
      <c r="C371" s="2" t="s">
        <v>226</v>
      </c>
    </row>
    <row r="372" spans="1:3" x14ac:dyDescent="0.2">
      <c r="A372" s="2">
        <v>370</v>
      </c>
      <c r="B372" s="2">
        <f t="shared" ca="1" si="5"/>
        <v>0.9309143922888411</v>
      </c>
      <c r="C372" s="2" t="s">
        <v>227</v>
      </c>
    </row>
    <row r="373" spans="1:3" x14ac:dyDescent="0.2">
      <c r="A373" s="2">
        <v>371</v>
      </c>
      <c r="B373" s="2">
        <f t="shared" ca="1" si="5"/>
        <v>0.76082411269485184</v>
      </c>
      <c r="C373" s="2" t="s">
        <v>227</v>
      </c>
    </row>
    <row r="374" spans="1:3" x14ac:dyDescent="0.2">
      <c r="A374" s="2">
        <v>372</v>
      </c>
      <c r="B374" s="2">
        <f t="shared" ca="1" si="5"/>
        <v>0.74213004350534129</v>
      </c>
      <c r="C374" s="2" t="s">
        <v>226</v>
      </c>
    </row>
    <row r="375" spans="1:3" x14ac:dyDescent="0.2">
      <c r="A375" s="2">
        <v>373</v>
      </c>
      <c r="B375" s="2">
        <f t="shared" ca="1" si="5"/>
        <v>0.6803442541410375</v>
      </c>
      <c r="C375" s="2" t="s">
        <v>227</v>
      </c>
    </row>
    <row r="376" spans="1:3" x14ac:dyDescent="0.2">
      <c r="A376" s="2">
        <v>374</v>
      </c>
      <c r="B376" s="2">
        <f t="shared" ca="1" si="5"/>
        <v>0.57600127572648829</v>
      </c>
      <c r="C376" s="2" t="s">
        <v>227</v>
      </c>
    </row>
    <row r="377" spans="1:3" x14ac:dyDescent="0.2">
      <c r="A377" s="2">
        <v>375</v>
      </c>
      <c r="B377" s="2">
        <f t="shared" ca="1" si="5"/>
        <v>0.97864120697182744</v>
      </c>
      <c r="C377" s="2" t="s">
        <v>226</v>
      </c>
    </row>
    <row r="378" spans="1:3" x14ac:dyDescent="0.2">
      <c r="A378" s="2">
        <v>376</v>
      </c>
      <c r="B378" s="2">
        <f t="shared" ca="1" si="5"/>
        <v>0.78045875186769043</v>
      </c>
      <c r="C378" s="2" t="s">
        <v>227</v>
      </c>
    </row>
    <row r="379" spans="1:3" x14ac:dyDescent="0.2">
      <c r="A379" s="2">
        <v>377</v>
      </c>
      <c r="B379" s="2">
        <f t="shared" ca="1" si="5"/>
        <v>0.66642120453700315</v>
      </c>
      <c r="C379" s="2" t="s">
        <v>227</v>
      </c>
    </row>
    <row r="380" spans="1:3" x14ac:dyDescent="0.2">
      <c r="A380" s="2">
        <v>378</v>
      </c>
      <c r="B380" s="2">
        <f t="shared" ca="1" si="5"/>
        <v>0.54078276773847378</v>
      </c>
      <c r="C380" s="2" t="s">
        <v>227</v>
      </c>
    </row>
    <row r="381" spans="1:3" x14ac:dyDescent="0.2">
      <c r="A381" s="2">
        <v>379</v>
      </c>
      <c r="B381" s="2">
        <f t="shared" ca="1" si="5"/>
        <v>0.50842600130456583</v>
      </c>
      <c r="C381" s="2" t="s">
        <v>227</v>
      </c>
    </row>
    <row r="382" spans="1:3" x14ac:dyDescent="0.2">
      <c r="A382" s="2">
        <v>380</v>
      </c>
      <c r="B382" s="2">
        <f t="shared" ca="1" si="5"/>
        <v>0.84309098990076992</v>
      </c>
      <c r="C382" s="2" t="s">
        <v>227</v>
      </c>
    </row>
    <row r="383" spans="1:3" x14ac:dyDescent="0.2">
      <c r="A383" s="2">
        <v>381</v>
      </c>
      <c r="B383" s="2">
        <f t="shared" ca="1" si="5"/>
        <v>0.78649899545291768</v>
      </c>
      <c r="C383" s="2" t="s">
        <v>227</v>
      </c>
    </row>
    <row r="384" spans="1:3" x14ac:dyDescent="0.2">
      <c r="A384" s="2">
        <v>382</v>
      </c>
      <c r="B384" s="2">
        <f t="shared" ca="1" si="5"/>
        <v>0.66410457376738674</v>
      </c>
      <c r="C384" s="2" t="s">
        <v>227</v>
      </c>
    </row>
    <row r="385" spans="1:3" x14ac:dyDescent="0.2">
      <c r="A385" s="2">
        <v>383</v>
      </c>
      <c r="B385" s="2">
        <f t="shared" ca="1" si="5"/>
        <v>0.48166323673774014</v>
      </c>
      <c r="C385" s="2" t="s">
        <v>226</v>
      </c>
    </row>
    <row r="386" spans="1:3" x14ac:dyDescent="0.2">
      <c r="A386" s="2">
        <v>384</v>
      </c>
      <c r="B386" s="2">
        <f t="shared" ca="1" si="5"/>
        <v>0.7374788195642259</v>
      </c>
      <c r="C386" s="2" t="s">
        <v>227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0.60919128921808841</v>
      </c>
      <c r="C387" s="2" t="s">
        <v>226</v>
      </c>
    </row>
    <row r="388" spans="1:3" x14ac:dyDescent="0.2">
      <c r="A388" s="2">
        <v>386</v>
      </c>
      <c r="B388" s="2">
        <f t="shared" ca="1" si="6"/>
        <v>0.49806306139664386</v>
      </c>
      <c r="C388" s="2" t="s">
        <v>226</v>
      </c>
    </row>
    <row r="389" spans="1:3" x14ac:dyDescent="0.2">
      <c r="A389" s="2">
        <v>387</v>
      </c>
      <c r="B389" s="2">
        <f t="shared" ca="1" si="6"/>
        <v>0.38202154464386184</v>
      </c>
      <c r="C389" s="2" t="s">
        <v>226</v>
      </c>
    </row>
    <row r="390" spans="1:3" x14ac:dyDescent="0.2">
      <c r="A390" s="2">
        <v>388</v>
      </c>
      <c r="B390" s="2">
        <f t="shared" ca="1" si="6"/>
        <v>0.67502747020468534</v>
      </c>
      <c r="C390" s="2" t="s">
        <v>226</v>
      </c>
    </row>
    <row r="391" spans="1:3" x14ac:dyDescent="0.2">
      <c r="A391" s="2">
        <v>389</v>
      </c>
      <c r="B391" s="2">
        <f t="shared" ca="1" si="6"/>
        <v>0.5678013804443286</v>
      </c>
      <c r="C391" s="2" t="s">
        <v>226</v>
      </c>
    </row>
    <row r="392" spans="1:3" x14ac:dyDescent="0.2">
      <c r="A392" s="2">
        <v>390</v>
      </c>
      <c r="B392" s="2">
        <f t="shared" ca="1" si="6"/>
        <v>0.61646453038296078</v>
      </c>
      <c r="C392" s="2" t="s">
        <v>227</v>
      </c>
    </row>
    <row r="393" spans="1:3" x14ac:dyDescent="0.2">
      <c r="A393" s="2">
        <v>391</v>
      </c>
      <c r="B393" s="2">
        <f t="shared" ca="1" si="6"/>
        <v>0.74419097132152001</v>
      </c>
      <c r="C393" s="2" t="s">
        <v>227</v>
      </c>
    </row>
    <row r="394" spans="1:3" x14ac:dyDescent="0.2">
      <c r="A394" s="2">
        <v>392</v>
      </c>
      <c r="B394" s="2">
        <f t="shared" ca="1" si="6"/>
        <v>0.55419370165049597</v>
      </c>
      <c r="C394" s="2" t="s">
        <v>226</v>
      </c>
    </row>
    <row r="395" spans="1:3" x14ac:dyDescent="0.2">
      <c r="A395" s="2">
        <v>393</v>
      </c>
      <c r="B395" s="2">
        <f t="shared" ca="1" si="6"/>
        <v>0.50141176308483904</v>
      </c>
      <c r="C395" s="2" t="s">
        <v>226</v>
      </c>
    </row>
    <row r="396" spans="1:3" x14ac:dyDescent="0.2">
      <c r="A396" s="2">
        <v>394</v>
      </c>
      <c r="B396" s="2">
        <f t="shared" ca="1" si="6"/>
        <v>0.66123760166515066</v>
      </c>
      <c r="C396" s="2" t="s">
        <v>226</v>
      </c>
    </row>
    <row r="397" spans="1:3" x14ac:dyDescent="0.2">
      <c r="A397" s="2">
        <v>395</v>
      </c>
      <c r="B397" s="2">
        <f t="shared" ca="1" si="6"/>
        <v>0.66324692601887614</v>
      </c>
      <c r="C397" s="2" t="s">
        <v>227</v>
      </c>
    </row>
    <row r="398" spans="1:3" x14ac:dyDescent="0.2">
      <c r="A398" s="2">
        <v>396</v>
      </c>
      <c r="B398" s="2">
        <f t="shared" ca="1" si="6"/>
        <v>0.90889295282239013</v>
      </c>
      <c r="C398" s="2" t="s">
        <v>227</v>
      </c>
    </row>
    <row r="399" spans="1:3" x14ac:dyDescent="0.2">
      <c r="A399" s="2">
        <v>397</v>
      </c>
      <c r="B399" s="2">
        <f t="shared" ca="1" si="6"/>
        <v>0.68370952482517522</v>
      </c>
      <c r="C399" s="2" t="s">
        <v>226</v>
      </c>
    </row>
    <row r="400" spans="1:3" x14ac:dyDescent="0.2">
      <c r="A400" s="2">
        <v>398</v>
      </c>
      <c r="B400" s="2">
        <f t="shared" ca="1" si="6"/>
        <v>0.58193537391358652</v>
      </c>
      <c r="C400" s="2" t="s">
        <v>227</v>
      </c>
    </row>
    <row r="401" spans="1:3" x14ac:dyDescent="0.2">
      <c r="A401" s="2">
        <v>399</v>
      </c>
      <c r="B401" s="2">
        <f t="shared" ca="1" si="6"/>
        <v>0.70736277449074669</v>
      </c>
      <c r="C401" s="2" t="s">
        <v>226</v>
      </c>
    </row>
    <row r="402" spans="1:3" x14ac:dyDescent="0.2">
      <c r="A402" s="2">
        <v>400</v>
      </c>
      <c r="B402" s="2">
        <f t="shared" ca="1" si="6"/>
        <v>0.81401931854802856</v>
      </c>
      <c r="C402" s="2" t="s">
        <v>227</v>
      </c>
    </row>
    <row r="403" spans="1:3" x14ac:dyDescent="0.2">
      <c r="A403" s="2">
        <v>401</v>
      </c>
      <c r="B403" s="2">
        <f t="shared" ca="1" si="6"/>
        <v>0.62155580805772959</v>
      </c>
      <c r="C403" s="2" t="s">
        <v>226</v>
      </c>
    </row>
    <row r="404" spans="1:3" x14ac:dyDescent="0.2">
      <c r="A404" s="2">
        <v>402</v>
      </c>
      <c r="B404" s="2">
        <f t="shared" ca="1" si="6"/>
        <v>0.58977133885911781</v>
      </c>
      <c r="C404" s="2" t="s">
        <v>226</v>
      </c>
    </row>
    <row r="405" spans="1:3" x14ac:dyDescent="0.2">
      <c r="A405" s="2">
        <v>403</v>
      </c>
      <c r="B405" s="2">
        <f t="shared" ca="1" si="6"/>
        <v>0.67568923637072342</v>
      </c>
      <c r="C405" s="2" t="s">
        <v>226</v>
      </c>
    </row>
    <row r="406" spans="1:3" x14ac:dyDescent="0.2">
      <c r="A406" s="2">
        <v>404</v>
      </c>
      <c r="B406" s="2">
        <f t="shared" ca="1" si="6"/>
        <v>0.63679785533155742</v>
      </c>
      <c r="C406" s="2" t="s">
        <v>227</v>
      </c>
    </row>
    <row r="407" spans="1:3" x14ac:dyDescent="0.2">
      <c r="A407" s="2">
        <v>405</v>
      </c>
      <c r="B407" s="2">
        <f t="shared" ca="1" si="6"/>
        <v>0.55881693711268943</v>
      </c>
      <c r="C407" s="2" t="s">
        <v>227</v>
      </c>
    </row>
    <row r="408" spans="1:3" x14ac:dyDescent="0.2">
      <c r="A408" s="2">
        <v>406</v>
      </c>
      <c r="B408" s="2">
        <f t="shared" ca="1" si="6"/>
        <v>0.5068571007529612</v>
      </c>
      <c r="C408" s="2" t="s">
        <v>226</v>
      </c>
    </row>
    <row r="409" spans="1:3" x14ac:dyDescent="0.2">
      <c r="A409" s="2">
        <v>407</v>
      </c>
      <c r="B409" s="2">
        <f t="shared" ca="1" si="6"/>
        <v>0.43258805138740863</v>
      </c>
      <c r="C409" s="2" t="s">
        <v>226</v>
      </c>
    </row>
    <row r="410" spans="1:3" x14ac:dyDescent="0.2">
      <c r="A410" s="2">
        <v>408</v>
      </c>
      <c r="B410" s="2">
        <f t="shared" ca="1" si="6"/>
        <v>0.76502361349471215</v>
      </c>
      <c r="C410" s="2" t="s">
        <v>227</v>
      </c>
    </row>
    <row r="411" spans="1:3" x14ac:dyDescent="0.2">
      <c r="A411" s="2">
        <v>409</v>
      </c>
      <c r="B411" s="2">
        <f t="shared" ca="1" si="6"/>
        <v>0.62501826844608754</v>
      </c>
      <c r="C411" s="2" t="s">
        <v>227</v>
      </c>
    </row>
    <row r="412" spans="1:3" x14ac:dyDescent="0.2">
      <c r="A412" s="2">
        <v>410</v>
      </c>
      <c r="B412" s="2">
        <f t="shared" ca="1" si="6"/>
        <v>0.51390572137390178</v>
      </c>
      <c r="C412" s="2" t="s">
        <v>227</v>
      </c>
    </row>
    <row r="413" spans="1:3" x14ac:dyDescent="0.2">
      <c r="A413" s="2">
        <v>411</v>
      </c>
      <c r="B413" s="2">
        <f t="shared" ca="1" si="6"/>
        <v>0.62936191354855231</v>
      </c>
      <c r="C413" s="2" t="s">
        <v>226</v>
      </c>
    </row>
    <row r="414" spans="1:3" x14ac:dyDescent="0.2">
      <c r="A414" s="2">
        <v>412</v>
      </c>
      <c r="B414" s="2">
        <f t="shared" ca="1" si="6"/>
        <v>0.81273746552162751</v>
      </c>
      <c r="C414" s="2" t="s">
        <v>226</v>
      </c>
    </row>
    <row r="415" spans="1:3" x14ac:dyDescent="0.2">
      <c r="A415" s="2">
        <v>413</v>
      </c>
      <c r="B415" s="2">
        <f t="shared" ca="1" si="6"/>
        <v>0.74486436902861719</v>
      </c>
      <c r="C415" s="2" t="s">
        <v>227</v>
      </c>
    </row>
    <row r="416" spans="1:3" x14ac:dyDescent="0.2">
      <c r="A416" s="2">
        <v>414</v>
      </c>
      <c r="B416" s="2">
        <f t="shared" ca="1" si="6"/>
        <v>0.57323227371181529</v>
      </c>
      <c r="C416" s="2" t="s">
        <v>227</v>
      </c>
    </row>
    <row r="417" spans="1:3" x14ac:dyDescent="0.2">
      <c r="A417" s="2">
        <v>415</v>
      </c>
      <c r="B417" s="2">
        <f t="shared" ca="1" si="6"/>
        <v>0.42506095248552023</v>
      </c>
      <c r="C417" s="2" t="s">
        <v>226</v>
      </c>
    </row>
    <row r="418" spans="1:3" x14ac:dyDescent="0.2">
      <c r="A418" s="2">
        <v>416</v>
      </c>
      <c r="B418" s="2">
        <f t="shared" ca="1" si="6"/>
        <v>0.89293160210638001</v>
      </c>
      <c r="C418" s="2" t="s">
        <v>227</v>
      </c>
    </row>
    <row r="419" spans="1:3" x14ac:dyDescent="0.2">
      <c r="A419" s="2">
        <v>417</v>
      </c>
      <c r="B419" s="2">
        <f t="shared" ca="1" si="6"/>
        <v>0.58435272679935457</v>
      </c>
      <c r="C419" s="2" t="s">
        <v>227</v>
      </c>
    </row>
    <row r="420" spans="1:3" x14ac:dyDescent="0.2">
      <c r="A420" s="2">
        <v>418</v>
      </c>
      <c r="B420" s="2">
        <f t="shared" ca="1" si="6"/>
        <v>0.43824636069579226</v>
      </c>
      <c r="C420" s="2" t="s">
        <v>226</v>
      </c>
    </row>
    <row r="421" spans="1:3" x14ac:dyDescent="0.2">
      <c r="A421" s="2">
        <v>419</v>
      </c>
      <c r="B421" s="2">
        <f t="shared" ca="1" si="6"/>
        <v>0.35968593004366867</v>
      </c>
      <c r="C421" s="2" t="s">
        <v>226</v>
      </c>
    </row>
    <row r="422" spans="1:3" x14ac:dyDescent="0.2">
      <c r="A422" s="2">
        <v>420</v>
      </c>
      <c r="B422" s="2">
        <f t="shared" ca="1" si="6"/>
        <v>0.81763564401101163</v>
      </c>
      <c r="C422" s="2" t="s">
        <v>227</v>
      </c>
    </row>
    <row r="423" spans="1:3" x14ac:dyDescent="0.2">
      <c r="A423" s="2">
        <v>421</v>
      </c>
      <c r="B423" s="2">
        <f t="shared" ca="1" si="6"/>
        <v>0.60676815955028851</v>
      </c>
      <c r="C423" s="2" t="s">
        <v>227</v>
      </c>
    </row>
    <row r="424" spans="1:3" x14ac:dyDescent="0.2">
      <c r="A424" s="2">
        <v>422</v>
      </c>
      <c r="B424" s="2">
        <f t="shared" ca="1" si="6"/>
        <v>0.29484443565281054</v>
      </c>
      <c r="C424" s="2" t="s">
        <v>226</v>
      </c>
    </row>
    <row r="425" spans="1:3" x14ac:dyDescent="0.2">
      <c r="A425" s="2">
        <v>423</v>
      </c>
      <c r="B425" s="2">
        <f t="shared" ca="1" si="6"/>
        <v>0.90227254407586321</v>
      </c>
      <c r="C425" s="2" t="s">
        <v>226</v>
      </c>
    </row>
    <row r="426" spans="1:3" x14ac:dyDescent="0.2">
      <c r="A426" s="2">
        <v>424</v>
      </c>
      <c r="B426" s="2">
        <f t="shared" ca="1" si="6"/>
        <v>0.72082532232732255</v>
      </c>
      <c r="C426" s="2" t="s">
        <v>226</v>
      </c>
    </row>
    <row r="427" spans="1:3" x14ac:dyDescent="0.2">
      <c r="A427" s="2">
        <v>425</v>
      </c>
      <c r="B427" s="2">
        <f t="shared" ca="1" si="6"/>
        <v>0.453388311368496</v>
      </c>
      <c r="C427" s="2" t="s">
        <v>227</v>
      </c>
    </row>
    <row r="428" spans="1:3" x14ac:dyDescent="0.2">
      <c r="A428" s="2">
        <v>426</v>
      </c>
      <c r="B428" s="2">
        <f t="shared" ca="1" si="6"/>
        <v>0.49473105105578563</v>
      </c>
      <c r="C428" s="2" t="s">
        <v>226</v>
      </c>
    </row>
    <row r="429" spans="1:3" x14ac:dyDescent="0.2">
      <c r="A429" s="2">
        <v>427</v>
      </c>
      <c r="B429" s="2">
        <f t="shared" ca="1" si="6"/>
        <v>0.55148526634543271</v>
      </c>
      <c r="C429" s="2" t="s">
        <v>227</v>
      </c>
    </row>
    <row r="430" spans="1:3" x14ac:dyDescent="0.2">
      <c r="A430" s="2">
        <v>428</v>
      </c>
      <c r="B430" s="2">
        <f t="shared" ca="1" si="6"/>
        <v>0.71028408934857157</v>
      </c>
      <c r="C430" s="2" t="s">
        <v>226</v>
      </c>
    </row>
    <row r="431" spans="1:3" x14ac:dyDescent="0.2">
      <c r="A431" s="2">
        <v>429</v>
      </c>
      <c r="B431" s="2">
        <f t="shared" ca="1" si="6"/>
        <v>0.72407814388578062</v>
      </c>
      <c r="C431" s="2" t="s">
        <v>226</v>
      </c>
    </row>
    <row r="432" spans="1:3" x14ac:dyDescent="0.2">
      <c r="A432" s="2">
        <v>430</v>
      </c>
      <c r="B432" s="2">
        <f t="shared" ca="1" si="6"/>
        <v>0.7186709726811501</v>
      </c>
      <c r="C432" s="2" t="s">
        <v>227</v>
      </c>
    </row>
    <row r="433" spans="1:3" x14ac:dyDescent="0.2">
      <c r="A433" s="2">
        <v>431</v>
      </c>
      <c r="B433" s="2">
        <f t="shared" ca="1" si="6"/>
        <v>0.87042087678316427</v>
      </c>
      <c r="C433" s="2" t="s">
        <v>227</v>
      </c>
    </row>
    <row r="434" spans="1:3" x14ac:dyDescent="0.2">
      <c r="A434" s="2">
        <v>432</v>
      </c>
      <c r="B434" s="2">
        <f t="shared" ca="1" si="6"/>
        <v>0.83458562573653716</v>
      </c>
      <c r="C434" s="2" t="s">
        <v>226</v>
      </c>
    </row>
    <row r="435" spans="1:3" x14ac:dyDescent="0.2">
      <c r="A435" s="2">
        <v>433</v>
      </c>
      <c r="B435" s="2">
        <f t="shared" ca="1" si="6"/>
        <v>0.64600291156421552</v>
      </c>
      <c r="C435" s="2" t="s">
        <v>227</v>
      </c>
    </row>
    <row r="436" spans="1:3" x14ac:dyDescent="0.2">
      <c r="A436" s="2">
        <v>434</v>
      </c>
      <c r="B436" s="2">
        <f t="shared" ca="1" si="6"/>
        <v>0.61372819097875531</v>
      </c>
      <c r="C436" s="2" t="s">
        <v>226</v>
      </c>
    </row>
    <row r="437" spans="1:3" x14ac:dyDescent="0.2">
      <c r="A437" s="2">
        <v>435</v>
      </c>
      <c r="B437" s="2">
        <f t="shared" ca="1" si="6"/>
        <v>0.73910294702285484</v>
      </c>
      <c r="C437" s="2" t="s">
        <v>227</v>
      </c>
    </row>
    <row r="438" spans="1:3" x14ac:dyDescent="0.2">
      <c r="A438" s="2">
        <v>436</v>
      </c>
      <c r="B438" s="2">
        <f t="shared" ca="1" si="6"/>
        <v>0.88281208942423983</v>
      </c>
      <c r="C438" s="2" t="s">
        <v>227</v>
      </c>
    </row>
    <row r="439" spans="1:3" x14ac:dyDescent="0.2">
      <c r="A439" s="2">
        <v>437</v>
      </c>
      <c r="B439" s="2">
        <f t="shared" ca="1" si="6"/>
        <v>0.44651941231605402</v>
      </c>
      <c r="C439" s="2" t="s">
        <v>226</v>
      </c>
    </row>
    <row r="440" spans="1:3" x14ac:dyDescent="0.2">
      <c r="A440" s="2">
        <v>438</v>
      </c>
      <c r="B440" s="2">
        <f t="shared" ca="1" si="6"/>
        <v>0.73895072692415398</v>
      </c>
      <c r="C440" s="2" t="s">
        <v>227</v>
      </c>
    </row>
    <row r="441" spans="1:3" x14ac:dyDescent="0.2">
      <c r="A441" s="2">
        <v>439</v>
      </c>
      <c r="B441" s="2">
        <f t="shared" ca="1" si="6"/>
        <v>0.66697152751540778</v>
      </c>
      <c r="C441" s="2" t="s">
        <v>227</v>
      </c>
    </row>
    <row r="442" spans="1:3" x14ac:dyDescent="0.2">
      <c r="A442" s="2">
        <v>440</v>
      </c>
      <c r="B442" s="2">
        <f t="shared" ca="1" si="6"/>
        <v>0.71815154904833789</v>
      </c>
      <c r="C442" s="2" t="s">
        <v>227</v>
      </c>
    </row>
    <row r="443" spans="1:3" x14ac:dyDescent="0.2">
      <c r="A443" s="2">
        <v>441</v>
      </c>
      <c r="B443" s="2">
        <f t="shared" ca="1" si="6"/>
        <v>0.73622665856601655</v>
      </c>
      <c r="C443" s="2" t="s">
        <v>227</v>
      </c>
    </row>
    <row r="444" spans="1:3" x14ac:dyDescent="0.2">
      <c r="A444" s="2">
        <v>442</v>
      </c>
      <c r="B444" s="2">
        <f t="shared" ca="1" si="6"/>
        <v>0.67755755576665755</v>
      </c>
      <c r="C444" s="2" t="s">
        <v>227</v>
      </c>
    </row>
    <row r="445" spans="1:3" x14ac:dyDescent="0.2">
      <c r="A445" s="2">
        <v>443</v>
      </c>
      <c r="B445" s="2">
        <f t="shared" ca="1" si="6"/>
        <v>0.73308557894617266</v>
      </c>
      <c r="C445" s="2" t="s">
        <v>227</v>
      </c>
    </row>
    <row r="446" spans="1:3" x14ac:dyDescent="0.2">
      <c r="A446" s="2">
        <v>444</v>
      </c>
      <c r="B446" s="2">
        <f t="shared" ca="1" si="6"/>
        <v>0.66042402636095154</v>
      </c>
      <c r="C446" s="2" t="s">
        <v>226</v>
      </c>
    </row>
    <row r="447" spans="1:3" x14ac:dyDescent="0.2">
      <c r="A447" s="2">
        <v>445</v>
      </c>
      <c r="B447" s="2">
        <f t="shared" ca="1" si="6"/>
        <v>0.67138251028830465</v>
      </c>
      <c r="C447" s="2" t="s">
        <v>226</v>
      </c>
    </row>
    <row r="448" spans="1:3" x14ac:dyDescent="0.2">
      <c r="A448" s="2">
        <v>446</v>
      </c>
      <c r="B448" s="2">
        <f t="shared" ca="1" si="6"/>
        <v>0.77234068597702787</v>
      </c>
      <c r="C448" s="2" t="s">
        <v>227</v>
      </c>
    </row>
    <row r="449" spans="1:3" x14ac:dyDescent="0.2">
      <c r="A449" s="2">
        <v>447</v>
      </c>
      <c r="B449" s="2">
        <f t="shared" ca="1" si="6"/>
        <v>0.71999965740416139</v>
      </c>
      <c r="C449" s="2" t="s">
        <v>226</v>
      </c>
    </row>
    <row r="450" spans="1:3" x14ac:dyDescent="0.2">
      <c r="A450" s="2">
        <v>448</v>
      </c>
      <c r="B450" s="2">
        <f t="shared" ca="1" si="6"/>
        <v>0.79925010227665616</v>
      </c>
      <c r="C450" s="2" t="s">
        <v>227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0.6955965280306724</v>
      </c>
      <c r="C451" s="2" t="s">
        <v>227</v>
      </c>
    </row>
    <row r="452" spans="1:3" x14ac:dyDescent="0.2">
      <c r="A452" s="2">
        <v>450</v>
      </c>
      <c r="B452" s="2">
        <f t="shared" ca="1" si="7"/>
        <v>0.57116794490363354</v>
      </c>
      <c r="C452" s="2" t="s">
        <v>226</v>
      </c>
    </row>
    <row r="453" spans="1:3" x14ac:dyDescent="0.2">
      <c r="A453" s="2">
        <v>451</v>
      </c>
      <c r="B453" s="2">
        <f t="shared" ca="1" si="7"/>
        <v>0.8237310810829408</v>
      </c>
      <c r="C453" s="2" t="s">
        <v>227</v>
      </c>
    </row>
    <row r="454" spans="1:3" x14ac:dyDescent="0.2">
      <c r="A454" s="2">
        <v>452</v>
      </c>
      <c r="B454" s="2">
        <f t="shared" ca="1" si="7"/>
        <v>0.78362748344135824</v>
      </c>
      <c r="C454" s="2" t="s">
        <v>227</v>
      </c>
    </row>
    <row r="455" spans="1:3" x14ac:dyDescent="0.2">
      <c r="A455" s="2">
        <v>453</v>
      </c>
      <c r="B455" s="2">
        <f t="shared" ca="1" si="7"/>
        <v>0.8551251520586739</v>
      </c>
      <c r="C455" s="2" t="s">
        <v>226</v>
      </c>
    </row>
    <row r="456" spans="1:3" x14ac:dyDescent="0.2">
      <c r="A456" s="2">
        <v>454</v>
      </c>
      <c r="B456" s="2">
        <f t="shared" ca="1" si="7"/>
        <v>0.80895766199272312</v>
      </c>
      <c r="C456" s="2" t="s">
        <v>227</v>
      </c>
    </row>
    <row r="457" spans="1:3" x14ac:dyDescent="0.2">
      <c r="A457" s="2">
        <v>455</v>
      </c>
      <c r="B457" s="2">
        <f t="shared" ca="1" si="7"/>
        <v>0.4804079346473657</v>
      </c>
      <c r="C457" s="2" t="s">
        <v>226</v>
      </c>
    </row>
    <row r="458" spans="1:3" x14ac:dyDescent="0.2">
      <c r="A458" s="2">
        <v>456</v>
      </c>
      <c r="B458" s="2">
        <f t="shared" ca="1" si="7"/>
        <v>0.46477708798158107</v>
      </c>
      <c r="C458" s="2" t="s">
        <v>226</v>
      </c>
    </row>
    <row r="459" spans="1:3" x14ac:dyDescent="0.2">
      <c r="A459" s="2">
        <v>457</v>
      </c>
      <c r="B459" s="2">
        <f t="shared" ca="1" si="7"/>
        <v>0.5855746878844752</v>
      </c>
      <c r="C459" s="2" t="s">
        <v>226</v>
      </c>
    </row>
    <row r="460" spans="1:3" x14ac:dyDescent="0.2">
      <c r="A460" s="2">
        <v>458</v>
      </c>
      <c r="B460" s="2">
        <f t="shared" ca="1" si="7"/>
        <v>0.68119286230529241</v>
      </c>
      <c r="C460" s="2" t="s">
        <v>226</v>
      </c>
    </row>
    <row r="461" spans="1:3" x14ac:dyDescent="0.2">
      <c r="A461" s="2">
        <v>459</v>
      </c>
      <c r="B461" s="2">
        <f t="shared" ca="1" si="7"/>
        <v>0.84772104500481849</v>
      </c>
      <c r="C461" s="2" t="s">
        <v>227</v>
      </c>
    </row>
    <row r="462" spans="1:3" x14ac:dyDescent="0.2">
      <c r="A462" s="2">
        <v>460</v>
      </c>
      <c r="B462" s="2">
        <f t="shared" ca="1" si="7"/>
        <v>0.63160997117979933</v>
      </c>
      <c r="C462" s="2" t="s">
        <v>227</v>
      </c>
    </row>
    <row r="463" spans="1:3" x14ac:dyDescent="0.2">
      <c r="A463" s="2">
        <v>461</v>
      </c>
      <c r="B463" s="2">
        <f t="shared" ca="1" si="7"/>
        <v>0.80586302320679415</v>
      </c>
      <c r="C463" s="2" t="s">
        <v>226</v>
      </c>
    </row>
    <row r="464" spans="1:3" x14ac:dyDescent="0.2">
      <c r="A464" s="2">
        <v>462</v>
      </c>
      <c r="B464" s="2">
        <f t="shared" ca="1" si="7"/>
        <v>0.59583641836319923</v>
      </c>
      <c r="C464" s="2" t="s">
        <v>227</v>
      </c>
    </row>
    <row r="465" spans="1:3" x14ac:dyDescent="0.2">
      <c r="A465" s="2">
        <v>463</v>
      </c>
      <c r="B465" s="2">
        <f t="shared" ca="1" si="7"/>
        <v>0.68562474628424075</v>
      </c>
      <c r="C465" s="2" t="s">
        <v>227</v>
      </c>
    </row>
    <row r="466" spans="1:3" x14ac:dyDescent="0.2">
      <c r="A466" s="2">
        <v>464</v>
      </c>
      <c r="B466" s="2">
        <f t="shared" ca="1" si="7"/>
        <v>0.59056024169411148</v>
      </c>
      <c r="C466" s="2" t="s">
        <v>227</v>
      </c>
    </row>
    <row r="467" spans="1:3" x14ac:dyDescent="0.2">
      <c r="A467" s="2">
        <v>465</v>
      </c>
      <c r="B467" s="2">
        <f t="shared" ca="1" si="7"/>
        <v>0.69074481560868584</v>
      </c>
      <c r="C467" s="2" t="s">
        <v>227</v>
      </c>
    </row>
    <row r="468" spans="1:3" x14ac:dyDescent="0.2">
      <c r="A468" s="2">
        <v>466</v>
      </c>
      <c r="B468" s="2">
        <f t="shared" ca="1" si="7"/>
        <v>0.70894560496668546</v>
      </c>
      <c r="C468" s="2" t="s">
        <v>226</v>
      </c>
    </row>
    <row r="469" spans="1:3" x14ac:dyDescent="0.2">
      <c r="A469" s="2">
        <v>467</v>
      </c>
      <c r="B469" s="2">
        <f t="shared" ca="1" si="7"/>
        <v>0.69604609982990462</v>
      </c>
      <c r="C469" s="2" t="s">
        <v>226</v>
      </c>
    </row>
    <row r="470" spans="1:3" x14ac:dyDescent="0.2">
      <c r="A470" s="2">
        <v>468</v>
      </c>
      <c r="B470" s="2">
        <f t="shared" ca="1" si="7"/>
        <v>0.51148042015589057</v>
      </c>
      <c r="C470" s="2" t="s">
        <v>226</v>
      </c>
    </row>
    <row r="471" spans="1:3" x14ac:dyDescent="0.2">
      <c r="A471" s="2">
        <v>469</v>
      </c>
      <c r="B471" s="2">
        <f t="shared" ca="1" si="7"/>
        <v>0.73460265459439311</v>
      </c>
      <c r="C471" s="2" t="s">
        <v>227</v>
      </c>
    </row>
    <row r="472" spans="1:3" x14ac:dyDescent="0.2">
      <c r="A472" s="2">
        <v>470</v>
      </c>
      <c r="B472" s="2">
        <f t="shared" ca="1" si="7"/>
        <v>0.55199495376575392</v>
      </c>
      <c r="C472" s="2" t="s">
        <v>226</v>
      </c>
    </row>
    <row r="473" spans="1:3" x14ac:dyDescent="0.2">
      <c r="A473" s="2">
        <v>471</v>
      </c>
      <c r="B473" s="2">
        <f t="shared" ca="1" si="7"/>
        <v>0.59548139529854782</v>
      </c>
      <c r="C473" s="2" t="s">
        <v>227</v>
      </c>
    </row>
    <row r="474" spans="1:3" x14ac:dyDescent="0.2">
      <c r="A474" s="2">
        <v>472</v>
      </c>
      <c r="B474" s="2">
        <f t="shared" ca="1" si="7"/>
        <v>0.58659418569425237</v>
      </c>
      <c r="C474" s="2" t="s">
        <v>227</v>
      </c>
    </row>
    <row r="475" spans="1:3" x14ac:dyDescent="0.2">
      <c r="A475" s="2">
        <v>473</v>
      </c>
      <c r="B475" s="2">
        <f t="shared" ca="1" si="7"/>
        <v>0.62649337267459704</v>
      </c>
      <c r="C475" s="2" t="s">
        <v>227</v>
      </c>
    </row>
    <row r="476" spans="1:3" x14ac:dyDescent="0.2">
      <c r="A476" s="2">
        <v>474</v>
      </c>
      <c r="B476" s="2">
        <f t="shared" ca="1" si="7"/>
        <v>0.51172813692721797</v>
      </c>
      <c r="C476" s="2" t="s">
        <v>226</v>
      </c>
    </row>
    <row r="477" spans="1:3" x14ac:dyDescent="0.2">
      <c r="A477" s="2">
        <v>475</v>
      </c>
      <c r="B477" s="2">
        <f t="shared" ca="1" si="7"/>
        <v>0.76434122346709243</v>
      </c>
      <c r="C477" s="2" t="s">
        <v>227</v>
      </c>
    </row>
    <row r="478" spans="1:3" x14ac:dyDescent="0.2">
      <c r="A478" s="2">
        <v>476</v>
      </c>
      <c r="B478" s="2">
        <f t="shared" ca="1" si="7"/>
        <v>0.78334564590535238</v>
      </c>
      <c r="C478" s="2" t="s">
        <v>227</v>
      </c>
    </row>
    <row r="479" spans="1:3" x14ac:dyDescent="0.2">
      <c r="A479" s="2">
        <v>477</v>
      </c>
      <c r="B479" s="2">
        <f t="shared" ca="1" si="7"/>
        <v>0.4219976762135596</v>
      </c>
      <c r="C479" s="2" t="s">
        <v>226</v>
      </c>
    </row>
    <row r="480" spans="1:3" x14ac:dyDescent="0.2">
      <c r="A480" s="2">
        <v>478</v>
      </c>
      <c r="B480" s="2">
        <f t="shared" ca="1" si="7"/>
        <v>0.79475014731823002</v>
      </c>
      <c r="C480" s="2" t="s">
        <v>226</v>
      </c>
    </row>
    <row r="481" spans="1:3" x14ac:dyDescent="0.2">
      <c r="A481" s="2">
        <v>479</v>
      </c>
      <c r="B481" s="2">
        <f t="shared" ca="1" si="7"/>
        <v>0.89182528202146172</v>
      </c>
      <c r="C481" s="2" t="s">
        <v>227</v>
      </c>
    </row>
    <row r="482" spans="1:3" x14ac:dyDescent="0.2">
      <c r="A482" s="2">
        <v>480</v>
      </c>
      <c r="B482" s="2">
        <f t="shared" ca="1" si="7"/>
        <v>0.64387454307183967</v>
      </c>
      <c r="C482" s="2" t="s">
        <v>227</v>
      </c>
    </row>
    <row r="483" spans="1:3" x14ac:dyDescent="0.2">
      <c r="A483" s="2">
        <v>481</v>
      </c>
      <c r="B483" s="2">
        <f t="shared" ca="1" si="7"/>
        <v>0.51797812884225813</v>
      </c>
      <c r="C483" s="2" t="s">
        <v>226</v>
      </c>
    </row>
    <row r="484" spans="1:3" x14ac:dyDescent="0.2">
      <c r="A484" s="2">
        <v>482</v>
      </c>
      <c r="B484" s="2">
        <f t="shared" ca="1" si="7"/>
        <v>0.523376934278449</v>
      </c>
      <c r="C484" s="2" t="s">
        <v>226</v>
      </c>
    </row>
    <row r="485" spans="1:3" x14ac:dyDescent="0.2">
      <c r="A485" s="2">
        <v>483</v>
      </c>
      <c r="B485" s="2">
        <f t="shared" ca="1" si="7"/>
        <v>0.7747248770759726</v>
      </c>
      <c r="C485" s="2" t="s">
        <v>227</v>
      </c>
    </row>
    <row r="486" spans="1:3" x14ac:dyDescent="0.2">
      <c r="A486" s="2">
        <v>484</v>
      </c>
      <c r="B486" s="2">
        <f t="shared" ca="1" si="7"/>
        <v>0.65782778077219117</v>
      </c>
      <c r="C486" s="2" t="s">
        <v>227</v>
      </c>
    </row>
    <row r="487" spans="1:3" x14ac:dyDescent="0.2">
      <c r="A487" s="2">
        <v>485</v>
      </c>
      <c r="B487" s="2">
        <f t="shared" ca="1" si="7"/>
        <v>0.62743775123984591</v>
      </c>
      <c r="C487" s="2" t="s">
        <v>227</v>
      </c>
    </row>
    <row r="488" spans="1:3" x14ac:dyDescent="0.2">
      <c r="A488" s="2">
        <v>486</v>
      </c>
      <c r="B488" s="2">
        <f t="shared" ca="1" si="7"/>
        <v>0.75887635802581754</v>
      </c>
      <c r="C488" s="2" t="s">
        <v>226</v>
      </c>
    </row>
    <row r="489" spans="1:3" x14ac:dyDescent="0.2">
      <c r="A489" s="2">
        <v>487</v>
      </c>
      <c r="B489" s="2">
        <f t="shared" ca="1" si="7"/>
        <v>0.50161767642231014</v>
      </c>
      <c r="C489" s="2" t="s">
        <v>227</v>
      </c>
    </row>
    <row r="490" spans="1:3" x14ac:dyDescent="0.2">
      <c r="A490" s="2">
        <v>488</v>
      </c>
      <c r="B490" s="2">
        <f t="shared" ca="1" si="7"/>
        <v>0.76939431549966286</v>
      </c>
      <c r="C490" s="2" t="s">
        <v>226</v>
      </c>
    </row>
    <row r="491" spans="1:3" x14ac:dyDescent="0.2">
      <c r="A491" s="2">
        <v>489</v>
      </c>
      <c r="B491" s="2">
        <f t="shared" ca="1" si="7"/>
        <v>0.51381389101647379</v>
      </c>
      <c r="C491" s="2" t="s">
        <v>226</v>
      </c>
    </row>
    <row r="492" spans="1:3" x14ac:dyDescent="0.2">
      <c r="A492" s="2">
        <v>490</v>
      </c>
      <c r="B492" s="2">
        <f t="shared" ca="1" si="7"/>
        <v>0.62123351228916668</v>
      </c>
      <c r="C492" s="2" t="s">
        <v>227</v>
      </c>
    </row>
    <row r="493" spans="1:3" x14ac:dyDescent="0.2">
      <c r="A493" s="2">
        <v>491</v>
      </c>
      <c r="B493" s="2">
        <f t="shared" ca="1" si="7"/>
        <v>0.70317966040664182</v>
      </c>
      <c r="C493" s="2" t="s">
        <v>226</v>
      </c>
    </row>
    <row r="494" spans="1:3" x14ac:dyDescent="0.2">
      <c r="A494" s="2">
        <v>492</v>
      </c>
      <c r="B494" s="2">
        <f t="shared" ca="1" si="7"/>
        <v>0.64308397805649242</v>
      </c>
      <c r="C494" s="2" t="s">
        <v>227</v>
      </c>
    </row>
    <row r="495" spans="1:3" x14ac:dyDescent="0.2">
      <c r="A495" s="2">
        <v>493</v>
      </c>
      <c r="B495" s="2">
        <f t="shared" ca="1" si="7"/>
        <v>0.50701233404940138</v>
      </c>
      <c r="C495" s="2" t="s">
        <v>226</v>
      </c>
    </row>
    <row r="496" spans="1:3" x14ac:dyDescent="0.2">
      <c r="A496" s="2">
        <v>494</v>
      </c>
      <c r="B496" s="2">
        <f t="shared" ca="1" si="7"/>
        <v>0.4723113351838728</v>
      </c>
      <c r="C496" s="2" t="s">
        <v>226</v>
      </c>
    </row>
    <row r="497" spans="1:3" x14ac:dyDescent="0.2">
      <c r="A497" s="2">
        <v>495</v>
      </c>
      <c r="B497" s="2">
        <f t="shared" ca="1" si="7"/>
        <v>0.73260481207739447</v>
      </c>
      <c r="C497" s="2" t="s">
        <v>227</v>
      </c>
    </row>
    <row r="498" spans="1:3" x14ac:dyDescent="0.2">
      <c r="A498" s="2">
        <v>496</v>
      </c>
      <c r="B498" s="2">
        <f t="shared" ca="1" si="7"/>
        <v>0.83170394947549531</v>
      </c>
      <c r="C498" s="2" t="s">
        <v>227</v>
      </c>
    </row>
    <row r="499" spans="1:3" x14ac:dyDescent="0.2">
      <c r="A499" s="2">
        <v>497</v>
      </c>
      <c r="B499" s="2">
        <f t="shared" ca="1" si="7"/>
        <v>0.65843792393445044</v>
      </c>
      <c r="C499" s="2" t="s">
        <v>227</v>
      </c>
    </row>
    <row r="500" spans="1:3" x14ac:dyDescent="0.2">
      <c r="A500" s="2">
        <v>498</v>
      </c>
      <c r="B500" s="2">
        <f t="shared" ca="1" si="7"/>
        <v>0.79453078254014198</v>
      </c>
      <c r="C500" s="2" t="s">
        <v>226</v>
      </c>
    </row>
    <row r="501" spans="1:3" x14ac:dyDescent="0.2">
      <c r="A501" s="2">
        <v>499</v>
      </c>
      <c r="B501" s="2">
        <f t="shared" ca="1" si="7"/>
        <v>0.60217668456041651</v>
      </c>
      <c r="C501" s="2" t="s">
        <v>227</v>
      </c>
    </row>
    <row r="502" spans="1:3" x14ac:dyDescent="0.2">
      <c r="A502" s="2">
        <v>500</v>
      </c>
      <c r="B502" s="2">
        <f t="shared" ca="1" si="7"/>
        <v>0.88844149980316534</v>
      </c>
      <c r="C502" s="2" t="s">
        <v>227</v>
      </c>
    </row>
    <row r="503" spans="1:3" x14ac:dyDescent="0.2">
      <c r="A503" s="2">
        <v>501</v>
      </c>
      <c r="B503" s="2">
        <f t="shared" ca="1" si="7"/>
        <v>0.41496922507552159</v>
      </c>
      <c r="C503" s="2" t="s">
        <v>226</v>
      </c>
    </row>
    <row r="504" spans="1:3" x14ac:dyDescent="0.2">
      <c r="A504" s="2">
        <v>502</v>
      </c>
      <c r="B504" s="2">
        <f t="shared" ca="1" si="7"/>
        <v>0.43818117833967818</v>
      </c>
      <c r="C504" s="2" t="s">
        <v>226</v>
      </c>
    </row>
    <row r="505" spans="1:3" x14ac:dyDescent="0.2">
      <c r="A505" s="2">
        <v>503</v>
      </c>
      <c r="B505" s="2">
        <f t="shared" ca="1" si="7"/>
        <v>0.54817148417706907</v>
      </c>
      <c r="C505" s="2" t="s">
        <v>226</v>
      </c>
    </row>
    <row r="506" spans="1:3" x14ac:dyDescent="0.2">
      <c r="A506" s="2">
        <v>504</v>
      </c>
      <c r="B506" s="2">
        <f t="shared" ca="1" si="7"/>
        <v>0.55614055841851906</v>
      </c>
      <c r="C506" s="2" t="s">
        <v>226</v>
      </c>
    </row>
    <row r="507" spans="1:3" x14ac:dyDescent="0.2">
      <c r="A507" s="2">
        <v>505</v>
      </c>
      <c r="B507" s="2">
        <f t="shared" ca="1" si="7"/>
        <v>0.75454745050647787</v>
      </c>
      <c r="C507" s="2" t="s">
        <v>227</v>
      </c>
    </row>
    <row r="508" spans="1:3" x14ac:dyDescent="0.2">
      <c r="A508" s="2">
        <v>506</v>
      </c>
      <c r="B508" s="2">
        <f t="shared" ca="1" si="7"/>
        <v>0.75085090241063102</v>
      </c>
      <c r="C508" s="2" t="s">
        <v>227</v>
      </c>
    </row>
    <row r="509" spans="1:3" x14ac:dyDescent="0.2">
      <c r="A509" s="2">
        <v>507</v>
      </c>
      <c r="B509" s="2">
        <f t="shared" ca="1" si="7"/>
        <v>0.70457115496852407</v>
      </c>
      <c r="C509" s="2" t="s">
        <v>227</v>
      </c>
    </row>
    <row r="510" spans="1:3" x14ac:dyDescent="0.2">
      <c r="A510" s="2">
        <v>508</v>
      </c>
      <c r="B510" s="2">
        <f t="shared" ca="1" si="7"/>
        <v>0.40906384783700644</v>
      </c>
      <c r="C510" s="2" t="s">
        <v>226</v>
      </c>
    </row>
    <row r="511" spans="1:3" x14ac:dyDescent="0.2">
      <c r="A511" s="2">
        <v>509</v>
      </c>
      <c r="B511" s="2">
        <f t="shared" ca="1" si="7"/>
        <v>0.68697646770776033</v>
      </c>
      <c r="C511" s="2" t="s">
        <v>227</v>
      </c>
    </row>
    <row r="512" spans="1:3" x14ac:dyDescent="0.2">
      <c r="A512" s="2">
        <v>510</v>
      </c>
      <c r="B512" s="2">
        <f t="shared" ca="1" si="7"/>
        <v>0.7512599643294019</v>
      </c>
      <c r="C512" s="2" t="s">
        <v>227</v>
      </c>
    </row>
    <row r="513" spans="1:3" x14ac:dyDescent="0.2">
      <c r="A513" s="2">
        <v>511</v>
      </c>
      <c r="B513" s="2">
        <f t="shared" ca="1" si="7"/>
        <v>0.75617646183493636</v>
      </c>
      <c r="C513" s="2" t="s">
        <v>227</v>
      </c>
    </row>
    <row r="514" spans="1:3" x14ac:dyDescent="0.2">
      <c r="A514" s="2">
        <v>512</v>
      </c>
      <c r="B514" s="2">
        <f t="shared" ca="1" si="7"/>
        <v>0.53586867385241632</v>
      </c>
      <c r="C514" s="2" t="s">
        <v>227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1.000603260739384</v>
      </c>
      <c r="C515" s="2" t="s">
        <v>227</v>
      </c>
    </row>
    <row r="516" spans="1:3" x14ac:dyDescent="0.2">
      <c r="A516" s="2">
        <v>514</v>
      </c>
      <c r="B516" s="2">
        <f t="shared" ca="1" si="8"/>
        <v>0.36495884455368788</v>
      </c>
      <c r="C516" s="2" t="s">
        <v>226</v>
      </c>
    </row>
    <row r="517" spans="1:3" x14ac:dyDescent="0.2">
      <c r="A517" s="2">
        <v>515</v>
      </c>
      <c r="B517" s="2">
        <f t="shared" ca="1" si="8"/>
        <v>0.75418435387528604</v>
      </c>
      <c r="C517" s="2" t="s">
        <v>227</v>
      </c>
    </row>
    <row r="518" spans="1:3" x14ac:dyDescent="0.2">
      <c r="A518" s="2">
        <v>516</v>
      </c>
      <c r="B518" s="2">
        <f t="shared" ca="1" si="8"/>
        <v>0.79927516335655835</v>
      </c>
      <c r="C518" s="2" t="s">
        <v>227</v>
      </c>
    </row>
    <row r="519" spans="1:3" x14ac:dyDescent="0.2">
      <c r="A519" s="2">
        <v>517</v>
      </c>
      <c r="B519" s="2">
        <f t="shared" ca="1" si="8"/>
        <v>0.70945051496424905</v>
      </c>
      <c r="C519" s="2" t="s">
        <v>227</v>
      </c>
    </row>
    <row r="520" spans="1:3" x14ac:dyDescent="0.2">
      <c r="A520" s="2">
        <v>518</v>
      </c>
      <c r="B520" s="2">
        <f t="shared" ca="1" si="8"/>
        <v>0.38262442949212916</v>
      </c>
      <c r="C520" s="2" t="s">
        <v>226</v>
      </c>
    </row>
    <row r="521" spans="1:3" x14ac:dyDescent="0.2">
      <c r="A521" s="2">
        <v>519</v>
      </c>
      <c r="B521" s="2">
        <f t="shared" ca="1" si="8"/>
        <v>0.65077202809849066</v>
      </c>
      <c r="C521" s="2" t="s">
        <v>227</v>
      </c>
    </row>
    <row r="522" spans="1:3" x14ac:dyDescent="0.2">
      <c r="A522" s="2">
        <v>520</v>
      </c>
      <c r="B522" s="2">
        <f t="shared" ca="1" si="8"/>
        <v>0.59091629101040266</v>
      </c>
      <c r="C522" s="2" t="s">
        <v>226</v>
      </c>
    </row>
    <row r="523" spans="1:3" x14ac:dyDescent="0.2">
      <c r="A523" s="2">
        <v>521</v>
      </c>
      <c r="B523" s="2">
        <f t="shared" ca="1" si="8"/>
        <v>0.85444018566118696</v>
      </c>
      <c r="C523" s="2" t="s">
        <v>226</v>
      </c>
    </row>
    <row r="524" spans="1:3" x14ac:dyDescent="0.2">
      <c r="A524" s="2">
        <v>522</v>
      </c>
      <c r="B524" s="2">
        <f t="shared" ca="1" si="8"/>
        <v>0.64854375771195383</v>
      </c>
      <c r="C524" s="2" t="s">
        <v>227</v>
      </c>
    </row>
    <row r="525" spans="1:3" x14ac:dyDescent="0.2">
      <c r="A525" s="2">
        <v>523</v>
      </c>
      <c r="B525" s="2">
        <f t="shared" ca="1" si="8"/>
        <v>0.71339455593586931</v>
      </c>
      <c r="C525" s="2" t="s">
        <v>227</v>
      </c>
    </row>
    <row r="526" spans="1:3" x14ac:dyDescent="0.2">
      <c r="A526" s="2">
        <v>524</v>
      </c>
      <c r="B526" s="2">
        <f t="shared" ca="1" si="8"/>
        <v>0.50535569944276293</v>
      </c>
      <c r="C526" s="2" t="s">
        <v>226</v>
      </c>
    </row>
    <row r="527" spans="1:3" x14ac:dyDescent="0.2">
      <c r="A527" s="2">
        <v>525</v>
      </c>
      <c r="B527" s="2">
        <f t="shared" ca="1" si="8"/>
        <v>0.66509638499211177</v>
      </c>
      <c r="C527" s="2" t="s">
        <v>227</v>
      </c>
    </row>
    <row r="528" spans="1:3" x14ac:dyDescent="0.2">
      <c r="A528" s="2">
        <v>526</v>
      </c>
      <c r="B528" s="2">
        <f t="shared" ca="1" si="8"/>
        <v>0.91930111892035637</v>
      </c>
      <c r="C528" s="2" t="s">
        <v>226</v>
      </c>
    </row>
    <row r="529" spans="1:3" x14ac:dyDescent="0.2">
      <c r="A529" s="2">
        <v>527</v>
      </c>
      <c r="B529" s="2">
        <f t="shared" ca="1" si="8"/>
        <v>0.67117702144415381</v>
      </c>
      <c r="C529" s="2" t="s">
        <v>226</v>
      </c>
    </row>
    <row r="530" spans="1:3" x14ac:dyDescent="0.2">
      <c r="A530" s="2">
        <v>528</v>
      </c>
      <c r="B530" s="2">
        <f t="shared" ca="1" si="8"/>
        <v>0.80685791137925689</v>
      </c>
      <c r="C530" s="2" t="s">
        <v>227</v>
      </c>
    </row>
    <row r="531" spans="1:3" x14ac:dyDescent="0.2">
      <c r="A531" s="2">
        <v>529</v>
      </c>
      <c r="B531" s="2">
        <f t="shared" ca="1" si="8"/>
        <v>0.79488593351216719</v>
      </c>
      <c r="C531" s="2" t="s">
        <v>227</v>
      </c>
    </row>
    <row r="532" spans="1:3" x14ac:dyDescent="0.2">
      <c r="A532" s="2">
        <v>530</v>
      </c>
      <c r="B532" s="2">
        <f t="shared" ca="1" si="8"/>
        <v>0.59911618497933616</v>
      </c>
      <c r="C532" s="2" t="s">
        <v>226</v>
      </c>
    </row>
    <row r="533" spans="1:3" x14ac:dyDescent="0.2">
      <c r="A533" s="2">
        <v>531</v>
      </c>
      <c r="B533" s="2">
        <f t="shared" ca="1" si="8"/>
        <v>0.63273020106363009</v>
      </c>
      <c r="C533" s="2" t="s">
        <v>227</v>
      </c>
    </row>
    <row r="534" spans="1:3" x14ac:dyDescent="0.2">
      <c r="A534" s="2">
        <v>532</v>
      </c>
      <c r="B534" s="2">
        <f t="shared" ca="1" si="8"/>
        <v>0.52125595741830821</v>
      </c>
      <c r="C534" s="2" t="s">
        <v>226</v>
      </c>
    </row>
    <row r="535" spans="1:3" x14ac:dyDescent="0.2">
      <c r="A535" s="2">
        <v>533</v>
      </c>
      <c r="B535" s="2">
        <f t="shared" ca="1" si="8"/>
        <v>0.69270187877116951</v>
      </c>
      <c r="C535" s="2" t="s">
        <v>226</v>
      </c>
    </row>
    <row r="536" spans="1:3" x14ac:dyDescent="0.2">
      <c r="A536" s="2">
        <v>534</v>
      </c>
      <c r="B536" s="2">
        <f t="shared" ca="1" si="8"/>
        <v>0.49724768654538448</v>
      </c>
      <c r="C536" s="2" t="s">
        <v>227</v>
      </c>
    </row>
    <row r="537" spans="1:3" x14ac:dyDescent="0.2">
      <c r="A537" s="2">
        <v>535</v>
      </c>
      <c r="B537" s="2">
        <f t="shared" ca="1" si="8"/>
        <v>0.48073795258456276</v>
      </c>
      <c r="C537" s="2" t="s">
        <v>226</v>
      </c>
    </row>
    <row r="538" spans="1:3" x14ac:dyDescent="0.2">
      <c r="A538" s="2">
        <v>536</v>
      </c>
      <c r="B538" s="2">
        <f t="shared" ca="1" si="8"/>
        <v>0.60917263007301814</v>
      </c>
      <c r="C538" s="2" t="s">
        <v>226</v>
      </c>
    </row>
    <row r="539" spans="1:3" x14ac:dyDescent="0.2">
      <c r="A539" s="2">
        <v>537</v>
      </c>
      <c r="B539" s="2">
        <f t="shared" ca="1" si="8"/>
        <v>0.67791380955671654</v>
      </c>
      <c r="C539" s="2" t="s">
        <v>226</v>
      </c>
    </row>
    <row r="540" spans="1:3" x14ac:dyDescent="0.2">
      <c r="A540" s="2">
        <v>538</v>
      </c>
      <c r="B540" s="2">
        <f t="shared" ca="1" si="8"/>
        <v>0.70228041306560274</v>
      </c>
      <c r="C540" s="2" t="s">
        <v>227</v>
      </c>
    </row>
    <row r="541" spans="1:3" x14ac:dyDescent="0.2">
      <c r="A541" s="2">
        <v>539</v>
      </c>
      <c r="B541" s="2">
        <f t="shared" ca="1" si="8"/>
        <v>0.78243403729637007</v>
      </c>
      <c r="C541" s="2" t="s">
        <v>226</v>
      </c>
    </row>
    <row r="542" spans="1:3" x14ac:dyDescent="0.2">
      <c r="A542" s="2">
        <v>540</v>
      </c>
      <c r="B542" s="2">
        <f t="shared" ca="1" si="8"/>
        <v>0.68666089962430321</v>
      </c>
      <c r="C542" s="2" t="s">
        <v>226</v>
      </c>
    </row>
    <row r="543" spans="1:3" x14ac:dyDescent="0.2">
      <c r="A543" s="2">
        <v>541</v>
      </c>
      <c r="B543" s="2">
        <f t="shared" ca="1" si="8"/>
        <v>0.65422084714555284</v>
      </c>
      <c r="C543" s="2" t="s">
        <v>226</v>
      </c>
    </row>
    <row r="544" spans="1:3" x14ac:dyDescent="0.2">
      <c r="A544" s="2">
        <v>542</v>
      </c>
      <c r="B544" s="2">
        <f t="shared" ca="1" si="8"/>
        <v>0.69606147354693615</v>
      </c>
      <c r="C544" s="2" t="s">
        <v>227</v>
      </c>
    </row>
    <row r="545" spans="1:3" x14ac:dyDescent="0.2">
      <c r="A545" s="2">
        <v>543</v>
      </c>
      <c r="B545" s="2">
        <f t="shared" ca="1" si="8"/>
        <v>0.73148459407935951</v>
      </c>
      <c r="C545" s="2" t="s">
        <v>227</v>
      </c>
    </row>
    <row r="546" spans="1:3" x14ac:dyDescent="0.2">
      <c r="A546" s="2">
        <v>544</v>
      </c>
      <c r="B546" s="2">
        <f t="shared" ca="1" si="8"/>
        <v>0.65892227337407794</v>
      </c>
      <c r="C546" s="2" t="s">
        <v>227</v>
      </c>
    </row>
    <row r="547" spans="1:3" x14ac:dyDescent="0.2">
      <c r="A547" s="2">
        <v>545</v>
      </c>
      <c r="B547" s="2">
        <f t="shared" ca="1" si="8"/>
        <v>0.80822465745982974</v>
      </c>
      <c r="C547" s="2" t="s">
        <v>226</v>
      </c>
    </row>
    <row r="548" spans="1:3" x14ac:dyDescent="0.2">
      <c r="A548" s="2">
        <v>546</v>
      </c>
      <c r="B548" s="2">
        <f t="shared" ca="1" si="8"/>
        <v>0.45986907432304169</v>
      </c>
      <c r="C548" s="2" t="s">
        <v>226</v>
      </c>
    </row>
    <row r="549" spans="1:3" x14ac:dyDescent="0.2">
      <c r="A549" s="2">
        <v>547</v>
      </c>
      <c r="B549" s="2">
        <f t="shared" ca="1" si="8"/>
        <v>0.6780076402449513</v>
      </c>
      <c r="C549" s="2" t="s">
        <v>227</v>
      </c>
    </row>
    <row r="550" spans="1:3" x14ac:dyDescent="0.2">
      <c r="A550" s="2">
        <v>548</v>
      </c>
      <c r="B550" s="2">
        <f t="shared" ca="1" si="8"/>
        <v>0.80269329484116725</v>
      </c>
      <c r="C550" s="2" t="s">
        <v>227</v>
      </c>
    </row>
    <row r="551" spans="1:3" x14ac:dyDescent="0.2">
      <c r="A551" s="2">
        <v>549</v>
      </c>
      <c r="B551" s="2">
        <f t="shared" ca="1" si="8"/>
        <v>0.71048801028018971</v>
      </c>
      <c r="C551" s="2" t="s">
        <v>226</v>
      </c>
    </row>
    <row r="552" spans="1:3" x14ac:dyDescent="0.2">
      <c r="A552" s="2">
        <v>550</v>
      </c>
      <c r="B552" s="2">
        <f t="shared" ca="1" si="8"/>
        <v>0.70520277990220959</v>
      </c>
      <c r="C552" s="2" t="s">
        <v>227</v>
      </c>
    </row>
    <row r="553" spans="1:3" x14ac:dyDescent="0.2">
      <c r="A553" s="2">
        <v>551</v>
      </c>
      <c r="B553" s="2">
        <f t="shared" ca="1" si="8"/>
        <v>0.5203831784758941</v>
      </c>
      <c r="C553" s="2" t="s">
        <v>226</v>
      </c>
    </row>
    <row r="554" spans="1:3" x14ac:dyDescent="0.2">
      <c r="A554" s="2">
        <v>552</v>
      </c>
      <c r="B554" s="2">
        <f t="shared" ca="1" si="8"/>
        <v>0.50279492329573194</v>
      </c>
      <c r="C554" s="2" t="s">
        <v>226</v>
      </c>
    </row>
    <row r="555" spans="1:3" x14ac:dyDescent="0.2">
      <c r="A555" s="2">
        <v>553</v>
      </c>
      <c r="B555" s="2">
        <f t="shared" ca="1" si="8"/>
        <v>0.40693846245192966</v>
      </c>
      <c r="C555" s="2" t="s">
        <v>226</v>
      </c>
    </row>
    <row r="556" spans="1:3" x14ac:dyDescent="0.2">
      <c r="A556" s="2">
        <v>554</v>
      </c>
      <c r="B556" s="2">
        <f t="shared" ca="1" si="8"/>
        <v>0.74789471710975897</v>
      </c>
      <c r="C556" s="2" t="s">
        <v>227</v>
      </c>
    </row>
    <row r="557" spans="1:3" x14ac:dyDescent="0.2">
      <c r="A557" s="2">
        <v>555</v>
      </c>
      <c r="B557" s="2">
        <f t="shared" ca="1" si="8"/>
        <v>0.73616799104116526</v>
      </c>
      <c r="C557" s="2" t="s">
        <v>226</v>
      </c>
    </row>
    <row r="558" spans="1:3" x14ac:dyDescent="0.2">
      <c r="A558" s="2">
        <v>556</v>
      </c>
      <c r="B558" s="2">
        <f t="shared" ca="1" si="8"/>
        <v>0.72584846781635037</v>
      </c>
      <c r="C558" s="2" t="s">
        <v>227</v>
      </c>
    </row>
    <row r="559" spans="1:3" x14ac:dyDescent="0.2">
      <c r="A559" s="2">
        <v>557</v>
      </c>
      <c r="B559" s="2">
        <f t="shared" ca="1" si="8"/>
        <v>0.72332819347824351</v>
      </c>
      <c r="C559" s="2" t="s">
        <v>227</v>
      </c>
    </row>
    <row r="560" spans="1:3" x14ac:dyDescent="0.2">
      <c r="A560" s="2">
        <v>558</v>
      </c>
      <c r="B560" s="2">
        <f t="shared" ca="1" si="8"/>
        <v>0.61278707384286257</v>
      </c>
      <c r="C560" s="2" t="s">
        <v>226</v>
      </c>
    </row>
    <row r="561" spans="1:3" x14ac:dyDescent="0.2">
      <c r="A561" s="2">
        <v>559</v>
      </c>
      <c r="B561" s="2">
        <f t="shared" ca="1" si="8"/>
        <v>0.89381343799087976</v>
      </c>
      <c r="C561" s="2" t="s">
        <v>227</v>
      </c>
    </row>
    <row r="562" spans="1:3" x14ac:dyDescent="0.2">
      <c r="A562" s="2">
        <v>560</v>
      </c>
      <c r="B562" s="2">
        <f t="shared" ca="1" si="8"/>
        <v>0.25105632843852188</v>
      </c>
      <c r="C562" s="2" t="s">
        <v>226</v>
      </c>
    </row>
    <row r="563" spans="1:3" x14ac:dyDescent="0.2">
      <c r="A563" s="2">
        <v>561</v>
      </c>
      <c r="B563" s="2">
        <f t="shared" ca="1" si="8"/>
        <v>0.86661703981937688</v>
      </c>
      <c r="C563" s="2" t="s">
        <v>226</v>
      </c>
    </row>
    <row r="564" spans="1:3" x14ac:dyDescent="0.2">
      <c r="A564" s="2">
        <v>562</v>
      </c>
      <c r="B564" s="2">
        <f t="shared" ca="1" si="8"/>
        <v>0.7208439862024556</v>
      </c>
      <c r="C564" s="2" t="s">
        <v>226</v>
      </c>
    </row>
    <row r="565" spans="1:3" x14ac:dyDescent="0.2">
      <c r="A565" s="2">
        <v>563</v>
      </c>
      <c r="B565" s="2">
        <f t="shared" ca="1" si="8"/>
        <v>0.84667974417714809</v>
      </c>
      <c r="C565" s="2" t="s">
        <v>226</v>
      </c>
    </row>
    <row r="566" spans="1:3" x14ac:dyDescent="0.2">
      <c r="A566" s="2">
        <v>564</v>
      </c>
      <c r="B566" s="2">
        <f t="shared" ca="1" si="8"/>
        <v>0.29238816138282692</v>
      </c>
      <c r="C566" s="2" t="s">
        <v>226</v>
      </c>
    </row>
    <row r="567" spans="1:3" x14ac:dyDescent="0.2">
      <c r="A567" s="2">
        <v>565</v>
      </c>
      <c r="B567" s="2">
        <f t="shared" ca="1" si="8"/>
        <v>0.31359658919265615</v>
      </c>
      <c r="C567" s="2" t="s">
        <v>226</v>
      </c>
    </row>
    <row r="568" spans="1:3" x14ac:dyDescent="0.2">
      <c r="A568" s="2">
        <v>566</v>
      </c>
      <c r="B568" s="2">
        <f t="shared" ca="1" si="8"/>
        <v>0.689025087861174</v>
      </c>
      <c r="C568" s="2" t="s">
        <v>227</v>
      </c>
    </row>
    <row r="569" spans="1:3" x14ac:dyDescent="0.2">
      <c r="A569" s="2">
        <v>567</v>
      </c>
      <c r="B569" s="2">
        <f t="shared" ca="1" si="8"/>
        <v>0.39808244726155584</v>
      </c>
      <c r="C569" s="2" t="s">
        <v>227</v>
      </c>
    </row>
    <row r="570" spans="1:3" x14ac:dyDescent="0.2">
      <c r="A570" s="2">
        <v>568</v>
      </c>
      <c r="B570" s="2">
        <f t="shared" ca="1" si="8"/>
        <v>1.0553944417655194</v>
      </c>
      <c r="C570" s="2" t="s">
        <v>227</v>
      </c>
    </row>
    <row r="571" spans="1:3" x14ac:dyDescent="0.2">
      <c r="A571" s="2">
        <v>569</v>
      </c>
      <c r="B571" s="2">
        <f t="shared" ca="1" si="8"/>
        <v>0.68017683456467359</v>
      </c>
      <c r="C571" s="2" t="s">
        <v>226</v>
      </c>
    </row>
    <row r="572" spans="1:3" x14ac:dyDescent="0.2">
      <c r="A572" s="2">
        <v>570</v>
      </c>
      <c r="B572" s="2">
        <f t="shared" ca="1" si="8"/>
        <v>0.53071189795230633</v>
      </c>
      <c r="C572" s="2" t="s">
        <v>227</v>
      </c>
    </row>
    <row r="573" spans="1:3" x14ac:dyDescent="0.2">
      <c r="A573" s="2">
        <v>571</v>
      </c>
      <c r="B573" s="2">
        <f t="shared" ca="1" si="8"/>
        <v>0.5997195814627122</v>
      </c>
      <c r="C573" s="2" t="s">
        <v>226</v>
      </c>
    </row>
    <row r="574" spans="1:3" x14ac:dyDescent="0.2">
      <c r="A574" s="2">
        <v>572</v>
      </c>
      <c r="B574" s="2">
        <f t="shared" ca="1" si="8"/>
        <v>0.53001075670892595</v>
      </c>
      <c r="C574" s="2" t="s">
        <v>227</v>
      </c>
    </row>
    <row r="575" spans="1:3" x14ac:dyDescent="0.2">
      <c r="A575" s="2">
        <v>573</v>
      </c>
      <c r="B575" s="2">
        <f t="shared" ca="1" si="8"/>
        <v>0.76132917559342306</v>
      </c>
      <c r="C575" s="2" t="s">
        <v>227</v>
      </c>
    </row>
    <row r="576" spans="1:3" x14ac:dyDescent="0.2">
      <c r="A576" s="2">
        <v>574</v>
      </c>
      <c r="B576" s="2">
        <f t="shared" ca="1" si="8"/>
        <v>0.64837372932589243</v>
      </c>
      <c r="C576" s="2" t="s">
        <v>227</v>
      </c>
    </row>
    <row r="577" spans="1:3" x14ac:dyDescent="0.2">
      <c r="A577" s="2">
        <v>575</v>
      </c>
      <c r="B577" s="2">
        <f t="shared" ca="1" si="8"/>
        <v>0.67804196778242776</v>
      </c>
      <c r="C577" s="2" t="s">
        <v>226</v>
      </c>
    </row>
    <row r="578" spans="1:3" x14ac:dyDescent="0.2">
      <c r="A578" s="2">
        <v>576</v>
      </c>
      <c r="B578" s="2">
        <f t="shared" ca="1" si="8"/>
        <v>0.81252212066915397</v>
      </c>
      <c r="C578" s="2" t="s">
        <v>226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0.87868496491868919</v>
      </c>
      <c r="C579" s="2" t="s">
        <v>226</v>
      </c>
    </row>
    <row r="580" spans="1:3" x14ac:dyDescent="0.2">
      <c r="A580" s="2">
        <v>578</v>
      </c>
      <c r="B580" s="2">
        <f t="shared" ca="1" si="9"/>
        <v>0.81308317901901028</v>
      </c>
      <c r="C580" s="2" t="s">
        <v>227</v>
      </c>
    </row>
    <row r="581" spans="1:3" x14ac:dyDescent="0.2">
      <c r="A581" s="2">
        <v>579</v>
      </c>
      <c r="B581" s="2">
        <f t="shared" ca="1" si="9"/>
        <v>0.84417930059503599</v>
      </c>
      <c r="C581" s="2" t="s">
        <v>227</v>
      </c>
    </row>
    <row r="582" spans="1:3" x14ac:dyDescent="0.2">
      <c r="A582" s="2">
        <v>580</v>
      </c>
      <c r="B582" s="2">
        <f t="shared" ca="1" si="9"/>
        <v>0.70058905538594907</v>
      </c>
      <c r="C582" s="2" t="s">
        <v>227</v>
      </c>
    </row>
    <row r="583" spans="1:3" x14ac:dyDescent="0.2">
      <c r="A583" s="2">
        <v>581</v>
      </c>
      <c r="B583" s="2">
        <f t="shared" ca="1" si="9"/>
        <v>0.63805128722851279</v>
      </c>
      <c r="C583" s="2" t="s">
        <v>226</v>
      </c>
    </row>
    <row r="584" spans="1:3" x14ac:dyDescent="0.2">
      <c r="A584" s="2">
        <v>582</v>
      </c>
      <c r="B584" s="2">
        <f t="shared" ca="1" si="9"/>
        <v>0.58946494066877941</v>
      </c>
      <c r="C584" s="2" t="s">
        <v>227</v>
      </c>
    </row>
    <row r="585" spans="1:3" x14ac:dyDescent="0.2">
      <c r="A585" s="2">
        <v>583</v>
      </c>
      <c r="B585" s="2">
        <f t="shared" ca="1" si="9"/>
        <v>0.93327768852917015</v>
      </c>
      <c r="C585" s="2" t="s">
        <v>226</v>
      </c>
    </row>
    <row r="586" spans="1:3" x14ac:dyDescent="0.2">
      <c r="A586" s="2">
        <v>584</v>
      </c>
      <c r="B586" s="2">
        <f t="shared" ca="1" si="9"/>
        <v>0.72786885693035364</v>
      </c>
      <c r="C586" s="2" t="s">
        <v>227</v>
      </c>
    </row>
    <row r="587" spans="1:3" x14ac:dyDescent="0.2">
      <c r="A587" s="2">
        <v>585</v>
      </c>
      <c r="B587" s="2">
        <f t="shared" ca="1" si="9"/>
        <v>0.95974447771129001</v>
      </c>
      <c r="C587" s="2" t="s">
        <v>226</v>
      </c>
    </row>
    <row r="588" spans="1:3" x14ac:dyDescent="0.2">
      <c r="A588" s="2">
        <v>586</v>
      </c>
      <c r="B588" s="2">
        <f t="shared" ca="1" si="9"/>
        <v>0.49785542638032887</v>
      </c>
      <c r="C588" s="2" t="s">
        <v>226</v>
      </c>
    </row>
    <row r="589" spans="1:3" x14ac:dyDescent="0.2">
      <c r="A589" s="2">
        <v>587</v>
      </c>
      <c r="B589" s="2">
        <f t="shared" ca="1" si="9"/>
        <v>0.6628057324384391</v>
      </c>
      <c r="C589" s="2" t="s">
        <v>227</v>
      </c>
    </row>
    <row r="590" spans="1:3" x14ac:dyDescent="0.2">
      <c r="A590" s="2">
        <v>588</v>
      </c>
      <c r="B590" s="2">
        <f t="shared" ca="1" si="9"/>
        <v>0.55401331568688772</v>
      </c>
      <c r="C590" s="2" t="s">
        <v>226</v>
      </c>
    </row>
    <row r="591" spans="1:3" x14ac:dyDescent="0.2">
      <c r="A591" s="2">
        <v>589</v>
      </c>
      <c r="B591" s="2">
        <f t="shared" ca="1" si="9"/>
        <v>0.87944834433871011</v>
      </c>
      <c r="C591" s="2" t="s">
        <v>226</v>
      </c>
    </row>
    <row r="592" spans="1:3" x14ac:dyDescent="0.2">
      <c r="A592" s="2">
        <v>590</v>
      </c>
      <c r="B592" s="2">
        <f t="shared" ca="1" si="9"/>
        <v>0.82521497704803481</v>
      </c>
      <c r="C592" s="2" t="s">
        <v>227</v>
      </c>
    </row>
    <row r="593" spans="1:3" x14ac:dyDescent="0.2">
      <c r="A593" s="2">
        <v>591</v>
      </c>
      <c r="B593" s="2">
        <f t="shared" ca="1" si="9"/>
        <v>0.5106277171073621</v>
      </c>
      <c r="C593" s="2" t="s">
        <v>226</v>
      </c>
    </row>
    <row r="594" spans="1:3" x14ac:dyDescent="0.2">
      <c r="A594" s="2">
        <v>592</v>
      </c>
      <c r="B594" s="2">
        <f t="shared" ca="1" si="9"/>
        <v>0.78681611077312441</v>
      </c>
      <c r="C594" s="2" t="s">
        <v>227</v>
      </c>
    </row>
    <row r="595" spans="1:3" x14ac:dyDescent="0.2">
      <c r="A595" s="2">
        <v>593</v>
      </c>
      <c r="B595" s="2">
        <f t="shared" ca="1" si="9"/>
        <v>0.63689848330026877</v>
      </c>
      <c r="C595" s="2" t="s">
        <v>226</v>
      </c>
    </row>
    <row r="596" spans="1:3" x14ac:dyDescent="0.2">
      <c r="A596" s="2">
        <v>594</v>
      </c>
      <c r="B596" s="2">
        <f t="shared" ca="1" si="9"/>
        <v>0.71292647455993174</v>
      </c>
      <c r="C596" s="2" t="s">
        <v>227</v>
      </c>
    </row>
    <row r="597" spans="1:3" x14ac:dyDescent="0.2">
      <c r="A597" s="2">
        <v>595</v>
      </c>
      <c r="B597" s="2">
        <f t="shared" ca="1" si="9"/>
        <v>0.78010621244063894</v>
      </c>
      <c r="C597" s="2" t="s">
        <v>227</v>
      </c>
    </row>
    <row r="598" spans="1:3" x14ac:dyDescent="0.2">
      <c r="A598" s="2">
        <v>596</v>
      </c>
      <c r="B598" s="2">
        <f t="shared" ca="1" si="9"/>
        <v>0.57679651720948666</v>
      </c>
      <c r="C598" s="2" t="s">
        <v>227</v>
      </c>
    </row>
    <row r="599" spans="1:3" x14ac:dyDescent="0.2">
      <c r="A599" s="2">
        <v>597</v>
      </c>
      <c r="B599" s="2">
        <f t="shared" ca="1" si="9"/>
        <v>0.7900680588166239</v>
      </c>
      <c r="C599" s="2" t="s">
        <v>227</v>
      </c>
    </row>
    <row r="600" spans="1:3" x14ac:dyDescent="0.2">
      <c r="A600" s="2">
        <v>598</v>
      </c>
      <c r="B600" s="2">
        <f t="shared" ca="1" si="9"/>
        <v>0.8421846748558468</v>
      </c>
      <c r="C600" s="2" t="s">
        <v>226</v>
      </c>
    </row>
    <row r="601" spans="1:3" x14ac:dyDescent="0.2">
      <c r="A601" s="2">
        <v>599</v>
      </c>
      <c r="B601" s="2">
        <f t="shared" ca="1" si="9"/>
        <v>0.71678489950885327</v>
      </c>
      <c r="C601" s="2" t="s">
        <v>227</v>
      </c>
    </row>
    <row r="602" spans="1:3" x14ac:dyDescent="0.2">
      <c r="A602" s="2">
        <v>600</v>
      </c>
      <c r="B602" s="2">
        <f t="shared" ca="1" si="9"/>
        <v>0.78943372077819185</v>
      </c>
      <c r="C602" s="2" t="s">
        <v>227</v>
      </c>
    </row>
    <row r="603" spans="1:3" x14ac:dyDescent="0.2">
      <c r="A603" s="2">
        <v>601</v>
      </c>
      <c r="B603" s="2">
        <f t="shared" ca="1" si="9"/>
        <v>0.5685154108546242</v>
      </c>
      <c r="C603" s="2" t="s">
        <v>226</v>
      </c>
    </row>
    <row r="604" spans="1:3" x14ac:dyDescent="0.2">
      <c r="A604" s="2">
        <v>602</v>
      </c>
      <c r="B604" s="2">
        <f t="shared" ca="1" si="9"/>
        <v>0.51482929937851607</v>
      </c>
      <c r="C604" s="2" t="s">
        <v>226</v>
      </c>
    </row>
    <row r="605" spans="1:3" x14ac:dyDescent="0.2">
      <c r="A605" s="2">
        <v>603</v>
      </c>
      <c r="B605" s="2">
        <f t="shared" ca="1" si="9"/>
        <v>0.68739461165021665</v>
      </c>
      <c r="C605" s="2" t="s">
        <v>226</v>
      </c>
    </row>
    <row r="606" spans="1:3" x14ac:dyDescent="0.2">
      <c r="A606" s="2">
        <v>604</v>
      </c>
      <c r="B606" s="2">
        <f t="shared" ca="1" si="9"/>
        <v>0.81503130435892035</v>
      </c>
      <c r="C606" s="2" t="s">
        <v>227</v>
      </c>
    </row>
    <row r="607" spans="1:3" x14ac:dyDescent="0.2">
      <c r="A607" s="2">
        <v>605</v>
      </c>
      <c r="B607" s="2">
        <f t="shared" ca="1" si="9"/>
        <v>0.47452949171405467</v>
      </c>
      <c r="C607" s="2" t="s">
        <v>226</v>
      </c>
    </row>
    <row r="608" spans="1:3" x14ac:dyDescent="0.2">
      <c r="A608" s="2">
        <v>606</v>
      </c>
      <c r="B608" s="2">
        <f t="shared" ca="1" si="9"/>
        <v>0.66358699707955104</v>
      </c>
      <c r="C608" s="2" t="s">
        <v>227</v>
      </c>
    </row>
    <row r="609" spans="1:3" x14ac:dyDescent="0.2">
      <c r="A609" s="2">
        <v>607</v>
      </c>
      <c r="B609" s="2">
        <f t="shared" ca="1" si="9"/>
        <v>0.49005415397057372</v>
      </c>
      <c r="C609" s="2" t="s">
        <v>226</v>
      </c>
    </row>
    <row r="610" spans="1:3" x14ac:dyDescent="0.2">
      <c r="A610" s="2">
        <v>608</v>
      </c>
      <c r="B610" s="2">
        <f t="shared" ca="1" si="9"/>
        <v>0.72305845754496467</v>
      </c>
      <c r="C610" s="2" t="s">
        <v>227</v>
      </c>
    </row>
    <row r="611" spans="1:3" x14ac:dyDescent="0.2">
      <c r="A611" s="2">
        <v>609</v>
      </c>
      <c r="B611" s="2">
        <f t="shared" ca="1" si="9"/>
        <v>0.71250968772306267</v>
      </c>
      <c r="C611" s="2" t="s">
        <v>226</v>
      </c>
    </row>
    <row r="612" spans="1:3" x14ac:dyDescent="0.2">
      <c r="A612" s="2">
        <v>610</v>
      </c>
      <c r="B612" s="2">
        <f t="shared" ca="1" si="9"/>
        <v>0.80320590869997199</v>
      </c>
      <c r="C612" s="2" t="s">
        <v>226</v>
      </c>
    </row>
    <row r="613" spans="1:3" x14ac:dyDescent="0.2">
      <c r="A613" s="2">
        <v>611</v>
      </c>
      <c r="B613" s="2">
        <f t="shared" ca="1" si="9"/>
        <v>0.79375700194620191</v>
      </c>
      <c r="C613" s="2" t="s">
        <v>227</v>
      </c>
    </row>
    <row r="614" spans="1:3" x14ac:dyDescent="0.2">
      <c r="A614" s="2">
        <v>612</v>
      </c>
      <c r="B614" s="2">
        <f t="shared" ca="1" si="9"/>
        <v>0.50957218653974379</v>
      </c>
      <c r="C614" s="2" t="s">
        <v>227</v>
      </c>
    </row>
    <row r="615" spans="1:3" x14ac:dyDescent="0.2">
      <c r="A615" s="2">
        <v>613</v>
      </c>
      <c r="B615" s="2">
        <f t="shared" ca="1" si="9"/>
        <v>0.88769149966870597</v>
      </c>
      <c r="C615" s="2" t="s">
        <v>226</v>
      </c>
    </row>
    <row r="616" spans="1:3" x14ac:dyDescent="0.2">
      <c r="A616" s="2">
        <v>614</v>
      </c>
      <c r="B616" s="2">
        <f t="shared" ca="1" si="9"/>
        <v>0.56902214574529819</v>
      </c>
      <c r="C616" s="2" t="s">
        <v>226</v>
      </c>
    </row>
    <row r="617" spans="1:3" x14ac:dyDescent="0.2">
      <c r="A617" s="2">
        <v>615</v>
      </c>
      <c r="B617" s="2">
        <f t="shared" ca="1" si="9"/>
        <v>0.42105468974660909</v>
      </c>
      <c r="C617" s="2" t="s">
        <v>226</v>
      </c>
    </row>
    <row r="618" spans="1:3" x14ac:dyDescent="0.2">
      <c r="A618" s="2">
        <v>616</v>
      </c>
      <c r="B618" s="2">
        <f t="shared" ca="1" si="9"/>
        <v>0.71417645177121658</v>
      </c>
      <c r="C618" s="2" t="s">
        <v>227</v>
      </c>
    </row>
    <row r="619" spans="1:3" x14ac:dyDescent="0.2">
      <c r="A619" s="2">
        <v>617</v>
      </c>
      <c r="B619" s="2">
        <f t="shared" ca="1" si="9"/>
        <v>0.70127790202805929</v>
      </c>
      <c r="C619" s="2" t="s">
        <v>227</v>
      </c>
    </row>
    <row r="620" spans="1:3" x14ac:dyDescent="0.2">
      <c r="A620" s="2">
        <v>618</v>
      </c>
      <c r="B620" s="2">
        <f t="shared" ca="1" si="9"/>
        <v>0.55892242374178736</v>
      </c>
      <c r="C620" s="2" t="s">
        <v>227</v>
      </c>
    </row>
    <row r="621" spans="1:3" x14ac:dyDescent="0.2">
      <c r="A621" s="2">
        <v>619</v>
      </c>
      <c r="B621" s="2">
        <f t="shared" ca="1" si="9"/>
        <v>0.6027134125644108</v>
      </c>
      <c r="C621" s="2" t="s">
        <v>226</v>
      </c>
    </row>
    <row r="622" spans="1:3" x14ac:dyDescent="0.2">
      <c r="A622" s="2">
        <v>620</v>
      </c>
      <c r="B622" s="2">
        <f t="shared" ca="1" si="9"/>
        <v>0.63450339548193035</v>
      </c>
      <c r="C622" s="2" t="s">
        <v>226</v>
      </c>
    </row>
    <row r="623" spans="1:3" x14ac:dyDescent="0.2">
      <c r="A623" s="2">
        <v>621</v>
      </c>
      <c r="B623" s="2">
        <f t="shared" ca="1" si="9"/>
        <v>0.89425264016592765</v>
      </c>
      <c r="C623" s="2" t="s">
        <v>227</v>
      </c>
    </row>
    <row r="624" spans="1:3" x14ac:dyDescent="0.2">
      <c r="A624" s="2">
        <v>622</v>
      </c>
      <c r="B624" s="2">
        <f t="shared" ca="1" si="9"/>
        <v>0.60095106899249728</v>
      </c>
      <c r="C624" s="2" t="s">
        <v>227</v>
      </c>
    </row>
    <row r="625" spans="1:3" x14ac:dyDescent="0.2">
      <c r="A625" s="2">
        <v>623</v>
      </c>
      <c r="B625" s="2">
        <f t="shared" ca="1" si="9"/>
        <v>0.76697731484016973</v>
      </c>
      <c r="C625" s="2" t="s">
        <v>227</v>
      </c>
    </row>
    <row r="626" spans="1:3" x14ac:dyDescent="0.2">
      <c r="A626" s="2">
        <v>624</v>
      </c>
      <c r="B626" s="2">
        <f t="shared" ca="1" si="9"/>
        <v>0.78001963381194561</v>
      </c>
      <c r="C626" s="2" t="s">
        <v>226</v>
      </c>
    </row>
    <row r="627" spans="1:3" x14ac:dyDescent="0.2">
      <c r="A627" s="2">
        <v>625</v>
      </c>
      <c r="B627" s="2">
        <f t="shared" ca="1" si="9"/>
        <v>0.81477021931843385</v>
      </c>
      <c r="C627" s="2" t="s">
        <v>227</v>
      </c>
    </row>
    <row r="628" spans="1:3" x14ac:dyDescent="0.2">
      <c r="A628" s="2">
        <v>626</v>
      </c>
      <c r="B628" s="2">
        <f t="shared" ca="1" si="9"/>
        <v>0.70152011329366182</v>
      </c>
      <c r="C628" s="2" t="s">
        <v>226</v>
      </c>
    </row>
    <row r="629" spans="1:3" x14ac:dyDescent="0.2">
      <c r="A629" s="2">
        <v>627</v>
      </c>
      <c r="B629" s="2">
        <f t="shared" ca="1" si="9"/>
        <v>0.6696603649407723</v>
      </c>
      <c r="C629" s="2" t="s">
        <v>226</v>
      </c>
    </row>
    <row r="630" spans="1:3" x14ac:dyDescent="0.2">
      <c r="A630" s="2">
        <v>628</v>
      </c>
      <c r="B630" s="2">
        <f t="shared" ca="1" si="9"/>
        <v>0.60905330186687379</v>
      </c>
      <c r="C630" s="2" t="s">
        <v>226</v>
      </c>
    </row>
    <row r="631" spans="1:3" x14ac:dyDescent="0.2">
      <c r="A631" s="2">
        <v>629</v>
      </c>
      <c r="B631" s="2">
        <f t="shared" ca="1" si="9"/>
        <v>0.47532484755964716</v>
      </c>
      <c r="C631" s="2" t="s">
        <v>226</v>
      </c>
    </row>
    <row r="632" spans="1:3" x14ac:dyDescent="0.2">
      <c r="A632" s="2">
        <v>630</v>
      </c>
      <c r="B632" s="2">
        <f t="shared" ca="1" si="9"/>
        <v>0.51055031727480904</v>
      </c>
      <c r="C632" s="2" t="s">
        <v>227</v>
      </c>
    </row>
    <row r="633" spans="1:3" x14ac:dyDescent="0.2">
      <c r="A633" s="2">
        <v>631</v>
      </c>
      <c r="B633" s="2">
        <f t="shared" ca="1" si="9"/>
        <v>0.88676242160953711</v>
      </c>
      <c r="C633" s="2" t="s">
        <v>227</v>
      </c>
    </row>
    <row r="634" spans="1:3" x14ac:dyDescent="0.2">
      <c r="A634" s="2">
        <v>632</v>
      </c>
      <c r="B634" s="2">
        <f t="shared" ca="1" si="9"/>
        <v>0.68802750504397636</v>
      </c>
      <c r="C634" s="2" t="s">
        <v>226</v>
      </c>
    </row>
    <row r="635" spans="1:3" x14ac:dyDescent="0.2">
      <c r="A635" s="2">
        <v>633</v>
      </c>
      <c r="B635" s="2">
        <f t="shared" ca="1" si="9"/>
        <v>0.64592593487228733</v>
      </c>
      <c r="C635" s="2" t="s">
        <v>227</v>
      </c>
    </row>
    <row r="636" spans="1:3" x14ac:dyDescent="0.2">
      <c r="A636" s="2">
        <v>634</v>
      </c>
      <c r="B636" s="2">
        <f t="shared" ca="1" si="9"/>
        <v>0.55249559476450616</v>
      </c>
      <c r="C636" s="2" t="s">
        <v>227</v>
      </c>
    </row>
    <row r="637" spans="1:3" x14ac:dyDescent="0.2">
      <c r="A637" s="2">
        <v>635</v>
      </c>
      <c r="B637" s="2">
        <f t="shared" ca="1" si="9"/>
        <v>0.83911293411964272</v>
      </c>
      <c r="C637" s="2" t="s">
        <v>227</v>
      </c>
    </row>
    <row r="638" spans="1:3" x14ac:dyDescent="0.2">
      <c r="A638" s="2">
        <v>636</v>
      </c>
      <c r="B638" s="2">
        <f t="shared" ca="1" si="9"/>
        <v>0.67506781036517738</v>
      </c>
      <c r="C638" s="2" t="s">
        <v>226</v>
      </c>
    </row>
    <row r="639" spans="1:3" x14ac:dyDescent="0.2">
      <c r="A639" s="2">
        <v>637</v>
      </c>
      <c r="B639" s="2">
        <f t="shared" ca="1" si="9"/>
        <v>0.77192876152540801</v>
      </c>
      <c r="C639" s="2" t="s">
        <v>226</v>
      </c>
    </row>
    <row r="640" spans="1:3" x14ac:dyDescent="0.2">
      <c r="A640" s="2">
        <v>638</v>
      </c>
      <c r="B640" s="2">
        <f t="shared" ca="1" si="9"/>
        <v>0.59444269412591333</v>
      </c>
      <c r="C640" s="2" t="s">
        <v>227</v>
      </c>
    </row>
    <row r="641" spans="1:3" x14ac:dyDescent="0.2">
      <c r="A641" s="2">
        <v>639</v>
      </c>
      <c r="B641" s="2">
        <f t="shared" ca="1" si="9"/>
        <v>0.4716920605329834</v>
      </c>
      <c r="C641" s="2" t="s">
        <v>226</v>
      </c>
    </row>
    <row r="642" spans="1:3" x14ac:dyDescent="0.2">
      <c r="A642" s="2">
        <v>640</v>
      </c>
      <c r="B642" s="2">
        <f t="shared" ca="1" si="9"/>
        <v>0.54385116397664135</v>
      </c>
      <c r="C642" s="2" t="s">
        <v>227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0.78068151347015746</v>
      </c>
      <c r="C643" s="2" t="s">
        <v>227</v>
      </c>
    </row>
    <row r="644" spans="1:3" x14ac:dyDescent="0.2">
      <c r="A644" s="2">
        <v>642</v>
      </c>
      <c r="B644" s="2">
        <f t="shared" ca="1" si="10"/>
        <v>0.43087056150717695</v>
      </c>
      <c r="C644" s="2" t="s">
        <v>226</v>
      </c>
    </row>
    <row r="645" spans="1:3" x14ac:dyDescent="0.2">
      <c r="A645" s="2">
        <v>643</v>
      </c>
      <c r="B645" s="2">
        <f t="shared" ca="1" si="10"/>
        <v>0.89685660012603208</v>
      </c>
      <c r="C645" s="2" t="s">
        <v>227</v>
      </c>
    </row>
    <row r="646" spans="1:3" x14ac:dyDescent="0.2">
      <c r="A646" s="2">
        <v>644</v>
      </c>
      <c r="B646" s="2">
        <f t="shared" ca="1" si="10"/>
        <v>0.81870316525083076</v>
      </c>
      <c r="C646" s="2" t="s">
        <v>226</v>
      </c>
    </row>
    <row r="647" spans="1:3" x14ac:dyDescent="0.2">
      <c r="A647" s="2">
        <v>645</v>
      </c>
      <c r="B647" s="2">
        <f t="shared" ca="1" si="10"/>
        <v>0.66980548197790302</v>
      </c>
      <c r="C647" s="2" t="s">
        <v>226</v>
      </c>
    </row>
    <row r="648" spans="1:3" x14ac:dyDescent="0.2">
      <c r="A648" s="2">
        <v>646</v>
      </c>
      <c r="B648" s="2">
        <f t="shared" ca="1" si="10"/>
        <v>0.69237917683433925</v>
      </c>
      <c r="C648" s="2" t="s">
        <v>226</v>
      </c>
    </row>
    <row r="649" spans="1:3" x14ac:dyDescent="0.2">
      <c r="A649" s="2">
        <v>647</v>
      </c>
      <c r="B649" s="2">
        <f t="shared" ca="1" si="10"/>
        <v>0.72111213836905885</v>
      </c>
      <c r="C649" s="2" t="s">
        <v>227</v>
      </c>
    </row>
    <row r="650" spans="1:3" x14ac:dyDescent="0.2">
      <c r="A650" s="2">
        <v>648</v>
      </c>
      <c r="B650" s="2">
        <f t="shared" ca="1" si="10"/>
        <v>0.71179087566957877</v>
      </c>
      <c r="C650" s="2" t="s">
        <v>227</v>
      </c>
    </row>
    <row r="651" spans="1:3" x14ac:dyDescent="0.2">
      <c r="A651" s="2">
        <v>649</v>
      </c>
      <c r="B651" s="2">
        <f t="shared" ca="1" si="10"/>
        <v>0.61748524436740693</v>
      </c>
      <c r="C651" s="2" t="s">
        <v>227</v>
      </c>
    </row>
    <row r="652" spans="1:3" x14ac:dyDescent="0.2">
      <c r="A652" s="2">
        <v>650</v>
      </c>
      <c r="B652" s="2">
        <f t="shared" ca="1" si="10"/>
        <v>0.66354375549301348</v>
      </c>
      <c r="C652" s="2" t="s">
        <v>227</v>
      </c>
    </row>
    <row r="653" spans="1:3" x14ac:dyDescent="0.2">
      <c r="A653" s="2">
        <v>651</v>
      </c>
      <c r="B653" s="2">
        <f t="shared" ca="1" si="10"/>
        <v>0.56826752213991982</v>
      </c>
      <c r="C653" s="2" t="s">
        <v>226</v>
      </c>
    </row>
    <row r="654" spans="1:3" x14ac:dyDescent="0.2">
      <c r="A654" s="2">
        <v>652</v>
      </c>
      <c r="B654" s="2">
        <f t="shared" ca="1" si="10"/>
        <v>0.62034926281969915</v>
      </c>
      <c r="C654" s="2" t="s">
        <v>226</v>
      </c>
    </row>
    <row r="655" spans="1:3" x14ac:dyDescent="0.2">
      <c r="A655" s="2">
        <v>653</v>
      </c>
      <c r="B655" s="2">
        <f t="shared" ca="1" si="10"/>
        <v>0.65949846463342965</v>
      </c>
      <c r="C655" s="2" t="s">
        <v>226</v>
      </c>
    </row>
    <row r="656" spans="1:3" x14ac:dyDescent="0.2">
      <c r="A656" s="2">
        <v>654</v>
      </c>
      <c r="B656" s="2">
        <f t="shared" ca="1" si="10"/>
        <v>0.38120168407966531</v>
      </c>
      <c r="C656" s="2" t="s">
        <v>226</v>
      </c>
    </row>
    <row r="657" spans="1:3" x14ac:dyDescent="0.2">
      <c r="A657" s="2">
        <v>655</v>
      </c>
      <c r="B657" s="2">
        <f t="shared" ca="1" si="10"/>
        <v>0.54657462969875803</v>
      </c>
      <c r="C657" s="2" t="s">
        <v>226</v>
      </c>
    </row>
    <row r="658" spans="1:3" x14ac:dyDescent="0.2">
      <c r="A658" s="2">
        <v>656</v>
      </c>
      <c r="B658" s="2">
        <f t="shared" ca="1" si="10"/>
        <v>0.98022926855103787</v>
      </c>
      <c r="C658" s="2" t="s">
        <v>226</v>
      </c>
    </row>
    <row r="659" spans="1:3" x14ac:dyDescent="0.2">
      <c r="A659" s="2">
        <v>657</v>
      </c>
      <c r="B659" s="2">
        <f t="shared" ca="1" si="10"/>
        <v>0.69633206673787573</v>
      </c>
      <c r="C659" s="2" t="s">
        <v>227</v>
      </c>
    </row>
    <row r="660" spans="1:3" x14ac:dyDescent="0.2">
      <c r="A660" s="2">
        <v>658</v>
      </c>
      <c r="B660" s="2">
        <f t="shared" ca="1" si="10"/>
        <v>0.86009845260345541</v>
      </c>
      <c r="C660" s="2" t="s">
        <v>226</v>
      </c>
    </row>
    <row r="661" spans="1:3" x14ac:dyDescent="0.2">
      <c r="A661" s="2">
        <v>659</v>
      </c>
      <c r="B661" s="2">
        <f t="shared" ca="1" si="10"/>
        <v>0.62280418512183455</v>
      </c>
      <c r="C661" s="2" t="s">
        <v>227</v>
      </c>
    </row>
    <row r="662" spans="1:3" x14ac:dyDescent="0.2">
      <c r="A662" s="2">
        <v>660</v>
      </c>
      <c r="B662" s="2">
        <f t="shared" ca="1" si="10"/>
        <v>0.34722465471711811</v>
      </c>
      <c r="C662" s="2" t="s">
        <v>226</v>
      </c>
    </row>
    <row r="663" spans="1:3" x14ac:dyDescent="0.2">
      <c r="A663" s="2">
        <v>661</v>
      </c>
      <c r="B663" s="2">
        <f t="shared" ca="1" si="10"/>
        <v>0.66839178034822899</v>
      </c>
      <c r="C663" s="2" t="s">
        <v>227</v>
      </c>
    </row>
    <row r="664" spans="1:3" x14ac:dyDescent="0.2">
      <c r="A664" s="2">
        <v>662</v>
      </c>
      <c r="B664" s="2">
        <f t="shared" ca="1" si="10"/>
        <v>0.32052267318551936</v>
      </c>
      <c r="C664" s="2" t="s">
        <v>226</v>
      </c>
    </row>
    <row r="665" spans="1:3" x14ac:dyDescent="0.2">
      <c r="A665" s="2">
        <v>663</v>
      </c>
      <c r="B665" s="2">
        <f t="shared" ca="1" si="10"/>
        <v>0.51366470910342821</v>
      </c>
      <c r="C665" s="2" t="s">
        <v>226</v>
      </c>
    </row>
    <row r="666" spans="1:3" x14ac:dyDescent="0.2">
      <c r="A666" s="2">
        <v>664</v>
      </c>
      <c r="B666" s="2">
        <f t="shared" ca="1" si="10"/>
        <v>0.73462691716283268</v>
      </c>
      <c r="C666" s="2" t="s">
        <v>227</v>
      </c>
    </row>
    <row r="667" spans="1:3" x14ac:dyDescent="0.2">
      <c r="A667" s="2">
        <v>665</v>
      </c>
      <c r="B667" s="2">
        <f t="shared" ca="1" si="10"/>
        <v>0.51797023768945283</v>
      </c>
      <c r="C667" s="2" t="s">
        <v>226</v>
      </c>
    </row>
    <row r="668" spans="1:3" x14ac:dyDescent="0.2">
      <c r="A668" s="2">
        <v>666</v>
      </c>
      <c r="B668" s="2">
        <f t="shared" ca="1" si="10"/>
        <v>0.45676443560369362</v>
      </c>
      <c r="C668" s="2" t="s">
        <v>226</v>
      </c>
    </row>
    <row r="669" spans="1:3" x14ac:dyDescent="0.2">
      <c r="A669" s="2">
        <v>667</v>
      </c>
      <c r="B669" s="2">
        <f t="shared" ca="1" si="10"/>
        <v>0.7070211410125059</v>
      </c>
      <c r="C669" s="2" t="s">
        <v>227</v>
      </c>
    </row>
    <row r="670" spans="1:3" x14ac:dyDescent="0.2">
      <c r="A670" s="2">
        <v>668</v>
      </c>
      <c r="B670" s="2">
        <f t="shared" ca="1" si="10"/>
        <v>0.79183021099695383</v>
      </c>
      <c r="C670" s="2" t="s">
        <v>226</v>
      </c>
    </row>
    <row r="671" spans="1:3" x14ac:dyDescent="0.2">
      <c r="A671" s="2">
        <v>669</v>
      </c>
      <c r="B671" s="2">
        <f t="shared" ca="1" si="10"/>
        <v>0.50583021793345928</v>
      </c>
      <c r="C671" s="2" t="s">
        <v>226</v>
      </c>
    </row>
    <row r="672" spans="1:3" x14ac:dyDescent="0.2">
      <c r="A672" s="2">
        <v>670</v>
      </c>
      <c r="B672" s="2">
        <f t="shared" ca="1" si="10"/>
        <v>0.57670574115150675</v>
      </c>
      <c r="C672" s="2" t="s">
        <v>226</v>
      </c>
    </row>
    <row r="673" spans="1:3" x14ac:dyDescent="0.2">
      <c r="A673" s="2">
        <v>671</v>
      </c>
      <c r="B673" s="2">
        <f t="shared" ca="1" si="10"/>
        <v>0.49117688868542314</v>
      </c>
      <c r="C673" s="2" t="s">
        <v>226</v>
      </c>
    </row>
    <row r="674" spans="1:3" x14ac:dyDescent="0.2">
      <c r="A674" s="2">
        <v>672</v>
      </c>
      <c r="B674" s="2">
        <f t="shared" ca="1" si="10"/>
        <v>0.71613427964945553</v>
      </c>
      <c r="C674" s="2" t="s">
        <v>226</v>
      </c>
    </row>
    <row r="675" spans="1:3" x14ac:dyDescent="0.2">
      <c r="A675" s="2">
        <v>673</v>
      </c>
      <c r="B675" s="2">
        <f t="shared" ca="1" si="10"/>
        <v>0.66395784174214567</v>
      </c>
      <c r="C675" s="2" t="s">
        <v>226</v>
      </c>
    </row>
    <row r="676" spans="1:3" x14ac:dyDescent="0.2">
      <c r="A676" s="2">
        <v>674</v>
      </c>
      <c r="B676" s="2">
        <f t="shared" ca="1" si="10"/>
        <v>0.68816788798081985</v>
      </c>
      <c r="C676" s="2" t="s">
        <v>227</v>
      </c>
    </row>
    <row r="677" spans="1:3" x14ac:dyDescent="0.2">
      <c r="A677" s="2">
        <v>675</v>
      </c>
      <c r="B677" s="2">
        <f t="shared" ca="1" si="10"/>
        <v>0.74037112990143505</v>
      </c>
      <c r="C677" s="2" t="s">
        <v>226</v>
      </c>
    </row>
    <row r="678" spans="1:3" x14ac:dyDescent="0.2">
      <c r="A678" s="2">
        <v>676</v>
      </c>
      <c r="B678" s="2">
        <f t="shared" ca="1" si="10"/>
        <v>0.65417276941364866</v>
      </c>
      <c r="C678" s="2" t="s">
        <v>227</v>
      </c>
    </row>
    <row r="679" spans="1:3" x14ac:dyDescent="0.2">
      <c r="A679" s="2">
        <v>677</v>
      </c>
      <c r="B679" s="2">
        <f t="shared" ca="1" si="10"/>
        <v>0.65114348861411275</v>
      </c>
      <c r="C679" s="2" t="s">
        <v>226</v>
      </c>
    </row>
    <row r="680" spans="1:3" x14ac:dyDescent="0.2">
      <c r="A680" s="2">
        <v>678</v>
      </c>
      <c r="B680" s="2">
        <f t="shared" ca="1" si="10"/>
        <v>0.70461360966689435</v>
      </c>
      <c r="C680" s="2" t="s">
        <v>227</v>
      </c>
    </row>
    <row r="681" spans="1:3" x14ac:dyDescent="0.2">
      <c r="A681" s="2">
        <v>679</v>
      </c>
      <c r="B681" s="2">
        <f t="shared" ca="1" si="10"/>
        <v>0.53595017316903104</v>
      </c>
      <c r="C681" s="2" t="s">
        <v>226</v>
      </c>
    </row>
    <row r="682" spans="1:3" x14ac:dyDescent="0.2">
      <c r="A682" s="2">
        <v>680</v>
      </c>
      <c r="B682" s="2">
        <f t="shared" ca="1" si="10"/>
        <v>0.92389725941990175</v>
      </c>
      <c r="C682" s="2" t="s">
        <v>226</v>
      </c>
    </row>
    <row r="683" spans="1:3" x14ac:dyDescent="0.2">
      <c r="A683" s="2">
        <v>681</v>
      </c>
      <c r="B683" s="2">
        <f t="shared" ca="1" si="10"/>
        <v>0.59822336382848706</v>
      </c>
      <c r="C683" s="2" t="s">
        <v>226</v>
      </c>
    </row>
    <row r="684" spans="1:3" x14ac:dyDescent="0.2">
      <c r="A684" s="2">
        <v>682</v>
      </c>
      <c r="B684" s="2">
        <f t="shared" ca="1" si="10"/>
        <v>0.79330757067904256</v>
      </c>
      <c r="C684" s="2" t="s">
        <v>226</v>
      </c>
    </row>
    <row r="685" spans="1:3" x14ac:dyDescent="0.2">
      <c r="A685" s="2">
        <v>683</v>
      </c>
      <c r="B685" s="2">
        <f t="shared" ca="1" si="10"/>
        <v>0.2857638945988753</v>
      </c>
      <c r="C685" s="2" t="s">
        <v>226</v>
      </c>
    </row>
    <row r="686" spans="1:3" x14ac:dyDescent="0.2">
      <c r="A686" s="2">
        <v>684</v>
      </c>
      <c r="B686" s="2">
        <f t="shared" ca="1" si="10"/>
        <v>0.33158179947175503</v>
      </c>
      <c r="C686" s="2" t="s">
        <v>226</v>
      </c>
    </row>
    <row r="687" spans="1:3" x14ac:dyDescent="0.2">
      <c r="A687" s="2">
        <v>685</v>
      </c>
      <c r="B687" s="2">
        <f t="shared" ca="1" si="10"/>
        <v>0.82249928356830371</v>
      </c>
      <c r="C687" s="2" t="s">
        <v>227</v>
      </c>
    </row>
    <row r="688" spans="1:3" x14ac:dyDescent="0.2">
      <c r="A688" s="2">
        <v>686</v>
      </c>
      <c r="B688" s="2">
        <f t="shared" ca="1" si="10"/>
        <v>0.31103559380389895</v>
      </c>
      <c r="C688" s="2" t="s">
        <v>226</v>
      </c>
    </row>
    <row r="689" spans="1:3" x14ac:dyDescent="0.2">
      <c r="A689" s="2">
        <v>687</v>
      </c>
      <c r="B689" s="2">
        <f t="shared" ca="1" si="10"/>
        <v>0.83053091769608711</v>
      </c>
      <c r="C689" s="2" t="s">
        <v>226</v>
      </c>
    </row>
    <row r="690" spans="1:3" x14ac:dyDescent="0.2">
      <c r="A690" s="2">
        <v>688</v>
      </c>
      <c r="B690" s="2">
        <f t="shared" ca="1" si="10"/>
        <v>0.73138486028029659</v>
      </c>
      <c r="C690" s="2" t="s">
        <v>226</v>
      </c>
    </row>
    <row r="691" spans="1:3" x14ac:dyDescent="0.2">
      <c r="A691" s="2">
        <v>689</v>
      </c>
      <c r="B691" s="2">
        <f t="shared" ca="1" si="10"/>
        <v>0.68920037869232775</v>
      </c>
      <c r="C691" s="2" t="s">
        <v>226</v>
      </c>
    </row>
    <row r="692" spans="1:3" x14ac:dyDescent="0.2">
      <c r="A692" s="2">
        <v>690</v>
      </c>
      <c r="B692" s="2">
        <f t="shared" ca="1" si="10"/>
        <v>0.77705988165035456</v>
      </c>
      <c r="C692" s="2" t="s">
        <v>227</v>
      </c>
    </row>
    <row r="693" spans="1:3" x14ac:dyDescent="0.2">
      <c r="A693" s="2">
        <v>691</v>
      </c>
      <c r="B693" s="2">
        <f t="shared" ca="1" si="10"/>
        <v>0.62901189520928569</v>
      </c>
      <c r="C693" s="2" t="s">
        <v>227</v>
      </c>
    </row>
    <row r="694" spans="1:3" x14ac:dyDescent="0.2">
      <c r="A694" s="2">
        <v>692</v>
      </c>
      <c r="B694" s="2">
        <f t="shared" ca="1" si="10"/>
        <v>0.66922682345565665</v>
      </c>
      <c r="C694" s="2" t="s">
        <v>227</v>
      </c>
    </row>
    <row r="695" spans="1:3" x14ac:dyDescent="0.2">
      <c r="A695" s="2">
        <v>693</v>
      </c>
      <c r="B695" s="2">
        <f t="shared" ca="1" si="10"/>
        <v>0.90379349452285607</v>
      </c>
      <c r="C695" s="2" t="s">
        <v>227</v>
      </c>
    </row>
    <row r="696" spans="1:3" x14ac:dyDescent="0.2">
      <c r="A696" s="2">
        <v>694</v>
      </c>
      <c r="B696" s="2">
        <f t="shared" ca="1" si="10"/>
        <v>0.54425502422696259</v>
      </c>
      <c r="C696" s="2" t="s">
        <v>226</v>
      </c>
    </row>
    <row r="697" spans="1:3" x14ac:dyDescent="0.2">
      <c r="A697" s="2">
        <v>695</v>
      </c>
      <c r="B697" s="2">
        <f t="shared" ca="1" si="10"/>
        <v>0.62855233657936294</v>
      </c>
      <c r="C697" s="2" t="s">
        <v>226</v>
      </c>
    </row>
    <row r="698" spans="1:3" x14ac:dyDescent="0.2">
      <c r="A698" s="2">
        <v>696</v>
      </c>
      <c r="B698" s="2">
        <f t="shared" ca="1" si="10"/>
        <v>0.34527181863782985</v>
      </c>
      <c r="C698" s="2" t="s">
        <v>226</v>
      </c>
    </row>
    <row r="699" spans="1:3" x14ac:dyDescent="0.2">
      <c r="A699" s="2">
        <v>697</v>
      </c>
      <c r="B699" s="2">
        <f t="shared" ca="1" si="10"/>
        <v>0.66093119854088334</v>
      </c>
      <c r="C699" s="2" t="s">
        <v>226</v>
      </c>
    </row>
    <row r="700" spans="1:3" x14ac:dyDescent="0.2">
      <c r="A700" s="2">
        <v>698</v>
      </c>
      <c r="B700" s="2">
        <f t="shared" ca="1" si="10"/>
        <v>0.6896212668974171</v>
      </c>
      <c r="C700" s="2" t="s">
        <v>227</v>
      </c>
    </row>
    <row r="701" spans="1:3" x14ac:dyDescent="0.2">
      <c r="A701" s="2">
        <v>699</v>
      </c>
      <c r="B701" s="2">
        <f t="shared" ca="1" si="10"/>
        <v>0.56032133008275609</v>
      </c>
      <c r="C701" s="2" t="s">
        <v>226</v>
      </c>
    </row>
    <row r="702" spans="1:3" x14ac:dyDescent="0.2">
      <c r="A702" s="2">
        <v>700</v>
      </c>
      <c r="B702" s="2">
        <f t="shared" ca="1" si="10"/>
        <v>0.65233870832802154</v>
      </c>
      <c r="C702" s="2" t="s">
        <v>226</v>
      </c>
    </row>
    <row r="703" spans="1:3" x14ac:dyDescent="0.2">
      <c r="A703" s="2">
        <v>701</v>
      </c>
      <c r="B703" s="2">
        <f t="shared" ca="1" si="10"/>
        <v>0.8982642887646124</v>
      </c>
      <c r="C703" s="2" t="s">
        <v>226</v>
      </c>
    </row>
    <row r="704" spans="1:3" x14ac:dyDescent="0.2">
      <c r="A704" s="2">
        <v>702</v>
      </c>
      <c r="B704" s="2">
        <f t="shared" ca="1" si="10"/>
        <v>0.73517912931166662</v>
      </c>
      <c r="C704" s="2" t="s">
        <v>226</v>
      </c>
    </row>
    <row r="705" spans="1:3" x14ac:dyDescent="0.2">
      <c r="A705" s="2">
        <v>703</v>
      </c>
      <c r="B705" s="2">
        <f t="shared" ca="1" si="10"/>
        <v>0.48060819629085261</v>
      </c>
      <c r="C705" s="2" t="s">
        <v>227</v>
      </c>
    </row>
    <row r="706" spans="1:3" x14ac:dyDescent="0.2">
      <c r="A706" s="2">
        <v>704</v>
      </c>
      <c r="B706" s="2">
        <f t="shared" ca="1" si="10"/>
        <v>0.65735139809910981</v>
      </c>
      <c r="C706" s="2" t="s">
        <v>227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0.5363965747061229</v>
      </c>
      <c r="C707" s="2" t="s">
        <v>226</v>
      </c>
    </row>
    <row r="708" spans="1:3" x14ac:dyDescent="0.2">
      <c r="A708" s="2">
        <v>706</v>
      </c>
      <c r="B708" s="2">
        <f t="shared" ca="1" si="11"/>
        <v>0.45121320927141473</v>
      </c>
      <c r="C708" s="2" t="s">
        <v>226</v>
      </c>
    </row>
    <row r="709" spans="1:3" x14ac:dyDescent="0.2">
      <c r="A709" s="2">
        <v>707</v>
      </c>
      <c r="B709" s="2">
        <f t="shared" ca="1" si="11"/>
        <v>0.87644084646450859</v>
      </c>
      <c r="C709" s="2" t="s">
        <v>226</v>
      </c>
    </row>
    <row r="710" spans="1:3" x14ac:dyDescent="0.2">
      <c r="A710" s="2">
        <v>708</v>
      </c>
      <c r="B710" s="2">
        <f t="shared" ca="1" si="11"/>
        <v>0.68966174287971838</v>
      </c>
      <c r="C710" s="2" t="s">
        <v>227</v>
      </c>
    </row>
    <row r="711" spans="1:3" x14ac:dyDescent="0.2">
      <c r="A711" s="2">
        <v>709</v>
      </c>
      <c r="B711" s="2">
        <f t="shared" ca="1" si="11"/>
        <v>0.66686507245470317</v>
      </c>
      <c r="C711" s="2" t="s">
        <v>227</v>
      </c>
    </row>
    <row r="712" spans="1:3" x14ac:dyDescent="0.2">
      <c r="A712" s="2">
        <v>710</v>
      </c>
      <c r="B712" s="2">
        <f t="shared" ca="1" si="11"/>
        <v>0.8242946142647436</v>
      </c>
      <c r="C712" s="2" t="s">
        <v>227</v>
      </c>
    </row>
    <row r="713" spans="1:3" x14ac:dyDescent="0.2">
      <c r="A713" s="2">
        <v>711</v>
      </c>
      <c r="B713" s="2">
        <f t="shared" ca="1" si="11"/>
        <v>0.73033983383924594</v>
      </c>
      <c r="C713" s="2" t="s">
        <v>226</v>
      </c>
    </row>
    <row r="714" spans="1:3" x14ac:dyDescent="0.2">
      <c r="A714" s="2">
        <v>712</v>
      </c>
      <c r="B714" s="2">
        <f t="shared" ca="1" si="11"/>
        <v>0.69337132497202425</v>
      </c>
      <c r="C714" s="2" t="s">
        <v>227</v>
      </c>
    </row>
    <row r="715" spans="1:3" x14ac:dyDescent="0.2">
      <c r="A715" s="2">
        <v>713</v>
      </c>
      <c r="B715" s="2">
        <f t="shared" ca="1" si="11"/>
        <v>0.847258360941475</v>
      </c>
      <c r="C715" s="2" t="s">
        <v>226</v>
      </c>
    </row>
    <row r="716" spans="1:3" x14ac:dyDescent="0.2">
      <c r="A716" s="2">
        <v>714</v>
      </c>
      <c r="B716" s="2">
        <f t="shared" ca="1" si="11"/>
        <v>0.33041976781991983</v>
      </c>
      <c r="C716" s="2" t="s">
        <v>226</v>
      </c>
    </row>
    <row r="717" spans="1:3" x14ac:dyDescent="0.2">
      <c r="A717" s="2">
        <v>715</v>
      </c>
      <c r="B717" s="2">
        <f t="shared" ca="1" si="11"/>
        <v>0.52625228361544341</v>
      </c>
      <c r="C717" s="2" t="s">
        <v>226</v>
      </c>
    </row>
    <row r="718" spans="1:3" x14ac:dyDescent="0.2">
      <c r="A718" s="2">
        <v>716</v>
      </c>
      <c r="B718" s="2">
        <f t="shared" ca="1" si="11"/>
        <v>0.65461386258106569</v>
      </c>
      <c r="C718" s="2" t="s">
        <v>227</v>
      </c>
    </row>
    <row r="719" spans="1:3" x14ac:dyDescent="0.2">
      <c r="A719" s="2">
        <v>717</v>
      </c>
      <c r="B719" s="2">
        <f t="shared" ca="1" si="11"/>
        <v>0.29374980111614662</v>
      </c>
      <c r="C719" s="2" t="s">
        <v>226</v>
      </c>
    </row>
    <row r="720" spans="1:3" x14ac:dyDescent="0.2">
      <c r="A720" s="2">
        <v>718</v>
      </c>
      <c r="B720" s="2">
        <f t="shared" ca="1" si="11"/>
        <v>0.31474122406653293</v>
      </c>
      <c r="C720" s="2" t="s">
        <v>226</v>
      </c>
    </row>
    <row r="721" spans="1:3" x14ac:dyDescent="0.2">
      <c r="A721" s="2">
        <v>719</v>
      </c>
      <c r="B721" s="2">
        <f t="shared" ca="1" si="11"/>
        <v>0.61723574178846197</v>
      </c>
      <c r="C721" s="2" t="s">
        <v>226</v>
      </c>
    </row>
    <row r="722" spans="1:3" x14ac:dyDescent="0.2">
      <c r="A722" s="2">
        <v>720</v>
      </c>
      <c r="B722" s="2">
        <f t="shared" ca="1" si="11"/>
        <v>0.3446599410126327</v>
      </c>
      <c r="C722" s="2" t="s">
        <v>226</v>
      </c>
    </row>
    <row r="723" spans="1:3" x14ac:dyDescent="0.2">
      <c r="A723" s="2">
        <v>721</v>
      </c>
      <c r="B723" s="2">
        <f t="shared" ca="1" si="11"/>
        <v>0.69020244441917511</v>
      </c>
      <c r="C723" s="2" t="s">
        <v>227</v>
      </c>
    </row>
    <row r="724" spans="1:3" x14ac:dyDescent="0.2">
      <c r="A724" s="2">
        <v>722</v>
      </c>
      <c r="B724" s="2">
        <f t="shared" ca="1" si="11"/>
        <v>1.022019906854464</v>
      </c>
      <c r="C724" s="2" t="s">
        <v>226</v>
      </c>
    </row>
    <row r="725" spans="1:3" x14ac:dyDescent="0.2">
      <c r="A725" s="2">
        <v>723</v>
      </c>
      <c r="B725" s="2">
        <f t="shared" ca="1" si="11"/>
        <v>0.62452355982210139</v>
      </c>
      <c r="C725" s="2" t="s">
        <v>227</v>
      </c>
    </row>
    <row r="726" spans="1:3" x14ac:dyDescent="0.2">
      <c r="A726" s="2">
        <v>724</v>
      </c>
      <c r="B726" s="2">
        <f t="shared" ca="1" si="11"/>
        <v>0.73505312424103764</v>
      </c>
      <c r="C726" s="2" t="s">
        <v>227</v>
      </c>
    </row>
    <row r="727" spans="1:3" x14ac:dyDescent="0.2">
      <c r="A727" s="2">
        <v>725</v>
      </c>
      <c r="B727" s="2">
        <f t="shared" ca="1" si="11"/>
        <v>0.54335436263167347</v>
      </c>
      <c r="C727" s="2" t="s">
        <v>226</v>
      </c>
    </row>
    <row r="728" spans="1:3" x14ac:dyDescent="0.2">
      <c r="A728" s="2">
        <v>726</v>
      </c>
      <c r="B728" s="2">
        <f t="shared" ca="1" si="11"/>
        <v>0.76722947338214098</v>
      </c>
      <c r="C728" s="2" t="s">
        <v>226</v>
      </c>
    </row>
    <row r="729" spans="1:3" x14ac:dyDescent="0.2">
      <c r="A729" s="2">
        <v>727</v>
      </c>
      <c r="B729" s="2">
        <f t="shared" ca="1" si="11"/>
        <v>0.63569372395529689</v>
      </c>
      <c r="C729" s="2" t="s">
        <v>227</v>
      </c>
    </row>
    <row r="730" spans="1:3" x14ac:dyDescent="0.2">
      <c r="A730" s="2">
        <v>728</v>
      </c>
      <c r="B730" s="2">
        <f t="shared" ca="1" si="11"/>
        <v>0.49998939704351197</v>
      </c>
      <c r="C730" s="2" t="s">
        <v>226</v>
      </c>
    </row>
    <row r="731" spans="1:3" x14ac:dyDescent="0.2">
      <c r="A731" s="2">
        <v>729</v>
      </c>
      <c r="B731" s="2">
        <f t="shared" ca="1" si="11"/>
        <v>0.81626041639879077</v>
      </c>
      <c r="C731" s="2" t="s">
        <v>227</v>
      </c>
    </row>
    <row r="732" spans="1:3" x14ac:dyDescent="0.2">
      <c r="A732" s="2">
        <v>730</v>
      </c>
      <c r="B732" s="2">
        <f t="shared" ca="1" si="11"/>
        <v>0.6520905658893883</v>
      </c>
      <c r="C732" s="2" t="s">
        <v>227</v>
      </c>
    </row>
    <row r="733" spans="1:3" x14ac:dyDescent="0.2">
      <c r="A733" s="2">
        <v>731</v>
      </c>
      <c r="B733" s="2">
        <f t="shared" ca="1" si="11"/>
        <v>0.62235415649038517</v>
      </c>
      <c r="C733" s="2" t="s">
        <v>227</v>
      </c>
    </row>
    <row r="734" spans="1:3" x14ac:dyDescent="0.2">
      <c r="A734" s="2">
        <v>732</v>
      </c>
      <c r="B734" s="2">
        <f t="shared" ca="1" si="11"/>
        <v>0.55838480642545663</v>
      </c>
      <c r="C734" s="2" t="s">
        <v>226</v>
      </c>
    </row>
    <row r="735" spans="1:3" x14ac:dyDescent="0.2">
      <c r="A735" s="2">
        <v>733</v>
      </c>
      <c r="B735" s="2">
        <f t="shared" ca="1" si="11"/>
        <v>0.73949374989458239</v>
      </c>
      <c r="C735" s="2" t="s">
        <v>226</v>
      </c>
    </row>
    <row r="736" spans="1:3" x14ac:dyDescent="0.2">
      <c r="A736" s="2">
        <v>734</v>
      </c>
      <c r="B736" s="2">
        <f t="shared" ca="1" si="11"/>
        <v>0.64171092526913742</v>
      </c>
      <c r="C736" s="2" t="s">
        <v>226</v>
      </c>
    </row>
    <row r="737" spans="1:3" x14ac:dyDescent="0.2">
      <c r="A737" s="2">
        <v>735</v>
      </c>
      <c r="B737" s="2">
        <f t="shared" ca="1" si="11"/>
        <v>0.82024620328214271</v>
      </c>
      <c r="C737" s="2" t="s">
        <v>227</v>
      </c>
    </row>
    <row r="738" spans="1:3" x14ac:dyDescent="0.2">
      <c r="A738" s="2">
        <v>736</v>
      </c>
      <c r="B738" s="2">
        <f t="shared" ca="1" si="11"/>
        <v>0.5261931828631744</v>
      </c>
      <c r="C738" s="2" t="s">
        <v>227</v>
      </c>
    </row>
    <row r="739" spans="1:3" x14ac:dyDescent="0.2">
      <c r="A739" s="2">
        <v>737</v>
      </c>
      <c r="B739" s="2">
        <f t="shared" ca="1" si="11"/>
        <v>0.7250601894490859</v>
      </c>
      <c r="C739" s="2" t="s">
        <v>226</v>
      </c>
    </row>
    <row r="740" spans="1:3" x14ac:dyDescent="0.2">
      <c r="A740" s="2">
        <v>738</v>
      </c>
      <c r="B740" s="2">
        <f t="shared" ca="1" si="11"/>
        <v>0.69363407895014795</v>
      </c>
      <c r="C740" s="2" t="s">
        <v>226</v>
      </c>
    </row>
    <row r="741" spans="1:3" x14ac:dyDescent="0.2">
      <c r="A741" s="2">
        <v>739</v>
      </c>
      <c r="B741" s="2">
        <f t="shared" ca="1" si="11"/>
        <v>0.6118029465558229</v>
      </c>
      <c r="C741" s="2" t="s">
        <v>227</v>
      </c>
    </row>
    <row r="742" spans="1:3" x14ac:dyDescent="0.2">
      <c r="A742" s="2">
        <v>740</v>
      </c>
      <c r="B742" s="2">
        <f t="shared" ca="1" si="11"/>
        <v>0.53643317309913696</v>
      </c>
      <c r="C742" s="2" t="s">
        <v>226</v>
      </c>
    </row>
    <row r="743" spans="1:3" x14ac:dyDescent="0.2">
      <c r="A743" s="2">
        <v>741</v>
      </c>
      <c r="B743" s="2">
        <f t="shared" ca="1" si="11"/>
        <v>0.4554964838477954</v>
      </c>
      <c r="C743" s="2" t="s">
        <v>226</v>
      </c>
    </row>
    <row r="744" spans="1:3" x14ac:dyDescent="0.2">
      <c r="A744" s="2">
        <v>742</v>
      </c>
      <c r="B744" s="2">
        <f t="shared" ca="1" si="11"/>
        <v>0.5380700868516628</v>
      </c>
      <c r="C744" s="2" t="s">
        <v>226</v>
      </c>
    </row>
    <row r="745" spans="1:3" x14ac:dyDescent="0.2">
      <c r="A745" s="2">
        <v>743</v>
      </c>
      <c r="B745" s="2">
        <f t="shared" ca="1" si="11"/>
        <v>0.60651809433427928</v>
      </c>
      <c r="C745" s="2" t="s">
        <v>226</v>
      </c>
    </row>
    <row r="746" spans="1:3" x14ac:dyDescent="0.2">
      <c r="A746" s="2">
        <v>744</v>
      </c>
      <c r="B746" s="2">
        <f t="shared" ca="1" si="11"/>
        <v>0.27447983193240155</v>
      </c>
      <c r="C746" s="2" t="s">
        <v>226</v>
      </c>
    </row>
    <row r="747" spans="1:3" x14ac:dyDescent="0.2">
      <c r="A747" s="2">
        <v>745</v>
      </c>
      <c r="B747" s="2">
        <f t="shared" ca="1" si="11"/>
        <v>0.46097426001713809</v>
      </c>
      <c r="C747" s="2" t="s">
        <v>226</v>
      </c>
    </row>
    <row r="748" spans="1:3" x14ac:dyDescent="0.2">
      <c r="A748" s="2">
        <v>746</v>
      </c>
      <c r="B748" s="2">
        <f t="shared" ca="1" si="11"/>
        <v>0.73009246138217976</v>
      </c>
      <c r="C748" s="2" t="s">
        <v>227</v>
      </c>
    </row>
    <row r="749" spans="1:3" x14ac:dyDescent="0.2">
      <c r="A749" s="2">
        <v>747</v>
      </c>
      <c r="B749" s="2">
        <f t="shared" ca="1" si="11"/>
        <v>0.66641216152675042</v>
      </c>
      <c r="C749" s="2" t="s">
        <v>227</v>
      </c>
    </row>
    <row r="750" spans="1:3" x14ac:dyDescent="0.2">
      <c r="A750" s="2">
        <v>748</v>
      </c>
      <c r="B750" s="2">
        <f t="shared" ca="1" si="11"/>
        <v>0.56040662242906414</v>
      </c>
      <c r="C750" s="2" t="s">
        <v>226</v>
      </c>
    </row>
    <row r="751" spans="1:3" x14ac:dyDescent="0.2">
      <c r="A751" s="2">
        <v>749</v>
      </c>
      <c r="B751" s="2">
        <f t="shared" ca="1" si="11"/>
        <v>0.71777325790068025</v>
      </c>
      <c r="C751" s="2" t="s">
        <v>227</v>
      </c>
    </row>
    <row r="752" spans="1:3" x14ac:dyDescent="0.2">
      <c r="A752" s="2">
        <v>750</v>
      </c>
      <c r="B752" s="2">
        <f t="shared" ca="1" si="11"/>
        <v>0.34519200010980966</v>
      </c>
      <c r="C752" s="2" t="s">
        <v>226</v>
      </c>
    </row>
    <row r="753" spans="1:3" x14ac:dyDescent="0.2">
      <c r="A753" s="2">
        <v>751</v>
      </c>
      <c r="B753" s="2">
        <f t="shared" ca="1" si="11"/>
        <v>0.76415575974258021</v>
      </c>
      <c r="C753" s="2" t="s">
        <v>227</v>
      </c>
    </row>
    <row r="754" spans="1:3" x14ac:dyDescent="0.2">
      <c r="A754" s="2">
        <v>752</v>
      </c>
      <c r="B754" s="2">
        <f t="shared" ca="1" si="11"/>
        <v>0.67888371430567085</v>
      </c>
      <c r="C754" s="2" t="s">
        <v>227</v>
      </c>
    </row>
    <row r="755" spans="1:3" x14ac:dyDescent="0.2">
      <c r="A755" s="2">
        <v>753</v>
      </c>
      <c r="B755" s="2">
        <f t="shared" ca="1" si="11"/>
        <v>0.6982349665649954</v>
      </c>
      <c r="C755" s="2" t="s">
        <v>227</v>
      </c>
    </row>
    <row r="756" spans="1:3" x14ac:dyDescent="0.2">
      <c r="A756" s="2">
        <v>754</v>
      </c>
      <c r="B756" s="2">
        <f t="shared" ca="1" si="11"/>
        <v>0.81681695149713174</v>
      </c>
      <c r="C756" s="2" t="s">
        <v>227</v>
      </c>
    </row>
    <row r="757" spans="1:3" x14ac:dyDescent="0.2">
      <c r="A757" s="2">
        <v>755</v>
      </c>
      <c r="B757" s="2">
        <f t="shared" ca="1" si="11"/>
        <v>0.71324184867260731</v>
      </c>
      <c r="C757" s="2" t="s">
        <v>226</v>
      </c>
    </row>
    <row r="758" spans="1:3" x14ac:dyDescent="0.2">
      <c r="A758" s="2">
        <v>756</v>
      </c>
      <c r="B758" s="2">
        <f t="shared" ca="1" si="11"/>
        <v>0.70136485021767347</v>
      </c>
      <c r="C758" s="2" t="s">
        <v>227</v>
      </c>
    </row>
    <row r="759" spans="1:3" x14ac:dyDescent="0.2">
      <c r="A759" s="2">
        <v>757</v>
      </c>
      <c r="B759" s="2">
        <f t="shared" ca="1" si="11"/>
        <v>0.77453979802704631</v>
      </c>
      <c r="C759" s="2" t="s">
        <v>227</v>
      </c>
    </row>
    <row r="760" spans="1:3" x14ac:dyDescent="0.2">
      <c r="A760" s="2">
        <v>758</v>
      </c>
      <c r="B760" s="2">
        <f t="shared" ca="1" si="11"/>
        <v>0.84500545658806359</v>
      </c>
      <c r="C760" s="2" t="s">
        <v>227</v>
      </c>
    </row>
    <row r="761" spans="1:3" x14ac:dyDescent="0.2">
      <c r="A761" s="2">
        <v>759</v>
      </c>
      <c r="B761" s="2">
        <f t="shared" ca="1" si="11"/>
        <v>0.72626647407287415</v>
      </c>
      <c r="C761" s="2" t="s">
        <v>226</v>
      </c>
    </row>
    <row r="762" spans="1:3" x14ac:dyDescent="0.2">
      <c r="A762" s="2">
        <v>760</v>
      </c>
      <c r="B762" s="2">
        <f t="shared" ca="1" si="11"/>
        <v>0.72848726112741491</v>
      </c>
      <c r="C762" s="2" t="s">
        <v>227</v>
      </c>
    </row>
    <row r="763" spans="1:3" x14ac:dyDescent="0.2">
      <c r="A763" s="2">
        <v>761</v>
      </c>
      <c r="B763" s="2">
        <f t="shared" ca="1" si="11"/>
        <v>0.40288049827687944</v>
      </c>
      <c r="C763" s="2" t="s">
        <v>226</v>
      </c>
    </row>
    <row r="764" spans="1:3" x14ac:dyDescent="0.2">
      <c r="A764" s="2">
        <v>762</v>
      </c>
      <c r="B764" s="2">
        <f t="shared" ca="1" si="11"/>
        <v>0.60854378095722061</v>
      </c>
      <c r="C764" s="2" t="s">
        <v>226</v>
      </c>
    </row>
    <row r="765" spans="1:3" x14ac:dyDescent="0.2">
      <c r="A765" s="2">
        <v>763</v>
      </c>
      <c r="B765" s="2">
        <f t="shared" ca="1" si="11"/>
        <v>0.89718472479876432</v>
      </c>
      <c r="C765" s="2" t="s">
        <v>226</v>
      </c>
    </row>
    <row r="766" spans="1:3" x14ac:dyDescent="0.2">
      <c r="A766" s="2">
        <v>764</v>
      </c>
      <c r="B766" s="2">
        <f t="shared" ca="1" si="11"/>
        <v>0.73219429499425792</v>
      </c>
      <c r="C766" s="2" t="s">
        <v>226</v>
      </c>
    </row>
    <row r="767" spans="1:3" x14ac:dyDescent="0.2">
      <c r="A767" s="2">
        <v>765</v>
      </c>
      <c r="B767" s="2">
        <f t="shared" ca="1" si="11"/>
        <v>0.81118190582835481</v>
      </c>
      <c r="C767" s="2" t="s">
        <v>226</v>
      </c>
    </row>
    <row r="768" spans="1:3" x14ac:dyDescent="0.2">
      <c r="A768" s="2">
        <v>766</v>
      </c>
      <c r="B768" s="2">
        <f t="shared" ca="1" si="11"/>
        <v>0.37755816036687473</v>
      </c>
      <c r="C768" s="2" t="s">
        <v>226</v>
      </c>
    </row>
    <row r="769" spans="1:3" x14ac:dyDescent="0.2">
      <c r="A769" s="2">
        <v>767</v>
      </c>
      <c r="B769" s="2">
        <f t="shared" ca="1" si="11"/>
        <v>0.62690364289490552</v>
      </c>
      <c r="C769" s="2" t="s">
        <v>227</v>
      </c>
    </row>
    <row r="770" spans="1:3" x14ac:dyDescent="0.2">
      <c r="A770" s="2">
        <v>768</v>
      </c>
      <c r="B770" s="2">
        <f t="shared" ca="1" si="11"/>
        <v>0.65881084289967173</v>
      </c>
      <c r="C770" s="2" t="s">
        <v>227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0.7652403015725735</v>
      </c>
      <c r="C771" s="2" t="s">
        <v>226</v>
      </c>
    </row>
    <row r="772" spans="1:3" x14ac:dyDescent="0.2">
      <c r="A772" s="2">
        <v>770</v>
      </c>
      <c r="B772" s="2">
        <f t="shared" ca="1" si="12"/>
        <v>0.6708055569678617</v>
      </c>
      <c r="C772" s="2" t="s">
        <v>227</v>
      </c>
    </row>
    <row r="773" spans="1:3" x14ac:dyDescent="0.2">
      <c r="A773" s="2">
        <v>771</v>
      </c>
      <c r="B773" s="2">
        <f t="shared" ca="1" si="12"/>
        <v>0.65426270102317252</v>
      </c>
      <c r="C773" s="2" t="s">
        <v>226</v>
      </c>
    </row>
    <row r="774" spans="1:3" x14ac:dyDescent="0.2">
      <c r="A774" s="2">
        <v>772</v>
      </c>
      <c r="B774" s="2">
        <f t="shared" ca="1" si="12"/>
        <v>0.71673920558584769</v>
      </c>
      <c r="C774" s="2" t="s">
        <v>226</v>
      </c>
    </row>
    <row r="775" spans="1:3" x14ac:dyDescent="0.2">
      <c r="A775" s="2">
        <v>773</v>
      </c>
      <c r="B775" s="2">
        <f t="shared" ca="1" si="12"/>
        <v>0.68034486867558597</v>
      </c>
      <c r="C775" s="2" t="s">
        <v>226</v>
      </c>
    </row>
    <row r="776" spans="1:3" x14ac:dyDescent="0.2">
      <c r="A776" s="2">
        <v>774</v>
      </c>
      <c r="B776" s="2">
        <f t="shared" ca="1" si="12"/>
        <v>0.67370063028027072</v>
      </c>
      <c r="C776" s="2" t="s">
        <v>226</v>
      </c>
    </row>
    <row r="777" spans="1:3" x14ac:dyDescent="0.2">
      <c r="A777" s="2">
        <v>775</v>
      </c>
      <c r="B777" s="2">
        <f t="shared" ca="1" si="12"/>
        <v>0.71789147472869985</v>
      </c>
      <c r="C777" s="2" t="s">
        <v>227</v>
      </c>
    </row>
    <row r="778" spans="1:3" x14ac:dyDescent="0.2">
      <c r="A778" s="2">
        <v>776</v>
      </c>
      <c r="B778" s="2">
        <f t="shared" ca="1" si="12"/>
        <v>0.79963352719590319</v>
      </c>
      <c r="C778" s="2" t="s">
        <v>226</v>
      </c>
    </row>
    <row r="779" spans="1:3" x14ac:dyDescent="0.2">
      <c r="A779" s="2">
        <v>777</v>
      </c>
      <c r="B779" s="2">
        <f t="shared" ca="1" si="12"/>
        <v>0.70277004903133156</v>
      </c>
      <c r="C779" s="2" t="s">
        <v>227</v>
      </c>
    </row>
    <row r="780" spans="1:3" x14ac:dyDescent="0.2">
      <c r="A780" s="2">
        <v>778</v>
      </c>
      <c r="B780" s="2">
        <f t="shared" ca="1" si="12"/>
        <v>0.49977478035024003</v>
      </c>
      <c r="C780" s="2" t="s">
        <v>227</v>
      </c>
    </row>
    <row r="781" spans="1:3" x14ac:dyDescent="0.2">
      <c r="A781" s="2">
        <v>779</v>
      </c>
      <c r="B781" s="2">
        <f t="shared" ca="1" si="12"/>
        <v>0.64424121043081828</v>
      </c>
      <c r="C781" s="2" t="s">
        <v>227</v>
      </c>
    </row>
    <row r="782" spans="1:3" x14ac:dyDescent="0.2">
      <c r="A782" s="2">
        <v>780</v>
      </c>
      <c r="B782" s="2">
        <f t="shared" ca="1" si="12"/>
        <v>0.71458470422696296</v>
      </c>
      <c r="C782" s="2" t="s">
        <v>227</v>
      </c>
    </row>
    <row r="783" spans="1:3" x14ac:dyDescent="0.2">
      <c r="A783" s="2">
        <v>781</v>
      </c>
      <c r="B783" s="2">
        <f t="shared" ca="1" si="12"/>
        <v>0.66212012735993142</v>
      </c>
      <c r="C783" s="2" t="s">
        <v>227</v>
      </c>
    </row>
    <row r="784" spans="1:3" x14ac:dyDescent="0.2">
      <c r="A784" s="2">
        <v>782</v>
      </c>
      <c r="B784" s="2">
        <f t="shared" ca="1" si="12"/>
        <v>0.71551557481410477</v>
      </c>
      <c r="C784" s="2" t="s">
        <v>227</v>
      </c>
    </row>
    <row r="785" spans="1:3" x14ac:dyDescent="0.2">
      <c r="A785" s="2">
        <v>783</v>
      </c>
      <c r="B785" s="2">
        <f t="shared" ca="1" si="12"/>
        <v>0.7627621106201089</v>
      </c>
      <c r="C785" s="2" t="s">
        <v>227</v>
      </c>
    </row>
    <row r="786" spans="1:3" x14ac:dyDescent="0.2">
      <c r="A786" s="2">
        <v>784</v>
      </c>
      <c r="B786" s="2">
        <f t="shared" ca="1" si="12"/>
        <v>0.64445416249675191</v>
      </c>
      <c r="C786" s="2" t="s">
        <v>226</v>
      </c>
    </row>
    <row r="787" spans="1:3" x14ac:dyDescent="0.2">
      <c r="A787" s="2">
        <v>785</v>
      </c>
      <c r="B787" s="2">
        <f t="shared" ca="1" si="12"/>
        <v>0.52587244787681076</v>
      </c>
      <c r="C787" s="2" t="s">
        <v>226</v>
      </c>
    </row>
    <row r="788" spans="1:3" x14ac:dyDescent="0.2">
      <c r="A788" s="2">
        <v>786</v>
      </c>
      <c r="B788" s="2">
        <f t="shared" ca="1" si="12"/>
        <v>0.51384607336690258</v>
      </c>
      <c r="C788" s="2" t="s">
        <v>226</v>
      </c>
    </row>
    <row r="789" spans="1:3" x14ac:dyDescent="0.2">
      <c r="A789" s="2">
        <v>787</v>
      </c>
      <c r="B789" s="2">
        <f t="shared" ca="1" si="12"/>
        <v>0.82225703201624012</v>
      </c>
      <c r="C789" s="2" t="s">
        <v>227</v>
      </c>
    </row>
    <row r="790" spans="1:3" x14ac:dyDescent="0.2">
      <c r="A790" s="2">
        <v>788</v>
      </c>
      <c r="B790" s="2">
        <f t="shared" ca="1" si="12"/>
        <v>0.48391158627682701</v>
      </c>
      <c r="C790" s="2" t="s">
        <v>226</v>
      </c>
    </row>
    <row r="791" spans="1:3" x14ac:dyDescent="0.2">
      <c r="A791" s="2">
        <v>789</v>
      </c>
      <c r="B791" s="2">
        <f t="shared" ca="1" si="12"/>
        <v>0.78900148149343752</v>
      </c>
      <c r="C791" s="2" t="s">
        <v>227</v>
      </c>
    </row>
    <row r="792" spans="1:3" x14ac:dyDescent="0.2">
      <c r="A792" s="2">
        <v>790</v>
      </c>
      <c r="B792" s="2">
        <f t="shared" ca="1" si="12"/>
        <v>0.84616071798280279</v>
      </c>
      <c r="C792" s="2" t="s">
        <v>227</v>
      </c>
    </row>
    <row r="793" spans="1:3" x14ac:dyDescent="0.2">
      <c r="A793" s="2">
        <v>791</v>
      </c>
      <c r="B793" s="2">
        <f t="shared" ca="1" si="12"/>
        <v>0.69788355963673276</v>
      </c>
      <c r="C793" s="2" t="s">
        <v>226</v>
      </c>
    </row>
    <row r="794" spans="1:3" x14ac:dyDescent="0.2">
      <c r="A794" s="2">
        <v>792</v>
      </c>
      <c r="B794" s="2">
        <f t="shared" ca="1" si="12"/>
        <v>0.5444681886664372</v>
      </c>
      <c r="C794" s="2" t="s">
        <v>226</v>
      </c>
    </row>
    <row r="795" spans="1:3" x14ac:dyDescent="0.2">
      <c r="A795" s="2">
        <v>793</v>
      </c>
      <c r="B795" s="2">
        <f t="shared" ca="1" si="12"/>
        <v>0.6146662179870952</v>
      </c>
      <c r="C795" s="2" t="s">
        <v>227</v>
      </c>
    </row>
    <row r="796" spans="1:3" x14ac:dyDescent="0.2">
      <c r="A796" s="2">
        <v>794</v>
      </c>
      <c r="B796" s="2">
        <f t="shared" ca="1" si="12"/>
        <v>0.69275085948335269</v>
      </c>
      <c r="C796" s="2" t="s">
        <v>226</v>
      </c>
    </row>
    <row r="797" spans="1:3" x14ac:dyDescent="0.2">
      <c r="A797" s="2">
        <v>795</v>
      </c>
      <c r="B797" s="2">
        <f t="shared" ca="1" si="12"/>
        <v>0.73878325674091083</v>
      </c>
      <c r="C797" s="2" t="s">
        <v>226</v>
      </c>
    </row>
    <row r="798" spans="1:3" x14ac:dyDescent="0.2">
      <c r="A798" s="2">
        <v>796</v>
      </c>
      <c r="B798" s="2">
        <f t="shared" ca="1" si="12"/>
        <v>0.65539862610499677</v>
      </c>
      <c r="C798" s="2" t="s">
        <v>226</v>
      </c>
    </row>
    <row r="799" spans="1:3" x14ac:dyDescent="0.2">
      <c r="A799" s="2">
        <v>797</v>
      </c>
      <c r="B799" s="2">
        <f t="shared" ca="1" si="12"/>
        <v>0.40395272850834096</v>
      </c>
      <c r="C799" s="2" t="s">
        <v>226</v>
      </c>
    </row>
    <row r="800" spans="1:3" x14ac:dyDescent="0.2">
      <c r="A800" s="2">
        <v>798</v>
      </c>
      <c r="B800" s="2">
        <f t="shared" ca="1" si="12"/>
        <v>0.72325057523496838</v>
      </c>
      <c r="C800" s="2" t="s">
        <v>227</v>
      </c>
    </row>
    <row r="801" spans="1:3" x14ac:dyDescent="0.2">
      <c r="A801" s="2">
        <v>799</v>
      </c>
      <c r="B801" s="2">
        <f t="shared" ca="1" si="12"/>
        <v>0.61490155646765066</v>
      </c>
      <c r="C801" s="2" t="s">
        <v>226</v>
      </c>
    </row>
    <row r="802" spans="1:3" x14ac:dyDescent="0.2">
      <c r="A802" s="2">
        <v>800</v>
      </c>
      <c r="B802" s="2">
        <f t="shared" ca="1" si="12"/>
        <v>0.47449835667331924</v>
      </c>
      <c r="C802" s="2" t="s">
        <v>226</v>
      </c>
    </row>
    <row r="803" spans="1:3" x14ac:dyDescent="0.2">
      <c r="A803" s="2">
        <v>801</v>
      </c>
      <c r="B803" s="2">
        <f t="shared" ca="1" si="12"/>
        <v>0.441861733491132</v>
      </c>
      <c r="C803" s="2" t="s">
        <v>226</v>
      </c>
    </row>
    <row r="804" spans="1:3" x14ac:dyDescent="0.2">
      <c r="A804" s="2">
        <v>802</v>
      </c>
      <c r="B804" s="2">
        <f t="shared" ca="1" si="12"/>
        <v>0.66691232176240123</v>
      </c>
      <c r="C804" s="2" t="s">
        <v>226</v>
      </c>
    </row>
    <row r="805" spans="1:3" x14ac:dyDescent="0.2">
      <c r="A805" s="2">
        <v>803</v>
      </c>
      <c r="B805" s="2">
        <f t="shared" ca="1" si="12"/>
        <v>0.68018906844786642</v>
      </c>
      <c r="C805" s="2" t="s">
        <v>227</v>
      </c>
    </row>
    <row r="806" spans="1:3" x14ac:dyDescent="0.2">
      <c r="A806" s="2">
        <v>804</v>
      </c>
      <c r="B806" s="2">
        <f t="shared" ca="1" si="12"/>
        <v>0.4635360840703181</v>
      </c>
      <c r="C806" s="2" t="s">
        <v>226</v>
      </c>
    </row>
    <row r="807" spans="1:3" x14ac:dyDescent="0.2">
      <c r="A807" s="2">
        <v>805</v>
      </c>
      <c r="B807" s="2">
        <f t="shared" ca="1" si="12"/>
        <v>0.7804523596480244</v>
      </c>
      <c r="C807" s="2" t="s">
        <v>227</v>
      </c>
    </row>
    <row r="808" spans="1:3" x14ac:dyDescent="0.2">
      <c r="A808" s="2">
        <v>806</v>
      </c>
      <c r="B808" s="2">
        <f t="shared" ca="1" si="12"/>
        <v>0.73481960974870852</v>
      </c>
      <c r="C808" s="2" t="s">
        <v>226</v>
      </c>
    </row>
    <row r="809" spans="1:3" x14ac:dyDescent="0.2">
      <c r="A809" s="2">
        <v>807</v>
      </c>
      <c r="B809" s="2">
        <f t="shared" ca="1" si="12"/>
        <v>0.71402577529748823</v>
      </c>
      <c r="C809" s="2" t="s">
        <v>227</v>
      </c>
    </row>
    <row r="810" spans="1:3" x14ac:dyDescent="0.2">
      <c r="A810" s="2">
        <v>808</v>
      </c>
      <c r="B810" s="2">
        <f t="shared" ca="1" si="12"/>
        <v>0.77771376857085839</v>
      </c>
      <c r="C810" s="2" t="s">
        <v>227</v>
      </c>
    </row>
    <row r="811" spans="1:3" x14ac:dyDescent="0.2">
      <c r="A811" s="2">
        <v>809</v>
      </c>
      <c r="B811" s="2">
        <f t="shared" ca="1" si="12"/>
        <v>0.6501510876428076</v>
      </c>
      <c r="C811" s="2" t="s">
        <v>227</v>
      </c>
    </row>
    <row r="812" spans="1:3" x14ac:dyDescent="0.2">
      <c r="A812" s="2">
        <v>810</v>
      </c>
      <c r="B812" s="2">
        <f t="shared" ca="1" si="12"/>
        <v>0.63880156403677113</v>
      </c>
      <c r="C812" s="2" t="s">
        <v>227</v>
      </c>
    </row>
    <row r="813" spans="1:3" x14ac:dyDescent="0.2">
      <c r="A813" s="2">
        <v>811</v>
      </c>
      <c r="B813" s="2">
        <f t="shared" ca="1" si="12"/>
        <v>0.6836923055130939</v>
      </c>
      <c r="C813" s="2" t="s">
        <v>226</v>
      </c>
    </row>
    <row r="814" spans="1:3" x14ac:dyDescent="0.2">
      <c r="A814" s="2">
        <v>812</v>
      </c>
      <c r="B814" s="2">
        <f t="shared" ca="1" si="12"/>
        <v>0.50839632076519603</v>
      </c>
      <c r="C814" s="2" t="s">
        <v>227</v>
      </c>
    </row>
    <row r="815" spans="1:3" x14ac:dyDescent="0.2">
      <c r="A815" s="2">
        <v>813</v>
      </c>
      <c r="B815" s="2">
        <f t="shared" ca="1" si="12"/>
        <v>0.68959601268454684</v>
      </c>
      <c r="C815" s="2" t="s">
        <v>227</v>
      </c>
    </row>
    <row r="816" spans="1:3" x14ac:dyDescent="0.2">
      <c r="A816" s="2">
        <v>814</v>
      </c>
      <c r="B816" s="2">
        <f t="shared" ca="1" si="12"/>
        <v>0.80095527329827909</v>
      </c>
      <c r="C816" s="2" t="s">
        <v>226</v>
      </c>
    </row>
    <row r="817" spans="1:3" x14ac:dyDescent="0.2">
      <c r="A817" s="2">
        <v>815</v>
      </c>
      <c r="B817" s="2">
        <f t="shared" ca="1" si="12"/>
        <v>0.78484337202754018</v>
      </c>
      <c r="C817" s="2" t="s">
        <v>226</v>
      </c>
    </row>
    <row r="818" spans="1:3" x14ac:dyDescent="0.2">
      <c r="A818" s="2">
        <v>816</v>
      </c>
      <c r="B818" s="2">
        <f t="shared" ca="1" si="12"/>
        <v>0.27467490599732752</v>
      </c>
      <c r="C818" s="2" t="s">
        <v>226</v>
      </c>
    </row>
    <row r="819" spans="1:3" x14ac:dyDescent="0.2">
      <c r="A819" s="2">
        <v>817</v>
      </c>
      <c r="B819" s="2">
        <f t="shared" ca="1" si="12"/>
        <v>0.76594645477223988</v>
      </c>
      <c r="C819" s="2" t="s">
        <v>226</v>
      </c>
    </row>
    <row r="820" spans="1:3" x14ac:dyDescent="0.2">
      <c r="A820" s="2">
        <v>818</v>
      </c>
      <c r="B820" s="2">
        <f t="shared" ca="1" si="12"/>
        <v>0.82251674420644039</v>
      </c>
      <c r="C820" s="2" t="s">
        <v>226</v>
      </c>
    </row>
    <row r="821" spans="1:3" x14ac:dyDescent="0.2">
      <c r="A821" s="2">
        <v>819</v>
      </c>
      <c r="B821" s="2">
        <f t="shared" ca="1" si="12"/>
        <v>0.50104906279078187</v>
      </c>
      <c r="C821" s="2" t="s">
        <v>226</v>
      </c>
    </row>
    <row r="822" spans="1:3" x14ac:dyDescent="0.2">
      <c r="A822" s="2">
        <v>820</v>
      </c>
      <c r="B822" s="2">
        <f t="shared" ca="1" si="12"/>
        <v>0.54330184418290328</v>
      </c>
      <c r="C822" s="2" t="s">
        <v>226</v>
      </c>
    </row>
    <row r="823" spans="1:3" x14ac:dyDescent="0.2">
      <c r="A823" s="2">
        <v>821</v>
      </c>
      <c r="B823" s="2">
        <f t="shared" ca="1" si="12"/>
        <v>0.68532395140430902</v>
      </c>
      <c r="C823" s="2" t="s">
        <v>227</v>
      </c>
    </row>
    <row r="824" spans="1:3" x14ac:dyDescent="0.2">
      <c r="A824" s="2">
        <v>822</v>
      </c>
      <c r="B824" s="2">
        <f t="shared" ca="1" si="12"/>
        <v>0.58538325185044571</v>
      </c>
      <c r="C824" s="2" t="s">
        <v>226</v>
      </c>
    </row>
    <row r="825" spans="1:3" x14ac:dyDescent="0.2">
      <c r="A825" s="2">
        <v>823</v>
      </c>
      <c r="B825" s="2">
        <f t="shared" ca="1" si="12"/>
        <v>0.74498703979405334</v>
      </c>
      <c r="C825" s="2" t="s">
        <v>227</v>
      </c>
    </row>
    <row r="826" spans="1:3" x14ac:dyDescent="0.2">
      <c r="A826" s="2">
        <v>824</v>
      </c>
      <c r="B826" s="2">
        <f t="shared" ca="1" si="12"/>
        <v>0.77883730867131284</v>
      </c>
      <c r="C826" s="2" t="s">
        <v>227</v>
      </c>
    </row>
    <row r="827" spans="1:3" x14ac:dyDescent="0.2">
      <c r="A827" s="2">
        <v>825</v>
      </c>
      <c r="B827" s="2">
        <f t="shared" ca="1" si="12"/>
        <v>0.77650432443313167</v>
      </c>
      <c r="C827" s="2" t="s">
        <v>227</v>
      </c>
    </row>
    <row r="828" spans="1:3" x14ac:dyDescent="0.2">
      <c r="A828" s="2">
        <v>826</v>
      </c>
      <c r="B828" s="2">
        <f t="shared" ca="1" si="12"/>
        <v>0.58003357268355182</v>
      </c>
      <c r="C828" s="2" t="s">
        <v>226</v>
      </c>
    </row>
    <row r="829" spans="1:3" x14ac:dyDescent="0.2">
      <c r="A829" s="2">
        <v>827</v>
      </c>
      <c r="B829" s="2">
        <f t="shared" ca="1" si="12"/>
        <v>0.43403072311685642</v>
      </c>
      <c r="C829" s="2" t="s">
        <v>226</v>
      </c>
    </row>
    <row r="830" spans="1:3" x14ac:dyDescent="0.2">
      <c r="A830" s="2">
        <v>828</v>
      </c>
      <c r="B830" s="2">
        <f t="shared" ca="1" si="12"/>
        <v>0.57578715583178541</v>
      </c>
      <c r="C830" s="2" t="s">
        <v>226</v>
      </c>
    </row>
    <row r="831" spans="1:3" x14ac:dyDescent="0.2">
      <c r="A831" s="2">
        <v>829</v>
      </c>
      <c r="B831" s="2">
        <f t="shared" ca="1" si="12"/>
        <v>0.79096559940649469</v>
      </c>
      <c r="C831" s="2" t="s">
        <v>227</v>
      </c>
    </row>
    <row r="832" spans="1:3" x14ac:dyDescent="0.2">
      <c r="A832" s="2">
        <v>830</v>
      </c>
      <c r="B832" s="2">
        <f t="shared" ca="1" si="12"/>
        <v>0.45524760336028502</v>
      </c>
      <c r="C832" s="2" t="s">
        <v>226</v>
      </c>
    </row>
    <row r="833" spans="1:3" x14ac:dyDescent="0.2">
      <c r="A833" s="2">
        <v>831</v>
      </c>
      <c r="B833" s="2">
        <f t="shared" ca="1" si="12"/>
        <v>0.54530580200250078</v>
      </c>
      <c r="C833" s="2" t="s">
        <v>226</v>
      </c>
    </row>
    <row r="834" spans="1:3" x14ac:dyDescent="0.2">
      <c r="A834" s="2">
        <v>832</v>
      </c>
      <c r="B834" s="2">
        <f t="shared" ca="1" si="12"/>
        <v>0.34655313893550399</v>
      </c>
      <c r="C834" s="2" t="s">
        <v>226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0.56424162461663563</v>
      </c>
      <c r="C835" s="2" t="s">
        <v>227</v>
      </c>
    </row>
    <row r="836" spans="1:3" x14ac:dyDescent="0.2">
      <c r="A836" s="2">
        <v>834</v>
      </c>
      <c r="B836" s="2">
        <f t="shared" ca="1" si="13"/>
        <v>0.62355410417306589</v>
      </c>
      <c r="C836" s="2" t="s">
        <v>226</v>
      </c>
    </row>
    <row r="837" spans="1:3" x14ac:dyDescent="0.2">
      <c r="A837" s="2">
        <v>835</v>
      </c>
      <c r="B837" s="2">
        <f t="shared" ca="1" si="13"/>
        <v>0.82115672217252056</v>
      </c>
      <c r="C837" s="2" t="s">
        <v>227</v>
      </c>
    </row>
    <row r="838" spans="1:3" x14ac:dyDescent="0.2">
      <c r="A838" s="2">
        <v>836</v>
      </c>
      <c r="B838" s="2">
        <f t="shared" ca="1" si="13"/>
        <v>0.72945671487448982</v>
      </c>
      <c r="C838" s="2" t="s">
        <v>226</v>
      </c>
    </row>
    <row r="839" spans="1:3" x14ac:dyDescent="0.2">
      <c r="A839" s="2">
        <v>837</v>
      </c>
      <c r="B839" s="2">
        <f t="shared" ca="1" si="13"/>
        <v>0.54971938261000175</v>
      </c>
      <c r="C839" s="2" t="s">
        <v>227</v>
      </c>
    </row>
    <row r="840" spans="1:3" x14ac:dyDescent="0.2">
      <c r="A840" s="2">
        <v>838</v>
      </c>
      <c r="B840" s="2">
        <f t="shared" ca="1" si="13"/>
        <v>0.82365123593858836</v>
      </c>
      <c r="C840" s="2" t="s">
        <v>226</v>
      </c>
    </row>
    <row r="841" spans="1:3" x14ac:dyDescent="0.2">
      <c r="A841" s="2">
        <v>839</v>
      </c>
      <c r="B841" s="2">
        <f t="shared" ca="1" si="13"/>
        <v>0.77391574176761335</v>
      </c>
      <c r="C841" s="2" t="s">
        <v>227</v>
      </c>
    </row>
    <row r="842" spans="1:3" x14ac:dyDescent="0.2">
      <c r="A842" s="2">
        <v>840</v>
      </c>
      <c r="B842" s="2">
        <f t="shared" ca="1" si="13"/>
        <v>0.61859230627893114</v>
      </c>
      <c r="C842" s="2" t="s">
        <v>227</v>
      </c>
    </row>
    <row r="843" spans="1:3" x14ac:dyDescent="0.2">
      <c r="A843" s="2">
        <v>841</v>
      </c>
      <c r="B843" s="2">
        <f t="shared" ca="1" si="13"/>
        <v>0.68509838047634852</v>
      </c>
      <c r="C843" s="2" t="s">
        <v>227</v>
      </c>
    </row>
    <row r="844" spans="1:3" x14ac:dyDescent="0.2">
      <c r="A844" s="2">
        <v>842</v>
      </c>
      <c r="B844" s="2">
        <f t="shared" ca="1" si="13"/>
        <v>0.95274238141715473</v>
      </c>
      <c r="C844" s="2" t="s">
        <v>226</v>
      </c>
    </row>
    <row r="845" spans="1:3" x14ac:dyDescent="0.2">
      <c r="A845" s="2">
        <v>843</v>
      </c>
      <c r="B845" s="2">
        <f t="shared" ca="1" si="13"/>
        <v>0.52175632433213437</v>
      </c>
      <c r="C845" s="2" t="s">
        <v>226</v>
      </c>
    </row>
    <row r="846" spans="1:3" x14ac:dyDescent="0.2">
      <c r="A846" s="2">
        <v>844</v>
      </c>
      <c r="B846" s="2">
        <f t="shared" ca="1" si="13"/>
        <v>0.28238226560351087</v>
      </c>
      <c r="C846" s="2" t="s">
        <v>226</v>
      </c>
    </row>
    <row r="847" spans="1:3" x14ac:dyDescent="0.2">
      <c r="A847" s="2">
        <v>845</v>
      </c>
      <c r="B847" s="2">
        <f t="shared" ca="1" si="13"/>
        <v>0.51966207264696329</v>
      </c>
      <c r="C847" s="2" t="s">
        <v>226</v>
      </c>
    </row>
    <row r="848" spans="1:3" x14ac:dyDescent="0.2">
      <c r="A848" s="2">
        <v>846</v>
      </c>
      <c r="B848" s="2">
        <f t="shared" ca="1" si="13"/>
        <v>0.36477401527959497</v>
      </c>
      <c r="C848" s="2" t="s">
        <v>226</v>
      </c>
    </row>
    <row r="849" spans="1:3" x14ac:dyDescent="0.2">
      <c r="A849" s="2">
        <v>847</v>
      </c>
      <c r="B849" s="2">
        <f t="shared" ca="1" si="13"/>
        <v>0.81533830399476226</v>
      </c>
      <c r="C849" s="2" t="s">
        <v>227</v>
      </c>
    </row>
    <row r="850" spans="1:3" x14ac:dyDescent="0.2">
      <c r="A850" s="2">
        <v>848</v>
      </c>
      <c r="B850" s="2">
        <f t="shared" ca="1" si="13"/>
        <v>0.62487613914615725</v>
      </c>
      <c r="C850" s="2" t="s">
        <v>226</v>
      </c>
    </row>
    <row r="851" spans="1:3" x14ac:dyDescent="0.2">
      <c r="A851" s="2">
        <v>849</v>
      </c>
      <c r="B851" s="2">
        <f t="shared" ca="1" si="13"/>
        <v>0.68022014780010909</v>
      </c>
      <c r="C851" s="2" t="s">
        <v>227</v>
      </c>
    </row>
    <row r="852" spans="1:3" x14ac:dyDescent="0.2">
      <c r="A852" s="2">
        <v>850</v>
      </c>
      <c r="B852" s="2">
        <f t="shared" ca="1" si="13"/>
        <v>0.67899635869425623</v>
      </c>
      <c r="C852" s="2" t="s">
        <v>226</v>
      </c>
    </row>
    <row r="853" spans="1:3" x14ac:dyDescent="0.2">
      <c r="A853" s="2">
        <v>851</v>
      </c>
      <c r="B853" s="2">
        <f t="shared" ca="1" si="13"/>
        <v>0.67090284879831363</v>
      </c>
      <c r="C853" s="2" t="s">
        <v>226</v>
      </c>
    </row>
    <row r="854" spans="1:3" x14ac:dyDescent="0.2">
      <c r="A854" s="2">
        <v>852</v>
      </c>
      <c r="B854" s="2">
        <f t="shared" ca="1" si="13"/>
        <v>0.47698238181970254</v>
      </c>
      <c r="C854" s="2" t="s">
        <v>226</v>
      </c>
    </row>
    <row r="855" spans="1:3" x14ac:dyDescent="0.2">
      <c r="A855" s="2">
        <v>853</v>
      </c>
      <c r="B855" s="2">
        <f t="shared" ca="1" si="13"/>
        <v>0.38156588944000436</v>
      </c>
      <c r="C855" s="2" t="s">
        <v>226</v>
      </c>
    </row>
    <row r="856" spans="1:3" x14ac:dyDescent="0.2">
      <c r="A856" s="2">
        <v>854</v>
      </c>
      <c r="B856" s="2">
        <f t="shared" ca="1" si="13"/>
        <v>0.42939616210287213</v>
      </c>
      <c r="C856" s="2" t="s">
        <v>226</v>
      </c>
    </row>
    <row r="857" spans="1:3" x14ac:dyDescent="0.2">
      <c r="A857" s="2">
        <v>855</v>
      </c>
      <c r="B857" s="2">
        <f t="shared" ca="1" si="13"/>
        <v>0.64188780904715204</v>
      </c>
      <c r="C857" s="2" t="s">
        <v>227</v>
      </c>
    </row>
    <row r="858" spans="1:3" x14ac:dyDescent="0.2">
      <c r="A858" s="2">
        <v>856</v>
      </c>
      <c r="B858" s="2">
        <f t="shared" ca="1" si="13"/>
        <v>0.69600418719879509</v>
      </c>
      <c r="C858" s="2" t="s">
        <v>227</v>
      </c>
    </row>
    <row r="859" spans="1:3" x14ac:dyDescent="0.2">
      <c r="A859" s="2">
        <v>857</v>
      </c>
      <c r="B859" s="2">
        <f t="shared" ca="1" si="13"/>
        <v>0.74539475767088392</v>
      </c>
      <c r="C859" s="2" t="s">
        <v>226</v>
      </c>
    </row>
    <row r="860" spans="1:3" x14ac:dyDescent="0.2">
      <c r="A860" s="2">
        <v>858</v>
      </c>
      <c r="B860" s="2">
        <f t="shared" ca="1" si="13"/>
        <v>0.71047777280265723</v>
      </c>
      <c r="C860" s="2" t="s">
        <v>226</v>
      </c>
    </row>
    <row r="861" spans="1:3" x14ac:dyDescent="0.2">
      <c r="A861" s="2">
        <v>859</v>
      </c>
      <c r="B861" s="2">
        <f t="shared" ca="1" si="13"/>
        <v>0.42948893901136587</v>
      </c>
      <c r="C861" s="2" t="s">
        <v>226</v>
      </c>
    </row>
    <row r="862" spans="1:3" x14ac:dyDescent="0.2">
      <c r="A862" s="2">
        <v>860</v>
      </c>
      <c r="B862" s="2">
        <f t="shared" ca="1" si="13"/>
        <v>0.56313788120955754</v>
      </c>
      <c r="C862" s="2" t="s">
        <v>226</v>
      </c>
    </row>
    <row r="863" spans="1:3" x14ac:dyDescent="0.2">
      <c r="A863" s="2">
        <v>861</v>
      </c>
      <c r="B863" s="2">
        <f t="shared" ca="1" si="13"/>
        <v>0.70219735070137901</v>
      </c>
      <c r="C863" s="2" t="s">
        <v>227</v>
      </c>
    </row>
    <row r="864" spans="1:3" x14ac:dyDescent="0.2">
      <c r="A864" s="2">
        <v>862</v>
      </c>
      <c r="B864" s="2">
        <f t="shared" ca="1" si="13"/>
        <v>0.5923829218420249</v>
      </c>
      <c r="C864" s="2" t="s">
        <v>226</v>
      </c>
    </row>
    <row r="865" spans="1:3" x14ac:dyDescent="0.2">
      <c r="A865" s="2">
        <v>863</v>
      </c>
      <c r="B865" s="2">
        <f t="shared" ca="1" si="13"/>
        <v>0.77422601564705529</v>
      </c>
      <c r="C865" s="2" t="s">
        <v>226</v>
      </c>
    </row>
    <row r="866" spans="1:3" x14ac:dyDescent="0.2">
      <c r="A866" s="2">
        <v>864</v>
      </c>
      <c r="B866" s="2">
        <f t="shared" ca="1" si="13"/>
        <v>0.68226446996603252</v>
      </c>
      <c r="C866" s="2" t="s">
        <v>226</v>
      </c>
    </row>
    <row r="867" spans="1:3" x14ac:dyDescent="0.2">
      <c r="A867" s="2">
        <v>865</v>
      </c>
      <c r="B867" s="2">
        <f t="shared" ca="1" si="13"/>
        <v>0.78805291261510479</v>
      </c>
      <c r="C867" s="2" t="s">
        <v>226</v>
      </c>
    </row>
    <row r="868" spans="1:3" x14ac:dyDescent="0.2">
      <c r="A868" s="2">
        <v>866</v>
      </c>
      <c r="B868" s="2">
        <f t="shared" ca="1" si="13"/>
        <v>0.48663937923998518</v>
      </c>
      <c r="C868" s="2" t="s">
        <v>226</v>
      </c>
    </row>
    <row r="869" spans="1:3" x14ac:dyDescent="0.2">
      <c r="A869" s="2">
        <v>867</v>
      </c>
      <c r="B869" s="2">
        <f t="shared" ca="1" si="13"/>
        <v>0.5160415389427635</v>
      </c>
      <c r="C869" s="2" t="s">
        <v>226</v>
      </c>
    </row>
    <row r="870" spans="1:3" x14ac:dyDescent="0.2">
      <c r="A870" s="2">
        <v>868</v>
      </c>
      <c r="B870" s="2">
        <f t="shared" ca="1" si="13"/>
        <v>0.80672139235699447</v>
      </c>
      <c r="C870" s="2" t="s">
        <v>226</v>
      </c>
    </row>
    <row r="871" spans="1:3" x14ac:dyDescent="0.2">
      <c r="A871" s="2">
        <v>869</v>
      </c>
      <c r="B871" s="2">
        <f t="shared" ca="1" si="13"/>
        <v>0.79011802534400011</v>
      </c>
      <c r="C871" s="2" t="s">
        <v>226</v>
      </c>
    </row>
    <row r="872" spans="1:3" x14ac:dyDescent="0.2">
      <c r="A872" s="2">
        <v>870</v>
      </c>
      <c r="B872" s="2">
        <f t="shared" ca="1" si="13"/>
        <v>0.68156382772587765</v>
      </c>
      <c r="C872" s="2" t="s">
        <v>226</v>
      </c>
    </row>
    <row r="873" spans="1:3" x14ac:dyDescent="0.2">
      <c r="A873" s="2">
        <v>871</v>
      </c>
      <c r="B873" s="2">
        <f t="shared" ca="1" si="13"/>
        <v>0.80153967871194121</v>
      </c>
      <c r="C873" s="2" t="s">
        <v>227</v>
      </c>
    </row>
    <row r="874" spans="1:3" x14ac:dyDescent="0.2">
      <c r="A874" s="2">
        <v>872</v>
      </c>
      <c r="B874" s="2">
        <f t="shared" ca="1" si="13"/>
        <v>0.59914804119118059</v>
      </c>
      <c r="C874" s="2" t="s">
        <v>227</v>
      </c>
    </row>
    <row r="875" spans="1:3" x14ac:dyDescent="0.2">
      <c r="A875" s="2">
        <v>873</v>
      </c>
      <c r="B875" s="2">
        <f t="shared" ca="1" si="13"/>
        <v>0.73722361930328373</v>
      </c>
      <c r="C875" s="2" t="s">
        <v>227</v>
      </c>
    </row>
    <row r="876" spans="1:3" x14ac:dyDescent="0.2">
      <c r="A876" s="2">
        <v>874</v>
      </c>
      <c r="B876" s="2">
        <f t="shared" ca="1" si="13"/>
        <v>0.3117543016116433</v>
      </c>
      <c r="C876" s="2" t="s">
        <v>226</v>
      </c>
    </row>
    <row r="877" spans="1:3" x14ac:dyDescent="0.2">
      <c r="A877" s="2">
        <v>875</v>
      </c>
      <c r="B877" s="2">
        <f t="shared" ca="1" si="13"/>
        <v>0.54827953356292181</v>
      </c>
      <c r="C877" s="2" t="s">
        <v>226</v>
      </c>
    </row>
    <row r="878" spans="1:3" x14ac:dyDescent="0.2">
      <c r="A878" s="2">
        <v>876</v>
      </c>
      <c r="B878" s="2">
        <f t="shared" ca="1" si="13"/>
        <v>0.76178997370618495</v>
      </c>
      <c r="C878" s="2" t="s">
        <v>227</v>
      </c>
    </row>
    <row r="879" spans="1:3" x14ac:dyDescent="0.2">
      <c r="A879" s="2">
        <v>877</v>
      </c>
      <c r="B879" s="2">
        <f t="shared" ca="1" si="13"/>
        <v>0.56981813086040378</v>
      </c>
      <c r="C879" s="2" t="s">
        <v>226</v>
      </c>
    </row>
    <row r="880" spans="1:3" x14ac:dyDescent="0.2">
      <c r="A880" s="2">
        <v>878</v>
      </c>
      <c r="B880" s="2">
        <f t="shared" ca="1" si="13"/>
        <v>0.51232268538854997</v>
      </c>
      <c r="C880" s="2" t="s">
        <v>226</v>
      </c>
    </row>
    <row r="881" spans="1:3" x14ac:dyDescent="0.2">
      <c r="A881" s="2">
        <v>879</v>
      </c>
      <c r="B881" s="2">
        <f t="shared" ca="1" si="13"/>
        <v>0.58668705758386352</v>
      </c>
      <c r="C881" s="2" t="s">
        <v>227</v>
      </c>
    </row>
    <row r="882" spans="1:3" x14ac:dyDescent="0.2">
      <c r="A882" s="2">
        <v>880</v>
      </c>
      <c r="B882" s="2">
        <f t="shared" ca="1" si="13"/>
        <v>0.57160561421088096</v>
      </c>
      <c r="C882" s="2" t="s">
        <v>227</v>
      </c>
    </row>
    <row r="883" spans="1:3" x14ac:dyDescent="0.2">
      <c r="A883" s="2">
        <v>881</v>
      </c>
      <c r="B883" s="2">
        <f t="shared" ca="1" si="13"/>
        <v>0.70639829449019886</v>
      </c>
      <c r="C883" s="2" t="s">
        <v>227</v>
      </c>
    </row>
    <row r="884" spans="1:3" x14ac:dyDescent="0.2">
      <c r="A884" s="2">
        <v>882</v>
      </c>
      <c r="B884" s="2">
        <f t="shared" ca="1" si="13"/>
        <v>0.84379925719808258</v>
      </c>
      <c r="C884" s="2" t="s">
        <v>227</v>
      </c>
    </row>
    <row r="885" spans="1:3" x14ac:dyDescent="0.2">
      <c r="A885" s="2">
        <v>883</v>
      </c>
      <c r="B885" s="2">
        <f t="shared" ca="1" si="13"/>
        <v>0.35756404822978205</v>
      </c>
      <c r="C885" s="2" t="s">
        <v>226</v>
      </c>
    </row>
    <row r="886" spans="1:3" x14ac:dyDescent="0.2">
      <c r="A886" s="2">
        <v>884</v>
      </c>
      <c r="B886" s="2">
        <f t="shared" ca="1" si="13"/>
        <v>0.47175644987734827</v>
      </c>
      <c r="C886" s="2" t="s">
        <v>226</v>
      </c>
    </row>
    <row r="887" spans="1:3" x14ac:dyDescent="0.2">
      <c r="A887" s="2">
        <v>885</v>
      </c>
      <c r="B887" s="2">
        <f t="shared" ca="1" si="13"/>
        <v>0.83965961442585968</v>
      </c>
      <c r="C887" s="2" t="s">
        <v>226</v>
      </c>
    </row>
    <row r="888" spans="1:3" x14ac:dyDescent="0.2">
      <c r="A888" s="2">
        <v>886</v>
      </c>
      <c r="B888" s="2">
        <f t="shared" ca="1" si="13"/>
        <v>0.74113899404498818</v>
      </c>
      <c r="C888" s="2" t="s">
        <v>227</v>
      </c>
    </row>
    <row r="889" spans="1:3" x14ac:dyDescent="0.2">
      <c r="A889" s="2">
        <v>887</v>
      </c>
      <c r="B889" s="2">
        <f t="shared" ca="1" si="13"/>
        <v>0.60053075753519802</v>
      </c>
      <c r="C889" s="2" t="s">
        <v>227</v>
      </c>
    </row>
    <row r="890" spans="1:3" x14ac:dyDescent="0.2">
      <c r="A890" s="2">
        <v>888</v>
      </c>
      <c r="B890" s="2">
        <f t="shared" ca="1" si="13"/>
        <v>0.68980782994582923</v>
      </c>
      <c r="C890" s="2" t="s">
        <v>227</v>
      </c>
    </row>
    <row r="891" spans="1:3" x14ac:dyDescent="0.2">
      <c r="A891" s="2">
        <v>889</v>
      </c>
      <c r="B891" s="2">
        <f t="shared" ca="1" si="13"/>
        <v>0.38778735951677246</v>
      </c>
      <c r="C891" s="2" t="s">
        <v>226</v>
      </c>
    </row>
    <row r="892" spans="1:3" x14ac:dyDescent="0.2">
      <c r="A892" s="2">
        <v>890</v>
      </c>
      <c r="B892" s="2">
        <f t="shared" ca="1" si="13"/>
        <v>0.49245616426900746</v>
      </c>
      <c r="C892" s="2" t="s">
        <v>226</v>
      </c>
    </row>
    <row r="893" spans="1:3" x14ac:dyDescent="0.2">
      <c r="A893" s="2">
        <v>891</v>
      </c>
      <c r="B893" s="2">
        <f t="shared" ca="1" si="13"/>
        <v>0.92665937326116876</v>
      </c>
      <c r="C893" s="2" t="s">
        <v>226</v>
      </c>
    </row>
    <row r="894" spans="1:3" x14ac:dyDescent="0.2">
      <c r="A894" s="2">
        <v>892</v>
      </c>
      <c r="B894" s="2">
        <f t="shared" ca="1" si="13"/>
        <v>0.95300754624500295</v>
      </c>
      <c r="C894" s="2" t="s">
        <v>227</v>
      </c>
    </row>
    <row r="895" spans="1:3" x14ac:dyDescent="0.2">
      <c r="A895" s="2">
        <v>893</v>
      </c>
      <c r="B895" s="2">
        <f t="shared" ca="1" si="13"/>
        <v>0.81153635681009495</v>
      </c>
      <c r="C895" s="2" t="s">
        <v>226</v>
      </c>
    </row>
    <row r="896" spans="1:3" x14ac:dyDescent="0.2">
      <c r="A896" s="2">
        <v>894</v>
      </c>
      <c r="B896" s="2">
        <f t="shared" ca="1" si="13"/>
        <v>0.78288979172953421</v>
      </c>
      <c r="C896" s="2" t="s">
        <v>227</v>
      </c>
    </row>
    <row r="897" spans="1:3" x14ac:dyDescent="0.2">
      <c r="A897" s="2">
        <v>895</v>
      </c>
      <c r="B897" s="2">
        <f t="shared" ca="1" si="13"/>
        <v>0.65761865332122438</v>
      </c>
      <c r="C897" s="2" t="s">
        <v>226</v>
      </c>
    </row>
    <row r="898" spans="1:3" x14ac:dyDescent="0.2">
      <c r="A898" s="2">
        <v>896</v>
      </c>
      <c r="B898" s="2">
        <f t="shared" ca="1" si="13"/>
        <v>0.59466187596915832</v>
      </c>
      <c r="C898" s="2" t="s">
        <v>227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0.66354353673449107</v>
      </c>
      <c r="C899" s="2" t="s">
        <v>227</v>
      </c>
    </row>
    <row r="900" spans="1:3" x14ac:dyDescent="0.2">
      <c r="A900" s="2">
        <v>898</v>
      </c>
      <c r="B900" s="2">
        <f t="shared" ca="1" si="14"/>
        <v>0.70007904834165868</v>
      </c>
      <c r="C900" s="2" t="s">
        <v>227</v>
      </c>
    </row>
    <row r="901" spans="1:3" x14ac:dyDescent="0.2">
      <c r="A901" s="2">
        <v>899</v>
      </c>
      <c r="B901" s="2">
        <f t="shared" ca="1" si="14"/>
        <v>0.66408055846225711</v>
      </c>
      <c r="C901" s="2" t="s">
        <v>226</v>
      </c>
    </row>
    <row r="902" spans="1:3" x14ac:dyDescent="0.2">
      <c r="A902" s="2">
        <v>900</v>
      </c>
      <c r="B902" s="2">
        <f t="shared" ca="1" si="14"/>
        <v>0.75628587026476046</v>
      </c>
      <c r="C902" s="2" t="s">
        <v>227</v>
      </c>
    </row>
    <row r="903" spans="1:3" x14ac:dyDescent="0.2">
      <c r="A903" s="2">
        <v>901</v>
      </c>
      <c r="B903" s="2">
        <f t="shared" ca="1" si="14"/>
        <v>0.69847610961580187</v>
      </c>
      <c r="C903" s="2" t="s">
        <v>227</v>
      </c>
    </row>
    <row r="904" spans="1:3" x14ac:dyDescent="0.2">
      <c r="A904" s="2">
        <v>902</v>
      </c>
      <c r="B904" s="2">
        <f t="shared" ca="1" si="14"/>
        <v>0.73282024762562248</v>
      </c>
      <c r="C904" s="2" t="s">
        <v>227</v>
      </c>
    </row>
    <row r="905" spans="1:3" x14ac:dyDescent="0.2">
      <c r="A905" s="2">
        <v>903</v>
      </c>
      <c r="B905" s="2">
        <f t="shared" ca="1" si="14"/>
        <v>0.59164673580802141</v>
      </c>
      <c r="C905" s="2" t="s">
        <v>227</v>
      </c>
    </row>
    <row r="906" spans="1:3" x14ac:dyDescent="0.2">
      <c r="A906" s="2">
        <v>904</v>
      </c>
      <c r="B906" s="2">
        <f t="shared" ca="1" si="14"/>
        <v>0.59335728173386892</v>
      </c>
      <c r="C906" s="2" t="s">
        <v>227</v>
      </c>
    </row>
    <row r="907" spans="1:3" x14ac:dyDescent="0.2">
      <c r="A907" s="2">
        <v>905</v>
      </c>
      <c r="B907" s="2">
        <f t="shared" ca="1" si="14"/>
        <v>0.70369887210239435</v>
      </c>
      <c r="C907" s="2" t="s">
        <v>226</v>
      </c>
    </row>
    <row r="908" spans="1:3" x14ac:dyDescent="0.2">
      <c r="A908" s="2">
        <v>906</v>
      </c>
      <c r="B908" s="2">
        <f t="shared" ca="1" si="14"/>
        <v>0.48590057230226524</v>
      </c>
      <c r="C908" s="2" t="s">
        <v>226</v>
      </c>
    </row>
    <row r="909" spans="1:3" x14ac:dyDescent="0.2">
      <c r="A909" s="2">
        <v>907</v>
      </c>
      <c r="B909" s="2">
        <f t="shared" ca="1" si="14"/>
        <v>0.56837138584150504</v>
      </c>
      <c r="C909" s="2" t="s">
        <v>226</v>
      </c>
    </row>
    <row r="910" spans="1:3" x14ac:dyDescent="0.2">
      <c r="A910" s="2">
        <v>908</v>
      </c>
      <c r="B910" s="2">
        <f t="shared" ca="1" si="14"/>
        <v>0.64392595137117736</v>
      </c>
      <c r="C910" s="2" t="s">
        <v>226</v>
      </c>
    </row>
    <row r="911" spans="1:3" x14ac:dyDescent="0.2">
      <c r="A911" s="2">
        <v>909</v>
      </c>
      <c r="B911" s="2">
        <f t="shared" ca="1" si="14"/>
        <v>1.1558841226062055</v>
      </c>
      <c r="C911" s="2" t="s">
        <v>226</v>
      </c>
    </row>
    <row r="912" spans="1:3" x14ac:dyDescent="0.2">
      <c r="A912" s="2">
        <v>910</v>
      </c>
      <c r="B912" s="2">
        <f t="shared" ca="1" si="14"/>
        <v>0.72291054246918174</v>
      </c>
      <c r="C912" s="2" t="s">
        <v>227</v>
      </c>
    </row>
    <row r="913" spans="1:3" x14ac:dyDescent="0.2">
      <c r="A913" s="2">
        <v>911</v>
      </c>
      <c r="B913" s="2">
        <f t="shared" ca="1" si="14"/>
        <v>0.67005997178758903</v>
      </c>
      <c r="C913" s="2" t="s">
        <v>226</v>
      </c>
    </row>
    <row r="914" spans="1:3" x14ac:dyDescent="0.2">
      <c r="A914" s="2">
        <v>912</v>
      </c>
      <c r="B914" s="2">
        <f t="shared" ca="1" si="14"/>
        <v>0.25608749957583732</v>
      </c>
      <c r="C914" s="2" t="s">
        <v>226</v>
      </c>
    </row>
    <row r="915" spans="1:3" x14ac:dyDescent="0.2">
      <c r="A915" s="2">
        <v>913</v>
      </c>
      <c r="B915" s="2">
        <f t="shared" ca="1" si="14"/>
        <v>0.69808521508377808</v>
      </c>
      <c r="C915" s="2" t="s">
        <v>226</v>
      </c>
    </row>
    <row r="916" spans="1:3" x14ac:dyDescent="0.2">
      <c r="A916" s="2">
        <v>914</v>
      </c>
      <c r="B916" s="2">
        <f t="shared" ca="1" si="14"/>
        <v>0.86834768151320385</v>
      </c>
      <c r="C916" s="2" t="s">
        <v>227</v>
      </c>
    </row>
    <row r="917" spans="1:3" x14ac:dyDescent="0.2">
      <c r="A917" s="2">
        <v>915</v>
      </c>
      <c r="B917" s="2">
        <f t="shared" ca="1" si="14"/>
        <v>0.51283057996256454</v>
      </c>
      <c r="C917" s="2" t="s">
        <v>226</v>
      </c>
    </row>
    <row r="918" spans="1:3" x14ac:dyDescent="0.2">
      <c r="A918" s="2">
        <v>916</v>
      </c>
      <c r="B918" s="2">
        <f t="shared" ca="1" si="14"/>
        <v>0.66091625849473346</v>
      </c>
      <c r="C918" s="2" t="s">
        <v>227</v>
      </c>
    </row>
    <row r="919" spans="1:3" x14ac:dyDescent="0.2">
      <c r="A919" s="2">
        <v>917</v>
      </c>
      <c r="B919" s="2">
        <f t="shared" ca="1" si="14"/>
        <v>0.52200284367000227</v>
      </c>
      <c r="C919" s="2" t="s">
        <v>226</v>
      </c>
    </row>
    <row r="920" spans="1:3" x14ac:dyDescent="0.2">
      <c r="A920" s="2">
        <v>918</v>
      </c>
      <c r="B920" s="2">
        <f t="shared" ca="1" si="14"/>
        <v>0.71469716533980587</v>
      </c>
      <c r="C920" s="2" t="s">
        <v>227</v>
      </c>
    </row>
    <row r="921" spans="1:3" x14ac:dyDescent="0.2">
      <c r="A921" s="2">
        <v>919</v>
      </c>
      <c r="B921" s="2">
        <f t="shared" ca="1" si="14"/>
        <v>0.68625643688543392</v>
      </c>
      <c r="C921" s="2" t="s">
        <v>226</v>
      </c>
    </row>
    <row r="922" spans="1:3" x14ac:dyDescent="0.2">
      <c r="A922" s="2">
        <v>920</v>
      </c>
      <c r="B922" s="2">
        <f t="shared" ca="1" si="14"/>
        <v>0.73891388960417537</v>
      </c>
      <c r="C922" s="2" t="s">
        <v>227</v>
      </c>
    </row>
    <row r="923" spans="1:3" x14ac:dyDescent="0.2">
      <c r="A923" s="2">
        <v>921</v>
      </c>
      <c r="B923" s="2">
        <f t="shared" ca="1" si="14"/>
        <v>0.65170941216532363</v>
      </c>
      <c r="C923" s="2" t="s">
        <v>227</v>
      </c>
    </row>
    <row r="924" spans="1:3" x14ac:dyDescent="0.2">
      <c r="A924" s="2">
        <v>922</v>
      </c>
      <c r="B924" s="2">
        <f t="shared" ca="1" si="14"/>
        <v>0.72543884525467439</v>
      </c>
      <c r="C924" s="2" t="s">
        <v>226</v>
      </c>
    </row>
    <row r="925" spans="1:3" x14ac:dyDescent="0.2">
      <c r="A925" s="2">
        <v>923</v>
      </c>
      <c r="B925" s="2">
        <f t="shared" ca="1" si="14"/>
        <v>0.46437925978072475</v>
      </c>
      <c r="C925" s="2" t="s">
        <v>226</v>
      </c>
    </row>
    <row r="926" spans="1:3" x14ac:dyDescent="0.2">
      <c r="A926" s="2">
        <v>924</v>
      </c>
      <c r="B926" s="2">
        <f t="shared" ca="1" si="14"/>
        <v>0.58744993597704154</v>
      </c>
      <c r="C926" s="2" t="s">
        <v>226</v>
      </c>
    </row>
    <row r="927" spans="1:3" x14ac:dyDescent="0.2">
      <c r="A927" s="2">
        <v>925</v>
      </c>
      <c r="B927" s="2">
        <f t="shared" ca="1" si="14"/>
        <v>0.76038017297718086</v>
      </c>
      <c r="C927" s="2" t="s">
        <v>227</v>
      </c>
    </row>
    <row r="928" spans="1:3" x14ac:dyDescent="0.2">
      <c r="A928" s="2">
        <v>926</v>
      </c>
      <c r="B928" s="2">
        <f t="shared" ca="1" si="14"/>
        <v>0.82563547261960357</v>
      </c>
      <c r="C928" s="2" t="s">
        <v>227</v>
      </c>
    </row>
    <row r="929" spans="1:3" x14ac:dyDescent="0.2">
      <c r="A929" s="2">
        <v>927</v>
      </c>
      <c r="B929" s="2">
        <f t="shared" ca="1" si="14"/>
        <v>0.66629139585881503</v>
      </c>
      <c r="C929" s="2" t="s">
        <v>227</v>
      </c>
    </row>
    <row r="930" spans="1:3" x14ac:dyDescent="0.2">
      <c r="A930" s="2">
        <v>928</v>
      </c>
      <c r="B930" s="2">
        <f t="shared" ca="1" si="14"/>
        <v>0.70129282805641169</v>
      </c>
      <c r="C930" s="2" t="s">
        <v>227</v>
      </c>
    </row>
    <row r="931" spans="1:3" x14ac:dyDescent="0.2">
      <c r="A931" s="2">
        <v>929</v>
      </c>
      <c r="B931" s="2">
        <f t="shared" ca="1" si="14"/>
        <v>0.59422414617076058</v>
      </c>
      <c r="C931" s="2" t="s">
        <v>227</v>
      </c>
    </row>
    <row r="932" spans="1:3" x14ac:dyDescent="0.2">
      <c r="A932" s="2">
        <v>930</v>
      </c>
      <c r="B932" s="2">
        <f t="shared" ca="1" si="14"/>
        <v>0.75418637480516848</v>
      </c>
      <c r="C932" s="2" t="s">
        <v>227</v>
      </c>
    </row>
    <row r="933" spans="1:3" x14ac:dyDescent="0.2">
      <c r="A933" s="2">
        <v>931</v>
      </c>
      <c r="B933" s="2">
        <f t="shared" ca="1" si="14"/>
        <v>0.85671125297868245</v>
      </c>
      <c r="C933" s="2" t="s">
        <v>226</v>
      </c>
    </row>
    <row r="934" spans="1:3" x14ac:dyDescent="0.2">
      <c r="A934" s="2">
        <v>932</v>
      </c>
      <c r="B934" s="2">
        <f t="shared" ca="1" si="14"/>
        <v>0.64918748514248059</v>
      </c>
      <c r="C934" s="2" t="s">
        <v>227</v>
      </c>
    </row>
    <row r="935" spans="1:3" x14ac:dyDescent="0.2">
      <c r="A935" s="2">
        <v>933</v>
      </c>
      <c r="B935" s="2">
        <f t="shared" ca="1" si="14"/>
        <v>0.34537726220888926</v>
      </c>
      <c r="C935" s="2" t="s">
        <v>226</v>
      </c>
    </row>
    <row r="936" spans="1:3" x14ac:dyDescent="0.2">
      <c r="A936" s="2">
        <v>934</v>
      </c>
      <c r="B936" s="2">
        <f t="shared" ca="1" si="14"/>
        <v>0.91843096015110925</v>
      </c>
      <c r="C936" s="2" t="s">
        <v>227</v>
      </c>
    </row>
    <row r="937" spans="1:3" x14ac:dyDescent="0.2">
      <c r="A937" s="2">
        <v>935</v>
      </c>
      <c r="B937" s="2">
        <f t="shared" ca="1" si="14"/>
        <v>0.66311944869981287</v>
      </c>
      <c r="C937" s="2" t="s">
        <v>227</v>
      </c>
    </row>
    <row r="938" spans="1:3" x14ac:dyDescent="0.2">
      <c r="A938" s="2">
        <v>936</v>
      </c>
      <c r="B938" s="2">
        <f t="shared" ca="1" si="14"/>
        <v>0.63447320040411304</v>
      </c>
      <c r="C938" s="2" t="s">
        <v>226</v>
      </c>
    </row>
    <row r="939" spans="1:3" x14ac:dyDescent="0.2">
      <c r="A939" s="2">
        <v>937</v>
      </c>
      <c r="B939" s="2">
        <f t="shared" ca="1" si="14"/>
        <v>0.5994633978863233</v>
      </c>
      <c r="C939" s="2" t="s">
        <v>226</v>
      </c>
    </row>
    <row r="940" spans="1:3" x14ac:dyDescent="0.2">
      <c r="A940" s="2">
        <v>938</v>
      </c>
      <c r="B940" s="2">
        <f t="shared" ca="1" si="14"/>
        <v>0.6860404483341177</v>
      </c>
      <c r="C940" s="2" t="s">
        <v>227</v>
      </c>
    </row>
    <row r="941" spans="1:3" x14ac:dyDescent="0.2">
      <c r="A941" s="2">
        <v>939</v>
      </c>
      <c r="B941" s="2">
        <f t="shared" ca="1" si="14"/>
        <v>0.65728201831984279</v>
      </c>
      <c r="C941" s="2" t="s">
        <v>227</v>
      </c>
    </row>
    <row r="942" spans="1:3" x14ac:dyDescent="0.2">
      <c r="A942" s="2">
        <v>940</v>
      </c>
      <c r="B942" s="2">
        <f t="shared" ca="1" si="14"/>
        <v>0.8291005046869272</v>
      </c>
      <c r="C942" s="2" t="s">
        <v>226</v>
      </c>
    </row>
    <row r="943" spans="1:3" x14ac:dyDescent="0.2">
      <c r="A943" s="2">
        <v>941</v>
      </c>
      <c r="B943" s="2">
        <f t="shared" ca="1" si="14"/>
        <v>0.71796699967923905</v>
      </c>
      <c r="C943" s="2" t="s">
        <v>226</v>
      </c>
    </row>
    <row r="944" spans="1:3" x14ac:dyDescent="0.2">
      <c r="A944" s="2">
        <v>942</v>
      </c>
      <c r="B944" s="2">
        <f t="shared" ca="1" si="14"/>
        <v>0.61309471153075956</v>
      </c>
      <c r="C944" s="2" t="s">
        <v>226</v>
      </c>
    </row>
    <row r="945" spans="1:3" x14ac:dyDescent="0.2">
      <c r="A945" s="2">
        <v>943</v>
      </c>
      <c r="B945" s="2">
        <f t="shared" ca="1" si="14"/>
        <v>0.56744765979499834</v>
      </c>
      <c r="C945" s="2" t="s">
        <v>226</v>
      </c>
    </row>
    <row r="946" spans="1:3" x14ac:dyDescent="0.2">
      <c r="A946" s="2">
        <v>944</v>
      </c>
      <c r="B946" s="2">
        <f t="shared" ca="1" si="14"/>
        <v>0.69902731363297099</v>
      </c>
      <c r="C946" s="2" t="s">
        <v>226</v>
      </c>
    </row>
    <row r="947" spans="1:3" x14ac:dyDescent="0.2">
      <c r="A947" s="2">
        <v>945</v>
      </c>
      <c r="B947" s="2">
        <f t="shared" ca="1" si="14"/>
        <v>0.58046035930510032</v>
      </c>
      <c r="C947" s="2" t="s">
        <v>227</v>
      </c>
    </row>
    <row r="948" spans="1:3" x14ac:dyDescent="0.2">
      <c r="A948" s="2">
        <v>946</v>
      </c>
      <c r="B948" s="2">
        <f t="shared" ca="1" si="14"/>
        <v>0.40347293172973753</v>
      </c>
      <c r="C948" s="2" t="s">
        <v>226</v>
      </c>
    </row>
    <row r="949" spans="1:3" x14ac:dyDescent="0.2">
      <c r="A949" s="2">
        <v>947</v>
      </c>
      <c r="B949" s="2">
        <f t="shared" ca="1" si="14"/>
        <v>0.7427873457213866</v>
      </c>
      <c r="C949" s="2" t="s">
        <v>227</v>
      </c>
    </row>
    <row r="950" spans="1:3" x14ac:dyDescent="0.2">
      <c r="A950" s="2">
        <v>948</v>
      </c>
      <c r="B950" s="2">
        <f t="shared" ca="1" si="14"/>
        <v>0.77274241592495541</v>
      </c>
      <c r="C950" s="2" t="s">
        <v>226</v>
      </c>
    </row>
    <row r="951" spans="1:3" x14ac:dyDescent="0.2">
      <c r="A951" s="2">
        <v>949</v>
      </c>
      <c r="B951" s="2">
        <f t="shared" ca="1" si="14"/>
        <v>0.68735733290597978</v>
      </c>
      <c r="C951" s="2" t="s">
        <v>227</v>
      </c>
    </row>
    <row r="952" spans="1:3" x14ac:dyDescent="0.2">
      <c r="A952" s="2">
        <v>950</v>
      </c>
      <c r="B952" s="2">
        <f t="shared" ca="1" si="14"/>
        <v>0.8420243818119495</v>
      </c>
      <c r="C952" s="2" t="s">
        <v>227</v>
      </c>
    </row>
    <row r="953" spans="1:3" x14ac:dyDescent="0.2">
      <c r="A953" s="2">
        <v>951</v>
      </c>
      <c r="B953" s="2">
        <f t="shared" ca="1" si="14"/>
        <v>0.61398569077003651</v>
      </c>
      <c r="C953" s="2" t="s">
        <v>226</v>
      </c>
    </row>
    <row r="954" spans="1:3" x14ac:dyDescent="0.2">
      <c r="A954" s="2">
        <v>952</v>
      </c>
      <c r="B954" s="2">
        <f t="shared" ca="1" si="14"/>
        <v>0.46013756155938096</v>
      </c>
      <c r="C954" s="2" t="s">
        <v>226</v>
      </c>
    </row>
    <row r="955" spans="1:3" x14ac:dyDescent="0.2">
      <c r="A955" s="2">
        <v>953</v>
      </c>
      <c r="B955" s="2">
        <f t="shared" ca="1" si="14"/>
        <v>0.49625160571231558</v>
      </c>
      <c r="C955" s="2" t="s">
        <v>227</v>
      </c>
    </row>
    <row r="956" spans="1:3" x14ac:dyDescent="0.2">
      <c r="A956" s="2">
        <v>954</v>
      </c>
      <c r="B956" s="2">
        <f t="shared" ca="1" si="14"/>
        <v>0.67788383145711351</v>
      </c>
      <c r="C956" s="2" t="s">
        <v>226</v>
      </c>
    </row>
    <row r="957" spans="1:3" x14ac:dyDescent="0.2">
      <c r="A957" s="2">
        <v>955</v>
      </c>
      <c r="B957" s="2">
        <f t="shared" ca="1" si="14"/>
        <v>0.76027223625519535</v>
      </c>
      <c r="C957" s="2" t="s">
        <v>227</v>
      </c>
    </row>
    <row r="958" spans="1:3" x14ac:dyDescent="0.2">
      <c r="A958" s="2">
        <v>956</v>
      </c>
      <c r="B958" s="2">
        <f t="shared" ca="1" si="14"/>
        <v>0.81986615784337302</v>
      </c>
      <c r="C958" s="2" t="s">
        <v>227</v>
      </c>
    </row>
    <row r="959" spans="1:3" x14ac:dyDescent="0.2">
      <c r="A959" s="2">
        <v>957</v>
      </c>
      <c r="B959" s="2">
        <f t="shared" ca="1" si="14"/>
        <v>0.33447032663795023</v>
      </c>
      <c r="C959" s="2" t="s">
        <v>226</v>
      </c>
    </row>
    <row r="960" spans="1:3" x14ac:dyDescent="0.2">
      <c r="A960" s="2">
        <v>958</v>
      </c>
      <c r="B960" s="2">
        <f t="shared" ca="1" si="14"/>
        <v>0.86573396324862717</v>
      </c>
      <c r="C960" s="2" t="s">
        <v>227</v>
      </c>
    </row>
    <row r="961" spans="1:3" x14ac:dyDescent="0.2">
      <c r="A961" s="2">
        <v>959</v>
      </c>
      <c r="B961" s="2">
        <f t="shared" ca="1" si="14"/>
        <v>0.47780911268692977</v>
      </c>
      <c r="C961" s="2" t="s">
        <v>226</v>
      </c>
    </row>
    <row r="962" spans="1:3" x14ac:dyDescent="0.2">
      <c r="A962" s="2">
        <v>960</v>
      </c>
      <c r="B962" s="2">
        <f t="shared" ca="1" si="14"/>
        <v>0.78522780421209482</v>
      </c>
      <c r="C962" s="2" t="s">
        <v>226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0.7053319342564105</v>
      </c>
      <c r="C963" s="2" t="s">
        <v>227</v>
      </c>
    </row>
    <row r="964" spans="1:3" x14ac:dyDescent="0.2">
      <c r="A964" s="2">
        <v>962</v>
      </c>
      <c r="B964" s="2">
        <f t="shared" ca="1" si="15"/>
        <v>0.62132212886134419</v>
      </c>
      <c r="C964" s="2" t="s">
        <v>227</v>
      </c>
    </row>
    <row r="965" spans="1:3" x14ac:dyDescent="0.2">
      <c r="A965" s="2">
        <v>963</v>
      </c>
      <c r="B965" s="2">
        <f t="shared" ca="1" si="15"/>
        <v>0.65180588742706802</v>
      </c>
      <c r="C965" s="2" t="s">
        <v>227</v>
      </c>
    </row>
    <row r="966" spans="1:3" x14ac:dyDescent="0.2">
      <c r="A966" s="2">
        <v>964</v>
      </c>
      <c r="B966" s="2">
        <f t="shared" ca="1" si="15"/>
        <v>0.71679503091480024</v>
      </c>
      <c r="C966" s="2" t="s">
        <v>227</v>
      </c>
    </row>
    <row r="967" spans="1:3" x14ac:dyDescent="0.2">
      <c r="A967" s="2">
        <v>965</v>
      </c>
      <c r="B967" s="2">
        <f t="shared" ca="1" si="15"/>
        <v>0.49307648755566047</v>
      </c>
      <c r="C967" s="2" t="s">
        <v>227</v>
      </c>
    </row>
    <row r="968" spans="1:3" x14ac:dyDescent="0.2">
      <c r="A968" s="2">
        <v>966</v>
      </c>
      <c r="B968" s="2">
        <f t="shared" ca="1" si="15"/>
        <v>0.73440997196347368</v>
      </c>
      <c r="C968" s="2" t="s">
        <v>227</v>
      </c>
    </row>
    <row r="969" spans="1:3" x14ac:dyDescent="0.2">
      <c r="A969" s="2">
        <v>967</v>
      </c>
      <c r="B969" s="2">
        <f t="shared" ca="1" si="15"/>
        <v>0.90373645286268345</v>
      </c>
      <c r="C969" s="2" t="s">
        <v>227</v>
      </c>
    </row>
    <row r="970" spans="1:3" x14ac:dyDescent="0.2">
      <c r="A970" s="2">
        <v>968</v>
      </c>
      <c r="B970" s="2">
        <f t="shared" ca="1" si="15"/>
        <v>0.59540349916563295</v>
      </c>
      <c r="C970" s="2" t="s">
        <v>227</v>
      </c>
    </row>
    <row r="971" spans="1:3" x14ac:dyDescent="0.2">
      <c r="A971" s="2">
        <v>969</v>
      </c>
      <c r="B971" s="2">
        <f t="shared" ca="1" si="15"/>
        <v>0.90782394363769559</v>
      </c>
      <c r="C971" s="2" t="s">
        <v>226</v>
      </c>
    </row>
    <row r="972" spans="1:3" x14ac:dyDescent="0.2">
      <c r="A972" s="2">
        <v>970</v>
      </c>
      <c r="B972" s="2">
        <f t="shared" ca="1" si="15"/>
        <v>0.35441203443087499</v>
      </c>
      <c r="C972" s="2" t="s">
        <v>226</v>
      </c>
    </row>
    <row r="973" spans="1:3" x14ac:dyDescent="0.2">
      <c r="A973" s="2">
        <v>971</v>
      </c>
      <c r="B973" s="2">
        <f t="shared" ca="1" si="15"/>
        <v>0.71942111809397702</v>
      </c>
      <c r="C973" s="2" t="s">
        <v>227</v>
      </c>
    </row>
    <row r="974" spans="1:3" x14ac:dyDescent="0.2">
      <c r="A974" s="2">
        <v>972</v>
      </c>
      <c r="B974" s="2">
        <f t="shared" ca="1" si="15"/>
        <v>0.569451994604108</v>
      </c>
      <c r="C974" s="2" t="s">
        <v>226</v>
      </c>
    </row>
    <row r="975" spans="1:3" x14ac:dyDescent="0.2">
      <c r="A975" s="2">
        <v>973</v>
      </c>
      <c r="B975" s="2">
        <f t="shared" ca="1" si="15"/>
        <v>0.83103572972867201</v>
      </c>
      <c r="C975" s="2" t="s">
        <v>227</v>
      </c>
    </row>
    <row r="976" spans="1:3" x14ac:dyDescent="0.2">
      <c r="A976" s="2">
        <v>974</v>
      </c>
      <c r="B976" s="2">
        <f t="shared" ca="1" si="15"/>
        <v>0.60677655702824063</v>
      </c>
      <c r="C976" s="2" t="s">
        <v>227</v>
      </c>
    </row>
    <row r="977" spans="1:3" x14ac:dyDescent="0.2">
      <c r="A977" s="2">
        <v>975</v>
      </c>
      <c r="B977" s="2">
        <f t="shared" ca="1" si="15"/>
        <v>0.70769219023705632</v>
      </c>
      <c r="C977" s="2" t="s">
        <v>227</v>
      </c>
    </row>
    <row r="978" spans="1:3" x14ac:dyDescent="0.2">
      <c r="A978" s="2">
        <v>976</v>
      </c>
      <c r="B978" s="2">
        <f t="shared" ca="1" si="15"/>
        <v>0.65357600880985622</v>
      </c>
      <c r="C978" s="2" t="s">
        <v>227</v>
      </c>
    </row>
    <row r="979" spans="1:3" x14ac:dyDescent="0.2">
      <c r="A979" s="2">
        <v>977</v>
      </c>
      <c r="B979" s="2">
        <f t="shared" ca="1" si="15"/>
        <v>0.6128537781400607</v>
      </c>
      <c r="C979" s="2" t="s">
        <v>227</v>
      </c>
    </row>
    <row r="980" spans="1:3" x14ac:dyDescent="0.2">
      <c r="A980" s="2">
        <v>978</v>
      </c>
      <c r="B980" s="2">
        <f t="shared" ca="1" si="15"/>
        <v>0.54370958671318592</v>
      </c>
      <c r="C980" s="2" t="s">
        <v>227</v>
      </c>
    </row>
    <row r="981" spans="1:3" x14ac:dyDescent="0.2">
      <c r="A981" s="2">
        <v>979</v>
      </c>
      <c r="B981" s="2">
        <f t="shared" ca="1" si="15"/>
        <v>0.6044856381669147</v>
      </c>
      <c r="C981" s="2" t="s">
        <v>227</v>
      </c>
    </row>
    <row r="982" spans="1:3" x14ac:dyDescent="0.2">
      <c r="A982" s="2">
        <v>980</v>
      </c>
      <c r="B982" s="2">
        <f t="shared" ca="1" si="15"/>
        <v>0.61015734400517307</v>
      </c>
      <c r="C982" s="2" t="s">
        <v>226</v>
      </c>
    </row>
    <row r="983" spans="1:3" x14ac:dyDescent="0.2">
      <c r="A983" s="2">
        <v>981</v>
      </c>
      <c r="B983" s="2">
        <f t="shared" ca="1" si="15"/>
        <v>0.70251784795322847</v>
      </c>
      <c r="C983" s="2" t="s">
        <v>226</v>
      </c>
    </row>
    <row r="984" spans="1:3" x14ac:dyDescent="0.2">
      <c r="A984" s="2">
        <v>982</v>
      </c>
      <c r="B984" s="2">
        <f t="shared" ca="1" si="15"/>
        <v>0.70766097043744836</v>
      </c>
      <c r="C984" s="2" t="s">
        <v>227</v>
      </c>
    </row>
    <row r="985" spans="1:3" x14ac:dyDescent="0.2">
      <c r="A985" s="2">
        <v>983</v>
      </c>
      <c r="B985" s="2">
        <f t="shared" ca="1" si="15"/>
        <v>0.64852846511469509</v>
      </c>
      <c r="C985" s="2" t="s">
        <v>227</v>
      </c>
    </row>
    <row r="986" spans="1:3" x14ac:dyDescent="0.2">
      <c r="A986" s="2">
        <v>984</v>
      </c>
      <c r="B986" s="2">
        <f t="shared" ca="1" si="15"/>
        <v>0.78916790047933616</v>
      </c>
      <c r="C986" s="2" t="s">
        <v>226</v>
      </c>
    </row>
    <row r="987" spans="1:3" x14ac:dyDescent="0.2">
      <c r="A987" s="2">
        <v>985</v>
      </c>
      <c r="B987" s="2">
        <f t="shared" ca="1" si="15"/>
        <v>0.20840032840162964</v>
      </c>
      <c r="C987" s="2" t="s">
        <v>226</v>
      </c>
    </row>
    <row r="988" spans="1:3" x14ac:dyDescent="0.2">
      <c r="A988" s="2">
        <v>986</v>
      </c>
      <c r="B988" s="2">
        <f t="shared" ca="1" si="15"/>
        <v>0.65533345484446648</v>
      </c>
      <c r="C988" s="2" t="s">
        <v>227</v>
      </c>
    </row>
    <row r="989" spans="1:3" x14ac:dyDescent="0.2">
      <c r="A989" s="2">
        <v>987</v>
      </c>
      <c r="B989" s="2">
        <f t="shared" ca="1" si="15"/>
        <v>0.66539778490042445</v>
      </c>
      <c r="C989" s="2" t="s">
        <v>226</v>
      </c>
    </row>
    <row r="990" spans="1:3" x14ac:dyDescent="0.2">
      <c r="A990" s="2">
        <v>988</v>
      </c>
      <c r="B990" s="2">
        <f t="shared" ca="1" si="15"/>
        <v>0.47788615983157601</v>
      </c>
      <c r="C990" s="2" t="s">
        <v>226</v>
      </c>
    </row>
    <row r="991" spans="1:3" x14ac:dyDescent="0.2">
      <c r="A991" s="2">
        <v>989</v>
      </c>
      <c r="B991" s="2">
        <f t="shared" ca="1" si="15"/>
        <v>0.67800122834928789</v>
      </c>
      <c r="C991" s="2" t="s">
        <v>227</v>
      </c>
    </row>
    <row r="992" spans="1:3" x14ac:dyDescent="0.2">
      <c r="A992" s="2">
        <v>990</v>
      </c>
      <c r="B992" s="2">
        <f t="shared" ca="1" si="15"/>
        <v>0.43080121723519577</v>
      </c>
      <c r="C992" s="2" t="s">
        <v>226</v>
      </c>
    </row>
    <row r="993" spans="1:3" x14ac:dyDescent="0.2">
      <c r="A993" s="2">
        <v>991</v>
      </c>
      <c r="B993" s="2">
        <f t="shared" ca="1" si="15"/>
        <v>0.71040160272187292</v>
      </c>
      <c r="C993" s="2" t="s">
        <v>227</v>
      </c>
    </row>
    <row r="994" spans="1:3" x14ac:dyDescent="0.2">
      <c r="A994" s="2">
        <v>992</v>
      </c>
      <c r="B994" s="2">
        <f t="shared" ca="1" si="15"/>
        <v>0.5647168024632131</v>
      </c>
      <c r="C994" s="2" t="s">
        <v>226</v>
      </c>
    </row>
    <row r="995" spans="1:3" x14ac:dyDescent="0.2">
      <c r="A995" s="2">
        <v>993</v>
      </c>
      <c r="B995" s="2">
        <f t="shared" ca="1" si="15"/>
        <v>0.8140667399483601</v>
      </c>
      <c r="C995" s="2" t="s">
        <v>227</v>
      </c>
    </row>
    <row r="996" spans="1:3" x14ac:dyDescent="0.2">
      <c r="A996" s="2">
        <v>994</v>
      </c>
      <c r="B996" s="2">
        <f t="shared" ca="1" si="15"/>
        <v>0.60401956780511212</v>
      </c>
      <c r="C996" s="2" t="s">
        <v>227</v>
      </c>
    </row>
    <row r="997" spans="1:3" x14ac:dyDescent="0.2">
      <c r="A997" s="2">
        <v>995</v>
      </c>
      <c r="B997" s="2">
        <f t="shared" ca="1" si="15"/>
        <v>0.4208105621168014</v>
      </c>
      <c r="C997" s="2" t="s">
        <v>226</v>
      </c>
    </row>
    <row r="998" spans="1:3" x14ac:dyDescent="0.2">
      <c r="A998" s="2">
        <v>996</v>
      </c>
      <c r="B998" s="2">
        <f t="shared" ca="1" si="15"/>
        <v>0.76341659331028633</v>
      </c>
      <c r="C998" s="2" t="s">
        <v>227</v>
      </c>
    </row>
    <row r="999" spans="1:3" x14ac:dyDescent="0.2">
      <c r="A999" s="2">
        <v>997</v>
      </c>
      <c r="B999" s="2">
        <f t="shared" ca="1" si="15"/>
        <v>0.45630198769070673</v>
      </c>
      <c r="C999" s="2" t="s">
        <v>226</v>
      </c>
    </row>
    <row r="1000" spans="1:3" x14ac:dyDescent="0.2">
      <c r="A1000" s="2">
        <v>998</v>
      </c>
      <c r="B1000" s="2">
        <f t="shared" ca="1" si="15"/>
        <v>0.64161432457908685</v>
      </c>
      <c r="C1000" s="2" t="s">
        <v>226</v>
      </c>
    </row>
    <row r="1001" spans="1:3" x14ac:dyDescent="0.2">
      <c r="A1001" s="2">
        <v>999</v>
      </c>
      <c r="B1001" s="2">
        <f t="shared" ca="1" si="15"/>
        <v>0.60082083016005716</v>
      </c>
      <c r="C1001" s="2" t="s">
        <v>226</v>
      </c>
    </row>
    <row r="1002" spans="1:3" x14ac:dyDescent="0.2">
      <c r="A1002" s="2">
        <v>1000</v>
      </c>
      <c r="B1002" s="2">
        <f t="shared" ca="1" si="15"/>
        <v>0.51168290195519084</v>
      </c>
      <c r="C1002" s="2" t="s">
        <v>226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70F27-EAF3-B243-A807-9364641E7A3C}">
  <sheetPr codeName="Sheet6">
    <tabColor rgb="FFFF0000"/>
  </sheetPr>
  <dimension ref="A2:C1002"/>
  <sheetViews>
    <sheetView workbookViewId="0"/>
  </sheetViews>
  <sheetFormatPr baseColWidth="10" defaultRowHeight="16" x14ac:dyDescent="0.2"/>
  <cols>
    <col min="1" max="16384" width="10.83203125" style="2"/>
  </cols>
  <sheetData>
    <row r="2" spans="1:3" x14ac:dyDescent="0.2">
      <c r="B2" s="2" t="s">
        <v>231</v>
      </c>
      <c r="C2" s="2" t="s">
        <v>10</v>
      </c>
    </row>
    <row r="3" spans="1:3" x14ac:dyDescent="0.2">
      <c r="A3" s="2">
        <v>1</v>
      </c>
      <c r="B3" s="2">
        <f ca="1">IF(C3="Bomb",_xlfn.NORM.INV(RAND(),0.7,0.07),1-_xlfn.NORM.INV(RAND(),0.7,0.07))</f>
        <v>0.58915763397654741</v>
      </c>
      <c r="C3" s="2" t="str">
        <f ca="1">IF(RAND()&lt;0.5,"Bomb","Bird")</f>
        <v>Bomb</v>
      </c>
    </row>
    <row r="4" spans="1:3" x14ac:dyDescent="0.2">
      <c r="A4" s="2">
        <v>2</v>
      </c>
    </row>
    <row r="5" spans="1:3" x14ac:dyDescent="0.2">
      <c r="A5" s="2">
        <v>3</v>
      </c>
    </row>
    <row r="6" spans="1:3" x14ac:dyDescent="0.2">
      <c r="A6" s="2">
        <v>4</v>
      </c>
    </row>
    <row r="7" spans="1:3" x14ac:dyDescent="0.2">
      <c r="A7" s="2">
        <v>5</v>
      </c>
    </row>
    <row r="8" spans="1:3" x14ac:dyDescent="0.2">
      <c r="A8" s="2">
        <v>6</v>
      </c>
    </row>
    <row r="9" spans="1:3" x14ac:dyDescent="0.2">
      <c r="A9" s="2">
        <v>7</v>
      </c>
    </row>
    <row r="10" spans="1:3" x14ac:dyDescent="0.2">
      <c r="A10" s="2">
        <v>8</v>
      </c>
    </row>
    <row r="11" spans="1:3" x14ac:dyDescent="0.2">
      <c r="A11" s="2">
        <v>9</v>
      </c>
    </row>
    <row r="12" spans="1:3" x14ac:dyDescent="0.2">
      <c r="A12" s="2">
        <v>10</v>
      </c>
    </row>
    <row r="13" spans="1:3" x14ac:dyDescent="0.2">
      <c r="A13" s="2">
        <v>11</v>
      </c>
    </row>
    <row r="14" spans="1:3" x14ac:dyDescent="0.2">
      <c r="A14" s="2">
        <v>12</v>
      </c>
    </row>
    <row r="15" spans="1:3" x14ac:dyDescent="0.2">
      <c r="A15" s="2">
        <v>13</v>
      </c>
    </row>
    <row r="16" spans="1:3" x14ac:dyDescent="0.2">
      <c r="A16" s="2">
        <v>14</v>
      </c>
    </row>
    <row r="17" spans="1:1" x14ac:dyDescent="0.2">
      <c r="A17" s="2">
        <v>15</v>
      </c>
    </row>
    <row r="18" spans="1:1" x14ac:dyDescent="0.2">
      <c r="A18" s="2">
        <v>16</v>
      </c>
    </row>
    <row r="19" spans="1:1" x14ac:dyDescent="0.2">
      <c r="A19" s="2">
        <v>17</v>
      </c>
    </row>
    <row r="20" spans="1:1" x14ac:dyDescent="0.2">
      <c r="A20" s="2">
        <v>18</v>
      </c>
    </row>
    <row r="21" spans="1:1" x14ac:dyDescent="0.2">
      <c r="A21" s="2">
        <v>19</v>
      </c>
    </row>
    <row r="22" spans="1:1" x14ac:dyDescent="0.2">
      <c r="A22" s="2">
        <v>20</v>
      </c>
    </row>
    <row r="23" spans="1:1" x14ac:dyDescent="0.2">
      <c r="A23" s="2">
        <v>21</v>
      </c>
    </row>
    <row r="24" spans="1:1" x14ac:dyDescent="0.2">
      <c r="A24" s="2">
        <v>22</v>
      </c>
    </row>
    <row r="25" spans="1:1" x14ac:dyDescent="0.2">
      <c r="A25" s="2">
        <v>23</v>
      </c>
    </row>
    <row r="26" spans="1:1" x14ac:dyDescent="0.2">
      <c r="A26" s="2">
        <v>24</v>
      </c>
    </row>
    <row r="27" spans="1:1" x14ac:dyDescent="0.2">
      <c r="A27" s="2">
        <v>25</v>
      </c>
    </row>
    <row r="28" spans="1:1" x14ac:dyDescent="0.2">
      <c r="A28" s="2">
        <v>26</v>
      </c>
    </row>
    <row r="29" spans="1:1" x14ac:dyDescent="0.2">
      <c r="A29" s="2">
        <v>27</v>
      </c>
    </row>
    <row r="30" spans="1:1" x14ac:dyDescent="0.2">
      <c r="A30" s="2">
        <v>28</v>
      </c>
    </row>
    <row r="31" spans="1:1" x14ac:dyDescent="0.2">
      <c r="A31" s="2">
        <v>29</v>
      </c>
    </row>
    <row r="32" spans="1:1" x14ac:dyDescent="0.2">
      <c r="A32" s="2">
        <v>30</v>
      </c>
    </row>
    <row r="33" spans="1:1" x14ac:dyDescent="0.2">
      <c r="A33" s="2">
        <v>31</v>
      </c>
    </row>
    <row r="34" spans="1:1" x14ac:dyDescent="0.2">
      <c r="A34" s="2">
        <v>32</v>
      </c>
    </row>
    <row r="35" spans="1:1" x14ac:dyDescent="0.2">
      <c r="A35" s="2">
        <v>33</v>
      </c>
    </row>
    <row r="36" spans="1:1" x14ac:dyDescent="0.2">
      <c r="A36" s="2">
        <v>34</v>
      </c>
    </row>
    <row r="37" spans="1:1" x14ac:dyDescent="0.2">
      <c r="A37" s="2">
        <v>35</v>
      </c>
    </row>
    <row r="38" spans="1:1" x14ac:dyDescent="0.2">
      <c r="A38" s="2">
        <v>36</v>
      </c>
    </row>
    <row r="39" spans="1:1" x14ac:dyDescent="0.2">
      <c r="A39" s="2">
        <v>37</v>
      </c>
    </row>
    <row r="40" spans="1:1" x14ac:dyDescent="0.2">
      <c r="A40" s="2">
        <v>38</v>
      </c>
    </row>
    <row r="41" spans="1:1" x14ac:dyDescent="0.2">
      <c r="A41" s="2">
        <v>39</v>
      </c>
    </row>
    <row r="42" spans="1:1" x14ac:dyDescent="0.2">
      <c r="A42" s="2">
        <v>40</v>
      </c>
    </row>
    <row r="43" spans="1:1" x14ac:dyDescent="0.2">
      <c r="A43" s="2">
        <v>41</v>
      </c>
    </row>
    <row r="44" spans="1:1" x14ac:dyDescent="0.2">
      <c r="A44" s="2">
        <v>42</v>
      </c>
    </row>
    <row r="45" spans="1:1" x14ac:dyDescent="0.2">
      <c r="A45" s="2">
        <v>43</v>
      </c>
    </row>
    <row r="46" spans="1:1" x14ac:dyDescent="0.2">
      <c r="A46" s="2">
        <v>44</v>
      </c>
    </row>
    <row r="47" spans="1:1" x14ac:dyDescent="0.2">
      <c r="A47" s="2">
        <v>45</v>
      </c>
    </row>
    <row r="48" spans="1:1" x14ac:dyDescent="0.2">
      <c r="A48" s="2">
        <v>46</v>
      </c>
    </row>
    <row r="49" spans="1:1" x14ac:dyDescent="0.2">
      <c r="A49" s="2">
        <v>47</v>
      </c>
    </row>
    <row r="50" spans="1:1" x14ac:dyDescent="0.2">
      <c r="A50" s="2">
        <v>48</v>
      </c>
    </row>
    <row r="51" spans="1:1" x14ac:dyDescent="0.2">
      <c r="A51" s="2">
        <v>49</v>
      </c>
    </row>
    <row r="52" spans="1:1" x14ac:dyDescent="0.2">
      <c r="A52" s="2">
        <v>50</v>
      </c>
    </row>
    <row r="53" spans="1:1" x14ac:dyDescent="0.2">
      <c r="A53" s="2">
        <v>51</v>
      </c>
    </row>
    <row r="54" spans="1:1" x14ac:dyDescent="0.2">
      <c r="A54" s="2">
        <v>52</v>
      </c>
    </row>
    <row r="55" spans="1:1" x14ac:dyDescent="0.2">
      <c r="A55" s="2">
        <v>53</v>
      </c>
    </row>
    <row r="56" spans="1:1" x14ac:dyDescent="0.2">
      <c r="A56" s="2">
        <v>54</v>
      </c>
    </row>
    <row r="57" spans="1:1" x14ac:dyDescent="0.2">
      <c r="A57" s="2">
        <v>55</v>
      </c>
    </row>
    <row r="58" spans="1:1" x14ac:dyDescent="0.2">
      <c r="A58" s="2">
        <v>56</v>
      </c>
    </row>
    <row r="59" spans="1:1" x14ac:dyDescent="0.2">
      <c r="A59" s="2">
        <v>57</v>
      </c>
    </row>
    <row r="60" spans="1:1" x14ac:dyDescent="0.2">
      <c r="A60" s="2">
        <v>58</v>
      </c>
    </row>
    <row r="61" spans="1:1" x14ac:dyDescent="0.2">
      <c r="A61" s="2">
        <v>59</v>
      </c>
    </row>
    <row r="62" spans="1:1" x14ac:dyDescent="0.2">
      <c r="A62" s="2">
        <v>60</v>
      </c>
    </row>
    <row r="63" spans="1:1" x14ac:dyDescent="0.2">
      <c r="A63" s="2">
        <v>61</v>
      </c>
    </row>
    <row r="64" spans="1:1" x14ac:dyDescent="0.2">
      <c r="A64" s="2">
        <v>62</v>
      </c>
    </row>
    <row r="65" spans="1:1" x14ac:dyDescent="0.2">
      <c r="A65" s="2">
        <v>63</v>
      </c>
    </row>
    <row r="66" spans="1:1" x14ac:dyDescent="0.2">
      <c r="A66" s="2">
        <v>64</v>
      </c>
    </row>
    <row r="67" spans="1:1" x14ac:dyDescent="0.2">
      <c r="A67" s="2">
        <v>65</v>
      </c>
    </row>
    <row r="68" spans="1:1" x14ac:dyDescent="0.2">
      <c r="A68" s="2">
        <v>66</v>
      </c>
    </row>
    <row r="69" spans="1:1" x14ac:dyDescent="0.2">
      <c r="A69" s="2">
        <v>67</v>
      </c>
    </row>
    <row r="70" spans="1:1" x14ac:dyDescent="0.2">
      <c r="A70" s="2">
        <v>68</v>
      </c>
    </row>
    <row r="71" spans="1:1" x14ac:dyDescent="0.2">
      <c r="A71" s="2">
        <v>69</v>
      </c>
    </row>
    <row r="72" spans="1:1" x14ac:dyDescent="0.2">
      <c r="A72" s="2">
        <v>70</v>
      </c>
    </row>
    <row r="73" spans="1:1" x14ac:dyDescent="0.2">
      <c r="A73" s="2">
        <v>71</v>
      </c>
    </row>
    <row r="74" spans="1:1" x14ac:dyDescent="0.2">
      <c r="A74" s="2">
        <v>72</v>
      </c>
    </row>
    <row r="75" spans="1:1" x14ac:dyDescent="0.2">
      <c r="A75" s="2">
        <v>73</v>
      </c>
    </row>
    <row r="76" spans="1:1" x14ac:dyDescent="0.2">
      <c r="A76" s="2">
        <v>74</v>
      </c>
    </row>
    <row r="77" spans="1:1" x14ac:dyDescent="0.2">
      <c r="A77" s="2">
        <v>75</v>
      </c>
    </row>
    <row r="78" spans="1:1" x14ac:dyDescent="0.2">
      <c r="A78" s="2">
        <v>76</v>
      </c>
    </row>
    <row r="79" spans="1:1" x14ac:dyDescent="0.2">
      <c r="A79" s="2">
        <v>77</v>
      </c>
    </row>
    <row r="80" spans="1:1" x14ac:dyDescent="0.2">
      <c r="A80" s="2">
        <v>78</v>
      </c>
    </row>
    <row r="81" spans="1:1" x14ac:dyDescent="0.2">
      <c r="A81" s="2">
        <v>79</v>
      </c>
    </row>
    <row r="82" spans="1:1" x14ac:dyDescent="0.2">
      <c r="A82" s="2">
        <v>80</v>
      </c>
    </row>
    <row r="83" spans="1:1" x14ac:dyDescent="0.2">
      <c r="A83" s="2">
        <v>81</v>
      </c>
    </row>
    <row r="84" spans="1:1" x14ac:dyDescent="0.2">
      <c r="A84" s="2">
        <v>82</v>
      </c>
    </row>
    <row r="85" spans="1:1" x14ac:dyDescent="0.2">
      <c r="A85" s="2">
        <v>83</v>
      </c>
    </row>
    <row r="86" spans="1:1" x14ac:dyDescent="0.2">
      <c r="A86" s="2">
        <v>84</v>
      </c>
    </row>
    <row r="87" spans="1:1" x14ac:dyDescent="0.2">
      <c r="A87" s="2">
        <v>85</v>
      </c>
    </row>
    <row r="88" spans="1:1" x14ac:dyDescent="0.2">
      <c r="A88" s="2">
        <v>86</v>
      </c>
    </row>
    <row r="89" spans="1:1" x14ac:dyDescent="0.2">
      <c r="A89" s="2">
        <v>87</v>
      </c>
    </row>
    <row r="90" spans="1:1" x14ac:dyDescent="0.2">
      <c r="A90" s="2">
        <v>88</v>
      </c>
    </row>
    <row r="91" spans="1:1" x14ac:dyDescent="0.2">
      <c r="A91" s="2">
        <v>89</v>
      </c>
    </row>
    <row r="92" spans="1:1" x14ac:dyDescent="0.2">
      <c r="A92" s="2">
        <v>90</v>
      </c>
    </row>
    <row r="93" spans="1:1" x14ac:dyDescent="0.2">
      <c r="A93" s="2">
        <v>91</v>
      </c>
    </row>
    <row r="94" spans="1:1" x14ac:dyDescent="0.2">
      <c r="A94" s="2">
        <v>92</v>
      </c>
    </row>
    <row r="95" spans="1:1" x14ac:dyDescent="0.2">
      <c r="A95" s="2">
        <v>93</v>
      </c>
    </row>
    <row r="96" spans="1:1" x14ac:dyDescent="0.2">
      <c r="A96" s="2">
        <v>94</v>
      </c>
    </row>
    <row r="97" spans="1:1" x14ac:dyDescent="0.2">
      <c r="A97" s="2">
        <v>95</v>
      </c>
    </row>
    <row r="98" spans="1:1" x14ac:dyDescent="0.2">
      <c r="A98" s="2">
        <v>96</v>
      </c>
    </row>
    <row r="99" spans="1:1" x14ac:dyDescent="0.2">
      <c r="A99" s="2">
        <v>97</v>
      </c>
    </row>
    <row r="100" spans="1:1" x14ac:dyDescent="0.2">
      <c r="A100" s="2">
        <v>98</v>
      </c>
    </row>
    <row r="101" spans="1:1" x14ac:dyDescent="0.2">
      <c r="A101" s="2">
        <v>99</v>
      </c>
    </row>
    <row r="102" spans="1:1" x14ac:dyDescent="0.2">
      <c r="A102" s="2">
        <v>100</v>
      </c>
    </row>
    <row r="103" spans="1:1" x14ac:dyDescent="0.2">
      <c r="A103" s="2">
        <v>101</v>
      </c>
    </row>
    <row r="104" spans="1:1" x14ac:dyDescent="0.2">
      <c r="A104" s="2">
        <v>102</v>
      </c>
    </row>
    <row r="105" spans="1:1" x14ac:dyDescent="0.2">
      <c r="A105" s="2">
        <v>103</v>
      </c>
    </row>
    <row r="106" spans="1:1" x14ac:dyDescent="0.2">
      <c r="A106" s="2">
        <v>104</v>
      </c>
    </row>
    <row r="107" spans="1:1" x14ac:dyDescent="0.2">
      <c r="A107" s="2">
        <v>105</v>
      </c>
    </row>
    <row r="108" spans="1:1" x14ac:dyDescent="0.2">
      <c r="A108" s="2">
        <v>106</v>
      </c>
    </row>
    <row r="109" spans="1:1" x14ac:dyDescent="0.2">
      <c r="A109" s="2">
        <v>107</v>
      </c>
    </row>
    <row r="110" spans="1:1" x14ac:dyDescent="0.2">
      <c r="A110" s="2">
        <v>108</v>
      </c>
    </row>
    <row r="111" spans="1:1" x14ac:dyDescent="0.2">
      <c r="A111" s="2">
        <v>109</v>
      </c>
    </row>
    <row r="112" spans="1:1" x14ac:dyDescent="0.2">
      <c r="A112" s="2">
        <v>110</v>
      </c>
    </row>
    <row r="113" spans="1:1" x14ac:dyDescent="0.2">
      <c r="A113" s="2">
        <v>111</v>
      </c>
    </row>
    <row r="114" spans="1:1" x14ac:dyDescent="0.2">
      <c r="A114" s="2">
        <v>112</v>
      </c>
    </row>
    <row r="115" spans="1:1" x14ac:dyDescent="0.2">
      <c r="A115" s="2">
        <v>113</v>
      </c>
    </row>
    <row r="116" spans="1:1" x14ac:dyDescent="0.2">
      <c r="A116" s="2">
        <v>114</v>
      </c>
    </row>
    <row r="117" spans="1:1" x14ac:dyDescent="0.2">
      <c r="A117" s="2">
        <v>115</v>
      </c>
    </row>
    <row r="118" spans="1:1" x14ac:dyDescent="0.2">
      <c r="A118" s="2">
        <v>116</v>
      </c>
    </row>
    <row r="119" spans="1:1" x14ac:dyDescent="0.2">
      <c r="A119" s="2">
        <v>117</v>
      </c>
    </row>
    <row r="120" spans="1:1" x14ac:dyDescent="0.2">
      <c r="A120" s="2">
        <v>118</v>
      </c>
    </row>
    <row r="121" spans="1:1" x14ac:dyDescent="0.2">
      <c r="A121" s="2">
        <v>119</v>
      </c>
    </row>
    <row r="122" spans="1:1" x14ac:dyDescent="0.2">
      <c r="A122" s="2">
        <v>120</v>
      </c>
    </row>
    <row r="123" spans="1:1" x14ac:dyDescent="0.2">
      <c r="A123" s="2">
        <v>121</v>
      </c>
    </row>
    <row r="124" spans="1:1" x14ac:dyDescent="0.2">
      <c r="A124" s="2">
        <v>122</v>
      </c>
    </row>
    <row r="125" spans="1:1" x14ac:dyDescent="0.2">
      <c r="A125" s="2">
        <v>123</v>
      </c>
    </row>
    <row r="126" spans="1:1" x14ac:dyDescent="0.2">
      <c r="A126" s="2">
        <v>124</v>
      </c>
    </row>
    <row r="127" spans="1:1" x14ac:dyDescent="0.2">
      <c r="A127" s="2">
        <v>125</v>
      </c>
    </row>
    <row r="128" spans="1:1" x14ac:dyDescent="0.2">
      <c r="A128" s="2">
        <v>126</v>
      </c>
    </row>
    <row r="129" spans="1:1" x14ac:dyDescent="0.2">
      <c r="A129" s="2">
        <v>127</v>
      </c>
    </row>
    <row r="130" spans="1:1" x14ac:dyDescent="0.2">
      <c r="A130" s="2">
        <v>128</v>
      </c>
    </row>
    <row r="131" spans="1:1" x14ac:dyDescent="0.2">
      <c r="A131" s="2">
        <v>129</v>
      </c>
    </row>
    <row r="132" spans="1:1" x14ac:dyDescent="0.2">
      <c r="A132" s="2">
        <v>130</v>
      </c>
    </row>
    <row r="133" spans="1:1" x14ac:dyDescent="0.2">
      <c r="A133" s="2">
        <v>131</v>
      </c>
    </row>
    <row r="134" spans="1:1" x14ac:dyDescent="0.2">
      <c r="A134" s="2">
        <v>132</v>
      </c>
    </row>
    <row r="135" spans="1:1" x14ac:dyDescent="0.2">
      <c r="A135" s="2">
        <v>133</v>
      </c>
    </row>
    <row r="136" spans="1:1" x14ac:dyDescent="0.2">
      <c r="A136" s="2">
        <v>134</v>
      </c>
    </row>
    <row r="137" spans="1:1" x14ac:dyDescent="0.2">
      <c r="A137" s="2">
        <v>135</v>
      </c>
    </row>
    <row r="138" spans="1:1" x14ac:dyDescent="0.2">
      <c r="A138" s="2">
        <v>136</v>
      </c>
    </row>
    <row r="139" spans="1:1" x14ac:dyDescent="0.2">
      <c r="A139" s="2">
        <v>137</v>
      </c>
    </row>
    <row r="140" spans="1:1" x14ac:dyDescent="0.2">
      <c r="A140" s="2">
        <v>138</v>
      </c>
    </row>
    <row r="141" spans="1:1" x14ac:dyDescent="0.2">
      <c r="A141" s="2">
        <v>139</v>
      </c>
    </row>
    <row r="142" spans="1:1" x14ac:dyDescent="0.2">
      <c r="A142" s="2">
        <v>140</v>
      </c>
    </row>
    <row r="143" spans="1:1" x14ac:dyDescent="0.2">
      <c r="A143" s="2">
        <v>141</v>
      </c>
    </row>
    <row r="144" spans="1:1" x14ac:dyDescent="0.2">
      <c r="A144" s="2">
        <v>142</v>
      </c>
    </row>
    <row r="145" spans="1:1" x14ac:dyDescent="0.2">
      <c r="A145" s="2">
        <v>143</v>
      </c>
    </row>
    <row r="146" spans="1:1" x14ac:dyDescent="0.2">
      <c r="A146" s="2">
        <v>144</v>
      </c>
    </row>
    <row r="147" spans="1:1" x14ac:dyDescent="0.2">
      <c r="A147" s="2">
        <v>145</v>
      </c>
    </row>
    <row r="148" spans="1:1" x14ac:dyDescent="0.2">
      <c r="A148" s="2">
        <v>146</v>
      </c>
    </row>
    <row r="149" spans="1:1" x14ac:dyDescent="0.2">
      <c r="A149" s="2">
        <v>147</v>
      </c>
    </row>
    <row r="150" spans="1:1" x14ac:dyDescent="0.2">
      <c r="A150" s="2">
        <v>148</v>
      </c>
    </row>
    <row r="151" spans="1:1" x14ac:dyDescent="0.2">
      <c r="A151" s="2">
        <v>149</v>
      </c>
    </row>
    <row r="152" spans="1:1" x14ac:dyDescent="0.2">
      <c r="A152" s="2">
        <v>150</v>
      </c>
    </row>
    <row r="153" spans="1:1" x14ac:dyDescent="0.2">
      <c r="A153" s="2">
        <v>151</v>
      </c>
    </row>
    <row r="154" spans="1:1" x14ac:dyDescent="0.2">
      <c r="A154" s="2">
        <v>152</v>
      </c>
    </row>
    <row r="155" spans="1:1" x14ac:dyDescent="0.2">
      <c r="A155" s="2">
        <v>153</v>
      </c>
    </row>
    <row r="156" spans="1:1" x14ac:dyDescent="0.2">
      <c r="A156" s="2">
        <v>154</v>
      </c>
    </row>
    <row r="157" spans="1:1" x14ac:dyDescent="0.2">
      <c r="A157" s="2">
        <v>155</v>
      </c>
    </row>
    <row r="158" spans="1:1" x14ac:dyDescent="0.2">
      <c r="A158" s="2">
        <v>156</v>
      </c>
    </row>
    <row r="159" spans="1:1" x14ac:dyDescent="0.2">
      <c r="A159" s="2">
        <v>157</v>
      </c>
    </row>
    <row r="160" spans="1:1" x14ac:dyDescent="0.2">
      <c r="A160" s="2">
        <v>158</v>
      </c>
    </row>
    <row r="161" spans="1:1" x14ac:dyDescent="0.2">
      <c r="A161" s="2">
        <v>159</v>
      </c>
    </row>
    <row r="162" spans="1:1" x14ac:dyDescent="0.2">
      <c r="A162" s="2">
        <v>160</v>
      </c>
    </row>
    <row r="163" spans="1:1" x14ac:dyDescent="0.2">
      <c r="A163" s="2">
        <v>161</v>
      </c>
    </row>
    <row r="164" spans="1:1" x14ac:dyDescent="0.2">
      <c r="A164" s="2">
        <v>162</v>
      </c>
    </row>
    <row r="165" spans="1:1" x14ac:dyDescent="0.2">
      <c r="A165" s="2">
        <v>163</v>
      </c>
    </row>
    <row r="166" spans="1:1" x14ac:dyDescent="0.2">
      <c r="A166" s="2">
        <v>164</v>
      </c>
    </row>
    <row r="167" spans="1:1" x14ac:dyDescent="0.2">
      <c r="A167" s="2">
        <v>165</v>
      </c>
    </row>
    <row r="168" spans="1:1" x14ac:dyDescent="0.2">
      <c r="A168" s="2">
        <v>166</v>
      </c>
    </row>
    <row r="169" spans="1:1" x14ac:dyDescent="0.2">
      <c r="A169" s="2">
        <v>167</v>
      </c>
    </row>
    <row r="170" spans="1:1" x14ac:dyDescent="0.2">
      <c r="A170" s="2">
        <v>168</v>
      </c>
    </row>
    <row r="171" spans="1:1" x14ac:dyDescent="0.2">
      <c r="A171" s="2">
        <v>169</v>
      </c>
    </row>
    <row r="172" spans="1:1" x14ac:dyDescent="0.2">
      <c r="A172" s="2">
        <v>170</v>
      </c>
    </row>
    <row r="173" spans="1:1" x14ac:dyDescent="0.2">
      <c r="A173" s="2">
        <v>171</v>
      </c>
    </row>
    <row r="174" spans="1:1" x14ac:dyDescent="0.2">
      <c r="A174" s="2">
        <v>172</v>
      </c>
    </row>
    <row r="175" spans="1:1" x14ac:dyDescent="0.2">
      <c r="A175" s="2">
        <v>173</v>
      </c>
    </row>
    <row r="176" spans="1:1" x14ac:dyDescent="0.2">
      <c r="A176" s="2">
        <v>174</v>
      </c>
    </row>
    <row r="177" spans="1:1" x14ac:dyDescent="0.2">
      <c r="A177" s="2">
        <v>175</v>
      </c>
    </row>
    <row r="178" spans="1:1" x14ac:dyDescent="0.2">
      <c r="A178" s="2">
        <v>176</v>
      </c>
    </row>
    <row r="179" spans="1:1" x14ac:dyDescent="0.2">
      <c r="A179" s="2">
        <v>177</v>
      </c>
    </row>
    <row r="180" spans="1:1" x14ac:dyDescent="0.2">
      <c r="A180" s="2">
        <v>178</v>
      </c>
    </row>
    <row r="181" spans="1:1" x14ac:dyDescent="0.2">
      <c r="A181" s="2">
        <v>179</v>
      </c>
    </row>
    <row r="182" spans="1:1" x14ac:dyDescent="0.2">
      <c r="A182" s="2">
        <v>180</v>
      </c>
    </row>
    <row r="183" spans="1:1" x14ac:dyDescent="0.2">
      <c r="A183" s="2">
        <v>181</v>
      </c>
    </row>
    <row r="184" spans="1:1" x14ac:dyDescent="0.2">
      <c r="A184" s="2">
        <v>182</v>
      </c>
    </row>
    <row r="185" spans="1:1" x14ac:dyDescent="0.2">
      <c r="A185" s="2">
        <v>183</v>
      </c>
    </row>
    <row r="186" spans="1:1" x14ac:dyDescent="0.2">
      <c r="A186" s="2">
        <v>184</v>
      </c>
    </row>
    <row r="187" spans="1:1" x14ac:dyDescent="0.2">
      <c r="A187" s="2">
        <v>185</v>
      </c>
    </row>
    <row r="188" spans="1:1" x14ac:dyDescent="0.2">
      <c r="A188" s="2">
        <v>186</v>
      </c>
    </row>
    <row r="189" spans="1:1" x14ac:dyDescent="0.2">
      <c r="A189" s="2">
        <v>187</v>
      </c>
    </row>
    <row r="190" spans="1:1" x14ac:dyDescent="0.2">
      <c r="A190" s="2">
        <v>188</v>
      </c>
    </row>
    <row r="191" spans="1:1" x14ac:dyDescent="0.2">
      <c r="A191" s="2">
        <v>189</v>
      </c>
    </row>
    <row r="192" spans="1:1" x14ac:dyDescent="0.2">
      <c r="A192" s="2">
        <v>190</v>
      </c>
    </row>
    <row r="193" spans="1:1" x14ac:dyDescent="0.2">
      <c r="A193" s="2">
        <v>191</v>
      </c>
    </row>
    <row r="194" spans="1:1" x14ac:dyDescent="0.2">
      <c r="A194" s="2">
        <v>192</v>
      </c>
    </row>
    <row r="195" spans="1:1" x14ac:dyDescent="0.2">
      <c r="A195" s="2">
        <v>193</v>
      </c>
    </row>
    <row r="196" spans="1:1" x14ac:dyDescent="0.2">
      <c r="A196" s="2">
        <v>194</v>
      </c>
    </row>
    <row r="197" spans="1:1" x14ac:dyDescent="0.2">
      <c r="A197" s="2">
        <v>195</v>
      </c>
    </row>
    <row r="198" spans="1:1" x14ac:dyDescent="0.2">
      <c r="A198" s="2">
        <v>196</v>
      </c>
    </row>
    <row r="199" spans="1:1" x14ac:dyDescent="0.2">
      <c r="A199" s="2">
        <v>197</v>
      </c>
    </row>
    <row r="200" spans="1:1" x14ac:dyDescent="0.2">
      <c r="A200" s="2">
        <v>198</v>
      </c>
    </row>
    <row r="201" spans="1:1" x14ac:dyDescent="0.2">
      <c r="A201" s="2">
        <v>199</v>
      </c>
    </row>
    <row r="202" spans="1:1" x14ac:dyDescent="0.2">
      <c r="A202" s="2">
        <v>200</v>
      </c>
    </row>
    <row r="203" spans="1:1" x14ac:dyDescent="0.2">
      <c r="A203" s="2">
        <v>201</v>
      </c>
    </row>
    <row r="204" spans="1:1" x14ac:dyDescent="0.2">
      <c r="A204" s="2">
        <v>202</v>
      </c>
    </row>
    <row r="205" spans="1:1" x14ac:dyDescent="0.2">
      <c r="A205" s="2">
        <v>203</v>
      </c>
    </row>
    <row r="206" spans="1:1" x14ac:dyDescent="0.2">
      <c r="A206" s="2">
        <v>204</v>
      </c>
    </row>
    <row r="207" spans="1:1" x14ac:dyDescent="0.2">
      <c r="A207" s="2">
        <v>205</v>
      </c>
    </row>
    <row r="208" spans="1:1" x14ac:dyDescent="0.2">
      <c r="A208" s="2">
        <v>206</v>
      </c>
    </row>
    <row r="209" spans="1:1" x14ac:dyDescent="0.2">
      <c r="A209" s="2">
        <v>207</v>
      </c>
    </row>
    <row r="210" spans="1:1" x14ac:dyDescent="0.2">
      <c r="A210" s="2">
        <v>208</v>
      </c>
    </row>
    <row r="211" spans="1:1" x14ac:dyDescent="0.2">
      <c r="A211" s="2">
        <v>209</v>
      </c>
    </row>
    <row r="212" spans="1:1" x14ac:dyDescent="0.2">
      <c r="A212" s="2">
        <v>210</v>
      </c>
    </row>
    <row r="213" spans="1:1" x14ac:dyDescent="0.2">
      <c r="A213" s="2">
        <v>211</v>
      </c>
    </row>
    <row r="214" spans="1:1" x14ac:dyDescent="0.2">
      <c r="A214" s="2">
        <v>212</v>
      </c>
    </row>
    <row r="215" spans="1:1" x14ac:dyDescent="0.2">
      <c r="A215" s="2">
        <v>213</v>
      </c>
    </row>
    <row r="216" spans="1:1" x14ac:dyDescent="0.2">
      <c r="A216" s="2">
        <v>214</v>
      </c>
    </row>
    <row r="217" spans="1:1" x14ac:dyDescent="0.2">
      <c r="A217" s="2">
        <v>215</v>
      </c>
    </row>
    <row r="218" spans="1:1" x14ac:dyDescent="0.2">
      <c r="A218" s="2">
        <v>216</v>
      </c>
    </row>
    <row r="219" spans="1:1" x14ac:dyDescent="0.2">
      <c r="A219" s="2">
        <v>217</v>
      </c>
    </row>
    <row r="220" spans="1:1" x14ac:dyDescent="0.2">
      <c r="A220" s="2">
        <v>218</v>
      </c>
    </row>
    <row r="221" spans="1:1" x14ac:dyDescent="0.2">
      <c r="A221" s="2">
        <v>219</v>
      </c>
    </row>
    <row r="222" spans="1:1" x14ac:dyDescent="0.2">
      <c r="A222" s="2">
        <v>220</v>
      </c>
    </row>
    <row r="223" spans="1:1" x14ac:dyDescent="0.2">
      <c r="A223" s="2">
        <v>221</v>
      </c>
    </row>
    <row r="224" spans="1:1" x14ac:dyDescent="0.2">
      <c r="A224" s="2">
        <v>222</v>
      </c>
    </row>
    <row r="225" spans="1:1" x14ac:dyDescent="0.2">
      <c r="A225" s="2">
        <v>223</v>
      </c>
    </row>
    <row r="226" spans="1:1" x14ac:dyDescent="0.2">
      <c r="A226" s="2">
        <v>224</v>
      </c>
    </row>
    <row r="227" spans="1:1" x14ac:dyDescent="0.2">
      <c r="A227" s="2">
        <v>225</v>
      </c>
    </row>
    <row r="228" spans="1:1" x14ac:dyDescent="0.2">
      <c r="A228" s="2">
        <v>226</v>
      </c>
    </row>
    <row r="229" spans="1:1" x14ac:dyDescent="0.2">
      <c r="A229" s="2">
        <v>227</v>
      </c>
    </row>
    <row r="230" spans="1:1" x14ac:dyDescent="0.2">
      <c r="A230" s="2">
        <v>228</v>
      </c>
    </row>
    <row r="231" spans="1:1" x14ac:dyDescent="0.2">
      <c r="A231" s="2">
        <v>229</v>
      </c>
    </row>
    <row r="232" spans="1:1" x14ac:dyDescent="0.2">
      <c r="A232" s="2">
        <v>230</v>
      </c>
    </row>
    <row r="233" spans="1:1" x14ac:dyDescent="0.2">
      <c r="A233" s="2">
        <v>231</v>
      </c>
    </row>
    <row r="234" spans="1:1" x14ac:dyDescent="0.2">
      <c r="A234" s="2">
        <v>232</v>
      </c>
    </row>
    <row r="235" spans="1:1" x14ac:dyDescent="0.2">
      <c r="A235" s="2">
        <v>233</v>
      </c>
    </row>
    <row r="236" spans="1:1" x14ac:dyDescent="0.2">
      <c r="A236" s="2">
        <v>234</v>
      </c>
    </row>
    <row r="237" spans="1:1" x14ac:dyDescent="0.2">
      <c r="A237" s="2">
        <v>235</v>
      </c>
    </row>
    <row r="238" spans="1:1" x14ac:dyDescent="0.2">
      <c r="A238" s="2">
        <v>236</v>
      </c>
    </row>
    <row r="239" spans="1:1" x14ac:dyDescent="0.2">
      <c r="A239" s="2">
        <v>237</v>
      </c>
    </row>
    <row r="240" spans="1:1" x14ac:dyDescent="0.2">
      <c r="A240" s="2">
        <v>238</v>
      </c>
    </row>
    <row r="241" spans="1:1" x14ac:dyDescent="0.2">
      <c r="A241" s="2">
        <v>239</v>
      </c>
    </row>
    <row r="242" spans="1:1" x14ac:dyDescent="0.2">
      <c r="A242" s="2">
        <v>240</v>
      </c>
    </row>
    <row r="243" spans="1:1" x14ac:dyDescent="0.2">
      <c r="A243" s="2">
        <v>241</v>
      </c>
    </row>
    <row r="244" spans="1:1" x14ac:dyDescent="0.2">
      <c r="A244" s="2">
        <v>242</v>
      </c>
    </row>
    <row r="245" spans="1:1" x14ac:dyDescent="0.2">
      <c r="A245" s="2">
        <v>243</v>
      </c>
    </row>
    <row r="246" spans="1:1" x14ac:dyDescent="0.2">
      <c r="A246" s="2">
        <v>244</v>
      </c>
    </row>
    <row r="247" spans="1:1" x14ac:dyDescent="0.2">
      <c r="A247" s="2">
        <v>245</v>
      </c>
    </row>
    <row r="248" spans="1:1" x14ac:dyDescent="0.2">
      <c r="A248" s="2">
        <v>246</v>
      </c>
    </row>
    <row r="249" spans="1:1" x14ac:dyDescent="0.2">
      <c r="A249" s="2">
        <v>247</v>
      </c>
    </row>
    <row r="250" spans="1:1" x14ac:dyDescent="0.2">
      <c r="A250" s="2">
        <v>248</v>
      </c>
    </row>
    <row r="251" spans="1:1" x14ac:dyDescent="0.2">
      <c r="A251" s="2">
        <v>249</v>
      </c>
    </row>
    <row r="252" spans="1:1" x14ac:dyDescent="0.2">
      <c r="A252" s="2">
        <v>250</v>
      </c>
    </row>
    <row r="253" spans="1:1" x14ac:dyDescent="0.2">
      <c r="A253" s="2">
        <v>251</v>
      </c>
    </row>
    <row r="254" spans="1:1" x14ac:dyDescent="0.2">
      <c r="A254" s="2">
        <v>252</v>
      </c>
    </row>
    <row r="255" spans="1:1" x14ac:dyDescent="0.2">
      <c r="A255" s="2">
        <v>253</v>
      </c>
    </row>
    <row r="256" spans="1:1" x14ac:dyDescent="0.2">
      <c r="A256" s="2">
        <v>254</v>
      </c>
    </row>
    <row r="257" spans="1:1" x14ac:dyDescent="0.2">
      <c r="A257" s="2">
        <v>255</v>
      </c>
    </row>
    <row r="258" spans="1:1" x14ac:dyDescent="0.2">
      <c r="A258" s="2">
        <v>256</v>
      </c>
    </row>
    <row r="259" spans="1:1" x14ac:dyDescent="0.2">
      <c r="A259" s="2">
        <v>257</v>
      </c>
    </row>
    <row r="260" spans="1:1" x14ac:dyDescent="0.2">
      <c r="A260" s="2">
        <v>258</v>
      </c>
    </row>
    <row r="261" spans="1:1" x14ac:dyDescent="0.2">
      <c r="A261" s="2">
        <v>259</v>
      </c>
    </row>
    <row r="262" spans="1:1" x14ac:dyDescent="0.2">
      <c r="A262" s="2">
        <v>260</v>
      </c>
    </row>
    <row r="263" spans="1:1" x14ac:dyDescent="0.2">
      <c r="A263" s="2">
        <v>261</v>
      </c>
    </row>
    <row r="264" spans="1:1" x14ac:dyDescent="0.2">
      <c r="A264" s="2">
        <v>262</v>
      </c>
    </row>
    <row r="265" spans="1:1" x14ac:dyDescent="0.2">
      <c r="A265" s="2">
        <v>263</v>
      </c>
    </row>
    <row r="266" spans="1:1" x14ac:dyDescent="0.2">
      <c r="A266" s="2">
        <v>264</v>
      </c>
    </row>
    <row r="267" spans="1:1" x14ac:dyDescent="0.2">
      <c r="A267" s="2">
        <v>265</v>
      </c>
    </row>
    <row r="268" spans="1:1" x14ac:dyDescent="0.2">
      <c r="A268" s="2">
        <v>266</v>
      </c>
    </row>
    <row r="269" spans="1:1" x14ac:dyDescent="0.2">
      <c r="A269" s="2">
        <v>267</v>
      </c>
    </row>
    <row r="270" spans="1:1" x14ac:dyDescent="0.2">
      <c r="A270" s="2">
        <v>268</v>
      </c>
    </row>
    <row r="271" spans="1:1" x14ac:dyDescent="0.2">
      <c r="A271" s="2">
        <v>269</v>
      </c>
    </row>
    <row r="272" spans="1:1" x14ac:dyDescent="0.2">
      <c r="A272" s="2">
        <v>270</v>
      </c>
    </row>
    <row r="273" spans="1:1" x14ac:dyDescent="0.2">
      <c r="A273" s="2">
        <v>271</v>
      </c>
    </row>
    <row r="274" spans="1:1" x14ac:dyDescent="0.2">
      <c r="A274" s="2">
        <v>272</v>
      </c>
    </row>
    <row r="275" spans="1:1" x14ac:dyDescent="0.2">
      <c r="A275" s="2">
        <v>273</v>
      </c>
    </row>
    <row r="276" spans="1:1" x14ac:dyDescent="0.2">
      <c r="A276" s="2">
        <v>274</v>
      </c>
    </row>
    <row r="277" spans="1:1" x14ac:dyDescent="0.2">
      <c r="A277" s="2">
        <v>275</v>
      </c>
    </row>
    <row r="278" spans="1:1" x14ac:dyDescent="0.2">
      <c r="A278" s="2">
        <v>276</v>
      </c>
    </row>
    <row r="279" spans="1:1" x14ac:dyDescent="0.2">
      <c r="A279" s="2">
        <v>277</v>
      </c>
    </row>
    <row r="280" spans="1:1" x14ac:dyDescent="0.2">
      <c r="A280" s="2">
        <v>278</v>
      </c>
    </row>
    <row r="281" spans="1:1" x14ac:dyDescent="0.2">
      <c r="A281" s="2">
        <v>279</v>
      </c>
    </row>
    <row r="282" spans="1:1" x14ac:dyDescent="0.2">
      <c r="A282" s="2">
        <v>280</v>
      </c>
    </row>
    <row r="283" spans="1:1" x14ac:dyDescent="0.2">
      <c r="A283" s="2">
        <v>281</v>
      </c>
    </row>
    <row r="284" spans="1:1" x14ac:dyDescent="0.2">
      <c r="A284" s="2">
        <v>282</v>
      </c>
    </row>
    <row r="285" spans="1:1" x14ac:dyDescent="0.2">
      <c r="A285" s="2">
        <v>283</v>
      </c>
    </row>
    <row r="286" spans="1:1" x14ac:dyDescent="0.2">
      <c r="A286" s="2">
        <v>284</v>
      </c>
    </row>
    <row r="287" spans="1:1" x14ac:dyDescent="0.2">
      <c r="A287" s="2">
        <v>285</v>
      </c>
    </row>
    <row r="288" spans="1:1" x14ac:dyDescent="0.2">
      <c r="A288" s="2">
        <v>286</v>
      </c>
    </row>
    <row r="289" spans="1:1" x14ac:dyDescent="0.2">
      <c r="A289" s="2">
        <v>287</v>
      </c>
    </row>
    <row r="290" spans="1:1" x14ac:dyDescent="0.2">
      <c r="A290" s="2">
        <v>288</v>
      </c>
    </row>
    <row r="291" spans="1:1" x14ac:dyDescent="0.2">
      <c r="A291" s="2">
        <v>289</v>
      </c>
    </row>
    <row r="292" spans="1:1" x14ac:dyDescent="0.2">
      <c r="A292" s="2">
        <v>290</v>
      </c>
    </row>
    <row r="293" spans="1:1" x14ac:dyDescent="0.2">
      <c r="A293" s="2">
        <v>291</v>
      </c>
    </row>
    <row r="294" spans="1:1" x14ac:dyDescent="0.2">
      <c r="A294" s="2">
        <v>292</v>
      </c>
    </row>
    <row r="295" spans="1:1" x14ac:dyDescent="0.2">
      <c r="A295" s="2">
        <v>293</v>
      </c>
    </row>
    <row r="296" spans="1:1" x14ac:dyDescent="0.2">
      <c r="A296" s="2">
        <v>294</v>
      </c>
    </row>
    <row r="297" spans="1:1" x14ac:dyDescent="0.2">
      <c r="A297" s="2">
        <v>295</v>
      </c>
    </row>
    <row r="298" spans="1:1" x14ac:dyDescent="0.2">
      <c r="A298" s="2">
        <v>296</v>
      </c>
    </row>
    <row r="299" spans="1:1" x14ac:dyDescent="0.2">
      <c r="A299" s="2">
        <v>297</v>
      </c>
    </row>
    <row r="300" spans="1:1" x14ac:dyDescent="0.2">
      <c r="A300" s="2">
        <v>298</v>
      </c>
    </row>
    <row r="301" spans="1:1" x14ac:dyDescent="0.2">
      <c r="A301" s="2">
        <v>299</v>
      </c>
    </row>
    <row r="302" spans="1:1" x14ac:dyDescent="0.2">
      <c r="A302" s="2">
        <v>300</v>
      </c>
    </row>
    <row r="303" spans="1:1" x14ac:dyDescent="0.2">
      <c r="A303" s="2">
        <v>301</v>
      </c>
    </row>
    <row r="304" spans="1:1" x14ac:dyDescent="0.2">
      <c r="A304" s="2">
        <v>302</v>
      </c>
    </row>
    <row r="305" spans="1:1" x14ac:dyDescent="0.2">
      <c r="A305" s="2">
        <v>303</v>
      </c>
    </row>
    <row r="306" spans="1:1" x14ac:dyDescent="0.2">
      <c r="A306" s="2">
        <v>304</v>
      </c>
    </row>
    <row r="307" spans="1:1" x14ac:dyDescent="0.2">
      <c r="A307" s="2">
        <v>305</v>
      </c>
    </row>
    <row r="308" spans="1:1" x14ac:dyDescent="0.2">
      <c r="A308" s="2">
        <v>306</v>
      </c>
    </row>
    <row r="309" spans="1:1" x14ac:dyDescent="0.2">
      <c r="A309" s="2">
        <v>307</v>
      </c>
    </row>
    <row r="310" spans="1:1" x14ac:dyDescent="0.2">
      <c r="A310" s="2">
        <v>308</v>
      </c>
    </row>
    <row r="311" spans="1:1" x14ac:dyDescent="0.2">
      <c r="A311" s="2">
        <v>309</v>
      </c>
    </row>
    <row r="312" spans="1:1" x14ac:dyDescent="0.2">
      <c r="A312" s="2">
        <v>310</v>
      </c>
    </row>
    <row r="313" spans="1:1" x14ac:dyDescent="0.2">
      <c r="A313" s="2">
        <v>311</v>
      </c>
    </row>
    <row r="314" spans="1:1" x14ac:dyDescent="0.2">
      <c r="A314" s="2">
        <v>312</v>
      </c>
    </row>
    <row r="315" spans="1:1" x14ac:dyDescent="0.2">
      <c r="A315" s="2">
        <v>313</v>
      </c>
    </row>
    <row r="316" spans="1:1" x14ac:dyDescent="0.2">
      <c r="A316" s="2">
        <v>314</v>
      </c>
    </row>
    <row r="317" spans="1:1" x14ac:dyDescent="0.2">
      <c r="A317" s="2">
        <v>315</v>
      </c>
    </row>
    <row r="318" spans="1:1" x14ac:dyDescent="0.2">
      <c r="A318" s="2">
        <v>316</v>
      </c>
    </row>
    <row r="319" spans="1:1" x14ac:dyDescent="0.2">
      <c r="A319" s="2">
        <v>317</v>
      </c>
    </row>
    <row r="320" spans="1:1" x14ac:dyDescent="0.2">
      <c r="A320" s="2">
        <v>318</v>
      </c>
    </row>
    <row r="321" spans="1:1" x14ac:dyDescent="0.2">
      <c r="A321" s="2">
        <v>319</v>
      </c>
    </row>
    <row r="322" spans="1:1" x14ac:dyDescent="0.2">
      <c r="A322" s="2">
        <v>320</v>
      </c>
    </row>
    <row r="323" spans="1:1" x14ac:dyDescent="0.2">
      <c r="A323" s="2">
        <v>321</v>
      </c>
    </row>
    <row r="324" spans="1:1" x14ac:dyDescent="0.2">
      <c r="A324" s="2">
        <v>322</v>
      </c>
    </row>
    <row r="325" spans="1:1" x14ac:dyDescent="0.2">
      <c r="A325" s="2">
        <v>323</v>
      </c>
    </row>
    <row r="326" spans="1:1" x14ac:dyDescent="0.2">
      <c r="A326" s="2">
        <v>324</v>
      </c>
    </row>
    <row r="327" spans="1:1" x14ac:dyDescent="0.2">
      <c r="A327" s="2">
        <v>325</v>
      </c>
    </row>
    <row r="328" spans="1:1" x14ac:dyDescent="0.2">
      <c r="A328" s="2">
        <v>326</v>
      </c>
    </row>
    <row r="329" spans="1:1" x14ac:dyDescent="0.2">
      <c r="A329" s="2">
        <v>327</v>
      </c>
    </row>
    <row r="330" spans="1:1" x14ac:dyDescent="0.2">
      <c r="A330" s="2">
        <v>328</v>
      </c>
    </row>
    <row r="331" spans="1:1" x14ac:dyDescent="0.2">
      <c r="A331" s="2">
        <v>329</v>
      </c>
    </row>
    <row r="332" spans="1:1" x14ac:dyDescent="0.2">
      <c r="A332" s="2">
        <v>330</v>
      </c>
    </row>
    <row r="333" spans="1:1" x14ac:dyDescent="0.2">
      <c r="A333" s="2">
        <v>331</v>
      </c>
    </row>
    <row r="334" spans="1:1" x14ac:dyDescent="0.2">
      <c r="A334" s="2">
        <v>332</v>
      </c>
    </row>
    <row r="335" spans="1:1" x14ac:dyDescent="0.2">
      <c r="A335" s="2">
        <v>333</v>
      </c>
    </row>
    <row r="336" spans="1:1" x14ac:dyDescent="0.2">
      <c r="A336" s="2">
        <v>334</v>
      </c>
    </row>
    <row r="337" spans="1:1" x14ac:dyDescent="0.2">
      <c r="A337" s="2">
        <v>335</v>
      </c>
    </row>
    <row r="338" spans="1:1" x14ac:dyDescent="0.2">
      <c r="A338" s="2">
        <v>336</v>
      </c>
    </row>
    <row r="339" spans="1:1" x14ac:dyDescent="0.2">
      <c r="A339" s="2">
        <v>337</v>
      </c>
    </row>
    <row r="340" spans="1:1" x14ac:dyDescent="0.2">
      <c r="A340" s="2">
        <v>338</v>
      </c>
    </row>
    <row r="341" spans="1:1" x14ac:dyDescent="0.2">
      <c r="A341" s="2">
        <v>339</v>
      </c>
    </row>
    <row r="342" spans="1:1" x14ac:dyDescent="0.2">
      <c r="A342" s="2">
        <v>340</v>
      </c>
    </row>
    <row r="343" spans="1:1" x14ac:dyDescent="0.2">
      <c r="A343" s="2">
        <v>341</v>
      </c>
    </row>
    <row r="344" spans="1:1" x14ac:dyDescent="0.2">
      <c r="A344" s="2">
        <v>342</v>
      </c>
    </row>
    <row r="345" spans="1:1" x14ac:dyDescent="0.2">
      <c r="A345" s="2">
        <v>343</v>
      </c>
    </row>
    <row r="346" spans="1:1" x14ac:dyDescent="0.2">
      <c r="A346" s="2">
        <v>344</v>
      </c>
    </row>
    <row r="347" spans="1:1" x14ac:dyDescent="0.2">
      <c r="A347" s="2">
        <v>345</v>
      </c>
    </row>
    <row r="348" spans="1:1" x14ac:dyDescent="0.2">
      <c r="A348" s="2">
        <v>346</v>
      </c>
    </row>
    <row r="349" spans="1:1" x14ac:dyDescent="0.2">
      <c r="A349" s="2">
        <v>347</v>
      </c>
    </row>
    <row r="350" spans="1:1" x14ac:dyDescent="0.2">
      <c r="A350" s="2">
        <v>348</v>
      </c>
    </row>
    <row r="351" spans="1:1" x14ac:dyDescent="0.2">
      <c r="A351" s="2">
        <v>349</v>
      </c>
    </row>
    <row r="352" spans="1:1" x14ac:dyDescent="0.2">
      <c r="A352" s="2">
        <v>350</v>
      </c>
    </row>
    <row r="353" spans="1:1" x14ac:dyDescent="0.2">
      <c r="A353" s="2">
        <v>351</v>
      </c>
    </row>
    <row r="354" spans="1:1" x14ac:dyDescent="0.2">
      <c r="A354" s="2">
        <v>352</v>
      </c>
    </row>
    <row r="355" spans="1:1" x14ac:dyDescent="0.2">
      <c r="A355" s="2">
        <v>353</v>
      </c>
    </row>
    <row r="356" spans="1:1" x14ac:dyDescent="0.2">
      <c r="A356" s="2">
        <v>354</v>
      </c>
    </row>
    <row r="357" spans="1:1" x14ac:dyDescent="0.2">
      <c r="A357" s="2">
        <v>355</v>
      </c>
    </row>
    <row r="358" spans="1:1" x14ac:dyDescent="0.2">
      <c r="A358" s="2">
        <v>356</v>
      </c>
    </row>
    <row r="359" spans="1:1" x14ac:dyDescent="0.2">
      <c r="A359" s="2">
        <v>357</v>
      </c>
    </row>
    <row r="360" spans="1:1" x14ac:dyDescent="0.2">
      <c r="A360" s="2">
        <v>358</v>
      </c>
    </row>
    <row r="361" spans="1:1" x14ac:dyDescent="0.2">
      <c r="A361" s="2">
        <v>359</v>
      </c>
    </row>
    <row r="362" spans="1:1" x14ac:dyDescent="0.2">
      <c r="A362" s="2">
        <v>360</v>
      </c>
    </row>
    <row r="363" spans="1:1" x14ac:dyDescent="0.2">
      <c r="A363" s="2">
        <v>361</v>
      </c>
    </row>
    <row r="364" spans="1:1" x14ac:dyDescent="0.2">
      <c r="A364" s="2">
        <v>362</v>
      </c>
    </row>
    <row r="365" spans="1:1" x14ac:dyDescent="0.2">
      <c r="A365" s="2">
        <v>363</v>
      </c>
    </row>
    <row r="366" spans="1:1" x14ac:dyDescent="0.2">
      <c r="A366" s="2">
        <v>364</v>
      </c>
    </row>
    <row r="367" spans="1:1" x14ac:dyDescent="0.2">
      <c r="A367" s="2">
        <v>365</v>
      </c>
    </row>
    <row r="368" spans="1:1" x14ac:dyDescent="0.2">
      <c r="A368" s="2">
        <v>366</v>
      </c>
    </row>
    <row r="369" spans="1:1" x14ac:dyDescent="0.2">
      <c r="A369" s="2">
        <v>367</v>
      </c>
    </row>
    <row r="370" spans="1:1" x14ac:dyDescent="0.2">
      <c r="A370" s="2">
        <v>368</v>
      </c>
    </row>
    <row r="371" spans="1:1" x14ac:dyDescent="0.2">
      <c r="A371" s="2">
        <v>369</v>
      </c>
    </row>
    <row r="372" spans="1:1" x14ac:dyDescent="0.2">
      <c r="A372" s="2">
        <v>370</v>
      </c>
    </row>
    <row r="373" spans="1:1" x14ac:dyDescent="0.2">
      <c r="A373" s="2">
        <v>371</v>
      </c>
    </row>
    <row r="374" spans="1:1" x14ac:dyDescent="0.2">
      <c r="A374" s="2">
        <v>372</v>
      </c>
    </row>
    <row r="375" spans="1:1" x14ac:dyDescent="0.2">
      <c r="A375" s="2">
        <v>373</v>
      </c>
    </row>
    <row r="376" spans="1:1" x14ac:dyDescent="0.2">
      <c r="A376" s="2">
        <v>374</v>
      </c>
    </row>
    <row r="377" spans="1:1" x14ac:dyDescent="0.2">
      <c r="A377" s="2">
        <v>375</v>
      </c>
    </row>
    <row r="378" spans="1:1" x14ac:dyDescent="0.2">
      <c r="A378" s="2">
        <v>376</v>
      </c>
    </row>
    <row r="379" spans="1:1" x14ac:dyDescent="0.2">
      <c r="A379" s="2">
        <v>377</v>
      </c>
    </row>
    <row r="380" spans="1:1" x14ac:dyDescent="0.2">
      <c r="A380" s="2">
        <v>378</v>
      </c>
    </row>
    <row r="381" spans="1:1" x14ac:dyDescent="0.2">
      <c r="A381" s="2">
        <v>379</v>
      </c>
    </row>
    <row r="382" spans="1:1" x14ac:dyDescent="0.2">
      <c r="A382" s="2">
        <v>380</v>
      </c>
    </row>
    <row r="383" spans="1:1" x14ac:dyDescent="0.2">
      <c r="A383" s="2">
        <v>381</v>
      </c>
    </row>
    <row r="384" spans="1:1" x14ac:dyDescent="0.2">
      <c r="A384" s="2">
        <v>382</v>
      </c>
    </row>
    <row r="385" spans="1:1" x14ac:dyDescent="0.2">
      <c r="A385" s="2">
        <v>383</v>
      </c>
    </row>
    <row r="386" spans="1:1" x14ac:dyDescent="0.2">
      <c r="A386" s="2">
        <v>384</v>
      </c>
    </row>
    <row r="387" spans="1:1" x14ac:dyDescent="0.2">
      <c r="A387" s="2">
        <v>385</v>
      </c>
    </row>
    <row r="388" spans="1:1" x14ac:dyDescent="0.2">
      <c r="A388" s="2">
        <v>386</v>
      </c>
    </row>
    <row r="389" spans="1:1" x14ac:dyDescent="0.2">
      <c r="A389" s="2">
        <v>387</v>
      </c>
    </row>
    <row r="390" spans="1:1" x14ac:dyDescent="0.2">
      <c r="A390" s="2">
        <v>388</v>
      </c>
    </row>
    <row r="391" spans="1:1" x14ac:dyDescent="0.2">
      <c r="A391" s="2">
        <v>389</v>
      </c>
    </row>
    <row r="392" spans="1:1" x14ac:dyDescent="0.2">
      <c r="A392" s="2">
        <v>390</v>
      </c>
    </row>
    <row r="393" spans="1:1" x14ac:dyDescent="0.2">
      <c r="A393" s="2">
        <v>391</v>
      </c>
    </row>
    <row r="394" spans="1:1" x14ac:dyDescent="0.2">
      <c r="A394" s="2">
        <v>392</v>
      </c>
    </row>
    <row r="395" spans="1:1" x14ac:dyDescent="0.2">
      <c r="A395" s="2">
        <v>393</v>
      </c>
    </row>
    <row r="396" spans="1:1" x14ac:dyDescent="0.2">
      <c r="A396" s="2">
        <v>394</v>
      </c>
    </row>
    <row r="397" spans="1:1" x14ac:dyDescent="0.2">
      <c r="A397" s="2">
        <v>395</v>
      </c>
    </row>
    <row r="398" spans="1:1" x14ac:dyDescent="0.2">
      <c r="A398" s="2">
        <v>396</v>
      </c>
    </row>
    <row r="399" spans="1:1" x14ac:dyDescent="0.2">
      <c r="A399" s="2">
        <v>397</v>
      </c>
    </row>
    <row r="400" spans="1:1" x14ac:dyDescent="0.2">
      <c r="A400" s="2">
        <v>398</v>
      </c>
    </row>
    <row r="401" spans="1:1" x14ac:dyDescent="0.2">
      <c r="A401" s="2">
        <v>399</v>
      </c>
    </row>
    <row r="402" spans="1:1" x14ac:dyDescent="0.2">
      <c r="A402" s="2">
        <v>400</v>
      </c>
    </row>
    <row r="403" spans="1:1" x14ac:dyDescent="0.2">
      <c r="A403" s="2">
        <v>401</v>
      </c>
    </row>
    <row r="404" spans="1:1" x14ac:dyDescent="0.2">
      <c r="A404" s="2">
        <v>402</v>
      </c>
    </row>
    <row r="405" spans="1:1" x14ac:dyDescent="0.2">
      <c r="A405" s="2">
        <v>403</v>
      </c>
    </row>
    <row r="406" spans="1:1" x14ac:dyDescent="0.2">
      <c r="A406" s="2">
        <v>404</v>
      </c>
    </row>
    <row r="407" spans="1:1" x14ac:dyDescent="0.2">
      <c r="A407" s="2">
        <v>405</v>
      </c>
    </row>
    <row r="408" spans="1:1" x14ac:dyDescent="0.2">
      <c r="A408" s="2">
        <v>406</v>
      </c>
    </row>
    <row r="409" spans="1:1" x14ac:dyDescent="0.2">
      <c r="A409" s="2">
        <v>407</v>
      </c>
    </row>
    <row r="410" spans="1:1" x14ac:dyDescent="0.2">
      <c r="A410" s="2">
        <v>408</v>
      </c>
    </row>
    <row r="411" spans="1:1" x14ac:dyDescent="0.2">
      <c r="A411" s="2">
        <v>409</v>
      </c>
    </row>
    <row r="412" spans="1:1" x14ac:dyDescent="0.2">
      <c r="A412" s="2">
        <v>410</v>
      </c>
    </row>
    <row r="413" spans="1:1" x14ac:dyDescent="0.2">
      <c r="A413" s="2">
        <v>411</v>
      </c>
    </row>
    <row r="414" spans="1:1" x14ac:dyDescent="0.2">
      <c r="A414" s="2">
        <v>412</v>
      </c>
    </row>
    <row r="415" spans="1:1" x14ac:dyDescent="0.2">
      <c r="A415" s="2">
        <v>413</v>
      </c>
    </row>
    <row r="416" spans="1:1" x14ac:dyDescent="0.2">
      <c r="A416" s="2">
        <v>414</v>
      </c>
    </row>
    <row r="417" spans="1:1" x14ac:dyDescent="0.2">
      <c r="A417" s="2">
        <v>415</v>
      </c>
    </row>
    <row r="418" spans="1:1" x14ac:dyDescent="0.2">
      <c r="A418" s="2">
        <v>416</v>
      </c>
    </row>
    <row r="419" spans="1:1" x14ac:dyDescent="0.2">
      <c r="A419" s="2">
        <v>417</v>
      </c>
    </row>
    <row r="420" spans="1:1" x14ac:dyDescent="0.2">
      <c r="A420" s="2">
        <v>418</v>
      </c>
    </row>
    <row r="421" spans="1:1" x14ac:dyDescent="0.2">
      <c r="A421" s="2">
        <v>419</v>
      </c>
    </row>
    <row r="422" spans="1:1" x14ac:dyDescent="0.2">
      <c r="A422" s="2">
        <v>420</v>
      </c>
    </row>
    <row r="423" spans="1:1" x14ac:dyDescent="0.2">
      <c r="A423" s="2">
        <v>421</v>
      </c>
    </row>
    <row r="424" spans="1:1" x14ac:dyDescent="0.2">
      <c r="A424" s="2">
        <v>422</v>
      </c>
    </row>
    <row r="425" spans="1:1" x14ac:dyDescent="0.2">
      <c r="A425" s="2">
        <v>423</v>
      </c>
    </row>
    <row r="426" spans="1:1" x14ac:dyDescent="0.2">
      <c r="A426" s="2">
        <v>424</v>
      </c>
    </row>
    <row r="427" spans="1:1" x14ac:dyDescent="0.2">
      <c r="A427" s="2">
        <v>425</v>
      </c>
    </row>
    <row r="428" spans="1:1" x14ac:dyDescent="0.2">
      <c r="A428" s="2">
        <v>426</v>
      </c>
    </row>
    <row r="429" spans="1:1" x14ac:dyDescent="0.2">
      <c r="A429" s="2">
        <v>427</v>
      </c>
    </row>
    <row r="430" spans="1:1" x14ac:dyDescent="0.2">
      <c r="A430" s="2">
        <v>428</v>
      </c>
    </row>
    <row r="431" spans="1:1" x14ac:dyDescent="0.2">
      <c r="A431" s="2">
        <v>429</v>
      </c>
    </row>
    <row r="432" spans="1:1" x14ac:dyDescent="0.2">
      <c r="A432" s="2">
        <v>430</v>
      </c>
    </row>
    <row r="433" spans="1:1" x14ac:dyDescent="0.2">
      <c r="A433" s="2">
        <v>431</v>
      </c>
    </row>
    <row r="434" spans="1:1" x14ac:dyDescent="0.2">
      <c r="A434" s="2">
        <v>432</v>
      </c>
    </row>
    <row r="435" spans="1:1" x14ac:dyDescent="0.2">
      <c r="A435" s="2">
        <v>433</v>
      </c>
    </row>
    <row r="436" spans="1:1" x14ac:dyDescent="0.2">
      <c r="A436" s="2">
        <v>434</v>
      </c>
    </row>
    <row r="437" spans="1:1" x14ac:dyDescent="0.2">
      <c r="A437" s="2">
        <v>435</v>
      </c>
    </row>
    <row r="438" spans="1:1" x14ac:dyDescent="0.2">
      <c r="A438" s="2">
        <v>436</v>
      </c>
    </row>
    <row r="439" spans="1:1" x14ac:dyDescent="0.2">
      <c r="A439" s="2">
        <v>437</v>
      </c>
    </row>
    <row r="440" spans="1:1" x14ac:dyDescent="0.2">
      <c r="A440" s="2">
        <v>438</v>
      </c>
    </row>
    <row r="441" spans="1:1" x14ac:dyDescent="0.2">
      <c r="A441" s="2">
        <v>439</v>
      </c>
    </row>
    <row r="442" spans="1:1" x14ac:dyDescent="0.2">
      <c r="A442" s="2">
        <v>440</v>
      </c>
    </row>
    <row r="443" spans="1:1" x14ac:dyDescent="0.2">
      <c r="A443" s="2">
        <v>441</v>
      </c>
    </row>
    <row r="444" spans="1:1" x14ac:dyDescent="0.2">
      <c r="A444" s="2">
        <v>442</v>
      </c>
    </row>
    <row r="445" spans="1:1" x14ac:dyDescent="0.2">
      <c r="A445" s="2">
        <v>443</v>
      </c>
    </row>
    <row r="446" spans="1:1" x14ac:dyDescent="0.2">
      <c r="A446" s="2">
        <v>444</v>
      </c>
    </row>
    <row r="447" spans="1:1" x14ac:dyDescent="0.2">
      <c r="A447" s="2">
        <v>445</v>
      </c>
    </row>
    <row r="448" spans="1:1" x14ac:dyDescent="0.2">
      <c r="A448" s="2">
        <v>446</v>
      </c>
    </row>
    <row r="449" spans="1:1" x14ac:dyDescent="0.2">
      <c r="A449" s="2">
        <v>447</v>
      </c>
    </row>
    <row r="450" spans="1:1" x14ac:dyDescent="0.2">
      <c r="A450" s="2">
        <v>448</v>
      </c>
    </row>
    <row r="451" spans="1:1" x14ac:dyDescent="0.2">
      <c r="A451" s="2">
        <v>449</v>
      </c>
    </row>
    <row r="452" spans="1:1" x14ac:dyDescent="0.2">
      <c r="A452" s="2">
        <v>450</v>
      </c>
    </row>
    <row r="453" spans="1:1" x14ac:dyDescent="0.2">
      <c r="A453" s="2">
        <v>451</v>
      </c>
    </row>
    <row r="454" spans="1:1" x14ac:dyDescent="0.2">
      <c r="A454" s="2">
        <v>452</v>
      </c>
    </row>
    <row r="455" spans="1:1" x14ac:dyDescent="0.2">
      <c r="A455" s="2">
        <v>453</v>
      </c>
    </row>
    <row r="456" spans="1:1" x14ac:dyDescent="0.2">
      <c r="A456" s="2">
        <v>454</v>
      </c>
    </row>
    <row r="457" spans="1:1" x14ac:dyDescent="0.2">
      <c r="A457" s="2">
        <v>455</v>
      </c>
    </row>
    <row r="458" spans="1:1" x14ac:dyDescent="0.2">
      <c r="A458" s="2">
        <v>456</v>
      </c>
    </row>
    <row r="459" spans="1:1" x14ac:dyDescent="0.2">
      <c r="A459" s="2">
        <v>457</v>
      </c>
    </row>
    <row r="460" spans="1:1" x14ac:dyDescent="0.2">
      <c r="A460" s="2">
        <v>458</v>
      </c>
    </row>
    <row r="461" spans="1:1" x14ac:dyDescent="0.2">
      <c r="A461" s="2">
        <v>459</v>
      </c>
    </row>
    <row r="462" spans="1:1" x14ac:dyDescent="0.2">
      <c r="A462" s="2">
        <v>460</v>
      </c>
    </row>
    <row r="463" spans="1:1" x14ac:dyDescent="0.2">
      <c r="A463" s="2">
        <v>461</v>
      </c>
    </row>
    <row r="464" spans="1:1" x14ac:dyDescent="0.2">
      <c r="A464" s="2">
        <v>462</v>
      </c>
    </row>
    <row r="465" spans="1:1" x14ac:dyDescent="0.2">
      <c r="A465" s="2">
        <v>463</v>
      </c>
    </row>
    <row r="466" spans="1:1" x14ac:dyDescent="0.2">
      <c r="A466" s="2">
        <v>464</v>
      </c>
    </row>
    <row r="467" spans="1:1" x14ac:dyDescent="0.2">
      <c r="A467" s="2">
        <v>465</v>
      </c>
    </row>
    <row r="468" spans="1:1" x14ac:dyDescent="0.2">
      <c r="A468" s="2">
        <v>466</v>
      </c>
    </row>
    <row r="469" spans="1:1" x14ac:dyDescent="0.2">
      <c r="A469" s="2">
        <v>467</v>
      </c>
    </row>
    <row r="470" spans="1:1" x14ac:dyDescent="0.2">
      <c r="A470" s="2">
        <v>468</v>
      </c>
    </row>
    <row r="471" spans="1:1" x14ac:dyDescent="0.2">
      <c r="A471" s="2">
        <v>469</v>
      </c>
    </row>
    <row r="472" spans="1:1" x14ac:dyDescent="0.2">
      <c r="A472" s="2">
        <v>470</v>
      </c>
    </row>
    <row r="473" spans="1:1" x14ac:dyDescent="0.2">
      <c r="A473" s="2">
        <v>471</v>
      </c>
    </row>
    <row r="474" spans="1:1" x14ac:dyDescent="0.2">
      <c r="A474" s="2">
        <v>472</v>
      </c>
    </row>
    <row r="475" spans="1:1" x14ac:dyDescent="0.2">
      <c r="A475" s="2">
        <v>473</v>
      </c>
    </row>
    <row r="476" spans="1:1" x14ac:dyDescent="0.2">
      <c r="A476" s="2">
        <v>474</v>
      </c>
    </row>
    <row r="477" spans="1:1" x14ac:dyDescent="0.2">
      <c r="A477" s="2">
        <v>475</v>
      </c>
    </row>
    <row r="478" spans="1:1" x14ac:dyDescent="0.2">
      <c r="A478" s="2">
        <v>476</v>
      </c>
    </row>
    <row r="479" spans="1:1" x14ac:dyDescent="0.2">
      <c r="A479" s="2">
        <v>477</v>
      </c>
    </row>
    <row r="480" spans="1:1" x14ac:dyDescent="0.2">
      <c r="A480" s="2">
        <v>478</v>
      </c>
    </row>
    <row r="481" spans="1:1" x14ac:dyDescent="0.2">
      <c r="A481" s="2">
        <v>479</v>
      </c>
    </row>
    <row r="482" spans="1:1" x14ac:dyDescent="0.2">
      <c r="A482" s="2">
        <v>480</v>
      </c>
    </row>
    <row r="483" spans="1:1" x14ac:dyDescent="0.2">
      <c r="A483" s="2">
        <v>481</v>
      </c>
    </row>
    <row r="484" spans="1:1" x14ac:dyDescent="0.2">
      <c r="A484" s="2">
        <v>482</v>
      </c>
    </row>
    <row r="485" spans="1:1" x14ac:dyDescent="0.2">
      <c r="A485" s="2">
        <v>483</v>
      </c>
    </row>
    <row r="486" spans="1:1" x14ac:dyDescent="0.2">
      <c r="A486" s="2">
        <v>484</v>
      </c>
    </row>
    <row r="487" spans="1:1" x14ac:dyDescent="0.2">
      <c r="A487" s="2">
        <v>485</v>
      </c>
    </row>
    <row r="488" spans="1:1" x14ac:dyDescent="0.2">
      <c r="A488" s="2">
        <v>486</v>
      </c>
    </row>
    <row r="489" spans="1:1" x14ac:dyDescent="0.2">
      <c r="A489" s="2">
        <v>487</v>
      </c>
    </row>
    <row r="490" spans="1:1" x14ac:dyDescent="0.2">
      <c r="A490" s="2">
        <v>488</v>
      </c>
    </row>
    <row r="491" spans="1:1" x14ac:dyDescent="0.2">
      <c r="A491" s="2">
        <v>489</v>
      </c>
    </row>
    <row r="492" spans="1:1" x14ac:dyDescent="0.2">
      <c r="A492" s="2">
        <v>490</v>
      </c>
    </row>
    <row r="493" spans="1:1" x14ac:dyDescent="0.2">
      <c r="A493" s="2">
        <v>491</v>
      </c>
    </row>
    <row r="494" spans="1:1" x14ac:dyDescent="0.2">
      <c r="A494" s="2">
        <v>492</v>
      </c>
    </row>
    <row r="495" spans="1:1" x14ac:dyDescent="0.2">
      <c r="A495" s="2">
        <v>493</v>
      </c>
    </row>
    <row r="496" spans="1:1" x14ac:dyDescent="0.2">
      <c r="A496" s="2">
        <v>494</v>
      </c>
    </row>
    <row r="497" spans="1:1" x14ac:dyDescent="0.2">
      <c r="A497" s="2">
        <v>495</v>
      </c>
    </row>
    <row r="498" spans="1:1" x14ac:dyDescent="0.2">
      <c r="A498" s="2">
        <v>496</v>
      </c>
    </row>
    <row r="499" spans="1:1" x14ac:dyDescent="0.2">
      <c r="A499" s="2">
        <v>497</v>
      </c>
    </row>
    <row r="500" spans="1:1" x14ac:dyDescent="0.2">
      <c r="A500" s="2">
        <v>498</v>
      </c>
    </row>
    <row r="501" spans="1:1" x14ac:dyDescent="0.2">
      <c r="A501" s="2">
        <v>499</v>
      </c>
    </row>
    <row r="502" spans="1:1" x14ac:dyDescent="0.2">
      <c r="A502" s="2">
        <v>500</v>
      </c>
    </row>
    <row r="503" spans="1:1" x14ac:dyDescent="0.2">
      <c r="A503" s="2">
        <v>501</v>
      </c>
    </row>
    <row r="504" spans="1:1" x14ac:dyDescent="0.2">
      <c r="A504" s="2">
        <v>502</v>
      </c>
    </row>
    <row r="505" spans="1:1" x14ac:dyDescent="0.2">
      <c r="A505" s="2">
        <v>503</v>
      </c>
    </row>
    <row r="506" spans="1:1" x14ac:dyDescent="0.2">
      <c r="A506" s="2">
        <v>504</v>
      </c>
    </row>
    <row r="507" spans="1:1" x14ac:dyDescent="0.2">
      <c r="A507" s="2">
        <v>505</v>
      </c>
    </row>
    <row r="508" spans="1:1" x14ac:dyDescent="0.2">
      <c r="A508" s="2">
        <v>506</v>
      </c>
    </row>
    <row r="509" spans="1:1" x14ac:dyDescent="0.2">
      <c r="A509" s="2">
        <v>507</v>
      </c>
    </row>
    <row r="510" spans="1:1" x14ac:dyDescent="0.2">
      <c r="A510" s="2">
        <v>508</v>
      </c>
    </row>
    <row r="511" spans="1:1" x14ac:dyDescent="0.2">
      <c r="A511" s="2">
        <v>509</v>
      </c>
    </row>
    <row r="512" spans="1:1" x14ac:dyDescent="0.2">
      <c r="A512" s="2">
        <v>510</v>
      </c>
    </row>
    <row r="513" spans="1:1" x14ac:dyDescent="0.2">
      <c r="A513" s="2">
        <v>511</v>
      </c>
    </row>
    <row r="514" spans="1:1" x14ac:dyDescent="0.2">
      <c r="A514" s="2">
        <v>512</v>
      </c>
    </row>
    <row r="515" spans="1:1" x14ac:dyDescent="0.2">
      <c r="A515" s="2">
        <v>513</v>
      </c>
    </row>
    <row r="516" spans="1:1" x14ac:dyDescent="0.2">
      <c r="A516" s="2">
        <v>514</v>
      </c>
    </row>
    <row r="517" spans="1:1" x14ac:dyDescent="0.2">
      <c r="A517" s="2">
        <v>515</v>
      </c>
    </row>
    <row r="518" spans="1:1" x14ac:dyDescent="0.2">
      <c r="A518" s="2">
        <v>516</v>
      </c>
    </row>
    <row r="519" spans="1:1" x14ac:dyDescent="0.2">
      <c r="A519" s="2">
        <v>517</v>
      </c>
    </row>
    <row r="520" spans="1:1" x14ac:dyDescent="0.2">
      <c r="A520" s="2">
        <v>518</v>
      </c>
    </row>
    <row r="521" spans="1:1" x14ac:dyDescent="0.2">
      <c r="A521" s="2">
        <v>519</v>
      </c>
    </row>
    <row r="522" spans="1:1" x14ac:dyDescent="0.2">
      <c r="A522" s="2">
        <v>520</v>
      </c>
    </row>
    <row r="523" spans="1:1" x14ac:dyDescent="0.2">
      <c r="A523" s="2">
        <v>521</v>
      </c>
    </row>
    <row r="524" spans="1:1" x14ac:dyDescent="0.2">
      <c r="A524" s="2">
        <v>522</v>
      </c>
    </row>
    <row r="525" spans="1:1" x14ac:dyDescent="0.2">
      <c r="A525" s="2">
        <v>523</v>
      </c>
    </row>
    <row r="526" spans="1:1" x14ac:dyDescent="0.2">
      <c r="A526" s="2">
        <v>524</v>
      </c>
    </row>
    <row r="527" spans="1:1" x14ac:dyDescent="0.2">
      <c r="A527" s="2">
        <v>525</v>
      </c>
    </row>
    <row r="528" spans="1:1" x14ac:dyDescent="0.2">
      <c r="A528" s="2">
        <v>526</v>
      </c>
    </row>
    <row r="529" spans="1:1" x14ac:dyDescent="0.2">
      <c r="A529" s="2">
        <v>527</v>
      </c>
    </row>
    <row r="530" spans="1:1" x14ac:dyDescent="0.2">
      <c r="A530" s="2">
        <v>528</v>
      </c>
    </row>
    <row r="531" spans="1:1" x14ac:dyDescent="0.2">
      <c r="A531" s="2">
        <v>529</v>
      </c>
    </row>
    <row r="532" spans="1:1" x14ac:dyDescent="0.2">
      <c r="A532" s="2">
        <v>530</v>
      </c>
    </row>
    <row r="533" spans="1:1" x14ac:dyDescent="0.2">
      <c r="A533" s="2">
        <v>531</v>
      </c>
    </row>
    <row r="534" spans="1:1" x14ac:dyDescent="0.2">
      <c r="A534" s="2">
        <v>532</v>
      </c>
    </row>
    <row r="535" spans="1:1" x14ac:dyDescent="0.2">
      <c r="A535" s="2">
        <v>533</v>
      </c>
    </row>
    <row r="536" spans="1:1" x14ac:dyDescent="0.2">
      <c r="A536" s="2">
        <v>534</v>
      </c>
    </row>
    <row r="537" spans="1:1" x14ac:dyDescent="0.2">
      <c r="A537" s="2">
        <v>535</v>
      </c>
    </row>
    <row r="538" spans="1:1" x14ac:dyDescent="0.2">
      <c r="A538" s="2">
        <v>536</v>
      </c>
    </row>
    <row r="539" spans="1:1" x14ac:dyDescent="0.2">
      <c r="A539" s="2">
        <v>537</v>
      </c>
    </row>
    <row r="540" spans="1:1" x14ac:dyDescent="0.2">
      <c r="A540" s="2">
        <v>538</v>
      </c>
    </row>
    <row r="541" spans="1:1" x14ac:dyDescent="0.2">
      <c r="A541" s="2">
        <v>539</v>
      </c>
    </row>
    <row r="542" spans="1:1" x14ac:dyDescent="0.2">
      <c r="A542" s="2">
        <v>540</v>
      </c>
    </row>
    <row r="543" spans="1:1" x14ac:dyDescent="0.2">
      <c r="A543" s="2">
        <v>541</v>
      </c>
    </row>
    <row r="544" spans="1:1" x14ac:dyDescent="0.2">
      <c r="A544" s="2">
        <v>542</v>
      </c>
    </row>
    <row r="545" spans="1:1" x14ac:dyDescent="0.2">
      <c r="A545" s="2">
        <v>543</v>
      </c>
    </row>
    <row r="546" spans="1:1" x14ac:dyDescent="0.2">
      <c r="A546" s="2">
        <v>544</v>
      </c>
    </row>
    <row r="547" spans="1:1" x14ac:dyDescent="0.2">
      <c r="A547" s="2">
        <v>545</v>
      </c>
    </row>
    <row r="548" spans="1:1" x14ac:dyDescent="0.2">
      <c r="A548" s="2">
        <v>546</v>
      </c>
    </row>
    <row r="549" spans="1:1" x14ac:dyDescent="0.2">
      <c r="A549" s="2">
        <v>547</v>
      </c>
    </row>
    <row r="550" spans="1:1" x14ac:dyDescent="0.2">
      <c r="A550" s="2">
        <v>548</v>
      </c>
    </row>
    <row r="551" spans="1:1" x14ac:dyDescent="0.2">
      <c r="A551" s="2">
        <v>549</v>
      </c>
    </row>
    <row r="552" spans="1:1" x14ac:dyDescent="0.2">
      <c r="A552" s="2">
        <v>550</v>
      </c>
    </row>
    <row r="553" spans="1:1" x14ac:dyDescent="0.2">
      <c r="A553" s="2">
        <v>551</v>
      </c>
    </row>
    <row r="554" spans="1:1" x14ac:dyDescent="0.2">
      <c r="A554" s="2">
        <v>552</v>
      </c>
    </row>
    <row r="555" spans="1:1" x14ac:dyDescent="0.2">
      <c r="A555" s="2">
        <v>553</v>
      </c>
    </row>
    <row r="556" spans="1:1" x14ac:dyDescent="0.2">
      <c r="A556" s="2">
        <v>554</v>
      </c>
    </row>
    <row r="557" spans="1:1" x14ac:dyDescent="0.2">
      <c r="A557" s="2">
        <v>555</v>
      </c>
    </row>
    <row r="558" spans="1:1" x14ac:dyDescent="0.2">
      <c r="A558" s="2">
        <v>556</v>
      </c>
    </row>
    <row r="559" spans="1:1" x14ac:dyDescent="0.2">
      <c r="A559" s="2">
        <v>557</v>
      </c>
    </row>
    <row r="560" spans="1:1" x14ac:dyDescent="0.2">
      <c r="A560" s="2">
        <v>558</v>
      </c>
    </row>
    <row r="561" spans="1:1" x14ac:dyDescent="0.2">
      <c r="A561" s="2">
        <v>559</v>
      </c>
    </row>
    <row r="562" spans="1:1" x14ac:dyDescent="0.2">
      <c r="A562" s="2">
        <v>560</v>
      </c>
    </row>
    <row r="563" spans="1:1" x14ac:dyDescent="0.2">
      <c r="A563" s="2">
        <v>561</v>
      </c>
    </row>
    <row r="564" spans="1:1" x14ac:dyDescent="0.2">
      <c r="A564" s="2">
        <v>562</v>
      </c>
    </row>
    <row r="565" spans="1:1" x14ac:dyDescent="0.2">
      <c r="A565" s="2">
        <v>563</v>
      </c>
    </row>
    <row r="566" spans="1:1" x14ac:dyDescent="0.2">
      <c r="A566" s="2">
        <v>564</v>
      </c>
    </row>
    <row r="567" spans="1:1" x14ac:dyDescent="0.2">
      <c r="A567" s="2">
        <v>565</v>
      </c>
    </row>
    <row r="568" spans="1:1" x14ac:dyDescent="0.2">
      <c r="A568" s="2">
        <v>566</v>
      </c>
    </row>
    <row r="569" spans="1:1" x14ac:dyDescent="0.2">
      <c r="A569" s="2">
        <v>567</v>
      </c>
    </row>
    <row r="570" spans="1:1" x14ac:dyDescent="0.2">
      <c r="A570" s="2">
        <v>568</v>
      </c>
    </row>
    <row r="571" spans="1:1" x14ac:dyDescent="0.2">
      <c r="A571" s="2">
        <v>569</v>
      </c>
    </row>
    <row r="572" spans="1:1" x14ac:dyDescent="0.2">
      <c r="A572" s="2">
        <v>570</v>
      </c>
    </row>
    <row r="573" spans="1:1" x14ac:dyDescent="0.2">
      <c r="A573" s="2">
        <v>571</v>
      </c>
    </row>
    <row r="574" spans="1:1" x14ac:dyDescent="0.2">
      <c r="A574" s="2">
        <v>572</v>
      </c>
    </row>
    <row r="575" spans="1:1" x14ac:dyDescent="0.2">
      <c r="A575" s="2">
        <v>573</v>
      </c>
    </row>
    <row r="576" spans="1:1" x14ac:dyDescent="0.2">
      <c r="A576" s="2">
        <v>574</v>
      </c>
    </row>
    <row r="577" spans="1:1" x14ac:dyDescent="0.2">
      <c r="A577" s="2">
        <v>575</v>
      </c>
    </row>
    <row r="578" spans="1:1" x14ac:dyDescent="0.2">
      <c r="A578" s="2">
        <v>576</v>
      </c>
    </row>
    <row r="579" spans="1:1" x14ac:dyDescent="0.2">
      <c r="A579" s="2">
        <v>577</v>
      </c>
    </row>
    <row r="580" spans="1:1" x14ac:dyDescent="0.2">
      <c r="A580" s="2">
        <v>578</v>
      </c>
    </row>
    <row r="581" spans="1:1" x14ac:dyDescent="0.2">
      <c r="A581" s="2">
        <v>579</v>
      </c>
    </row>
    <row r="582" spans="1:1" x14ac:dyDescent="0.2">
      <c r="A582" s="2">
        <v>580</v>
      </c>
    </row>
    <row r="583" spans="1:1" x14ac:dyDescent="0.2">
      <c r="A583" s="2">
        <v>581</v>
      </c>
    </row>
    <row r="584" spans="1:1" x14ac:dyDescent="0.2">
      <c r="A584" s="2">
        <v>582</v>
      </c>
    </row>
    <row r="585" spans="1:1" x14ac:dyDescent="0.2">
      <c r="A585" s="2">
        <v>583</v>
      </c>
    </row>
    <row r="586" spans="1:1" x14ac:dyDescent="0.2">
      <c r="A586" s="2">
        <v>584</v>
      </c>
    </row>
    <row r="587" spans="1:1" x14ac:dyDescent="0.2">
      <c r="A587" s="2">
        <v>585</v>
      </c>
    </row>
    <row r="588" spans="1:1" x14ac:dyDescent="0.2">
      <c r="A588" s="2">
        <v>586</v>
      </c>
    </row>
    <row r="589" spans="1:1" x14ac:dyDescent="0.2">
      <c r="A589" s="2">
        <v>587</v>
      </c>
    </row>
    <row r="590" spans="1:1" x14ac:dyDescent="0.2">
      <c r="A590" s="2">
        <v>588</v>
      </c>
    </row>
    <row r="591" spans="1:1" x14ac:dyDescent="0.2">
      <c r="A591" s="2">
        <v>589</v>
      </c>
    </row>
    <row r="592" spans="1:1" x14ac:dyDescent="0.2">
      <c r="A592" s="2">
        <v>590</v>
      </c>
    </row>
    <row r="593" spans="1:1" x14ac:dyDescent="0.2">
      <c r="A593" s="2">
        <v>591</v>
      </c>
    </row>
    <row r="594" spans="1:1" x14ac:dyDescent="0.2">
      <c r="A594" s="2">
        <v>592</v>
      </c>
    </row>
    <row r="595" spans="1:1" x14ac:dyDescent="0.2">
      <c r="A595" s="2">
        <v>593</v>
      </c>
    </row>
    <row r="596" spans="1:1" x14ac:dyDescent="0.2">
      <c r="A596" s="2">
        <v>594</v>
      </c>
    </row>
    <row r="597" spans="1:1" x14ac:dyDescent="0.2">
      <c r="A597" s="2">
        <v>595</v>
      </c>
    </row>
    <row r="598" spans="1:1" x14ac:dyDescent="0.2">
      <c r="A598" s="2">
        <v>596</v>
      </c>
    </row>
    <row r="599" spans="1:1" x14ac:dyDescent="0.2">
      <c r="A599" s="2">
        <v>597</v>
      </c>
    </row>
    <row r="600" spans="1:1" x14ac:dyDescent="0.2">
      <c r="A600" s="2">
        <v>598</v>
      </c>
    </row>
    <row r="601" spans="1:1" x14ac:dyDescent="0.2">
      <c r="A601" s="2">
        <v>599</v>
      </c>
    </row>
    <row r="602" spans="1:1" x14ac:dyDescent="0.2">
      <c r="A602" s="2">
        <v>600</v>
      </c>
    </row>
    <row r="603" spans="1:1" x14ac:dyDescent="0.2">
      <c r="A603" s="2">
        <v>601</v>
      </c>
    </row>
    <row r="604" spans="1:1" x14ac:dyDescent="0.2">
      <c r="A604" s="2">
        <v>602</v>
      </c>
    </row>
    <row r="605" spans="1:1" x14ac:dyDescent="0.2">
      <c r="A605" s="2">
        <v>603</v>
      </c>
    </row>
    <row r="606" spans="1:1" x14ac:dyDescent="0.2">
      <c r="A606" s="2">
        <v>604</v>
      </c>
    </row>
    <row r="607" spans="1:1" x14ac:dyDescent="0.2">
      <c r="A607" s="2">
        <v>605</v>
      </c>
    </row>
    <row r="608" spans="1:1" x14ac:dyDescent="0.2">
      <c r="A608" s="2">
        <v>606</v>
      </c>
    </row>
    <row r="609" spans="1:1" x14ac:dyDescent="0.2">
      <c r="A609" s="2">
        <v>607</v>
      </c>
    </row>
    <row r="610" spans="1:1" x14ac:dyDescent="0.2">
      <c r="A610" s="2">
        <v>608</v>
      </c>
    </row>
    <row r="611" spans="1:1" x14ac:dyDescent="0.2">
      <c r="A611" s="2">
        <v>609</v>
      </c>
    </row>
    <row r="612" spans="1:1" x14ac:dyDescent="0.2">
      <c r="A612" s="2">
        <v>610</v>
      </c>
    </row>
    <row r="613" spans="1:1" x14ac:dyDescent="0.2">
      <c r="A613" s="2">
        <v>611</v>
      </c>
    </row>
    <row r="614" spans="1:1" x14ac:dyDescent="0.2">
      <c r="A614" s="2">
        <v>612</v>
      </c>
    </row>
    <row r="615" spans="1:1" x14ac:dyDescent="0.2">
      <c r="A615" s="2">
        <v>613</v>
      </c>
    </row>
    <row r="616" spans="1:1" x14ac:dyDescent="0.2">
      <c r="A616" s="2">
        <v>614</v>
      </c>
    </row>
    <row r="617" spans="1:1" x14ac:dyDescent="0.2">
      <c r="A617" s="2">
        <v>615</v>
      </c>
    </row>
    <row r="618" spans="1:1" x14ac:dyDescent="0.2">
      <c r="A618" s="2">
        <v>616</v>
      </c>
    </row>
    <row r="619" spans="1:1" x14ac:dyDescent="0.2">
      <c r="A619" s="2">
        <v>617</v>
      </c>
    </row>
    <row r="620" spans="1:1" x14ac:dyDescent="0.2">
      <c r="A620" s="2">
        <v>618</v>
      </c>
    </row>
    <row r="621" spans="1:1" x14ac:dyDescent="0.2">
      <c r="A621" s="2">
        <v>619</v>
      </c>
    </row>
    <row r="622" spans="1:1" x14ac:dyDescent="0.2">
      <c r="A622" s="2">
        <v>620</v>
      </c>
    </row>
    <row r="623" spans="1:1" x14ac:dyDescent="0.2">
      <c r="A623" s="2">
        <v>621</v>
      </c>
    </row>
    <row r="624" spans="1:1" x14ac:dyDescent="0.2">
      <c r="A624" s="2">
        <v>622</v>
      </c>
    </row>
    <row r="625" spans="1:1" x14ac:dyDescent="0.2">
      <c r="A625" s="2">
        <v>623</v>
      </c>
    </row>
    <row r="626" spans="1:1" x14ac:dyDescent="0.2">
      <c r="A626" s="2">
        <v>624</v>
      </c>
    </row>
    <row r="627" spans="1:1" x14ac:dyDescent="0.2">
      <c r="A627" s="2">
        <v>625</v>
      </c>
    </row>
    <row r="628" spans="1:1" x14ac:dyDescent="0.2">
      <c r="A628" s="2">
        <v>626</v>
      </c>
    </row>
    <row r="629" spans="1:1" x14ac:dyDescent="0.2">
      <c r="A629" s="2">
        <v>627</v>
      </c>
    </row>
    <row r="630" spans="1:1" x14ac:dyDescent="0.2">
      <c r="A630" s="2">
        <v>628</v>
      </c>
    </row>
    <row r="631" spans="1:1" x14ac:dyDescent="0.2">
      <c r="A631" s="2">
        <v>629</v>
      </c>
    </row>
    <row r="632" spans="1:1" x14ac:dyDescent="0.2">
      <c r="A632" s="2">
        <v>630</v>
      </c>
    </row>
    <row r="633" spans="1:1" x14ac:dyDescent="0.2">
      <c r="A633" s="2">
        <v>631</v>
      </c>
    </row>
    <row r="634" spans="1:1" x14ac:dyDescent="0.2">
      <c r="A634" s="2">
        <v>632</v>
      </c>
    </row>
    <row r="635" spans="1:1" x14ac:dyDescent="0.2">
      <c r="A635" s="2">
        <v>633</v>
      </c>
    </row>
    <row r="636" spans="1:1" x14ac:dyDescent="0.2">
      <c r="A636" s="2">
        <v>634</v>
      </c>
    </row>
    <row r="637" spans="1:1" x14ac:dyDescent="0.2">
      <c r="A637" s="2">
        <v>635</v>
      </c>
    </row>
    <row r="638" spans="1:1" x14ac:dyDescent="0.2">
      <c r="A638" s="2">
        <v>636</v>
      </c>
    </row>
    <row r="639" spans="1:1" x14ac:dyDescent="0.2">
      <c r="A639" s="2">
        <v>637</v>
      </c>
    </row>
    <row r="640" spans="1:1" x14ac:dyDescent="0.2">
      <c r="A640" s="2">
        <v>638</v>
      </c>
    </row>
    <row r="641" spans="1:1" x14ac:dyDescent="0.2">
      <c r="A641" s="2">
        <v>639</v>
      </c>
    </row>
    <row r="642" spans="1:1" x14ac:dyDescent="0.2">
      <c r="A642" s="2">
        <v>640</v>
      </c>
    </row>
    <row r="643" spans="1:1" x14ac:dyDescent="0.2">
      <c r="A643" s="2">
        <v>641</v>
      </c>
    </row>
    <row r="644" spans="1:1" x14ac:dyDescent="0.2">
      <c r="A644" s="2">
        <v>642</v>
      </c>
    </row>
    <row r="645" spans="1:1" x14ac:dyDescent="0.2">
      <c r="A645" s="2">
        <v>643</v>
      </c>
    </row>
    <row r="646" spans="1:1" x14ac:dyDescent="0.2">
      <c r="A646" s="2">
        <v>644</v>
      </c>
    </row>
    <row r="647" spans="1:1" x14ac:dyDescent="0.2">
      <c r="A647" s="2">
        <v>645</v>
      </c>
    </row>
    <row r="648" spans="1:1" x14ac:dyDescent="0.2">
      <c r="A648" s="2">
        <v>646</v>
      </c>
    </row>
    <row r="649" spans="1:1" x14ac:dyDescent="0.2">
      <c r="A649" s="2">
        <v>647</v>
      </c>
    </row>
    <row r="650" spans="1:1" x14ac:dyDescent="0.2">
      <c r="A650" s="2">
        <v>648</v>
      </c>
    </row>
    <row r="651" spans="1:1" x14ac:dyDescent="0.2">
      <c r="A651" s="2">
        <v>649</v>
      </c>
    </row>
    <row r="652" spans="1:1" x14ac:dyDescent="0.2">
      <c r="A652" s="2">
        <v>650</v>
      </c>
    </row>
    <row r="653" spans="1:1" x14ac:dyDescent="0.2">
      <c r="A653" s="2">
        <v>651</v>
      </c>
    </row>
    <row r="654" spans="1:1" x14ac:dyDescent="0.2">
      <c r="A654" s="2">
        <v>652</v>
      </c>
    </row>
    <row r="655" spans="1:1" x14ac:dyDescent="0.2">
      <c r="A655" s="2">
        <v>653</v>
      </c>
    </row>
    <row r="656" spans="1:1" x14ac:dyDescent="0.2">
      <c r="A656" s="2">
        <v>654</v>
      </c>
    </row>
    <row r="657" spans="1:1" x14ac:dyDescent="0.2">
      <c r="A657" s="2">
        <v>655</v>
      </c>
    </row>
    <row r="658" spans="1:1" x14ac:dyDescent="0.2">
      <c r="A658" s="2">
        <v>656</v>
      </c>
    </row>
    <row r="659" spans="1:1" x14ac:dyDescent="0.2">
      <c r="A659" s="2">
        <v>657</v>
      </c>
    </row>
    <row r="660" spans="1:1" x14ac:dyDescent="0.2">
      <c r="A660" s="2">
        <v>658</v>
      </c>
    </row>
    <row r="661" spans="1:1" x14ac:dyDescent="0.2">
      <c r="A661" s="2">
        <v>659</v>
      </c>
    </row>
    <row r="662" spans="1:1" x14ac:dyDescent="0.2">
      <c r="A662" s="2">
        <v>660</v>
      </c>
    </row>
    <row r="663" spans="1:1" x14ac:dyDescent="0.2">
      <c r="A663" s="2">
        <v>661</v>
      </c>
    </row>
    <row r="664" spans="1:1" x14ac:dyDescent="0.2">
      <c r="A664" s="2">
        <v>662</v>
      </c>
    </row>
    <row r="665" spans="1:1" x14ac:dyDescent="0.2">
      <c r="A665" s="2">
        <v>663</v>
      </c>
    </row>
    <row r="666" spans="1:1" x14ac:dyDescent="0.2">
      <c r="A666" s="2">
        <v>664</v>
      </c>
    </row>
    <row r="667" spans="1:1" x14ac:dyDescent="0.2">
      <c r="A667" s="2">
        <v>665</v>
      </c>
    </row>
    <row r="668" spans="1:1" x14ac:dyDescent="0.2">
      <c r="A668" s="2">
        <v>666</v>
      </c>
    </row>
    <row r="669" spans="1:1" x14ac:dyDescent="0.2">
      <c r="A669" s="2">
        <v>667</v>
      </c>
    </row>
    <row r="670" spans="1:1" x14ac:dyDescent="0.2">
      <c r="A670" s="2">
        <v>668</v>
      </c>
    </row>
    <row r="671" spans="1:1" x14ac:dyDescent="0.2">
      <c r="A671" s="2">
        <v>669</v>
      </c>
    </row>
    <row r="672" spans="1:1" x14ac:dyDescent="0.2">
      <c r="A672" s="2">
        <v>670</v>
      </c>
    </row>
    <row r="673" spans="1:1" x14ac:dyDescent="0.2">
      <c r="A673" s="2">
        <v>671</v>
      </c>
    </row>
    <row r="674" spans="1:1" x14ac:dyDescent="0.2">
      <c r="A674" s="2">
        <v>672</v>
      </c>
    </row>
    <row r="675" spans="1:1" x14ac:dyDescent="0.2">
      <c r="A675" s="2">
        <v>673</v>
      </c>
    </row>
    <row r="676" spans="1:1" x14ac:dyDescent="0.2">
      <c r="A676" s="2">
        <v>674</v>
      </c>
    </row>
    <row r="677" spans="1:1" x14ac:dyDescent="0.2">
      <c r="A677" s="2">
        <v>675</v>
      </c>
    </row>
    <row r="678" spans="1:1" x14ac:dyDescent="0.2">
      <c r="A678" s="2">
        <v>676</v>
      </c>
    </row>
    <row r="679" spans="1:1" x14ac:dyDescent="0.2">
      <c r="A679" s="2">
        <v>677</v>
      </c>
    </row>
    <row r="680" spans="1:1" x14ac:dyDescent="0.2">
      <c r="A680" s="2">
        <v>678</v>
      </c>
    </row>
    <row r="681" spans="1:1" x14ac:dyDescent="0.2">
      <c r="A681" s="2">
        <v>679</v>
      </c>
    </row>
    <row r="682" spans="1:1" x14ac:dyDescent="0.2">
      <c r="A682" s="2">
        <v>680</v>
      </c>
    </row>
    <row r="683" spans="1:1" x14ac:dyDescent="0.2">
      <c r="A683" s="2">
        <v>681</v>
      </c>
    </row>
    <row r="684" spans="1:1" x14ac:dyDescent="0.2">
      <c r="A684" s="2">
        <v>682</v>
      </c>
    </row>
    <row r="685" spans="1:1" x14ac:dyDescent="0.2">
      <c r="A685" s="2">
        <v>683</v>
      </c>
    </row>
    <row r="686" spans="1:1" x14ac:dyDescent="0.2">
      <c r="A686" s="2">
        <v>684</v>
      </c>
    </row>
    <row r="687" spans="1:1" x14ac:dyDescent="0.2">
      <c r="A687" s="2">
        <v>685</v>
      </c>
    </row>
    <row r="688" spans="1:1" x14ac:dyDescent="0.2">
      <c r="A688" s="2">
        <v>686</v>
      </c>
    </row>
    <row r="689" spans="1:1" x14ac:dyDescent="0.2">
      <c r="A689" s="2">
        <v>687</v>
      </c>
    </row>
    <row r="690" spans="1:1" x14ac:dyDescent="0.2">
      <c r="A690" s="2">
        <v>688</v>
      </c>
    </row>
    <row r="691" spans="1:1" x14ac:dyDescent="0.2">
      <c r="A691" s="2">
        <v>689</v>
      </c>
    </row>
    <row r="692" spans="1:1" x14ac:dyDescent="0.2">
      <c r="A692" s="2">
        <v>690</v>
      </c>
    </row>
    <row r="693" spans="1:1" x14ac:dyDescent="0.2">
      <c r="A693" s="2">
        <v>691</v>
      </c>
    </row>
    <row r="694" spans="1:1" x14ac:dyDescent="0.2">
      <c r="A694" s="2">
        <v>692</v>
      </c>
    </row>
    <row r="695" spans="1:1" x14ac:dyDescent="0.2">
      <c r="A695" s="2">
        <v>693</v>
      </c>
    </row>
    <row r="696" spans="1:1" x14ac:dyDescent="0.2">
      <c r="A696" s="2">
        <v>694</v>
      </c>
    </row>
    <row r="697" spans="1:1" x14ac:dyDescent="0.2">
      <c r="A697" s="2">
        <v>695</v>
      </c>
    </row>
    <row r="698" spans="1:1" x14ac:dyDescent="0.2">
      <c r="A698" s="2">
        <v>696</v>
      </c>
    </row>
    <row r="699" spans="1:1" x14ac:dyDescent="0.2">
      <c r="A699" s="2">
        <v>697</v>
      </c>
    </row>
    <row r="700" spans="1:1" x14ac:dyDescent="0.2">
      <c r="A700" s="2">
        <v>698</v>
      </c>
    </row>
    <row r="701" spans="1:1" x14ac:dyDescent="0.2">
      <c r="A701" s="2">
        <v>699</v>
      </c>
    </row>
    <row r="702" spans="1:1" x14ac:dyDescent="0.2">
      <c r="A702" s="2">
        <v>700</v>
      </c>
    </row>
    <row r="703" spans="1:1" x14ac:dyDescent="0.2">
      <c r="A703" s="2">
        <v>701</v>
      </c>
    </row>
    <row r="704" spans="1:1" x14ac:dyDescent="0.2">
      <c r="A704" s="2">
        <v>702</v>
      </c>
    </row>
    <row r="705" spans="1:1" x14ac:dyDescent="0.2">
      <c r="A705" s="2">
        <v>703</v>
      </c>
    </row>
    <row r="706" spans="1:1" x14ac:dyDescent="0.2">
      <c r="A706" s="2">
        <v>704</v>
      </c>
    </row>
    <row r="707" spans="1:1" x14ac:dyDescent="0.2">
      <c r="A707" s="2">
        <v>705</v>
      </c>
    </row>
    <row r="708" spans="1:1" x14ac:dyDescent="0.2">
      <c r="A708" s="2">
        <v>706</v>
      </c>
    </row>
    <row r="709" spans="1:1" x14ac:dyDescent="0.2">
      <c r="A709" s="2">
        <v>707</v>
      </c>
    </row>
    <row r="710" spans="1:1" x14ac:dyDescent="0.2">
      <c r="A710" s="2">
        <v>708</v>
      </c>
    </row>
    <row r="711" spans="1:1" x14ac:dyDescent="0.2">
      <c r="A711" s="2">
        <v>709</v>
      </c>
    </row>
    <row r="712" spans="1:1" x14ac:dyDescent="0.2">
      <c r="A712" s="2">
        <v>710</v>
      </c>
    </row>
    <row r="713" spans="1:1" x14ac:dyDescent="0.2">
      <c r="A713" s="2">
        <v>711</v>
      </c>
    </row>
    <row r="714" spans="1:1" x14ac:dyDescent="0.2">
      <c r="A714" s="2">
        <v>712</v>
      </c>
    </row>
    <row r="715" spans="1:1" x14ac:dyDescent="0.2">
      <c r="A715" s="2">
        <v>713</v>
      </c>
    </row>
    <row r="716" spans="1:1" x14ac:dyDescent="0.2">
      <c r="A716" s="2">
        <v>714</v>
      </c>
    </row>
    <row r="717" spans="1:1" x14ac:dyDescent="0.2">
      <c r="A717" s="2">
        <v>715</v>
      </c>
    </row>
    <row r="718" spans="1:1" x14ac:dyDescent="0.2">
      <c r="A718" s="2">
        <v>716</v>
      </c>
    </row>
    <row r="719" spans="1:1" x14ac:dyDescent="0.2">
      <c r="A719" s="2">
        <v>717</v>
      </c>
    </row>
    <row r="720" spans="1:1" x14ac:dyDescent="0.2">
      <c r="A720" s="2">
        <v>718</v>
      </c>
    </row>
    <row r="721" spans="1:1" x14ac:dyDescent="0.2">
      <c r="A721" s="2">
        <v>719</v>
      </c>
    </row>
    <row r="722" spans="1:1" x14ac:dyDescent="0.2">
      <c r="A722" s="2">
        <v>720</v>
      </c>
    </row>
    <row r="723" spans="1:1" x14ac:dyDescent="0.2">
      <c r="A723" s="2">
        <v>721</v>
      </c>
    </row>
    <row r="724" spans="1:1" x14ac:dyDescent="0.2">
      <c r="A724" s="2">
        <v>722</v>
      </c>
    </row>
    <row r="725" spans="1:1" x14ac:dyDescent="0.2">
      <c r="A725" s="2">
        <v>723</v>
      </c>
    </row>
    <row r="726" spans="1:1" x14ac:dyDescent="0.2">
      <c r="A726" s="2">
        <v>724</v>
      </c>
    </row>
    <row r="727" spans="1:1" x14ac:dyDescent="0.2">
      <c r="A727" s="2">
        <v>725</v>
      </c>
    </row>
    <row r="728" spans="1:1" x14ac:dyDescent="0.2">
      <c r="A728" s="2">
        <v>726</v>
      </c>
    </row>
    <row r="729" spans="1:1" x14ac:dyDescent="0.2">
      <c r="A729" s="2">
        <v>727</v>
      </c>
    </row>
    <row r="730" spans="1:1" x14ac:dyDescent="0.2">
      <c r="A730" s="2">
        <v>728</v>
      </c>
    </row>
    <row r="731" spans="1:1" x14ac:dyDescent="0.2">
      <c r="A731" s="2">
        <v>729</v>
      </c>
    </row>
    <row r="732" spans="1:1" x14ac:dyDescent="0.2">
      <c r="A732" s="2">
        <v>730</v>
      </c>
    </row>
    <row r="733" spans="1:1" x14ac:dyDescent="0.2">
      <c r="A733" s="2">
        <v>731</v>
      </c>
    </row>
    <row r="734" spans="1:1" x14ac:dyDescent="0.2">
      <c r="A734" s="2">
        <v>732</v>
      </c>
    </row>
    <row r="735" spans="1:1" x14ac:dyDescent="0.2">
      <c r="A735" s="2">
        <v>733</v>
      </c>
    </row>
    <row r="736" spans="1:1" x14ac:dyDescent="0.2">
      <c r="A736" s="2">
        <v>734</v>
      </c>
    </row>
    <row r="737" spans="1:1" x14ac:dyDescent="0.2">
      <c r="A737" s="2">
        <v>735</v>
      </c>
    </row>
    <row r="738" spans="1:1" x14ac:dyDescent="0.2">
      <c r="A738" s="2">
        <v>736</v>
      </c>
    </row>
    <row r="739" spans="1:1" x14ac:dyDescent="0.2">
      <c r="A739" s="2">
        <v>737</v>
      </c>
    </row>
    <row r="740" spans="1:1" x14ac:dyDescent="0.2">
      <c r="A740" s="2">
        <v>738</v>
      </c>
    </row>
    <row r="741" spans="1:1" x14ac:dyDescent="0.2">
      <c r="A741" s="2">
        <v>739</v>
      </c>
    </row>
    <row r="742" spans="1:1" x14ac:dyDescent="0.2">
      <c r="A742" s="2">
        <v>740</v>
      </c>
    </row>
    <row r="743" spans="1:1" x14ac:dyDescent="0.2">
      <c r="A743" s="2">
        <v>741</v>
      </c>
    </row>
    <row r="744" spans="1:1" x14ac:dyDescent="0.2">
      <c r="A744" s="2">
        <v>742</v>
      </c>
    </row>
    <row r="745" spans="1:1" x14ac:dyDescent="0.2">
      <c r="A745" s="2">
        <v>743</v>
      </c>
    </row>
    <row r="746" spans="1:1" x14ac:dyDescent="0.2">
      <c r="A746" s="2">
        <v>744</v>
      </c>
    </row>
    <row r="747" spans="1:1" x14ac:dyDescent="0.2">
      <c r="A747" s="2">
        <v>745</v>
      </c>
    </row>
    <row r="748" spans="1:1" x14ac:dyDescent="0.2">
      <c r="A748" s="2">
        <v>746</v>
      </c>
    </row>
    <row r="749" spans="1:1" x14ac:dyDescent="0.2">
      <c r="A749" s="2">
        <v>747</v>
      </c>
    </row>
    <row r="750" spans="1:1" x14ac:dyDescent="0.2">
      <c r="A750" s="2">
        <v>748</v>
      </c>
    </row>
    <row r="751" spans="1:1" x14ac:dyDescent="0.2">
      <c r="A751" s="2">
        <v>749</v>
      </c>
    </row>
    <row r="752" spans="1:1" x14ac:dyDescent="0.2">
      <c r="A752" s="2">
        <v>750</v>
      </c>
    </row>
    <row r="753" spans="1:1" x14ac:dyDescent="0.2">
      <c r="A753" s="2">
        <v>751</v>
      </c>
    </row>
    <row r="754" spans="1:1" x14ac:dyDescent="0.2">
      <c r="A754" s="2">
        <v>752</v>
      </c>
    </row>
    <row r="755" spans="1:1" x14ac:dyDescent="0.2">
      <c r="A755" s="2">
        <v>753</v>
      </c>
    </row>
    <row r="756" spans="1:1" x14ac:dyDescent="0.2">
      <c r="A756" s="2">
        <v>754</v>
      </c>
    </row>
    <row r="757" spans="1:1" x14ac:dyDescent="0.2">
      <c r="A757" s="2">
        <v>755</v>
      </c>
    </row>
    <row r="758" spans="1:1" x14ac:dyDescent="0.2">
      <c r="A758" s="2">
        <v>756</v>
      </c>
    </row>
    <row r="759" spans="1:1" x14ac:dyDescent="0.2">
      <c r="A759" s="2">
        <v>757</v>
      </c>
    </row>
    <row r="760" spans="1:1" x14ac:dyDescent="0.2">
      <c r="A760" s="2">
        <v>758</v>
      </c>
    </row>
    <row r="761" spans="1:1" x14ac:dyDescent="0.2">
      <c r="A761" s="2">
        <v>759</v>
      </c>
    </row>
    <row r="762" spans="1:1" x14ac:dyDescent="0.2">
      <c r="A762" s="2">
        <v>760</v>
      </c>
    </row>
    <row r="763" spans="1:1" x14ac:dyDescent="0.2">
      <c r="A763" s="2">
        <v>761</v>
      </c>
    </row>
    <row r="764" spans="1:1" x14ac:dyDescent="0.2">
      <c r="A764" s="2">
        <v>762</v>
      </c>
    </row>
    <row r="765" spans="1:1" x14ac:dyDescent="0.2">
      <c r="A765" s="2">
        <v>763</v>
      </c>
    </row>
    <row r="766" spans="1:1" x14ac:dyDescent="0.2">
      <c r="A766" s="2">
        <v>764</v>
      </c>
    </row>
    <row r="767" spans="1:1" x14ac:dyDescent="0.2">
      <c r="A767" s="2">
        <v>765</v>
      </c>
    </row>
    <row r="768" spans="1:1" x14ac:dyDescent="0.2">
      <c r="A768" s="2">
        <v>766</v>
      </c>
    </row>
    <row r="769" spans="1:1" x14ac:dyDescent="0.2">
      <c r="A769" s="2">
        <v>767</v>
      </c>
    </row>
    <row r="770" spans="1:1" x14ac:dyDescent="0.2">
      <c r="A770" s="2">
        <v>768</v>
      </c>
    </row>
    <row r="771" spans="1:1" x14ac:dyDescent="0.2">
      <c r="A771" s="2">
        <v>769</v>
      </c>
    </row>
    <row r="772" spans="1:1" x14ac:dyDescent="0.2">
      <c r="A772" s="2">
        <v>770</v>
      </c>
    </row>
    <row r="773" spans="1:1" x14ac:dyDescent="0.2">
      <c r="A773" s="2">
        <v>771</v>
      </c>
    </row>
    <row r="774" spans="1:1" x14ac:dyDescent="0.2">
      <c r="A774" s="2">
        <v>772</v>
      </c>
    </row>
    <row r="775" spans="1:1" x14ac:dyDescent="0.2">
      <c r="A775" s="2">
        <v>773</v>
      </c>
    </row>
    <row r="776" spans="1:1" x14ac:dyDescent="0.2">
      <c r="A776" s="2">
        <v>774</v>
      </c>
    </row>
    <row r="777" spans="1:1" x14ac:dyDescent="0.2">
      <c r="A777" s="2">
        <v>775</v>
      </c>
    </row>
    <row r="778" spans="1:1" x14ac:dyDescent="0.2">
      <c r="A778" s="2">
        <v>776</v>
      </c>
    </row>
    <row r="779" spans="1:1" x14ac:dyDescent="0.2">
      <c r="A779" s="2">
        <v>777</v>
      </c>
    </row>
    <row r="780" spans="1:1" x14ac:dyDescent="0.2">
      <c r="A780" s="2">
        <v>778</v>
      </c>
    </row>
    <row r="781" spans="1:1" x14ac:dyDescent="0.2">
      <c r="A781" s="2">
        <v>779</v>
      </c>
    </row>
    <row r="782" spans="1:1" x14ac:dyDescent="0.2">
      <c r="A782" s="2">
        <v>780</v>
      </c>
    </row>
    <row r="783" spans="1:1" x14ac:dyDescent="0.2">
      <c r="A783" s="2">
        <v>781</v>
      </c>
    </row>
    <row r="784" spans="1:1" x14ac:dyDescent="0.2">
      <c r="A784" s="2">
        <v>782</v>
      </c>
    </row>
    <row r="785" spans="1:1" x14ac:dyDescent="0.2">
      <c r="A785" s="2">
        <v>783</v>
      </c>
    </row>
    <row r="786" spans="1:1" x14ac:dyDescent="0.2">
      <c r="A786" s="2">
        <v>784</v>
      </c>
    </row>
    <row r="787" spans="1:1" x14ac:dyDescent="0.2">
      <c r="A787" s="2">
        <v>785</v>
      </c>
    </row>
    <row r="788" spans="1:1" x14ac:dyDescent="0.2">
      <c r="A788" s="2">
        <v>786</v>
      </c>
    </row>
    <row r="789" spans="1:1" x14ac:dyDescent="0.2">
      <c r="A789" s="2">
        <v>787</v>
      </c>
    </row>
    <row r="790" spans="1:1" x14ac:dyDescent="0.2">
      <c r="A790" s="2">
        <v>788</v>
      </c>
    </row>
    <row r="791" spans="1:1" x14ac:dyDescent="0.2">
      <c r="A791" s="2">
        <v>789</v>
      </c>
    </row>
    <row r="792" spans="1:1" x14ac:dyDescent="0.2">
      <c r="A792" s="2">
        <v>790</v>
      </c>
    </row>
    <row r="793" spans="1:1" x14ac:dyDescent="0.2">
      <c r="A793" s="2">
        <v>791</v>
      </c>
    </row>
    <row r="794" spans="1:1" x14ac:dyDescent="0.2">
      <c r="A794" s="2">
        <v>792</v>
      </c>
    </row>
    <row r="795" spans="1:1" x14ac:dyDescent="0.2">
      <c r="A795" s="2">
        <v>793</v>
      </c>
    </row>
    <row r="796" spans="1:1" x14ac:dyDescent="0.2">
      <c r="A796" s="2">
        <v>794</v>
      </c>
    </row>
    <row r="797" spans="1:1" x14ac:dyDescent="0.2">
      <c r="A797" s="2">
        <v>795</v>
      </c>
    </row>
    <row r="798" spans="1:1" x14ac:dyDescent="0.2">
      <c r="A798" s="2">
        <v>796</v>
      </c>
    </row>
    <row r="799" spans="1:1" x14ac:dyDescent="0.2">
      <c r="A799" s="2">
        <v>797</v>
      </c>
    </row>
    <row r="800" spans="1:1" x14ac:dyDescent="0.2">
      <c r="A800" s="2">
        <v>798</v>
      </c>
    </row>
    <row r="801" spans="1:1" x14ac:dyDescent="0.2">
      <c r="A801" s="2">
        <v>799</v>
      </c>
    </row>
    <row r="802" spans="1:1" x14ac:dyDescent="0.2">
      <c r="A802" s="2">
        <v>800</v>
      </c>
    </row>
    <row r="803" spans="1:1" x14ac:dyDescent="0.2">
      <c r="A803" s="2">
        <v>801</v>
      </c>
    </row>
    <row r="804" spans="1:1" x14ac:dyDescent="0.2">
      <c r="A804" s="2">
        <v>802</v>
      </c>
    </row>
    <row r="805" spans="1:1" x14ac:dyDescent="0.2">
      <c r="A805" s="2">
        <v>803</v>
      </c>
    </row>
    <row r="806" spans="1:1" x14ac:dyDescent="0.2">
      <c r="A806" s="2">
        <v>804</v>
      </c>
    </row>
    <row r="807" spans="1:1" x14ac:dyDescent="0.2">
      <c r="A807" s="2">
        <v>805</v>
      </c>
    </row>
    <row r="808" spans="1:1" x14ac:dyDescent="0.2">
      <c r="A808" s="2">
        <v>806</v>
      </c>
    </row>
    <row r="809" spans="1:1" x14ac:dyDescent="0.2">
      <c r="A809" s="2">
        <v>807</v>
      </c>
    </row>
    <row r="810" spans="1:1" x14ac:dyDescent="0.2">
      <c r="A810" s="2">
        <v>808</v>
      </c>
    </row>
    <row r="811" spans="1:1" x14ac:dyDescent="0.2">
      <c r="A811" s="2">
        <v>809</v>
      </c>
    </row>
    <row r="812" spans="1:1" x14ac:dyDescent="0.2">
      <c r="A812" s="2">
        <v>810</v>
      </c>
    </row>
    <row r="813" spans="1:1" x14ac:dyDescent="0.2">
      <c r="A813" s="2">
        <v>811</v>
      </c>
    </row>
    <row r="814" spans="1:1" x14ac:dyDescent="0.2">
      <c r="A814" s="2">
        <v>812</v>
      </c>
    </row>
    <row r="815" spans="1:1" x14ac:dyDescent="0.2">
      <c r="A815" s="2">
        <v>813</v>
      </c>
    </row>
    <row r="816" spans="1:1" x14ac:dyDescent="0.2">
      <c r="A816" s="2">
        <v>814</v>
      </c>
    </row>
    <row r="817" spans="1:1" x14ac:dyDescent="0.2">
      <c r="A817" s="2">
        <v>815</v>
      </c>
    </row>
    <row r="818" spans="1:1" x14ac:dyDescent="0.2">
      <c r="A818" s="2">
        <v>816</v>
      </c>
    </row>
    <row r="819" spans="1:1" x14ac:dyDescent="0.2">
      <c r="A819" s="2">
        <v>817</v>
      </c>
    </row>
    <row r="820" spans="1:1" x14ac:dyDescent="0.2">
      <c r="A820" s="2">
        <v>818</v>
      </c>
    </row>
    <row r="821" spans="1:1" x14ac:dyDescent="0.2">
      <c r="A821" s="2">
        <v>819</v>
      </c>
    </row>
    <row r="822" spans="1:1" x14ac:dyDescent="0.2">
      <c r="A822" s="2">
        <v>820</v>
      </c>
    </row>
    <row r="823" spans="1:1" x14ac:dyDescent="0.2">
      <c r="A823" s="2">
        <v>821</v>
      </c>
    </row>
    <row r="824" spans="1:1" x14ac:dyDescent="0.2">
      <c r="A824" s="2">
        <v>822</v>
      </c>
    </row>
    <row r="825" spans="1:1" x14ac:dyDescent="0.2">
      <c r="A825" s="2">
        <v>823</v>
      </c>
    </row>
    <row r="826" spans="1:1" x14ac:dyDescent="0.2">
      <c r="A826" s="2">
        <v>824</v>
      </c>
    </row>
    <row r="827" spans="1:1" x14ac:dyDescent="0.2">
      <c r="A827" s="2">
        <v>825</v>
      </c>
    </row>
    <row r="828" spans="1:1" x14ac:dyDescent="0.2">
      <c r="A828" s="2">
        <v>826</v>
      </c>
    </row>
    <row r="829" spans="1:1" x14ac:dyDescent="0.2">
      <c r="A829" s="2">
        <v>827</v>
      </c>
    </row>
    <row r="830" spans="1:1" x14ac:dyDescent="0.2">
      <c r="A830" s="2">
        <v>828</v>
      </c>
    </row>
    <row r="831" spans="1:1" x14ac:dyDescent="0.2">
      <c r="A831" s="2">
        <v>829</v>
      </c>
    </row>
    <row r="832" spans="1:1" x14ac:dyDescent="0.2">
      <c r="A832" s="2">
        <v>830</v>
      </c>
    </row>
    <row r="833" spans="1:1" x14ac:dyDescent="0.2">
      <c r="A833" s="2">
        <v>831</v>
      </c>
    </row>
    <row r="834" spans="1:1" x14ac:dyDescent="0.2">
      <c r="A834" s="2">
        <v>832</v>
      </c>
    </row>
    <row r="835" spans="1:1" x14ac:dyDescent="0.2">
      <c r="A835" s="2">
        <v>833</v>
      </c>
    </row>
    <row r="836" spans="1:1" x14ac:dyDescent="0.2">
      <c r="A836" s="2">
        <v>834</v>
      </c>
    </row>
    <row r="837" spans="1:1" x14ac:dyDescent="0.2">
      <c r="A837" s="2">
        <v>835</v>
      </c>
    </row>
    <row r="838" spans="1:1" x14ac:dyDescent="0.2">
      <c r="A838" s="2">
        <v>836</v>
      </c>
    </row>
    <row r="839" spans="1:1" x14ac:dyDescent="0.2">
      <c r="A839" s="2">
        <v>837</v>
      </c>
    </row>
    <row r="840" spans="1:1" x14ac:dyDescent="0.2">
      <c r="A840" s="2">
        <v>838</v>
      </c>
    </row>
    <row r="841" spans="1:1" x14ac:dyDescent="0.2">
      <c r="A841" s="2">
        <v>839</v>
      </c>
    </row>
    <row r="842" spans="1:1" x14ac:dyDescent="0.2">
      <c r="A842" s="2">
        <v>840</v>
      </c>
    </row>
    <row r="843" spans="1:1" x14ac:dyDescent="0.2">
      <c r="A843" s="2">
        <v>841</v>
      </c>
    </row>
    <row r="844" spans="1:1" x14ac:dyDescent="0.2">
      <c r="A844" s="2">
        <v>842</v>
      </c>
    </row>
    <row r="845" spans="1:1" x14ac:dyDescent="0.2">
      <c r="A845" s="2">
        <v>843</v>
      </c>
    </row>
    <row r="846" spans="1:1" x14ac:dyDescent="0.2">
      <c r="A846" s="2">
        <v>844</v>
      </c>
    </row>
    <row r="847" spans="1:1" x14ac:dyDescent="0.2">
      <c r="A847" s="2">
        <v>845</v>
      </c>
    </row>
    <row r="848" spans="1:1" x14ac:dyDescent="0.2">
      <c r="A848" s="2">
        <v>846</v>
      </c>
    </row>
    <row r="849" spans="1:1" x14ac:dyDescent="0.2">
      <c r="A849" s="2">
        <v>847</v>
      </c>
    </row>
    <row r="850" spans="1:1" x14ac:dyDescent="0.2">
      <c r="A850" s="2">
        <v>848</v>
      </c>
    </row>
    <row r="851" spans="1:1" x14ac:dyDescent="0.2">
      <c r="A851" s="2">
        <v>849</v>
      </c>
    </row>
    <row r="852" spans="1:1" x14ac:dyDescent="0.2">
      <c r="A852" s="2">
        <v>850</v>
      </c>
    </row>
    <row r="853" spans="1:1" x14ac:dyDescent="0.2">
      <c r="A853" s="2">
        <v>851</v>
      </c>
    </row>
    <row r="854" spans="1:1" x14ac:dyDescent="0.2">
      <c r="A854" s="2">
        <v>852</v>
      </c>
    </row>
    <row r="855" spans="1:1" x14ac:dyDescent="0.2">
      <c r="A855" s="2">
        <v>853</v>
      </c>
    </row>
    <row r="856" spans="1:1" x14ac:dyDescent="0.2">
      <c r="A856" s="2">
        <v>854</v>
      </c>
    </row>
    <row r="857" spans="1:1" x14ac:dyDescent="0.2">
      <c r="A857" s="2">
        <v>855</v>
      </c>
    </row>
    <row r="858" spans="1:1" x14ac:dyDescent="0.2">
      <c r="A858" s="2">
        <v>856</v>
      </c>
    </row>
    <row r="859" spans="1:1" x14ac:dyDescent="0.2">
      <c r="A859" s="2">
        <v>857</v>
      </c>
    </row>
    <row r="860" spans="1:1" x14ac:dyDescent="0.2">
      <c r="A860" s="2">
        <v>858</v>
      </c>
    </row>
    <row r="861" spans="1:1" x14ac:dyDescent="0.2">
      <c r="A861" s="2">
        <v>859</v>
      </c>
    </row>
    <row r="862" spans="1:1" x14ac:dyDescent="0.2">
      <c r="A862" s="2">
        <v>860</v>
      </c>
    </row>
    <row r="863" spans="1:1" x14ac:dyDescent="0.2">
      <c r="A863" s="2">
        <v>861</v>
      </c>
    </row>
    <row r="864" spans="1:1" x14ac:dyDescent="0.2">
      <c r="A864" s="2">
        <v>862</v>
      </c>
    </row>
    <row r="865" spans="1:1" x14ac:dyDescent="0.2">
      <c r="A865" s="2">
        <v>863</v>
      </c>
    </row>
    <row r="866" spans="1:1" x14ac:dyDescent="0.2">
      <c r="A866" s="2">
        <v>864</v>
      </c>
    </row>
    <row r="867" spans="1:1" x14ac:dyDescent="0.2">
      <c r="A867" s="2">
        <v>865</v>
      </c>
    </row>
    <row r="868" spans="1:1" x14ac:dyDescent="0.2">
      <c r="A868" s="2">
        <v>866</v>
      </c>
    </row>
    <row r="869" spans="1:1" x14ac:dyDescent="0.2">
      <c r="A869" s="2">
        <v>867</v>
      </c>
    </row>
    <row r="870" spans="1:1" x14ac:dyDescent="0.2">
      <c r="A870" s="2">
        <v>868</v>
      </c>
    </row>
    <row r="871" spans="1:1" x14ac:dyDescent="0.2">
      <c r="A871" s="2">
        <v>869</v>
      </c>
    </row>
    <row r="872" spans="1:1" x14ac:dyDescent="0.2">
      <c r="A872" s="2">
        <v>870</v>
      </c>
    </row>
    <row r="873" spans="1:1" x14ac:dyDescent="0.2">
      <c r="A873" s="2">
        <v>871</v>
      </c>
    </row>
    <row r="874" spans="1:1" x14ac:dyDescent="0.2">
      <c r="A874" s="2">
        <v>872</v>
      </c>
    </row>
    <row r="875" spans="1:1" x14ac:dyDescent="0.2">
      <c r="A875" s="2">
        <v>873</v>
      </c>
    </row>
    <row r="876" spans="1:1" x14ac:dyDescent="0.2">
      <c r="A876" s="2">
        <v>874</v>
      </c>
    </row>
    <row r="877" spans="1:1" x14ac:dyDescent="0.2">
      <c r="A877" s="2">
        <v>875</v>
      </c>
    </row>
    <row r="878" spans="1:1" x14ac:dyDescent="0.2">
      <c r="A878" s="2">
        <v>876</v>
      </c>
    </row>
    <row r="879" spans="1:1" x14ac:dyDescent="0.2">
      <c r="A879" s="2">
        <v>877</v>
      </c>
    </row>
    <row r="880" spans="1:1" x14ac:dyDescent="0.2">
      <c r="A880" s="2">
        <v>878</v>
      </c>
    </row>
    <row r="881" spans="1:1" x14ac:dyDescent="0.2">
      <c r="A881" s="2">
        <v>879</v>
      </c>
    </row>
    <row r="882" spans="1:1" x14ac:dyDescent="0.2">
      <c r="A882" s="2">
        <v>880</v>
      </c>
    </row>
    <row r="883" spans="1:1" x14ac:dyDescent="0.2">
      <c r="A883" s="2">
        <v>881</v>
      </c>
    </row>
    <row r="884" spans="1:1" x14ac:dyDescent="0.2">
      <c r="A884" s="2">
        <v>882</v>
      </c>
    </row>
    <row r="885" spans="1:1" x14ac:dyDescent="0.2">
      <c r="A885" s="2">
        <v>883</v>
      </c>
    </row>
    <row r="886" spans="1:1" x14ac:dyDescent="0.2">
      <c r="A886" s="2">
        <v>884</v>
      </c>
    </row>
    <row r="887" spans="1:1" x14ac:dyDescent="0.2">
      <c r="A887" s="2">
        <v>885</v>
      </c>
    </row>
    <row r="888" spans="1:1" x14ac:dyDescent="0.2">
      <c r="A888" s="2">
        <v>886</v>
      </c>
    </row>
    <row r="889" spans="1:1" x14ac:dyDescent="0.2">
      <c r="A889" s="2">
        <v>887</v>
      </c>
    </row>
    <row r="890" spans="1:1" x14ac:dyDescent="0.2">
      <c r="A890" s="2">
        <v>888</v>
      </c>
    </row>
    <row r="891" spans="1:1" x14ac:dyDescent="0.2">
      <c r="A891" s="2">
        <v>889</v>
      </c>
    </row>
    <row r="892" spans="1:1" x14ac:dyDescent="0.2">
      <c r="A892" s="2">
        <v>890</v>
      </c>
    </row>
    <row r="893" spans="1:1" x14ac:dyDescent="0.2">
      <c r="A893" s="2">
        <v>891</v>
      </c>
    </row>
    <row r="894" spans="1:1" x14ac:dyDescent="0.2">
      <c r="A894" s="2">
        <v>892</v>
      </c>
    </row>
    <row r="895" spans="1:1" x14ac:dyDescent="0.2">
      <c r="A895" s="2">
        <v>893</v>
      </c>
    </row>
    <row r="896" spans="1:1" x14ac:dyDescent="0.2">
      <c r="A896" s="2">
        <v>894</v>
      </c>
    </row>
    <row r="897" spans="1:1" x14ac:dyDescent="0.2">
      <c r="A897" s="2">
        <v>895</v>
      </c>
    </row>
    <row r="898" spans="1:1" x14ac:dyDescent="0.2">
      <c r="A898" s="2">
        <v>896</v>
      </c>
    </row>
    <row r="899" spans="1:1" x14ac:dyDescent="0.2">
      <c r="A899" s="2">
        <v>897</v>
      </c>
    </row>
    <row r="900" spans="1:1" x14ac:dyDescent="0.2">
      <c r="A900" s="2">
        <v>898</v>
      </c>
    </row>
    <row r="901" spans="1:1" x14ac:dyDescent="0.2">
      <c r="A901" s="2">
        <v>899</v>
      </c>
    </row>
    <row r="902" spans="1:1" x14ac:dyDescent="0.2">
      <c r="A902" s="2">
        <v>900</v>
      </c>
    </row>
    <row r="903" spans="1:1" x14ac:dyDescent="0.2">
      <c r="A903" s="2">
        <v>901</v>
      </c>
    </row>
    <row r="904" spans="1:1" x14ac:dyDescent="0.2">
      <c r="A904" s="2">
        <v>902</v>
      </c>
    </row>
    <row r="905" spans="1:1" x14ac:dyDescent="0.2">
      <c r="A905" s="2">
        <v>903</v>
      </c>
    </row>
    <row r="906" spans="1:1" x14ac:dyDescent="0.2">
      <c r="A906" s="2">
        <v>904</v>
      </c>
    </row>
    <row r="907" spans="1:1" x14ac:dyDescent="0.2">
      <c r="A907" s="2">
        <v>905</v>
      </c>
    </row>
    <row r="908" spans="1:1" x14ac:dyDescent="0.2">
      <c r="A908" s="2">
        <v>906</v>
      </c>
    </row>
    <row r="909" spans="1:1" x14ac:dyDescent="0.2">
      <c r="A909" s="2">
        <v>907</v>
      </c>
    </row>
    <row r="910" spans="1:1" x14ac:dyDescent="0.2">
      <c r="A910" s="2">
        <v>908</v>
      </c>
    </row>
    <row r="911" spans="1:1" x14ac:dyDescent="0.2">
      <c r="A911" s="2">
        <v>909</v>
      </c>
    </row>
    <row r="912" spans="1:1" x14ac:dyDescent="0.2">
      <c r="A912" s="2">
        <v>910</v>
      </c>
    </row>
    <row r="913" spans="1:1" x14ac:dyDescent="0.2">
      <c r="A913" s="2">
        <v>911</v>
      </c>
    </row>
    <row r="914" spans="1:1" x14ac:dyDescent="0.2">
      <c r="A914" s="2">
        <v>912</v>
      </c>
    </row>
    <row r="915" spans="1:1" x14ac:dyDescent="0.2">
      <c r="A915" s="2">
        <v>913</v>
      </c>
    </row>
    <row r="916" spans="1:1" x14ac:dyDescent="0.2">
      <c r="A916" s="2">
        <v>914</v>
      </c>
    </row>
    <row r="917" spans="1:1" x14ac:dyDescent="0.2">
      <c r="A917" s="2">
        <v>915</v>
      </c>
    </row>
    <row r="918" spans="1:1" x14ac:dyDescent="0.2">
      <c r="A918" s="2">
        <v>916</v>
      </c>
    </row>
    <row r="919" spans="1:1" x14ac:dyDescent="0.2">
      <c r="A919" s="2">
        <v>917</v>
      </c>
    </row>
    <row r="920" spans="1:1" x14ac:dyDescent="0.2">
      <c r="A920" s="2">
        <v>918</v>
      </c>
    </row>
    <row r="921" spans="1:1" x14ac:dyDescent="0.2">
      <c r="A921" s="2">
        <v>919</v>
      </c>
    </row>
    <row r="922" spans="1:1" x14ac:dyDescent="0.2">
      <c r="A922" s="2">
        <v>920</v>
      </c>
    </row>
    <row r="923" spans="1:1" x14ac:dyDescent="0.2">
      <c r="A923" s="2">
        <v>921</v>
      </c>
    </row>
    <row r="924" spans="1:1" x14ac:dyDescent="0.2">
      <c r="A924" s="2">
        <v>922</v>
      </c>
    </row>
    <row r="925" spans="1:1" x14ac:dyDescent="0.2">
      <c r="A925" s="2">
        <v>923</v>
      </c>
    </row>
    <row r="926" spans="1:1" x14ac:dyDescent="0.2">
      <c r="A926" s="2">
        <v>924</v>
      </c>
    </row>
    <row r="927" spans="1:1" x14ac:dyDescent="0.2">
      <c r="A927" s="2">
        <v>925</v>
      </c>
    </row>
    <row r="928" spans="1:1" x14ac:dyDescent="0.2">
      <c r="A928" s="2">
        <v>926</v>
      </c>
    </row>
    <row r="929" spans="1:1" x14ac:dyDescent="0.2">
      <c r="A929" s="2">
        <v>927</v>
      </c>
    </row>
    <row r="930" spans="1:1" x14ac:dyDescent="0.2">
      <c r="A930" s="2">
        <v>928</v>
      </c>
    </row>
    <row r="931" spans="1:1" x14ac:dyDescent="0.2">
      <c r="A931" s="2">
        <v>929</v>
      </c>
    </row>
    <row r="932" spans="1:1" x14ac:dyDescent="0.2">
      <c r="A932" s="2">
        <v>930</v>
      </c>
    </row>
    <row r="933" spans="1:1" x14ac:dyDescent="0.2">
      <c r="A933" s="2">
        <v>931</v>
      </c>
    </row>
    <row r="934" spans="1:1" x14ac:dyDescent="0.2">
      <c r="A934" s="2">
        <v>932</v>
      </c>
    </row>
    <row r="935" spans="1:1" x14ac:dyDescent="0.2">
      <c r="A935" s="2">
        <v>933</v>
      </c>
    </row>
    <row r="936" spans="1:1" x14ac:dyDescent="0.2">
      <c r="A936" s="2">
        <v>934</v>
      </c>
    </row>
    <row r="937" spans="1:1" x14ac:dyDescent="0.2">
      <c r="A937" s="2">
        <v>935</v>
      </c>
    </row>
    <row r="938" spans="1:1" x14ac:dyDescent="0.2">
      <c r="A938" s="2">
        <v>936</v>
      </c>
    </row>
    <row r="939" spans="1:1" x14ac:dyDescent="0.2">
      <c r="A939" s="2">
        <v>937</v>
      </c>
    </row>
    <row r="940" spans="1:1" x14ac:dyDescent="0.2">
      <c r="A940" s="2">
        <v>938</v>
      </c>
    </row>
    <row r="941" spans="1:1" x14ac:dyDescent="0.2">
      <c r="A941" s="2">
        <v>939</v>
      </c>
    </row>
    <row r="942" spans="1:1" x14ac:dyDescent="0.2">
      <c r="A942" s="2">
        <v>940</v>
      </c>
    </row>
    <row r="943" spans="1:1" x14ac:dyDescent="0.2">
      <c r="A943" s="2">
        <v>941</v>
      </c>
    </row>
    <row r="944" spans="1:1" x14ac:dyDescent="0.2">
      <c r="A944" s="2">
        <v>942</v>
      </c>
    </row>
    <row r="945" spans="1:1" x14ac:dyDescent="0.2">
      <c r="A945" s="2">
        <v>943</v>
      </c>
    </row>
    <row r="946" spans="1:1" x14ac:dyDescent="0.2">
      <c r="A946" s="2">
        <v>944</v>
      </c>
    </row>
    <row r="947" spans="1:1" x14ac:dyDescent="0.2">
      <c r="A947" s="2">
        <v>945</v>
      </c>
    </row>
    <row r="948" spans="1:1" x14ac:dyDescent="0.2">
      <c r="A948" s="2">
        <v>946</v>
      </c>
    </row>
    <row r="949" spans="1:1" x14ac:dyDescent="0.2">
      <c r="A949" s="2">
        <v>947</v>
      </c>
    </row>
    <row r="950" spans="1:1" x14ac:dyDescent="0.2">
      <c r="A950" s="2">
        <v>948</v>
      </c>
    </row>
    <row r="951" spans="1:1" x14ac:dyDescent="0.2">
      <c r="A951" s="2">
        <v>949</v>
      </c>
    </row>
    <row r="952" spans="1:1" x14ac:dyDescent="0.2">
      <c r="A952" s="2">
        <v>950</v>
      </c>
    </row>
    <row r="953" spans="1:1" x14ac:dyDescent="0.2">
      <c r="A953" s="2">
        <v>951</v>
      </c>
    </row>
    <row r="954" spans="1:1" x14ac:dyDescent="0.2">
      <c r="A954" s="2">
        <v>952</v>
      </c>
    </row>
    <row r="955" spans="1:1" x14ac:dyDescent="0.2">
      <c r="A955" s="2">
        <v>953</v>
      </c>
    </row>
    <row r="956" spans="1:1" x14ac:dyDescent="0.2">
      <c r="A956" s="2">
        <v>954</v>
      </c>
    </row>
    <row r="957" spans="1:1" x14ac:dyDescent="0.2">
      <c r="A957" s="2">
        <v>955</v>
      </c>
    </row>
    <row r="958" spans="1:1" x14ac:dyDescent="0.2">
      <c r="A958" s="2">
        <v>956</v>
      </c>
    </row>
    <row r="959" spans="1:1" x14ac:dyDescent="0.2">
      <c r="A959" s="2">
        <v>957</v>
      </c>
    </row>
    <row r="960" spans="1:1" x14ac:dyDescent="0.2">
      <c r="A960" s="2">
        <v>958</v>
      </c>
    </row>
    <row r="961" spans="1:1" x14ac:dyDescent="0.2">
      <c r="A961" s="2">
        <v>959</v>
      </c>
    </row>
    <row r="962" spans="1:1" x14ac:dyDescent="0.2">
      <c r="A962" s="2">
        <v>960</v>
      </c>
    </row>
    <row r="963" spans="1:1" x14ac:dyDescent="0.2">
      <c r="A963" s="2">
        <v>961</v>
      </c>
    </row>
    <row r="964" spans="1:1" x14ac:dyDescent="0.2">
      <c r="A964" s="2">
        <v>962</v>
      </c>
    </row>
    <row r="965" spans="1:1" x14ac:dyDescent="0.2">
      <c r="A965" s="2">
        <v>963</v>
      </c>
    </row>
    <row r="966" spans="1:1" x14ac:dyDescent="0.2">
      <c r="A966" s="2">
        <v>964</v>
      </c>
    </row>
    <row r="967" spans="1:1" x14ac:dyDescent="0.2">
      <c r="A967" s="2">
        <v>965</v>
      </c>
    </row>
    <row r="968" spans="1:1" x14ac:dyDescent="0.2">
      <c r="A968" s="2">
        <v>966</v>
      </c>
    </row>
    <row r="969" spans="1:1" x14ac:dyDescent="0.2">
      <c r="A969" s="2">
        <v>967</v>
      </c>
    </row>
    <row r="970" spans="1:1" x14ac:dyDescent="0.2">
      <c r="A970" s="2">
        <v>968</v>
      </c>
    </row>
    <row r="971" spans="1:1" x14ac:dyDescent="0.2">
      <c r="A971" s="2">
        <v>969</v>
      </c>
    </row>
    <row r="972" spans="1:1" x14ac:dyDescent="0.2">
      <c r="A972" s="2">
        <v>970</v>
      </c>
    </row>
    <row r="973" spans="1:1" x14ac:dyDescent="0.2">
      <c r="A973" s="2">
        <v>971</v>
      </c>
    </row>
    <row r="974" spans="1:1" x14ac:dyDescent="0.2">
      <c r="A974" s="2">
        <v>972</v>
      </c>
    </row>
    <row r="975" spans="1:1" x14ac:dyDescent="0.2">
      <c r="A975" s="2">
        <v>973</v>
      </c>
    </row>
    <row r="976" spans="1:1" x14ac:dyDescent="0.2">
      <c r="A976" s="2">
        <v>974</v>
      </c>
    </row>
    <row r="977" spans="1:1" x14ac:dyDescent="0.2">
      <c r="A977" s="2">
        <v>975</v>
      </c>
    </row>
    <row r="978" spans="1:1" x14ac:dyDescent="0.2">
      <c r="A978" s="2">
        <v>976</v>
      </c>
    </row>
    <row r="979" spans="1:1" x14ac:dyDescent="0.2">
      <c r="A979" s="2">
        <v>977</v>
      </c>
    </row>
    <row r="980" spans="1:1" x14ac:dyDescent="0.2">
      <c r="A980" s="2">
        <v>978</v>
      </c>
    </row>
    <row r="981" spans="1:1" x14ac:dyDescent="0.2">
      <c r="A981" s="2">
        <v>979</v>
      </c>
    </row>
    <row r="982" spans="1:1" x14ac:dyDescent="0.2">
      <c r="A982" s="2">
        <v>980</v>
      </c>
    </row>
    <row r="983" spans="1:1" x14ac:dyDescent="0.2">
      <c r="A983" s="2">
        <v>981</v>
      </c>
    </row>
    <row r="984" spans="1:1" x14ac:dyDescent="0.2">
      <c r="A984" s="2">
        <v>982</v>
      </c>
    </row>
    <row r="985" spans="1:1" x14ac:dyDescent="0.2">
      <c r="A985" s="2">
        <v>983</v>
      </c>
    </row>
    <row r="986" spans="1:1" x14ac:dyDescent="0.2">
      <c r="A986" s="2">
        <v>984</v>
      </c>
    </row>
    <row r="987" spans="1:1" x14ac:dyDescent="0.2">
      <c r="A987" s="2">
        <v>985</v>
      </c>
    </row>
    <row r="988" spans="1:1" x14ac:dyDescent="0.2">
      <c r="A988" s="2">
        <v>986</v>
      </c>
    </row>
    <row r="989" spans="1:1" x14ac:dyDescent="0.2">
      <c r="A989" s="2">
        <v>987</v>
      </c>
    </row>
    <row r="990" spans="1:1" x14ac:dyDescent="0.2">
      <c r="A990" s="2">
        <v>988</v>
      </c>
    </row>
    <row r="991" spans="1:1" x14ac:dyDescent="0.2">
      <c r="A991" s="2">
        <v>989</v>
      </c>
    </row>
    <row r="992" spans="1:1" x14ac:dyDescent="0.2">
      <c r="A992" s="2">
        <v>990</v>
      </c>
    </row>
    <row r="993" spans="1:1" x14ac:dyDescent="0.2">
      <c r="A993" s="2">
        <v>991</v>
      </c>
    </row>
    <row r="994" spans="1:1" x14ac:dyDescent="0.2">
      <c r="A994" s="2">
        <v>992</v>
      </c>
    </row>
    <row r="995" spans="1:1" x14ac:dyDescent="0.2">
      <c r="A995" s="2">
        <v>993</v>
      </c>
    </row>
    <row r="996" spans="1:1" x14ac:dyDescent="0.2">
      <c r="A996" s="2">
        <v>994</v>
      </c>
    </row>
    <row r="997" spans="1:1" x14ac:dyDescent="0.2">
      <c r="A997" s="2">
        <v>995</v>
      </c>
    </row>
    <row r="998" spans="1:1" x14ac:dyDescent="0.2">
      <c r="A998" s="2">
        <v>996</v>
      </c>
    </row>
    <row r="999" spans="1:1" x14ac:dyDescent="0.2">
      <c r="A999" s="2">
        <v>997</v>
      </c>
    </row>
    <row r="1000" spans="1:1" x14ac:dyDescent="0.2">
      <c r="A1000" s="2">
        <v>998</v>
      </c>
    </row>
    <row r="1001" spans="1:1" x14ac:dyDescent="0.2">
      <c r="A1001" s="2">
        <v>999</v>
      </c>
    </row>
    <row r="1002" spans="1:1" x14ac:dyDescent="0.2">
      <c r="A1002" s="2">
        <v>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129</v>
      </c>
    </row>
    <row r="4" spans="2:4" x14ac:dyDescent="0.3">
      <c r="B4" s="1" t="s">
        <v>130</v>
      </c>
    </row>
    <row r="5" spans="2:4" x14ac:dyDescent="0.3">
      <c r="B5" s="6" t="s">
        <v>137</v>
      </c>
    </row>
    <row r="6" spans="2:4" x14ac:dyDescent="0.3">
      <c r="B6" s="6"/>
    </row>
    <row r="7" spans="2:4" x14ac:dyDescent="0.3">
      <c r="C7" s="1" t="s">
        <v>135</v>
      </c>
    </row>
    <row r="8" spans="2:4" x14ac:dyDescent="0.3">
      <c r="C8" s="1">
        <v>2.2999999999999998</v>
      </c>
      <c r="D8" s="1" t="s">
        <v>131</v>
      </c>
    </row>
    <row r="9" spans="2:4" x14ac:dyDescent="0.3">
      <c r="C9" s="1">
        <v>3.1</v>
      </c>
      <c r="D9" s="1" t="s">
        <v>132</v>
      </c>
    </row>
    <row r="10" spans="2:4" x14ac:dyDescent="0.3">
      <c r="C10" s="1">
        <v>3.2</v>
      </c>
      <c r="D10" s="1" t="s">
        <v>133</v>
      </c>
    </row>
    <row r="12" spans="2:4" x14ac:dyDescent="0.3">
      <c r="C12" s="1" t="s">
        <v>136</v>
      </c>
    </row>
    <row r="13" spans="2:4" x14ac:dyDescent="0.3">
      <c r="C13" s="1">
        <v>3.5</v>
      </c>
      <c r="D13" s="1" t="s">
        <v>3</v>
      </c>
    </row>
    <row r="14" spans="2:4" x14ac:dyDescent="0.3">
      <c r="C14" s="1">
        <v>2.2000000000000002</v>
      </c>
      <c r="D14" s="1" t="s">
        <v>134</v>
      </c>
    </row>
    <row r="16" spans="2:4" x14ac:dyDescent="0.3">
      <c r="B16" s="1" t="s">
        <v>138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D5"/>
  <sheetViews>
    <sheetView workbookViewId="0"/>
  </sheetViews>
  <sheetFormatPr baseColWidth="10" defaultRowHeight="26" x14ac:dyDescent="0.3"/>
  <cols>
    <col min="1" max="2" width="10.83203125" style="1"/>
    <col min="3" max="3" width="39.1640625" style="1" bestFit="1" customWidth="1"/>
    <col min="4" max="16384" width="10.83203125" style="1"/>
  </cols>
  <sheetData>
    <row r="2" spans="2:4" x14ac:dyDescent="0.3">
      <c r="C2" s="1" t="s">
        <v>139</v>
      </c>
      <c r="D2" s="1" t="s">
        <v>140</v>
      </c>
    </row>
    <row r="3" spans="2:4" x14ac:dyDescent="0.3">
      <c r="B3" s="1">
        <v>1</v>
      </c>
      <c r="C3" s="1" t="s">
        <v>237</v>
      </c>
      <c r="D3" s="1">
        <v>10</v>
      </c>
    </row>
    <row r="4" spans="2:4" x14ac:dyDescent="0.3">
      <c r="B4" s="1">
        <v>2</v>
      </c>
      <c r="C4" s="1" t="s">
        <v>113</v>
      </c>
      <c r="D4" s="1">
        <v>10</v>
      </c>
    </row>
    <row r="5" spans="2:4" x14ac:dyDescent="0.3">
      <c r="B5" s="1">
        <v>3</v>
      </c>
      <c r="C5" s="1" t="s">
        <v>13</v>
      </c>
      <c r="D5" s="1">
        <v>10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1</v>
      </c>
    </row>
    <row r="3" spans="1:3" x14ac:dyDescent="0.3">
      <c r="C3" s="1" t="s">
        <v>192</v>
      </c>
    </row>
    <row r="4" spans="1:3" x14ac:dyDescent="0.3">
      <c r="C4" s="1" t="s">
        <v>178</v>
      </c>
    </row>
    <row r="5" spans="1:3" x14ac:dyDescent="0.3">
      <c r="B5" s="1" t="s">
        <v>14</v>
      </c>
    </row>
    <row r="6" spans="1:3" x14ac:dyDescent="0.3">
      <c r="B6" s="1" t="s">
        <v>179</v>
      </c>
    </row>
    <row r="7" spans="1:3" x14ac:dyDescent="0.3">
      <c r="A7" s="1">
        <v>1</v>
      </c>
      <c r="B7" s="1" t="s">
        <v>2</v>
      </c>
    </row>
    <row r="8" spans="1:3" x14ac:dyDescent="0.3">
      <c r="A8" s="1">
        <v>2</v>
      </c>
      <c r="B8" s="1" t="s">
        <v>191</v>
      </c>
    </row>
    <row r="9" spans="1:3" x14ac:dyDescent="0.3">
      <c r="B9" s="1" t="s">
        <v>141</v>
      </c>
    </row>
    <row r="10" spans="1:3" x14ac:dyDescent="0.3">
      <c r="B10" s="1" t="s">
        <v>190</v>
      </c>
    </row>
    <row r="11" spans="1:3" x14ac:dyDescent="0.3">
      <c r="B11" s="1" t="s">
        <v>180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</v>
      </c>
    </row>
    <row r="3" spans="1:2" x14ac:dyDescent="0.3">
      <c r="B3" s="1" t="s">
        <v>126</v>
      </c>
    </row>
    <row r="4" spans="1:2" x14ac:dyDescent="0.3">
      <c r="B4" s="1" t="s">
        <v>127</v>
      </c>
    </row>
    <row r="5" spans="1:2" x14ac:dyDescent="0.3">
      <c r="B5" s="1" t="s">
        <v>179</v>
      </c>
    </row>
    <row r="6" spans="1:2" x14ac:dyDescent="0.3">
      <c r="A6" s="13">
        <v>1</v>
      </c>
      <c r="B6" s="13" t="s">
        <v>2</v>
      </c>
    </row>
    <row r="7" spans="1:2" x14ac:dyDescent="0.3">
      <c r="A7" s="13">
        <v>2</v>
      </c>
      <c r="B7" s="13" t="s">
        <v>128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4256C-AA59-B84A-8A87-ECEEC85729E0}">
  <sheetPr codeName="Sheet45">
    <tabColor rgb="FFFFFF00"/>
  </sheetPr>
  <dimension ref="A2:B21"/>
  <sheetViews>
    <sheetView workbookViewId="0">
      <selection activeCell="B18" sqref="B18"/>
    </sheetView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233</v>
      </c>
    </row>
    <row r="3" spans="1:2" s="35" customFormat="1" x14ac:dyDescent="0.3">
      <c r="A3" s="1"/>
    </row>
    <row r="4" spans="1:2" s="35" customFormat="1" x14ac:dyDescent="0.3">
      <c r="A4" s="1"/>
    </row>
    <row r="5" spans="1:2" s="35" customFormat="1" x14ac:dyDescent="0.3">
      <c r="A5" s="1"/>
    </row>
    <row r="6" spans="1:2" x14ac:dyDescent="0.3">
      <c r="A6" s="1">
        <v>2</v>
      </c>
      <c r="B6" s="1" t="s">
        <v>234</v>
      </c>
    </row>
    <row r="7" spans="1:2" s="35" customFormat="1" x14ac:dyDescent="0.3">
      <c r="A7" s="1"/>
    </row>
    <row r="8" spans="1:2" s="35" customFormat="1" x14ac:dyDescent="0.3">
      <c r="A8" s="1"/>
    </row>
    <row r="9" spans="1:2" s="35" customFormat="1" x14ac:dyDescent="0.3">
      <c r="A9" s="1"/>
    </row>
    <row r="10" spans="1:2" x14ac:dyDescent="0.3">
      <c r="A10" s="1">
        <v>3</v>
      </c>
      <c r="B10" s="1" t="s">
        <v>235</v>
      </c>
    </row>
    <row r="11" spans="1:2" s="35" customFormat="1" x14ac:dyDescent="0.3">
      <c r="A11" s="1"/>
    </row>
    <row r="12" spans="1:2" s="35" customFormat="1" x14ac:dyDescent="0.3">
      <c r="A12" s="1"/>
    </row>
    <row r="13" spans="1:2" s="35" customFormat="1" x14ac:dyDescent="0.3">
      <c r="A13" s="1"/>
    </row>
    <row r="14" spans="1:2" x14ac:dyDescent="0.3">
      <c r="A14" s="1">
        <v>4</v>
      </c>
      <c r="B14" s="1" t="s">
        <v>236</v>
      </c>
    </row>
    <row r="15" spans="1:2" s="35" customFormat="1" x14ac:dyDescent="0.3">
      <c r="A15" s="1"/>
    </row>
    <row r="16" spans="1:2" s="35" customFormat="1" x14ac:dyDescent="0.3">
      <c r="A16" s="1"/>
    </row>
    <row r="17" spans="1:2" s="35" customFormat="1" x14ac:dyDescent="0.3">
      <c r="A17" s="1"/>
    </row>
    <row r="18" spans="1:2" x14ac:dyDescent="0.3">
      <c r="A18" s="1">
        <v>5</v>
      </c>
      <c r="B18" s="1" t="s">
        <v>241</v>
      </c>
    </row>
    <row r="19" spans="1:2" s="35" customFormat="1" x14ac:dyDescent="0.3">
      <c r="A19" s="1"/>
    </row>
    <row r="20" spans="1:2" s="35" customFormat="1" x14ac:dyDescent="0.3">
      <c r="A20" s="1"/>
    </row>
    <row r="21" spans="1:2" s="35" customFormat="1" x14ac:dyDescent="0.3">
      <c r="A21" s="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152</v>
      </c>
      <c r="B1" t="s">
        <v>151</v>
      </c>
      <c r="C1" t="s">
        <v>150</v>
      </c>
      <c r="D1" t="s">
        <v>149</v>
      </c>
      <c r="E1" t="s">
        <v>148</v>
      </c>
      <c r="F1" t="s">
        <v>147</v>
      </c>
      <c r="G1" t="s">
        <v>146</v>
      </c>
    </row>
    <row r="2" spans="1:7" x14ac:dyDescent="0.2">
      <c r="A2">
        <v>12500</v>
      </c>
      <c r="B2">
        <v>0.17269999999999999</v>
      </c>
      <c r="C2" t="s">
        <v>142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142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144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142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142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144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144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142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142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142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142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144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142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144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142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142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142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144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142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142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142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142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144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144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143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143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142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142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142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142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142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144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142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142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142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142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142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144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142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142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143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142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142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143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142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142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144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143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142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142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143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142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144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143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142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144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144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144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144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144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142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143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144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142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142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142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144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144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142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144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144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142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142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142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142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144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142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144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143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142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143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144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142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142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142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142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142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144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144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142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142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142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142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144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142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142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143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144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142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142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142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142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143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144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142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142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142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142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142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142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142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142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142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142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142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142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142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142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144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143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142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144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142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142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142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144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143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142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142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142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144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144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142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144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142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144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144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144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144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142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142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142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144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144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144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144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144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142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142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143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144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144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144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144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142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144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144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142</v>
      </c>
      <c r="D159" s="14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144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144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144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144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143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144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144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142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142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144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144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144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144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142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144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144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144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142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142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142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144</v>
      </c>
      <c r="D180" s="14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144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142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142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144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144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142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144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144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142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142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144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143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144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143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142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143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144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144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144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142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142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143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143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142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144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144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142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142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142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142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144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144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144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143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144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142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144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144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144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142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144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142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144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144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144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144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144</v>
      </c>
      <c r="D227" s="14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144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144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143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142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144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144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143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144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143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144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142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144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142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144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142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144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144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142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144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142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142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142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144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144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142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144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144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144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144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144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144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144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144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142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142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142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144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144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142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144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142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144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142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144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143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142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144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144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144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144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144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144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143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142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144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144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142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142</v>
      </c>
      <c r="D285" s="14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142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143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142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144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144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142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142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144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144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142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144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144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142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142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143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142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142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144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144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142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144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144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142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144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142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142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144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144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142</v>
      </c>
      <c r="D314" s="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143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144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142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144</v>
      </c>
      <c r="D318" s="14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142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144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142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144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144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144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142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142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144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144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144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144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142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142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142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142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144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144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144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144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142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144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144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144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144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144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142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144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142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144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142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144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144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142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144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144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144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144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142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144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144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142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142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144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144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144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144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142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142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144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144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144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142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144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144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142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142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144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144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144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144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142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142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144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144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144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142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143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142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144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144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142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144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144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144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142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144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142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143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142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144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144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143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144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142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144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144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143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144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142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142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142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144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143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142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144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142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144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142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144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144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144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144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144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142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144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144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144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142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142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144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142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144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142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144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144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142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142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142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142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144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142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144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144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144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142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142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144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142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142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142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142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144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142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142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144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144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142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144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144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144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142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144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142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144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142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144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142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144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144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142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144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142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144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144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144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144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144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143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144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143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144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142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144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144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142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143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144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144</v>
      </c>
      <c r="D487" s="14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142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143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142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144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142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142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144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144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144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144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144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144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142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144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144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144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142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142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144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144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144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144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142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142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144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142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142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142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144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142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142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144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144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142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144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143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144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144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142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142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144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142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142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144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142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142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142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144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144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144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144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144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142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144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144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144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142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143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144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144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142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142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144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142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144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144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142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142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144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144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144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143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142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144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142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142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144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142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142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142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142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144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144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142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142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142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143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142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144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142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144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144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144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142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142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143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144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142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143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142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142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142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144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142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144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144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143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142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144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142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142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144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144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142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144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142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142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142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142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144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142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142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144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142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144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142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142</v>
      </c>
      <c r="D614" s="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144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144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142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142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144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142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142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142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143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144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142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142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144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144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142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142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144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144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142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144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142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143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143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142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143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142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144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142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142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144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142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142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142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142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143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144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144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142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142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144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142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144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144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144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142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144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144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144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142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144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144</v>
      </c>
      <c r="D665" s="14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144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143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144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144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142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142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144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144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144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144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142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142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144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144</v>
      </c>
      <c r="D679" s="14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143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142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144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144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142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143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143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142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142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144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144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143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142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143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144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142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144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143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142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143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143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144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144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142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144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144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142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144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144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142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144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144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142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143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142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142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142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144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142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144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144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143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144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142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144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142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144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144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144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144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142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142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142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144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142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142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143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142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144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144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144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143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142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144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144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142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142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142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142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142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144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144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142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142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142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143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143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144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144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142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142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143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142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143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142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143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144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142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142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142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142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142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142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144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144</v>
      </c>
      <c r="D774" s="1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144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142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142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144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144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142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142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142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142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142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144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142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144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142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142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144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143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142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142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142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144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142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144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144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142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144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144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142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142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144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142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142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142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144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142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144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142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144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143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142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144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142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143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144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142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144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143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143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144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144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142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142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144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142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142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142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142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142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142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144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144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144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142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143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144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142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144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142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142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143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144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144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144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142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144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142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142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144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144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142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144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142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144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144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142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142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142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142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144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142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144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144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144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144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142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143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142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144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142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142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142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144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142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142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142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142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144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144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144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144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142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142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144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144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144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142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144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144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142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142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142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142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144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144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142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144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144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144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143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144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142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144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143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144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142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142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144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144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144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144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144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143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142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144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142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142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143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142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142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143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142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144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142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142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144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142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143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142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143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142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142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144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144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142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142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144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144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142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144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144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144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144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144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142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142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142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144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142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142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142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142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142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143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144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144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144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144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144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142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142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142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144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144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142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142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142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144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144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142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142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144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142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144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143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144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142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144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144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142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144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142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142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142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144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144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143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142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142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142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142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144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142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144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142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144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144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142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144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144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144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142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144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142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142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142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144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143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144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144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142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142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144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142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142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144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144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142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144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142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144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144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144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142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142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144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144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142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144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142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144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144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144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142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142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144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144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144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143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144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142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142</v>
      </c>
      <c r="D1045" s="14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142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144</v>
      </c>
      <c r="D1047" s="14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144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143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142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142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142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142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144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144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144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142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144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143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142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142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142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144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142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143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144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142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144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142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144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142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144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142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144</v>
      </c>
      <c r="D1074" s="1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142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144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144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144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144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144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144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142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142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143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144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142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144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144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142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144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142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144</v>
      </c>
      <c r="D1092" s="14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142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142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142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144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144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143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144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142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142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142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144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144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144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142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142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144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144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142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144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144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144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142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142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144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143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144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144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142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144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144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144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142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143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142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142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142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144</v>
      </c>
      <c r="D1129" s="14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142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144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143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142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144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142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144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144</v>
      </c>
      <c r="D1137" s="14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142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142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143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143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144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142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142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144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144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144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144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144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142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144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144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144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142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142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142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144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142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142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144</v>
      </c>
      <c r="D1160" s="14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144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144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144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144</v>
      </c>
      <c r="D1164" s="1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142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142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144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142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144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142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144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142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142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142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142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142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144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144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142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144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144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144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144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144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144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144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142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142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142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144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142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144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142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142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144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144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144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144</v>
      </c>
      <c r="D1198" s="14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142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144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142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142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142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142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144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142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142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144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144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143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144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144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144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143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144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144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142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142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144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142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144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144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144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142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144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144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142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143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144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142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144</v>
      </c>
      <c r="D1231" s="14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144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142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144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142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144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142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144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144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142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144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144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144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142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144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144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144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142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142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142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144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142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142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142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142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144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144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142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142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142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142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142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142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142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144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144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143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144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142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142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142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142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144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142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142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144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142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143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142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142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142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144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144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144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144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142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142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143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144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142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144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144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144</v>
      </c>
      <c r="D1293" s="14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142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142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144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144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144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142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143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142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142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144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142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142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142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142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144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142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144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144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142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144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144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142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144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142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142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144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142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142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144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144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144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144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142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144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144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142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142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144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144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144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142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144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142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142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144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142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143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144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144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144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144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142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142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142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144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144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142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143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144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144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142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144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144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144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143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142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144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144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144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143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142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144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142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142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142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144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142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143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144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142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144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144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142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142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142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144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142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142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144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144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144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144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142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142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142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142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144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142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142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142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142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142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144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142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144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142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142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142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144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144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144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144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144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144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142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142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143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142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142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142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144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142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144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142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144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142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144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142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144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144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142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144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142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142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144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144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142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144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144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144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142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142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142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142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144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144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142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144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142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144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144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142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144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142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144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142</v>
      </c>
      <c r="D1449" s="14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142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143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142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142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144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142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143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144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142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144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144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144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144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142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144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142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144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142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142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142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144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144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143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144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142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142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144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142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142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144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142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144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144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143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142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144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142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142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144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144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143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144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142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142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142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144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144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142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142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142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144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142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142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144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142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142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142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142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143</v>
      </c>
      <c r="D1508" s="14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142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142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142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143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142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142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142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142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144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143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144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142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144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144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142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142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142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144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144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142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142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143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144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144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144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142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142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144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144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142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144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143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144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144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142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142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142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144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143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144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144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144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143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144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144</v>
      </c>
      <c r="D1553" s="14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142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142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142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142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144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142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142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144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142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143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142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142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142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142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142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142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144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144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144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144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142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142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142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142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143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143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142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143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142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142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142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142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142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143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144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142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142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144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142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143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142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142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144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142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144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144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142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142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142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142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144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142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142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142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144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144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142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142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144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142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144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142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142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143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144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142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144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144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143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144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144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142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142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142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144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142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144</v>
      </c>
      <c r="D1630" s="14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144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142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142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144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142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142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144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145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142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142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142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142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142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142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144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144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142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144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142</v>
      </c>
      <c r="D1649" s="14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142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142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142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144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142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144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142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144</v>
      </c>
      <c r="D1657" s="14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142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142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144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142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142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142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142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142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142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144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143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142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144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142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144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144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142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142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142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144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144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144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144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142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142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142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142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142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143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142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142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142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144</v>
      </c>
      <c r="D1690" s="14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142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144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144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142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142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142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142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142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142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144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144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142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142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144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142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142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144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142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144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142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144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142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142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144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142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144</v>
      </c>
      <c r="D1716" s="14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144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144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142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144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144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142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144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142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144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144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143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144</v>
      </c>
      <c r="D1728" s="14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142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145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142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142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142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144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143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142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144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144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144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144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143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142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144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144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144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142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142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144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142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142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144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144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142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143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142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144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142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144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142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142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144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142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144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144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142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142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144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142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142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142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142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144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142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142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142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144</v>
      </c>
      <c r="D1776" s="14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144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142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142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142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142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143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144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142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144</v>
      </c>
      <c r="D1785" s="14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142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144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145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142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144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145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143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142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144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142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142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142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144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142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142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142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142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142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144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142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143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142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142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144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144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144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142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142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142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144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142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144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143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143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144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144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142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142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142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144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142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142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142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142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144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142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142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144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142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142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142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142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142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144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144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144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142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142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144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143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142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142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142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142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142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142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143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142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142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142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142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142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142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144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142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144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142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142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144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142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142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144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145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144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142</v>
      </c>
      <c r="D1870" s="14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144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144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143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142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143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142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142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142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142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142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142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144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144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142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143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143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142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142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142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142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142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142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142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142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142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144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144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142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142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144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144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143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142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144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143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144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144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142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142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144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142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144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144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144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143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144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143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143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144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144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144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144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142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142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144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142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144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144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144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144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144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142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142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142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142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144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142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144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142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142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144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142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142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144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144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142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142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142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144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142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142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142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144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142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142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144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144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144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144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144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144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142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142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143</v>
      </c>
      <c r="D1964" s="1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142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144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144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144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144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144</v>
      </c>
      <c r="D1970" s="14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144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144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142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144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142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144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144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142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143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142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144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142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142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144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144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142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142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142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142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143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144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144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142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144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144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142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144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144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144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142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142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144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143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144</v>
      </c>
      <c r="D2004" s="1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142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143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144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144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143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142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144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144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143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143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142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144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144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144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144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144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144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144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142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144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142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142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144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142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144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142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143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143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143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142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144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142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142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143</v>
      </c>
      <c r="D2038" s="14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142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144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142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142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144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144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144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142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144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144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142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144</v>
      </c>
      <c r="D2050" s="14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144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144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142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144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144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142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144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144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142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144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142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144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142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142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144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142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142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142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142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144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144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142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142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144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144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144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142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144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142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144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142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142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142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142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142</v>
      </c>
      <c r="D2085" s="14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142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142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144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144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144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142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144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144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142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144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142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144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144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144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142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142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144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142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144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144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144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143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142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144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144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142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144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144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144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144</v>
      </c>
      <c r="D2115" s="14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142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144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142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144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144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142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142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144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144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142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144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144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143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144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144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142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144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144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142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144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142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142</v>
      </c>
      <c r="D2137" s="14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144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144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144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144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143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142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144</v>
      </c>
      <c r="D2144" s="1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142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142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144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144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144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142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142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143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142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144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144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144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142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142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142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142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144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142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142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144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143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144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144</v>
      </c>
      <c r="D2167" s="14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142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144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144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143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144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142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142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142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144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142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144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144</v>
      </c>
      <c r="D2179" s="14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142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142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142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142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142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142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142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143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144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143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144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144</v>
      </c>
      <c r="D2191" s="14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144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142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144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144</v>
      </c>
      <c r="D2195" s="14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144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142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142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144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143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142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142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144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144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143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144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143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142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142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144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144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144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144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144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143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143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144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144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144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144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142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144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142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144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144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144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144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142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143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144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144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144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142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143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144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144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144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144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144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142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144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142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144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142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144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144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144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142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144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144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144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144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142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142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142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144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142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143</v>
      </c>
      <c r="D2258" s="14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144</v>
      </c>
      <c r="D2259" s="14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144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144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142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142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143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142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144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144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144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144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142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143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142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142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142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144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144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142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144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143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144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142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142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143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143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144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143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142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144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144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144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144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144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144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144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144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142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143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142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144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142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143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144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144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144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142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144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142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144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144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144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144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142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144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143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144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144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143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144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143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142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142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142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144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144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144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142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142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144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144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142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142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144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142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143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143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142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144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142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142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143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143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142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144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143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142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142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142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142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143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144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144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142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144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142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144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144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144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142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144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142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142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143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144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144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144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144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144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142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143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142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142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144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142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142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144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142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142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144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144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144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142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144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142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142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142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144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144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144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142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144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144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144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144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144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144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144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144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144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142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144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142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144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143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142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144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144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144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144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142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144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143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142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144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142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142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144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144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144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142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144</v>
      </c>
      <c r="D2420" s="14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142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142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144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144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142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144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142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144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144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144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142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142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144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142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144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142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144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142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144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142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142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142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144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142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144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142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144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142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142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144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144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142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144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144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144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144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142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144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144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142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142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142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142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143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142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142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144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142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144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144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144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144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144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144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142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144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144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142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144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144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144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142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144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144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142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144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144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144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144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142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143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142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142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142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144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142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144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142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144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144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144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144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142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144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143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144</v>
      </c>
      <c r="D2506" s="14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144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144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144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144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142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142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144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142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144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143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144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142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143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142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144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142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142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144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144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142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144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144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142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143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144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142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142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144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144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142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144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144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144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144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144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144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142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144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142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144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144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143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144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144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144</v>
      </c>
      <c r="D2551" s="14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144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142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144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144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142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142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144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143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142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142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143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144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144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144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142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144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142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144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142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144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142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142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142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144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144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144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144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142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143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142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142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143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143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142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144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142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142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144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144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144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143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142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142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144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144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142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142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142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144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144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144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144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142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144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144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144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144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144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144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142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142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144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142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144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144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144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142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142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144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142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144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144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144</v>
      </c>
      <c r="D2624" s="1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144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142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142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142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142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142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144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142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142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142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144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142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143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142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143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142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142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144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144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142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143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142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142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142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144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144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144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142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144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144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143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143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144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144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142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142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144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144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144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144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144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144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143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144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144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144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142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144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144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142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143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142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142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143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143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143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142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144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144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144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144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144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144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143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144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144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144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144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142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142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144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142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142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142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142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143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142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142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142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143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144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144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142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142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142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143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142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142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144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142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142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142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144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142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144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144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142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144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142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144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144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144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144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144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144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142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142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142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142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142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142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142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144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144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144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142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143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142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144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142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144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142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144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144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143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142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144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143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142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142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144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143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144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142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142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144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144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143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142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142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144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142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144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144</v>
      </c>
      <c r="D2768" s="14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142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144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144</v>
      </c>
      <c r="D2771" s="14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142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144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144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142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144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142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142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144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142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142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144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143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142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142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144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144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142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144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144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144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142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142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144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144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144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144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144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143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144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144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144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144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142</v>
      </c>
      <c r="D2804" s="1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142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144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143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142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144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144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144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144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142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144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144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144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144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144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144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142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144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144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142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144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144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144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144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144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144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144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142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144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144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142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142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142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144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144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142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144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142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144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143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143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144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142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144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144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142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144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142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142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144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144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142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142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142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142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142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144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144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144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144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142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144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142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142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144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143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144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142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142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144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144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144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144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142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142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142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143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144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144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144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144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142</v>
      </c>
      <c r="D2885" s="14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144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144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144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144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143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144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144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144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142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144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142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142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144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142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142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144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142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142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144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144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142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144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144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142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144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144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144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143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144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144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144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144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142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144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144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144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142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142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144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144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144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144</v>
      </c>
      <c r="D2927" s="14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142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144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144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142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144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143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143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142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144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144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144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144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142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144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142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142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144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144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142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144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144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144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143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142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144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142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142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143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144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142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144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142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142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142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142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144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142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144</v>
      </c>
      <c r="D2965" s="14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142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144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143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143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144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142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144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142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142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144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143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142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144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142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144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144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142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142</v>
      </c>
      <c r="D2983" s="14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144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144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142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142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144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144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142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144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144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142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142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144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142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143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142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144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143</v>
      </c>
      <c r="D3000" s="14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144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144</v>
      </c>
      <c r="D3002" s="14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142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144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144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144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144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142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142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144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143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142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142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142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144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142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142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142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142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144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144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144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144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144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144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142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143</v>
      </c>
      <c r="D3027" s="14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142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142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142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142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142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142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144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144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144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144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142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144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144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142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144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144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142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144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144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144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143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144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144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143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142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144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142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144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142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142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143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142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144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142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143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144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144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142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144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144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142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142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144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143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142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142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144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144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143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144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143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144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144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144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142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144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143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144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144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142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144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144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144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144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142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144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142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142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142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144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142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143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142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144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144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144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142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143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144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144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144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144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142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144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144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142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144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144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142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142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144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144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144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144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144</v>
      </c>
      <c r="D3122" s="14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142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144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144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144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144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144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144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142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144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144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142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144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142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144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144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144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142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144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144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143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144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144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144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142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144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142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144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144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142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144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142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144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144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144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144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144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144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142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144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143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142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142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142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144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144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144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142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142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144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144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144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144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142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142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144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144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143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142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142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144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142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144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143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142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144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142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144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142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142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142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144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144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142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142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142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144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142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142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142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143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144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144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144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144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142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142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144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142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143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144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142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143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142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142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144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144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142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144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144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142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142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142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144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142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144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143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144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143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144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144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144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144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142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144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142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142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144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144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144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144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144</v>
      </c>
      <c r="D3243" s="14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142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144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142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144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142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142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144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144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144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142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144</v>
      </c>
      <c r="D3254" s="1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144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144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142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142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144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142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144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144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144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144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142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142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144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142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143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144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144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144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142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144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142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142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142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144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142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144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142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142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144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142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144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144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144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144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144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144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144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144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144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142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142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142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142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142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142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144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144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142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144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142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142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144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142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144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144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144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144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144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144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144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142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144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144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144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142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144</v>
      </c>
      <c r="D3320" s="14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144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144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142</v>
      </c>
      <c r="D3323" s="14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142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144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142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142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143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142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142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144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144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142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144</v>
      </c>
      <c r="D3334" s="1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142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144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144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142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142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144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144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142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142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143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144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144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144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144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144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144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144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144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144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142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142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142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142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142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142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144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142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142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143</v>
      </c>
      <c r="D3363" s="14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143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144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144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142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142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142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143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144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144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142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142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144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142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144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142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144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142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144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142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142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144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144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142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144</v>
      </c>
      <c r="D3387" s="14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142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144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144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142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144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144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144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144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144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144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144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142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142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144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144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144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144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144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144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142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144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144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142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144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142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144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144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144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144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144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142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143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142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144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143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144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144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144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142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142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144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142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142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144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142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143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142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143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144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144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144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142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144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142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144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144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142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144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142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144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144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144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142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142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142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142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144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142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144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144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144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142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142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144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142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144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142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142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144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144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142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142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144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142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143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142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144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142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144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142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144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144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144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144</v>
      </c>
      <c r="D3481" s="14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144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144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144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142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142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144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142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142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143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142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144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144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142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144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144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144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144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142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144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142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142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143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144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144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144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142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144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142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144</v>
      </c>
      <c r="D3510" s="14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144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144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142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144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142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142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144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144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144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144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144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144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143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144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142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143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144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144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144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144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142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142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142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142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144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142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144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143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144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144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142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142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144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142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142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142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144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144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142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142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142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144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142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142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144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144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142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142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144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144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144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144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144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144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144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144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142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142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142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142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144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142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144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144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144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144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144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142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142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144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142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142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142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144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142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144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144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144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144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142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142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142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142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144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144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144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142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142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144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144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144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144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144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144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144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143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143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144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143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144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142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144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144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143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143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142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144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142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144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144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144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142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142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144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142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144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142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143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142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142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144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144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142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144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142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144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142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142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144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144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142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142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143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144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142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143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144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142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144</v>
      </c>
      <c r="D3649" s="14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142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142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143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144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144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144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142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142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144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142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144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143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144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144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142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144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144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142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142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142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142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144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144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142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144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144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142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144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144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142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144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142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142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142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142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142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144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144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144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142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142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143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144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144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143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142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142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143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142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142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142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144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142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144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142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144</v>
      </c>
      <c r="D3705" s="14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143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144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144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143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143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144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142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142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144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142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144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143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143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142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144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144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142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142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142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144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144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144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144</v>
      </c>
      <c r="D3728" s="14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142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142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144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142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142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144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144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142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142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144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142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144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144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143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144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144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144</v>
      </c>
      <c r="D3745" s="14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144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144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144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142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142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144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144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142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142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144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143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142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144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144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144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142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144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142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142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142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144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144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144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144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144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144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144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144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142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144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143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144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142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144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142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142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144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144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144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142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142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144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144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144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144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144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142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144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142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142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144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142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144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142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144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144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142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144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144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142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144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144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142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142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144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142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144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144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142</v>
      </c>
      <c r="D3814" s="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143</v>
      </c>
      <c r="D3815" s="14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142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142</v>
      </c>
      <c r="D3817" s="14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142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143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144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142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142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144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142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144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142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142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144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143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142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142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144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142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144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142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144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144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142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144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142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143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142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144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142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144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142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144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144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142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142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143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144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144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144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144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144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144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144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144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142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144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144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142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144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142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142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144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144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142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144</v>
      </c>
      <c r="D3870" s="14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142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144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144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144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143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144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144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144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142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142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142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144</v>
      </c>
      <c r="D3882" s="14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144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144</v>
      </c>
      <c r="D3884" s="1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144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144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142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143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144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144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144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142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142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142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142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142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142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142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144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142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142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143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142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144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142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142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142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144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144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142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142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143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144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142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142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144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142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144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142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143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142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144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144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142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142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142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144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144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144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143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143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144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142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142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142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142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144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144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144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144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142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142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144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144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144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142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144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144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142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144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144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144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144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144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142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142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144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142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143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142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144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144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142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142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142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142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144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144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142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143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142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142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142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144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144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144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142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144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142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144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142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142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142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144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142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144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144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142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142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144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142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143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144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142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144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142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144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142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144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142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144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144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142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143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142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144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142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143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144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142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144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142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144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142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144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142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142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144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142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144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142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142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143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144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144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144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143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144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143</v>
      </c>
      <c r="D4029" s="14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142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142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144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142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144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144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144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142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144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142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144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142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142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144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144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144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142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144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144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144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144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142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144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144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142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144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142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144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144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142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142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144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142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142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144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142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143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144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144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144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144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142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144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142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142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144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142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144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144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142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144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142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142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144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142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144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142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142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144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144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142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144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142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144</v>
      </c>
      <c r="D4093" s="14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142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144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142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142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142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142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142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142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142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144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144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144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142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144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142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144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142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143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142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144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142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144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144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143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142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144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144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144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144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142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143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144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142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143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142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144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144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144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144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143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142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142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142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142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144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142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144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142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144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142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142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142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142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144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144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144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142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144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144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144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144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144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142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144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144</v>
      </c>
      <c r="D4158" s="14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142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144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142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142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142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142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144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143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144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144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144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142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142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142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144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142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142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144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142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143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144</v>
      </c>
      <c r="D4179" s="14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144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144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144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142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144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142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142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142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142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142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142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142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143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142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144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142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142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142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142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144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142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142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144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142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144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144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142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142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142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144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142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142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142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144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144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144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144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142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144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142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142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144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144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144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142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142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144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144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142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143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142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144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143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144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142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144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142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142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144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142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144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144</v>
      </c>
      <c r="D4241" s="14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144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142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144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142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142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142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144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143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144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142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142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142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142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144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142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144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142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142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142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144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144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144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142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142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142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144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144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143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144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144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144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142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144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144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144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142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144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142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142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142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144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142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142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142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142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144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142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144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144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142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142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144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144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142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144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142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144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142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144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142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144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142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144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144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144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142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142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144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144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142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144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144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144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143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144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144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144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144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144</v>
      </c>
      <c r="D4320" s="14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144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142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144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142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144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142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144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144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144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143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144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144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144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144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144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142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142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144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142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143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144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142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144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144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142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143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142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142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144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144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144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144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142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143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144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142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142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144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142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144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144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142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143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142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144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142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142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144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144</v>
      </c>
      <c r="D4369" s="14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144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142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142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142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144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143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143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144</v>
      </c>
      <c r="D4377" s="14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144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142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144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142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142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142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144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144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144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142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144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144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142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143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144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144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142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142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142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144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142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144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142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144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142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144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143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144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142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143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144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144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144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144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144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142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142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144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142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142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142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142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144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144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144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142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144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142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143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142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142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143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142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144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142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142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142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142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144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144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142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144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144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144</v>
      </c>
      <c r="D4441" s="14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144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143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142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144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144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144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142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144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142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144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142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144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144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142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144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142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144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144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144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144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142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142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143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144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144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144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144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142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142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142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142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144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144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143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142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144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144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142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142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144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144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142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144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142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142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142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143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144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142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142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143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142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144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144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144</v>
      </c>
      <c r="D4496" s="14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144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142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142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143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142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142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144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144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144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144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144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142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142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142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142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142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142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144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142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142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144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142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144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142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142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142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142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144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144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143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144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144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144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144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144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142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144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144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142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142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142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144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143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142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143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144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143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144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144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144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144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144</v>
      </c>
      <c r="D4548" s="14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142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144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143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144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142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142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142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144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142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142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144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143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144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144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143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144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144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142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142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144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144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144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142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142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142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143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144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144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143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142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144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144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142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144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142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142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144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143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143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143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144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142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144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144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144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142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142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144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144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142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144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144</v>
      </c>
      <c r="D4600" s="14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143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144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144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142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144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143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142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144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144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144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142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142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144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142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144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142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143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142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144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144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142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142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144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142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144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144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144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144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143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142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144</v>
      </c>
      <c r="D4631" s="14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144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142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144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143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142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143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144</v>
      </c>
      <c r="D4638" s="14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144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142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142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142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144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143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144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143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144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142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142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142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142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143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144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144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142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142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144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142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142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144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142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144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144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142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142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142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142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142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142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143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142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142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144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144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144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142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144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144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144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142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142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144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144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142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144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142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144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144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142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142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144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142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142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143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142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144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144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144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142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142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142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144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144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144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144</v>
      </c>
      <c r="D4705" s="14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142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142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142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144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144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144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142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142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144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144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144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144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144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144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144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144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144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144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142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144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144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144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143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144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142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144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144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142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142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144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144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142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142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144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142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144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142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144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144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142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144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144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144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144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144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143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142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144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142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144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144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143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142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144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142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144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142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142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144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144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142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142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142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144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144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144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142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144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144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144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143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142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144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142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144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142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144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144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144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143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144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144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144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144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142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144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142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144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144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142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142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144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142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142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144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144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144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144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142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142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142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144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144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142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142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144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144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142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142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142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142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144</v>
      </c>
      <c r="D4817" s="14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142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142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144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143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144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142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144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142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144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142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144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144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142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144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144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144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144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144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144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144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144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144</v>
      </c>
      <c r="D4839" s="14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142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142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144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142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144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143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142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144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144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142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144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144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142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142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143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142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144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142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142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144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144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142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142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144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142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144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142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142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144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142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144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144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144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142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144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144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142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142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142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142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142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142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144</v>
      </c>
      <c r="D4882" s="14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142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144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144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144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144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144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144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143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142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144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144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142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142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142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142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144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142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144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144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142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142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142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144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142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144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142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144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142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144</v>
      </c>
      <c r="D4911" s="14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142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144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144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142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144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144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142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144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144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144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144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142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142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144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142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144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144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142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142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144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142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144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142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143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144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144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142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142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142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144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144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144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144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143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144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144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142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143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144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142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142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142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144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144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142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144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144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144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142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144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144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144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144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144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144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144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142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144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142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142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144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142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144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144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144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144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144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143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144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144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142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144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142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142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144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144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142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142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142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144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142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143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144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144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144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144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144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144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144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144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142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144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142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144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142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142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143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144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144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144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142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142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142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144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144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144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144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142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142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142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144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144</v>
      </c>
      <c r="D5023" s="14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144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144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142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144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142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144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144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144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142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144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144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142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144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142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143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144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143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144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142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142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142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144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144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144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142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144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144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142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144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142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144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142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144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144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142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142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142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144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144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143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144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142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144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144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144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143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142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144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144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144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142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142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144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142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144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144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142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144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142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144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144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144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142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144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144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144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144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144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144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142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142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144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144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144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144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142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142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142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142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142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142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143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142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144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144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142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142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144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142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144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143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144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142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143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143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143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144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142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144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144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144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142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144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142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144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144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142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144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144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142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144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144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144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144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144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144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144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143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144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143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144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143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142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142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142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142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144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144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144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144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144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142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142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142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142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144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142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144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144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144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144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144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142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142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142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142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144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142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144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142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144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143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142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142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144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142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142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142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142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144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144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144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142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142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144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142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144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144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144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142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142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142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144</v>
      </c>
      <c r="D5196" s="14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144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144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144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144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144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142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143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144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142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144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144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142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144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142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144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144</v>
      </c>
      <c r="D5212" s="14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144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142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144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142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144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144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144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142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142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144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142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143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142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142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142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142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144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144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142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142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144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142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144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144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144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142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142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144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144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144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144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142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144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144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142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144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142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142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142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144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142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142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144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144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144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144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142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142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142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142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144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142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144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144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144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144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142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144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142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144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144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142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144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142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144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144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144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144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142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144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144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144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143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143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144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144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144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142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144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143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142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144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144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144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142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144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144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142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142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142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142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142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144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144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142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144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142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142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144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142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144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142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142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142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144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142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144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144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142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142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142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142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144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144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144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144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144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142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142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144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143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142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144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144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144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142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144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144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144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142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144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142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144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144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144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144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144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144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142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144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142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144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144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144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142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144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142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144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144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144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142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142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144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142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144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142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144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144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144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144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142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144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144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144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142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144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144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144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142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144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144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144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142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142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142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144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142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144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142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144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143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142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142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142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144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142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144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144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144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144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142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142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144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142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144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144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142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144</v>
      </c>
      <c r="D5410" s="14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144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144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142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144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143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144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142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142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142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142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144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144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144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144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144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144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144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142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144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144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144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144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142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144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144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144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142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142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144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144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144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143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142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144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142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142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144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142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142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142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142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144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144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144</v>
      </c>
      <c r="D5454" s="1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142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144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142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144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144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142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143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144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144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144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144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142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142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142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144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142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144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142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143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144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143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142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143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142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144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142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142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142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142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144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144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142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142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142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142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144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144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144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144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144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144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144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142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144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142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144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144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143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142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144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142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142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144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142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144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144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144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144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144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142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142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142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144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144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142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144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144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144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144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144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144</v>
      </c>
      <c r="D5525" s="14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144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144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144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144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142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144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142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142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144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144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143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144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142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144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144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144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143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144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144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144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142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144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142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144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143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142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144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142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142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142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144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144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144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144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142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144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142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144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142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144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144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144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143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144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142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142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144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144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142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144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142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142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142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144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142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142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144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144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142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144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144</v>
      </c>
      <c r="D5586" s="14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143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142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144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142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142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142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142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142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143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143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142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142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144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144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142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144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144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144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142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144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144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142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144</v>
      </c>
      <c r="D5609" s="14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144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142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142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144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142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142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144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144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142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144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144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142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144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142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144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144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142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144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142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144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142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144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144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142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142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142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142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144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144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142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142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142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144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142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142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144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144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144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144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143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144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142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144</v>
      </c>
      <c r="D5652" s="14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142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144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144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142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144</v>
      </c>
      <c r="D5657" s="14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144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142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142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142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143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144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142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144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144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142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144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142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144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144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144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144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144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144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142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142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144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142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144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144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144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142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142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144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142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142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142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144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142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142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144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144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142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144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142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144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145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142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144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144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142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142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142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144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144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144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142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144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142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142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144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142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142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145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144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144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143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142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144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144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142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142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142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142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144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143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144</v>
      </c>
      <c r="D5728" s="14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142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144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142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144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142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144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144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144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144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142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144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144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144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142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142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142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143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142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142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142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144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142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144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144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143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144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144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142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144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142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144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142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142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144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144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144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144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142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142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142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145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145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142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142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142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144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142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142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144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144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142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144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144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144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144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142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142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142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144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144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142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144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144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142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144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142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142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144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144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142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143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142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142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142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144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144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144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142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142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144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142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143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144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144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143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144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144</v>
      </c>
      <c r="D5815" s="14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142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144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142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144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142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142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142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142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144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144</v>
      </c>
      <c r="D5825" s="14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142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144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143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142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142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144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144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143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142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144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144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143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142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144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144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143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144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143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142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142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144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144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144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142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144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142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144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144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142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142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143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142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143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142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142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142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142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142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142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142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144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144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143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144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142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144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144</v>
      </c>
      <c r="D5872" s="14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142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144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144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144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142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142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144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144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144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142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144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143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144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142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144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142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144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144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142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144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142</v>
      </c>
      <c r="D5893" s="14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142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142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144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144</v>
      </c>
      <c r="D5897" s="14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142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142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143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142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144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144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142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142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143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144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142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142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142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142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144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144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142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142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144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144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144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143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142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144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142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144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142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142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144</v>
      </c>
      <c r="D5926" s="14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142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144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142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144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142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143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144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142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142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142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142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142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144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142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144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144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142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142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142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144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144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144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144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143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144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144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144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144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144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144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144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142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144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143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144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144</v>
      </c>
      <c r="D5962" s="14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144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142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144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142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144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142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144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143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143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144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142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142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142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142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144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143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144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144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144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142</v>
      </c>
      <c r="D5982" s="14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144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144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144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142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144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142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142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142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144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142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144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142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143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142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144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142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142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144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144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142</v>
      </c>
      <c r="D6002" s="14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142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144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144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143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144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144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142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142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142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144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144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144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143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142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144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142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142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142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144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142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142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142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142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142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142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142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142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144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144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144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142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144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142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142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144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142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144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142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142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144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144</v>
      </c>
      <c r="D6043" s="14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144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142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142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142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142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143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143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142</v>
      </c>
      <c r="D6051" s="14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144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144</v>
      </c>
      <c r="D6053" s="14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144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144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144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144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142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142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142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142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142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142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142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144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142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144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144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142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142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144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144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144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143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144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144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142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142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144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142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143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144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142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144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142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144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144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142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143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144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142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144</v>
      </c>
      <c r="D6092" s="14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142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144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142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142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144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144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144</v>
      </c>
      <c r="D6099" s="14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142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144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142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144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142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142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142</v>
      </c>
      <c r="D6106" s="14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142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144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142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142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144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142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142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144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142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142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144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144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144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142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144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144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142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142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144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144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144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142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142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144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142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143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142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143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142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142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144</v>
      </c>
      <c r="D6137" s="14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144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144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142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142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142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144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144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142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142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142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142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144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142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143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142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144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142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142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144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144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144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142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144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144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142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143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142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142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144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142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142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144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144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142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144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142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144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142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144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144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144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143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142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144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144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143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142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143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144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142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144</v>
      </c>
      <c r="D6188" s="14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142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144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142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144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144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144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144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142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143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144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144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144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142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144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144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142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144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142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144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143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142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142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142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144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144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144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144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142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142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144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142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142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144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142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144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142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144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142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142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144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144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142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142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142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144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144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144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142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144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142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142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142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144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144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143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144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144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144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143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144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143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144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142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142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142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142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144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142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143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144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143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144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142</v>
      </c>
      <c r="D6261" s="14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142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142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144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144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142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144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144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142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144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142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142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142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142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144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144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144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144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142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142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144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142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144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142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142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144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144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144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142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142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144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144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142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144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142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144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144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144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142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142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142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142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143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143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142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142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142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142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144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144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144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143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142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142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142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144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142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142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143</v>
      </c>
      <c r="D6319" s="14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142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144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144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142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144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144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144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142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142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142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144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142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144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144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142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142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144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143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142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144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144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144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144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142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142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144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144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142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142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144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144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144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144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144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144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143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144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144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142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142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144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142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144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144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144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144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142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144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142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142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142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142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142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142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143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142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144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142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142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142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144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144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143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142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142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142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143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144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142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144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142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142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142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143</v>
      </c>
      <c r="D6393" s="14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142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142</v>
      </c>
      <c r="D6395" s="14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142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142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144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143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144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144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144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142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144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142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144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142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144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142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142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144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142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144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144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144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142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144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142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144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143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142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142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142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144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144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143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142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144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144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142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144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142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144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144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144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144</v>
      </c>
      <c r="D6436" s="14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142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144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142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142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144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142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144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142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144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143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144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142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143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144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144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144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142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144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144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144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142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144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143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142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144</v>
      </c>
      <c r="D6461" s="14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142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142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142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142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144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144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142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144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142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144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142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144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142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144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144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144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142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144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144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142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144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143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144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142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142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144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142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144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142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142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144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144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142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144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143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142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144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144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142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144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144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142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142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143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142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142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142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142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143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143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144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142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143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142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144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144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142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142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144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142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144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142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143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142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143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144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144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144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144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143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142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144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142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142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142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144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142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142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144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144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142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144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143</v>
      </c>
      <c r="D6544" s="1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143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142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142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143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142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144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142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144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142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142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142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142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144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144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143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142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144</v>
      </c>
      <c r="D6561" s="14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142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144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144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144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144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144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142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144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144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142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142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144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144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142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142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144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143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144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142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144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142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142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142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142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144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144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144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142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144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143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142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142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144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144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142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142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144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142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144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144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144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144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142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142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144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144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144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142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144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144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143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142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142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142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144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142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142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142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144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142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143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142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144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144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144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144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143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144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142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142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142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142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144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144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144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144</v>
      </c>
      <c r="D6637" s="14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142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142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142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143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144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144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142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144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142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144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142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144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142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144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144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144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142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142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142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142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144</v>
      </c>
      <c r="D6658" s="14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143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144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144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144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142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143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142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142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144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142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142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144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142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144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144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142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144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143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144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142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144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144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142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142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142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142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142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144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144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144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142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142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143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142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142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142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143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142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142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142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143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143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142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142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144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144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144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143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144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144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144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144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142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142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144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142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144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144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144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144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143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144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142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142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142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144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142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144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143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142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142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142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142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142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142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144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142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144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144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142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143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144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144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144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142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144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142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142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144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142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142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143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142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142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142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142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142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143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144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142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142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142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142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144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142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144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142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142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142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144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142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142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144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144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142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144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144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144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142</v>
      </c>
      <c r="D6777" s="14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144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144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144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142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142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144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142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142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144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144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144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142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144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142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144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142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144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142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144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144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144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144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142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144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142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143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142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142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142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142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144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144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144</v>
      </c>
      <c r="D6810" s="14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144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144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142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142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144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142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142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142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142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144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144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144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142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142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144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143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142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142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144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143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144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142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144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142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143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142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144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143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144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142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142</v>
      </c>
      <c r="D6841" s="14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144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144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144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144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142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142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142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144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142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142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144</v>
      </c>
      <c r="D6852" s="14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142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142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144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144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144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144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142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142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144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142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144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144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142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142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143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144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142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142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142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144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144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142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142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142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142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142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142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143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144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142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142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142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144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144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142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142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143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143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144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142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144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144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142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142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142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144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144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142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142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142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142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142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142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142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144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144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142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143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142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144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143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142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142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142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143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144</v>
      </c>
      <c r="D6918" s="14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142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144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144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144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142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144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144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142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144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142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142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142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144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144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142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142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144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142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144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143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142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144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142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144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144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144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144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142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144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144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143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142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144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144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142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142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144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144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142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142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144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144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142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144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144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144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144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144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142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142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142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142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143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144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144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142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143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144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143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142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144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142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144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143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143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142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142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144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144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143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142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144</v>
      </c>
      <c r="D6990" s="14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142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144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144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142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143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144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144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144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142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144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144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144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144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143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144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144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144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142</v>
      </c>
      <c r="D7008" s="14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144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144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142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142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142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144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144</v>
      </c>
      <c r="D7015" s="14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142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144</v>
      </c>
      <c r="D7017" s="14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144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144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143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144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142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144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143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144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144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142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144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142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144</v>
      </c>
      <c r="D7030" s="14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142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144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144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142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144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142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142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144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142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144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142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144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142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142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142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144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144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144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144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144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144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142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144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144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142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144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142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144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143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142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144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144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144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142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144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144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144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142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142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144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144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142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142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142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144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143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142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142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142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142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142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144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144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144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142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142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142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144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142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142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144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144</v>
      </c>
      <c r="D7092" s="14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142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144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144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144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144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142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144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142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142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142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144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142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144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142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144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144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142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144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144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144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142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144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142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142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143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144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144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142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144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144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144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142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144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142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144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144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144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142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144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142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142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142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144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144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142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143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144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144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142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144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142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144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143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143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142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144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144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144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142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144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142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142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142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144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144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142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142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144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142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144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144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144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144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142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143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142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143</v>
      </c>
      <c r="D7169" s="14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142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144</v>
      </c>
      <c r="D7171" s="14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142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142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144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142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144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142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142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144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142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142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142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142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143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142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144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144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143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142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142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144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144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144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144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142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142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144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144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144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142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142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142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143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144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144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142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142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144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142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142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142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144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143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144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142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143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142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142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144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144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142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144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142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142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144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142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142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144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142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144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142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142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142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144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144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143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144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142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144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142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142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142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142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142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142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142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142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142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144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142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144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144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142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144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144</v>
      </c>
      <c r="D7255" s="14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142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142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142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142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144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142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144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144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142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142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142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144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144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142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142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144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142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144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144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142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142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142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142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142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144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144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142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142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144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144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142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142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144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144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144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144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144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144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144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142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142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144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144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142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144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144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144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142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144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144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144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144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142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142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144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142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144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144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144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144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144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142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144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144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142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144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144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144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142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144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144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143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142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144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144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142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144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143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142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142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143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144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142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144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143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143</v>
      </c>
      <c r="D7341" s="14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144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142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142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144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142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144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142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142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144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142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142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142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144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142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144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144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142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142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142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144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144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144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142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144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142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144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142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144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143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142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144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142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142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144</v>
      </c>
      <c r="D7375" s="14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143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142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142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142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144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144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143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144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144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142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142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142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142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144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142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144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144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142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142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144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142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142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142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142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142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143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142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144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144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142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142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142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144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142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142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142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144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142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144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144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142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142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143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142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142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142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144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142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142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142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144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142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144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144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142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144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143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142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142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143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144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144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142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142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142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144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144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144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142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142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142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144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144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142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144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144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142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144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142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142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142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142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142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143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143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144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142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144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142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144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142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142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144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142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144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143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142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143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142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142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142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144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142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144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142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144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142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142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142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144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142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144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142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144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144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144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142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144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144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142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144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144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142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144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142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142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142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142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142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142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142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142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144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142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144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142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142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142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143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144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142</v>
      </c>
      <c r="D7516" s="14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144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144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144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142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142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142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142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142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142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144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142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142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144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144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144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142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144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142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144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142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144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143</v>
      </c>
      <c r="D7538" s="14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143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144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144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142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144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142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142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144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142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142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142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144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144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144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144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144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142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142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142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144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142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144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144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142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142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142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143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142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144</v>
      </c>
      <c r="D7567" s="14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142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142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144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144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143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143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144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142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142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142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142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143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144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144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142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144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142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144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142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144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142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144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142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142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142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142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142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142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144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143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144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142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142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142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144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142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142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142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144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142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143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142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143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142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144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144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142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142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142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144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144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142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144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144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142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144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142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142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144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143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142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142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142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142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144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142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142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142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144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143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142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142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142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142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142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142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142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144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144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142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142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142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142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144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142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142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142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143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142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142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142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142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142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144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142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144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144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142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142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144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144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144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142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144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142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144</v>
      </c>
      <c r="D7673" s="14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144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144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142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144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142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142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144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143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144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142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142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142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144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142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144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144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142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144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144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143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144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142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144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144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142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142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142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142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142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142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142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144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144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144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143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143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144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143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144</v>
      </c>
      <c r="D7712" s="14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142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144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144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142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142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142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144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144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142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142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144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144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142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142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144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144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144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142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144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144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142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142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142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142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144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142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144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144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143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142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142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144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144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142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144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143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144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144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144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144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144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143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143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144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142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144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143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142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144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143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142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144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142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143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142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144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144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143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143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143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142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144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142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144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144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144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142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142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142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142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142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144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144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142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144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144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144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144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142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144</v>
      </c>
      <c r="D7792" s="14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142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142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144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144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142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142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144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142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142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142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144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142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142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144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144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142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144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144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142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142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144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144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144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144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142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144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143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144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144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144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144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142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144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144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142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144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144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143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142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143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144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143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142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144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143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142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142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144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142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144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144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144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144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144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144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142</v>
      </c>
      <c r="D7848" s="14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142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144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144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143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143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142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144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142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142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142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144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142</v>
      </c>
      <c r="D7860" s="14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142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144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144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144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144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142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144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144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144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144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144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144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142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142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143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144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142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142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144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143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144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142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142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144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143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144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144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143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142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144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142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142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144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144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144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142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144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144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144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142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144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142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142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144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142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144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144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144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142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142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144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144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144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144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142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144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143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144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142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142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144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144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144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144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142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142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144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142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144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142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142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144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144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144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144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142</v>
      </c>
      <c r="D7936" s="14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142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144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142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142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144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144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144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142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143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142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144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143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144</v>
      </c>
      <c r="D7949" s="14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142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144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142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144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144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142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144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144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142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144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143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144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142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144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144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142</v>
      </c>
      <c r="D7965" s="14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144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144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142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143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144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144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144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144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144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144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144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142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142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144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144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142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144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142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144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142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144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142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142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144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143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144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144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144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144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144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144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144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144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143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144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143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144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143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144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142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142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142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142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144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144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144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142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144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144</v>
      </c>
      <c r="D8014" s="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142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142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144</v>
      </c>
      <c r="D8017" s="14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143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144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144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144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142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142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144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144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142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143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143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144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144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144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142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143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144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142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144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142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144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144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143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144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142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144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144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142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144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144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144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142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144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142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144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144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144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144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142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142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144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142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144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144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144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144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144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143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144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142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144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144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144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143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144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142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143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144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144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142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142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144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142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144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143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142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144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142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144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142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144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144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144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144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144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144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144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142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142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144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142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142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144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142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144</v>
      </c>
      <c r="D8102" s="14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142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142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144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144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143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144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142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144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144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142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143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142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142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142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144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142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144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143</v>
      </c>
      <c r="D8120" s="14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142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144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142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144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144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144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144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144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142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142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144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144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142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142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144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144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144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144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144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142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144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144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142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144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142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143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143</v>
      </c>
      <c r="D8147" s="14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142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143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142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144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144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144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144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144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144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144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144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142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144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144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144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144</v>
      </c>
      <c r="D8163" s="14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144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144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142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144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144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144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144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144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142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143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144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143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144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142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143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142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144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144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144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144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142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144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142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144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144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143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144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142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144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142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144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144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144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143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142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142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142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142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142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144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143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142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142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142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144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144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142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144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144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144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144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144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142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142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142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144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144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142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142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142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142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144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142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144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144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142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142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142</v>
      </c>
      <c r="D8231" s="14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142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142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143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142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144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142</v>
      </c>
      <c r="D8237" s="14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144</v>
      </c>
      <c r="D8238" s="14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144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144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142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144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144</v>
      </c>
      <c r="D8243" s="14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144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142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144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143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143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144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144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142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142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144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144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144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142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142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144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144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142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142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143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142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142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144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143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143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142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144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143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144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143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143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142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144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142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144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142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143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144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142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142</v>
      </c>
      <c r="D8282" s="14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142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144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142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143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142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142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143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144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142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142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144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144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144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142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144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142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142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142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144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142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142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143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144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144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144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144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143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144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143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144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144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143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144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144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143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144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144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144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144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143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142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144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144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144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144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144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144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144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142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144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144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142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142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144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144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142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144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142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142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142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143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144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144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144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143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143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144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142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142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142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144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142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144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144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144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142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142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144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144</v>
      </c>
      <c r="D8361" s="14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144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142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143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144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144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144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144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142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144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142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144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142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144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142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143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144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144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144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144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142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143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142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144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144</v>
      </c>
      <c r="D8385" s="14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144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143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142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142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144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142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142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142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144</v>
      </c>
      <c r="D8394" s="1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144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144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142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144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142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142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143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142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142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144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144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142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144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142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144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144</v>
      </c>
      <c r="D8410" s="14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144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142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144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144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142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144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144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144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144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142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142</v>
      </c>
      <c r="D8421" s="14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144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142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142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142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144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142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144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144</v>
      </c>
      <c r="D8429" s="14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144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144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142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144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144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143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144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142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142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142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142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142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144</v>
      </c>
      <c r="D8442" s="14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142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142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144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144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144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143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143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144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144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142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142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142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144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142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142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142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144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144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142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142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144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142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142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143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142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142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144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144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143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144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142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142</v>
      </c>
      <c r="D8474" s="1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144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144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142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144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142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144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144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142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144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142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144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144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142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144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144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142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144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143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144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143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143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143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144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143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142</v>
      </c>
      <c r="D8499" s="14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142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144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142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144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144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144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142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142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142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142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144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142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144</v>
      </c>
      <c r="D8512" s="14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142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143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144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142</v>
      </c>
      <c r="D8516" s="14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144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143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144</v>
      </c>
      <c r="D8519" s="14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142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144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144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144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144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142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142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144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142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142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144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143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144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142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142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142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144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144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142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142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144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144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144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142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142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143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144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144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142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142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144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142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142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144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142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142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142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144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143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144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144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144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144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144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144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142</v>
      </c>
      <c r="D8565" s="14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144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142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144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142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142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142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144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144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142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144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142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144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144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142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144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142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142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144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142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142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142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144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143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144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142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142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143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144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144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142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144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144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144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142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143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144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142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144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142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144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144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144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142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144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142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144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144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142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144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142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142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142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144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144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144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144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142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142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144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144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144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142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142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142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143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142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142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142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142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142</v>
      </c>
      <c r="D8635" s="14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142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144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144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144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144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143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143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144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144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144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142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144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144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144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142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142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143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144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144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142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142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144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142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144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142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144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142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143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142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144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144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142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142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144</v>
      </c>
      <c r="D8669" s="14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144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142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143</v>
      </c>
      <c r="D8672" s="14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144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142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144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144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142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144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142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142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144</v>
      </c>
      <c r="D8681" s="14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142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144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142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142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142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143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144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142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142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144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142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144</v>
      </c>
      <c r="D8693" s="14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142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142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142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143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144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144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144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144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142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144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142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142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143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143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144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142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143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144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142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144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144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144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143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142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144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144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142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142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142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143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144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144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144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144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144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142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143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143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142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142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143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142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142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144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142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144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142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142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142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142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142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144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144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142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142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144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142</v>
      </c>
      <c r="D8750" s="14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142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142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144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143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144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144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144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142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144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144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142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144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144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144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142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142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144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144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142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142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144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144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142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144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142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142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142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143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144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144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142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142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144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142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144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144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142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142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144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144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142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144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144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144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142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142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142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142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144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142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144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143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144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144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144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144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142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144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142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144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144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144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144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142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144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142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144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143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142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142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142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142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144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142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144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144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144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144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142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142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142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144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144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144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144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142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142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144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144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142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144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144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142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144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144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144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144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144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144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142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144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144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142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142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144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143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144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142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143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142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142</v>
      </c>
      <c r="D8861" s="14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144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144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142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144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142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142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143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144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144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144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143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144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144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142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144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144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142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142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142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142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142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144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144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142</v>
      </c>
      <c r="D8885" s="14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142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142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142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142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144</v>
      </c>
      <c r="D8890" s="14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142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144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142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142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142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144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142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142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144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144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144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144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142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144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144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144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142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143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142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144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143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142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142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144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144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144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143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144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144</v>
      </c>
      <c r="D8919" s="14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142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144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142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144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144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144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144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144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144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142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144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142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142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142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142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144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144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142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142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142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142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142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144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142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142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144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144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144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142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144</v>
      </c>
      <c r="D8949" s="14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142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144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142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144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142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144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144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144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144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142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144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144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142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144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142</v>
      </c>
      <c r="D8964" s="1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144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144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144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144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144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144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144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144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142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144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142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144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144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144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143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142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142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142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143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142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142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142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144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143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144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142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144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144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142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142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144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144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144</v>
      </c>
      <c r="D8997" s="14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142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144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142</v>
      </c>
      <c r="D9000" s="14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142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142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143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142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142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143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143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144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142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144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144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144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142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144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144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142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144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144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142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143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144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142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144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142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142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142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144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142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144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142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142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144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144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144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143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142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144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144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144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144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142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142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144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144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142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143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143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142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144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142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142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142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142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142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142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144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144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144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142</v>
      </c>
      <c r="D9059" s="14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143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144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142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144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143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142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142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144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144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144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142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142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142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142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142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144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142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144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144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142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144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144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144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142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142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144</v>
      </c>
      <c r="D9085" s="14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144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142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144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144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143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144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144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142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144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144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144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144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144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142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143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144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144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144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144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144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142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142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142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142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142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142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142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142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143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142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142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142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144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142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144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144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142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142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142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143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144</v>
      </c>
      <c r="D9126" s="14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142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144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142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144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142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142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144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144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144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144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142</v>
      </c>
      <c r="D9137" s="14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144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144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144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142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144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144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144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143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142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144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144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143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144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144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144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144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142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142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144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142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144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144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142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144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143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144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144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144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144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144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142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142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142</v>
      </c>
      <c r="D9170" s="14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142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142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144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142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144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144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142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144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144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142</v>
      </c>
      <c r="D9180" s="14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142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142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144</v>
      </c>
      <c r="D9183" s="14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144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144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142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144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144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142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142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142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142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144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142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144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142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144</v>
      </c>
      <c r="D9197" s="14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142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142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144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144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144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144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142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144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144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144</v>
      </c>
      <c r="D9207" s="14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144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144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144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142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144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144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142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144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142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144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144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142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144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143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142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144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142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142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144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143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144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142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144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142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143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144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144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144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142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144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144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143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144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144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144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143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144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144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142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144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142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142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142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142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142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144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144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142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142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144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142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144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142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143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144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144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144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143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142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144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142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143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142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142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142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143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144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142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142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142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144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142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144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142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142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142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144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144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142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144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144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142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144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142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144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144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144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144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144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143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144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144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142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142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142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144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142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142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142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142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142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142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144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144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142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144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144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142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144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142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144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142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143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142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144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142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142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143</v>
      </c>
      <c r="D9325" s="14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142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144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143</v>
      </c>
      <c r="D9328" s="14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142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144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142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142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144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144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144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144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144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143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142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144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142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142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142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142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144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142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142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142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142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142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144</v>
      </c>
      <c r="D9351" s="14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144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144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142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142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142</v>
      </c>
      <c r="D9356" s="14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143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144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144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144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144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144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143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142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144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142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142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144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143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144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142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144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142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144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142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144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142</v>
      </c>
      <c r="D9377" s="14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144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144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142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144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142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144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144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144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142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142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142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144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144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144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142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144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142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144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144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144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144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144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142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142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143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144</v>
      </c>
      <c r="D9403" s="14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142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143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144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144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142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142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143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142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144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142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144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142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144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142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142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142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142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142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142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142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142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144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144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142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144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144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142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142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144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142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142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144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144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144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142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142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144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142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142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143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142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144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143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142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143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143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144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142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142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144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142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142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142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142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144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144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144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142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143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144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144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142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144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142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142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144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142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144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144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142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142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144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142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144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144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142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144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144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144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143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144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144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142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142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142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144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144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144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144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144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144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144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142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144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142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144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142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143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144</v>
      </c>
      <c r="D9502" s="14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144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142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144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144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142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142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144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144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144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144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143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142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144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144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142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144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142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142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144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144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142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144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143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144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142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144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144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144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144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143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142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144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144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142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142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144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144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142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142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143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142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144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144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142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142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144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144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144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142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144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144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144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142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142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142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142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143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142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144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144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142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142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144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142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144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144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144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142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144</v>
      </c>
      <c r="D9571" s="14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142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142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144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143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144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144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144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144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144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144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142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142</v>
      </c>
      <c r="D9583" s="14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143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142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144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142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144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144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144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142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143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142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142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142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144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142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144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144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144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144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144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142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142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142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144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142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142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144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144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144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142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144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144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144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142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143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144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142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144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144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142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142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142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144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144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142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142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144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144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144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142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144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144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144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144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144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142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143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144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142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144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142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142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144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142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144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144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144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142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142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142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142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142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144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144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142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142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144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142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143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143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142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144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142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144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142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144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144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142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144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143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142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144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142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143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144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144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144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142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142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144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144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142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144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142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142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144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144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144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144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142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144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143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142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144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144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143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144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143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143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144</v>
      </c>
      <c r="D9702" s="14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143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142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143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144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144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143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142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144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142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142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144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144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142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142</v>
      </c>
      <c r="D9716" s="14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144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144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144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144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142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144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144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142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144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142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144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144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144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144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142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144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144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142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142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144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144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144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144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144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142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142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142</v>
      </c>
      <c r="D9743" s="14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144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144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142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144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144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142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144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142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144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144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144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144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144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144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142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142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144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143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144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142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142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144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144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142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142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142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144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144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144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142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142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144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142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142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142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142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142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142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142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144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144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142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142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144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142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144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144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144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142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143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142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144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144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142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144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144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142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144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144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144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142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144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142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144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142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144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144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144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142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144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144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142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144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144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142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144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142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143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144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143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143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144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144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142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142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142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144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142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144</v>
      </c>
      <c r="D9832" s="14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142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144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144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142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143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144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142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142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144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142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144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144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142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144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144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142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142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144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144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143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144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142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143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142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142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144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144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142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142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144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142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144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144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144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142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144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144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144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143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144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142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144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142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142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144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144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142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144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142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144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144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144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144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144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142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144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143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144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144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144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142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144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144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144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144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144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142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142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143</v>
      </c>
      <c r="D9901" s="14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142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144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144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142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143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142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142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144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144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144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142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142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144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144</v>
      </c>
      <c r="D9915" s="14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143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142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142</v>
      </c>
      <c r="D9918" s="14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144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143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144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144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143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143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144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143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144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144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144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142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142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144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142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143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143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144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144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144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142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143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144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142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144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144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144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142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142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144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144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142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142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144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142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144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144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144</v>
      </c>
      <c r="D9956" s="14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144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142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144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144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142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142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144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144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144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144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142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144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142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142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144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144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142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142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144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144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144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144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143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144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142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144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144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142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142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144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144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143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142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142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144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144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144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144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144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142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144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142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144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143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142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144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142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142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144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142</v>
      </c>
      <c r="D10006" s="14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144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142</v>
      </c>
      <c r="D10008" s="14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143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144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144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144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142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144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142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143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144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144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142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144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144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144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142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142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144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142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144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144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142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144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144</v>
      </c>
      <c r="D10031" s="14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142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142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144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142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144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144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143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144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142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142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143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144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142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144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144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142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142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142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144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143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142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144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142</v>
      </c>
      <c r="D10054" s="1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143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143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142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144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144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144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144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142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144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142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143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144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144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144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144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142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144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142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142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143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142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142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144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142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144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144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144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144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142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144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142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142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142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144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144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144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142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143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144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144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144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142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144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144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144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144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144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143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142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142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142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142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142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142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144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144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142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144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144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142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144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142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144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142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142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144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144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142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144</v>
      </c>
      <c r="D10123" s="14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142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144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142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144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144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144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142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143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142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143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142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144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142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144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142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144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143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144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144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142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143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143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144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142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144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143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144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144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144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144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144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142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144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142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144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142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144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144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144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144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144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144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144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144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144</v>
      </c>
      <c r="D10168" s="14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142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144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142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144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142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142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144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143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144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144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143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144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144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142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142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144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142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144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142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142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142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143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144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144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144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142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143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144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144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144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144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142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144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142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144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142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142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144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144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142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144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144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142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144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144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142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142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142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144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144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143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144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143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144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142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142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143</v>
      </c>
      <c r="D10225" s="14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144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142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144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144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144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144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142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144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142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144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142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142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144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144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142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142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143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142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144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143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142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144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144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144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144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144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143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143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144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144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142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142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142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144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144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142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144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142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142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144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144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142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142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142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143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144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142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144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142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143</v>
      </c>
      <c r="D10275" s="14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142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143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143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142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144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144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144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144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144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142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144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144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144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142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144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144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142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142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144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142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144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144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144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142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144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144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142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144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142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143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144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144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142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142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142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142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142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144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144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142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142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144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144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142</v>
      </c>
      <c r="D10319" s="14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143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142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144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144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142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142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144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142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144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144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142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144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142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144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142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142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142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144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142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142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142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142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144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142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144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144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144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144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142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143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144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142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143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144</v>
      </c>
      <c r="D10353" s="14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144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142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142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144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144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142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144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142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144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144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142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144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142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144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144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144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144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142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142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144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142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142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144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142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142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144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142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144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142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144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142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142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142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142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142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142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144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144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144</v>
      </c>
      <c r="D10392" s="14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142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144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144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144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142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143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142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142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144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142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142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142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142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144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144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144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144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143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144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142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144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142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144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142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142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144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144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144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144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143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142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144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142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142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142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142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142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142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142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142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144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144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144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143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142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142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144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142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142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142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142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142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144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143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144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142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142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144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142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144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144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142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142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144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144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144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142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144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143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144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142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143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144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142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144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142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142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142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143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144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144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144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144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144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142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142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142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144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143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142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144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142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144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144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144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142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144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142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144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144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142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144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144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144</v>
      </c>
      <c r="D10496" s="14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143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144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143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142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144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142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144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144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144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142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144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144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144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142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144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144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143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142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144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144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142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142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143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144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142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142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144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143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142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142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144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144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144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144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144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142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142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144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142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143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142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144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144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144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144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142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142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142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142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144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144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144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142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142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144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143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144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144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144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144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142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144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144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144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144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142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144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144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144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144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143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142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144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144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144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144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144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144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144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143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144</v>
      </c>
      <c r="D10577" s="14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144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144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143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142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144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144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142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144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142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144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142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142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144</v>
      </c>
      <c r="D10590" s="14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144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144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144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144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144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144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144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144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144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144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144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142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143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144</v>
      </c>
      <c r="D10604" s="1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142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144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142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144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142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144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143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142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143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142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144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144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144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143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142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142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144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144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144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144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144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142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142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142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144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144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144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144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142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144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142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142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144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144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142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142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142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142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142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144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144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144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144</v>
      </c>
      <c r="D10647" s="14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142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142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144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142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142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142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144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142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144</v>
      </c>
      <c r="D10656" s="14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142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142</v>
      </c>
      <c r="D10658" s="14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144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144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142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142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144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144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142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144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144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144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143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144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144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144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142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144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144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144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144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144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142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144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144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144</v>
      </c>
      <c r="D10682" s="14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142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142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143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144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142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144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142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142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144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144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142</v>
      </c>
      <c r="D10693" s="14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144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144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144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144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144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144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142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144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144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142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142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142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144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144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144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144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143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144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142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144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144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143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144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142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142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144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144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142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144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144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144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142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142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144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144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143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144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142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142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142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144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144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144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142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144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144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144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142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144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142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144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143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142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142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144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144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144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144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144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144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143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144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142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143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142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144</v>
      </c>
      <c r="D10759" s="14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144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142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144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142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144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142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144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144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142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144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142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144</v>
      </c>
      <c r="D10771" s="14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143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142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142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142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144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144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144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144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144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142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144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144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144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142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143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144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142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142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142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142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142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142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142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144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144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144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144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144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142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143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144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144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144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142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142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142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142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142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144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144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142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144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144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144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142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144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144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144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144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144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144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144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142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144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142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142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142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144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144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143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142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142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144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144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144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144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144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142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142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144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144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144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144</v>
      </c>
      <c r="D10844" s="1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144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143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142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142</v>
      </c>
      <c r="D10848" s="14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142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144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144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144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142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142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144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144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142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142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142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144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142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143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142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144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142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143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142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144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144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144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143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143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143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142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142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142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144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142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142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144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142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144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144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144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144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144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142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142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144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142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142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142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144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144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144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142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144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144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142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142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144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144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144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144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144</v>
      </c>
      <c r="D10905" s="14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142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142</v>
      </c>
      <c r="D10907" s="14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144</v>
      </c>
      <c r="D10908" s="14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144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144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144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142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144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144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144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144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144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144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144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144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142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144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142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142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144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144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142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143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142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144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144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142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142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142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144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144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144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144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144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144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143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142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144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144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142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144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142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142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144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143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144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142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142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144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144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144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142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142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142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144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142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144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142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142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143</v>
      </c>
      <c r="D10965" s="14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143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142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143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144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144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144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142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144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143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144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142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142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142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144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142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144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144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143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142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144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144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143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144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144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144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142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142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144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144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143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144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142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142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142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144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142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144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144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144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144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144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144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144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142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144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142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142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144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143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144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143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142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144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142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143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143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142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144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143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142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144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143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142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143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142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144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144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142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142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144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142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142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144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144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144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142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144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143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142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144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144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144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142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144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144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144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142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144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142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142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144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144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144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144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144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144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144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144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144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142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143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144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143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143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142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142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144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144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144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144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144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142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142</v>
      </c>
      <c r="D11078" s="14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142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144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144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144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144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142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142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144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142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144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144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142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144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144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144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144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144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142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144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142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142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142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144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142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142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144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144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142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142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142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142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144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142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142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143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142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142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144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144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144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142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142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144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142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144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144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144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142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142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143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142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143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142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142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144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142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143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142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144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144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144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144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143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144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142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143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142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142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142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144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144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144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144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144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142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142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144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144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144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142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142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144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144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144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144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142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144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144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144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142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142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142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144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144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144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144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144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142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144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143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143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144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144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144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142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142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143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142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142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144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144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144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144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143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144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144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142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144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144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142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144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144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142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142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144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144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144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144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142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144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142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143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142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142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142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142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142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142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142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142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142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142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142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144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144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144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144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142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142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142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143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144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142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144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144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142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143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142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142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142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142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144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144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144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144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142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142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144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142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144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142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142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142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144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142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142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144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143</v>
      </c>
      <c r="D11256" s="14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143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142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144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144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143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144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142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144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144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144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142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142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144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144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142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144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143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142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144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143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144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142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142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142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142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144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144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144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142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142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143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144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143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142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142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142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144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143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142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142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144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144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144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142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143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144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142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144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144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144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144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144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144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144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142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144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144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142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142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144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143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144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144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142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142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143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142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142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142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142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144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144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144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142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142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144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143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144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142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142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144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144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144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144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144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144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143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142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144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144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144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143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142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142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142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142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144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142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144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142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142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142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143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144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144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144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142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142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142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144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144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144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144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142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142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144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142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142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142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142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142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142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144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144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142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142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144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142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144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144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143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144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144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144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144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144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144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144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144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144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144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144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144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142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144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142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144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142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144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142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142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144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144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144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142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143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142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143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142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142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142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142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142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142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144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142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144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144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144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144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142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144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142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144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144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142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144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144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144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142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142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144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142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144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142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144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144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144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144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142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144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144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142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144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142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144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142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143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144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142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142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142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144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142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144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144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144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144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142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142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144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144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144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144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143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142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142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142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142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144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142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144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142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144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144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144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142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142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142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142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142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144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144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144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143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144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142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144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142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144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142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142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143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144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144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144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144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144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142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144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144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142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142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144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143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142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144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142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144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144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144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142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144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142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144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143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142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144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144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144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142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142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143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142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143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144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144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142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144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142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144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144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144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142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142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144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142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142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142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142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144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144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142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142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143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142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144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142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143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143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144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142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144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142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144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142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144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144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144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144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144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144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144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144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143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144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144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144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144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144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142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144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144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142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142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142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142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144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142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144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144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142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142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142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144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143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142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142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144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144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142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144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142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144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144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142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142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144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144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144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143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142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144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144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142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144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142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144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144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142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142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144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142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144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142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144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143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142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144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143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144</v>
      </c>
      <c r="D11627" s="14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144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143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142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144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142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142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144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142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144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143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144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144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142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144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142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142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142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144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142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142</v>
      </c>
      <c r="D11647" s="14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143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142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142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144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142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144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142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144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142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142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142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144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144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144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142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144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144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144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144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143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144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144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144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144</v>
      </c>
      <c r="D11671" s="14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142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142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144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143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143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142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142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144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144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144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142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144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143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144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144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144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142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142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144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142</v>
      </c>
      <c r="D11691" s="14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142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142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144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144</v>
      </c>
      <c r="D11695" s="14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143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143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144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144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144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142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143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143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144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142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144</v>
      </c>
      <c r="D11706" s="14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142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143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142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142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144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144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142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142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144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144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144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144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144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144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144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142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142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144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144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142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144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144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144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142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144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142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142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142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143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142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142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144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144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142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144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144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142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144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144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144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144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142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143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142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143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144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144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142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144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144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142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142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142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144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144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144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144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143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142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142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144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142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142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144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142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144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142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142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144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144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142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142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142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142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142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144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142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144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142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144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142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144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142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144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144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144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144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144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143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142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144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143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144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144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144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144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142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143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142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144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143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144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142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142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142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142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144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142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142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144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142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142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142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142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144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142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144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142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142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144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144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144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142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143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144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142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142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144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144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144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144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144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142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144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143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144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144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144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142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144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144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144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142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142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144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144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144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144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143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144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143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142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144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142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142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144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143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143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142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142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142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144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144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142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144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142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143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144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144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142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142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143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144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142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144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144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144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144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142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142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144</v>
      </c>
      <c r="D11887" s="14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144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142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144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142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142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143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142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144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142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144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144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142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144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143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142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144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143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142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142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144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142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142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144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144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144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142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142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142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143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144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144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144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142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142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144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143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144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144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142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144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142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144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144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144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142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144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142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142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142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142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144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143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144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142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143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144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142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144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142</v>
      </c>
      <c r="D11946" s="14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144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144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142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144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144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144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142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143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144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144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142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142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144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142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144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142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142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142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144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142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144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142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142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144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144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142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144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144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144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144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144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143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142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144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142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142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142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144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144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142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144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142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144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144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142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142</v>
      </c>
      <c r="D11992" s="14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144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142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142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144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142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142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144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144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142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142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142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144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144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144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142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144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143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142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142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142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144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144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144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142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142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144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142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142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142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142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144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144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144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142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144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142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142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142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142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144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144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142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144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144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144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142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142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144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142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142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144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144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142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144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144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144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142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142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144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144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142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144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144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142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142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142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144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142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144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144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143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142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144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142</v>
      </c>
      <c r="D12066" s="14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144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142</v>
      </c>
      <c r="D12068" s="14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142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142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144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144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144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143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142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144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144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142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144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143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142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144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144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142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142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142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142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144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144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144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144</v>
      </c>
      <c r="D12091" s="14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142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144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144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144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142</v>
      </c>
      <c r="D12096" s="14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143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144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142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144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144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143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142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142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143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144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144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144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143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144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144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143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144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144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144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142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142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144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144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142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142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142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144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143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142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144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143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144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143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144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144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143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142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142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144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144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142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144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142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142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142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144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142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144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144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142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142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142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144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144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144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144</v>
      </c>
      <c r="D12152" s="14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144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144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144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144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142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144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144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144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142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142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142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142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143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144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144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143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142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142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144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144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142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142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144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143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142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144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142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142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143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142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144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142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142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144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144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142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144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144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144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142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142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144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144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142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142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144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144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144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142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144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143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144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142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144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144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143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144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144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142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142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144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144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142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142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144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144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144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142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142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144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142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142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142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142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143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142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144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144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142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142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144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142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144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142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142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144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143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144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142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142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144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144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144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144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142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144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142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142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142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143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144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144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143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142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142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144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144</v>
      </c>
      <c r="D12259" s="14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143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143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142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 codeName="Sheet14"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177</v>
      </c>
      <c r="B1" t="s">
        <v>176</v>
      </c>
      <c r="C1" t="s">
        <v>175</v>
      </c>
      <c r="D1" t="s">
        <v>174</v>
      </c>
      <c r="E1" t="s">
        <v>173</v>
      </c>
      <c r="F1" t="s">
        <v>172</v>
      </c>
      <c r="G1" t="s">
        <v>171</v>
      </c>
      <c r="H1" t="s">
        <v>170</v>
      </c>
      <c r="I1" t="s">
        <v>169</v>
      </c>
      <c r="J1" t="s">
        <v>168</v>
      </c>
      <c r="K1" t="s">
        <v>167</v>
      </c>
      <c r="L1" t="s">
        <v>166</v>
      </c>
      <c r="M1" t="s">
        <v>165</v>
      </c>
      <c r="N1" t="s">
        <v>164</v>
      </c>
      <c r="O1" t="s">
        <v>163</v>
      </c>
      <c r="P1" t="s">
        <v>162</v>
      </c>
      <c r="Q1" t="s">
        <v>161</v>
      </c>
      <c r="R1" t="s">
        <v>160</v>
      </c>
      <c r="S1" t="s">
        <v>159</v>
      </c>
      <c r="T1" t="s">
        <v>158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153</v>
      </c>
      <c r="O2" t="s">
        <v>155</v>
      </c>
      <c r="P2">
        <v>446</v>
      </c>
      <c r="Q2">
        <v>33</v>
      </c>
      <c r="R2">
        <v>20</v>
      </c>
      <c r="S2" t="s">
        <v>157</v>
      </c>
      <c r="T2" t="s">
        <v>153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156</v>
      </c>
      <c r="O3" t="s">
        <v>154</v>
      </c>
      <c r="P3">
        <v>632</v>
      </c>
      <c r="Q3">
        <v>43</v>
      </c>
      <c r="R3">
        <v>10</v>
      </c>
      <c r="S3">
        <v>475</v>
      </c>
      <c r="T3" t="s">
        <v>156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153</v>
      </c>
      <c r="O4" t="s">
        <v>154</v>
      </c>
      <c r="P4">
        <v>880</v>
      </c>
      <c r="Q4">
        <v>82</v>
      </c>
      <c r="R4">
        <v>14</v>
      </c>
      <c r="S4">
        <v>480</v>
      </c>
      <c r="T4" t="s">
        <v>153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156</v>
      </c>
      <c r="O5" t="s">
        <v>155</v>
      </c>
      <c r="P5">
        <v>200</v>
      </c>
      <c r="Q5">
        <v>11</v>
      </c>
      <c r="R5">
        <v>3</v>
      </c>
      <c r="S5">
        <v>500</v>
      </c>
      <c r="T5" t="s">
        <v>156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156</v>
      </c>
      <c r="O6" t="s">
        <v>155</v>
      </c>
      <c r="P6">
        <v>805</v>
      </c>
      <c r="Q6">
        <v>40</v>
      </c>
      <c r="R6">
        <v>4</v>
      </c>
      <c r="S6">
        <v>91.5</v>
      </c>
      <c r="T6" t="s">
        <v>156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153</v>
      </c>
      <c r="O7" t="s">
        <v>154</v>
      </c>
      <c r="P7">
        <v>282</v>
      </c>
      <c r="Q7">
        <v>421</v>
      </c>
      <c r="R7">
        <v>25</v>
      </c>
      <c r="S7">
        <v>750</v>
      </c>
      <c r="T7" t="s">
        <v>153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156</v>
      </c>
      <c r="O8" t="s">
        <v>155</v>
      </c>
      <c r="P8">
        <v>76</v>
      </c>
      <c r="Q8">
        <v>127</v>
      </c>
      <c r="R8">
        <v>7</v>
      </c>
      <c r="S8">
        <v>70</v>
      </c>
      <c r="T8" t="s">
        <v>153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153</v>
      </c>
      <c r="O9" t="s">
        <v>154</v>
      </c>
      <c r="P9">
        <v>121</v>
      </c>
      <c r="Q9">
        <v>283</v>
      </c>
      <c r="R9">
        <v>9</v>
      </c>
      <c r="S9">
        <v>100</v>
      </c>
      <c r="T9" t="s">
        <v>153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156</v>
      </c>
      <c r="O10" t="s">
        <v>154</v>
      </c>
      <c r="P10">
        <v>143</v>
      </c>
      <c r="Q10">
        <v>290</v>
      </c>
      <c r="R10">
        <v>19</v>
      </c>
      <c r="S10">
        <v>75</v>
      </c>
      <c r="T10" t="s">
        <v>156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153</v>
      </c>
      <c r="O11" t="s">
        <v>155</v>
      </c>
      <c r="P11">
        <v>0</v>
      </c>
      <c r="Q11">
        <v>0</v>
      </c>
      <c r="R11">
        <v>0</v>
      </c>
      <c r="S11">
        <v>1100</v>
      </c>
      <c r="T11" t="s">
        <v>153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153</v>
      </c>
      <c r="O12" t="s">
        <v>155</v>
      </c>
      <c r="P12">
        <v>238</v>
      </c>
      <c r="Q12">
        <v>445</v>
      </c>
      <c r="R12">
        <v>22</v>
      </c>
      <c r="S12">
        <v>517.14300000000003</v>
      </c>
      <c r="T12" t="s">
        <v>153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156</v>
      </c>
      <c r="O13" t="s">
        <v>154</v>
      </c>
      <c r="P13">
        <v>304</v>
      </c>
      <c r="Q13">
        <v>45</v>
      </c>
      <c r="R13">
        <v>11</v>
      </c>
      <c r="S13">
        <v>512.5</v>
      </c>
      <c r="T13" t="s">
        <v>156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156</v>
      </c>
      <c r="O14" t="s">
        <v>155</v>
      </c>
      <c r="P14">
        <v>211</v>
      </c>
      <c r="Q14">
        <v>11</v>
      </c>
      <c r="R14">
        <v>7</v>
      </c>
      <c r="S14">
        <v>550</v>
      </c>
      <c r="T14" t="s">
        <v>156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153</v>
      </c>
      <c r="O15" t="s">
        <v>155</v>
      </c>
      <c r="P15">
        <v>121</v>
      </c>
      <c r="Q15">
        <v>151</v>
      </c>
      <c r="R15">
        <v>6</v>
      </c>
      <c r="S15">
        <v>700</v>
      </c>
      <c r="T15" t="s">
        <v>153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156</v>
      </c>
      <c r="O16" t="s">
        <v>155</v>
      </c>
      <c r="P16">
        <v>80</v>
      </c>
      <c r="Q16">
        <v>45</v>
      </c>
      <c r="R16">
        <v>8</v>
      </c>
      <c r="S16">
        <v>240</v>
      </c>
      <c r="T16" t="s">
        <v>156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153</v>
      </c>
      <c r="O17" t="s">
        <v>154</v>
      </c>
      <c r="P17">
        <v>118</v>
      </c>
      <c r="Q17">
        <v>0</v>
      </c>
      <c r="R17">
        <v>0</v>
      </c>
      <c r="S17" t="s">
        <v>157</v>
      </c>
      <c r="T17" t="s">
        <v>153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156</v>
      </c>
      <c r="O18" t="s">
        <v>154</v>
      </c>
      <c r="P18">
        <v>105</v>
      </c>
      <c r="Q18">
        <v>290</v>
      </c>
      <c r="R18">
        <v>10</v>
      </c>
      <c r="S18">
        <v>775</v>
      </c>
      <c r="T18" t="s">
        <v>156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153</v>
      </c>
      <c r="O19" t="s">
        <v>154</v>
      </c>
      <c r="P19">
        <v>102</v>
      </c>
      <c r="Q19">
        <v>177</v>
      </c>
      <c r="R19">
        <v>16</v>
      </c>
      <c r="S19">
        <v>175</v>
      </c>
      <c r="T19" t="s">
        <v>153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153</v>
      </c>
      <c r="O20" t="s">
        <v>154</v>
      </c>
      <c r="P20">
        <v>912</v>
      </c>
      <c r="Q20">
        <v>88</v>
      </c>
      <c r="R20">
        <v>9</v>
      </c>
      <c r="S20" t="s">
        <v>157</v>
      </c>
      <c r="T20" t="s">
        <v>153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156</v>
      </c>
      <c r="O21" t="s">
        <v>154</v>
      </c>
      <c r="P21">
        <v>202</v>
      </c>
      <c r="Q21">
        <v>22</v>
      </c>
      <c r="R21">
        <v>2</v>
      </c>
      <c r="S21">
        <v>135</v>
      </c>
      <c r="T21" t="s">
        <v>156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156</v>
      </c>
      <c r="O22" t="s">
        <v>155</v>
      </c>
      <c r="P22">
        <v>280</v>
      </c>
      <c r="Q22">
        <v>9</v>
      </c>
      <c r="R22">
        <v>5</v>
      </c>
      <c r="S22">
        <v>100</v>
      </c>
      <c r="T22" t="s">
        <v>156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153</v>
      </c>
      <c r="O23" t="s">
        <v>154</v>
      </c>
      <c r="P23">
        <v>361</v>
      </c>
      <c r="Q23">
        <v>22</v>
      </c>
      <c r="R23">
        <v>2</v>
      </c>
      <c r="S23">
        <v>115</v>
      </c>
      <c r="T23" t="s">
        <v>156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153</v>
      </c>
      <c r="O24" t="s">
        <v>154</v>
      </c>
      <c r="P24">
        <v>812</v>
      </c>
      <c r="Q24">
        <v>84</v>
      </c>
      <c r="R24">
        <v>11</v>
      </c>
      <c r="S24" t="s">
        <v>157</v>
      </c>
      <c r="T24" t="s">
        <v>153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156</v>
      </c>
      <c r="O25" t="s">
        <v>154</v>
      </c>
      <c r="P25">
        <v>518</v>
      </c>
      <c r="Q25">
        <v>55</v>
      </c>
      <c r="R25">
        <v>3</v>
      </c>
      <c r="S25">
        <v>600</v>
      </c>
      <c r="T25" t="s">
        <v>156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153</v>
      </c>
      <c r="O26" t="s">
        <v>155</v>
      </c>
      <c r="P26">
        <v>1067</v>
      </c>
      <c r="Q26">
        <v>157</v>
      </c>
      <c r="R26">
        <v>14</v>
      </c>
      <c r="S26">
        <v>776.66700000000003</v>
      </c>
      <c r="T26" t="s">
        <v>153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153</v>
      </c>
      <c r="O27" t="s">
        <v>155</v>
      </c>
      <c r="P27">
        <v>434</v>
      </c>
      <c r="Q27">
        <v>9</v>
      </c>
      <c r="R27">
        <v>3</v>
      </c>
      <c r="S27">
        <v>765</v>
      </c>
      <c r="T27" t="s">
        <v>153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156</v>
      </c>
      <c r="O28" t="s">
        <v>155</v>
      </c>
      <c r="P28">
        <v>222</v>
      </c>
      <c r="Q28">
        <v>3</v>
      </c>
      <c r="R28">
        <v>3</v>
      </c>
      <c r="S28">
        <v>708.33299999999997</v>
      </c>
      <c r="T28" t="s">
        <v>156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156</v>
      </c>
      <c r="O29" t="s">
        <v>154</v>
      </c>
      <c r="P29">
        <v>732</v>
      </c>
      <c r="Q29">
        <v>83</v>
      </c>
      <c r="R29">
        <v>13</v>
      </c>
      <c r="S29">
        <v>750</v>
      </c>
      <c r="T29" t="s">
        <v>156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156</v>
      </c>
      <c r="O30" t="s">
        <v>154</v>
      </c>
      <c r="P30">
        <v>262</v>
      </c>
      <c r="Q30">
        <v>329</v>
      </c>
      <c r="R30">
        <v>16</v>
      </c>
      <c r="S30">
        <v>625</v>
      </c>
      <c r="T30" t="s">
        <v>156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153</v>
      </c>
      <c r="O31" t="s">
        <v>154</v>
      </c>
      <c r="P31">
        <v>267</v>
      </c>
      <c r="Q31">
        <v>5</v>
      </c>
      <c r="R31">
        <v>3</v>
      </c>
      <c r="S31">
        <v>900</v>
      </c>
      <c r="T31" t="s">
        <v>153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153</v>
      </c>
      <c r="O32" t="s">
        <v>154</v>
      </c>
      <c r="P32">
        <v>127</v>
      </c>
      <c r="Q32">
        <v>221</v>
      </c>
      <c r="R32">
        <v>7</v>
      </c>
      <c r="S32" t="s">
        <v>157</v>
      </c>
      <c r="T32" t="s">
        <v>153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156</v>
      </c>
      <c r="O33" t="s">
        <v>154</v>
      </c>
      <c r="P33">
        <v>226</v>
      </c>
      <c r="Q33">
        <v>7</v>
      </c>
      <c r="R33">
        <v>4</v>
      </c>
      <c r="S33">
        <v>110</v>
      </c>
      <c r="T33" t="s">
        <v>156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156</v>
      </c>
      <c r="O34" t="s">
        <v>154</v>
      </c>
      <c r="P34">
        <v>1378</v>
      </c>
      <c r="Q34">
        <v>102</v>
      </c>
      <c r="R34">
        <v>8</v>
      </c>
      <c r="S34" t="s">
        <v>157</v>
      </c>
      <c r="T34" t="s">
        <v>156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153</v>
      </c>
      <c r="O35" t="s">
        <v>155</v>
      </c>
      <c r="P35">
        <v>109</v>
      </c>
      <c r="Q35">
        <v>292</v>
      </c>
      <c r="R35">
        <v>25</v>
      </c>
      <c r="S35">
        <v>612.5</v>
      </c>
      <c r="T35" t="s">
        <v>153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153</v>
      </c>
      <c r="O36" t="s">
        <v>154</v>
      </c>
      <c r="P36">
        <v>419</v>
      </c>
      <c r="Q36">
        <v>46</v>
      </c>
      <c r="R36">
        <v>5</v>
      </c>
      <c r="S36">
        <v>300</v>
      </c>
      <c r="T36" t="s">
        <v>153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156</v>
      </c>
      <c r="O37" t="s">
        <v>154</v>
      </c>
      <c r="P37">
        <v>72</v>
      </c>
      <c r="Q37">
        <v>170</v>
      </c>
      <c r="R37">
        <v>24</v>
      </c>
      <c r="S37">
        <v>850</v>
      </c>
      <c r="T37" t="s">
        <v>156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153</v>
      </c>
      <c r="O38" t="s">
        <v>155</v>
      </c>
      <c r="P38">
        <v>70</v>
      </c>
      <c r="Q38">
        <v>149</v>
      </c>
      <c r="R38">
        <v>12</v>
      </c>
      <c r="S38" t="s">
        <v>157</v>
      </c>
      <c r="T38" t="s">
        <v>153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156</v>
      </c>
      <c r="O39" t="s">
        <v>154</v>
      </c>
      <c r="P39">
        <v>442</v>
      </c>
      <c r="Q39">
        <v>59</v>
      </c>
      <c r="R39">
        <v>6</v>
      </c>
      <c r="S39">
        <v>90</v>
      </c>
      <c r="T39" t="s">
        <v>156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153</v>
      </c>
      <c r="O40" t="s">
        <v>155</v>
      </c>
      <c r="P40">
        <v>0</v>
      </c>
      <c r="Q40">
        <v>0</v>
      </c>
      <c r="R40">
        <v>0</v>
      </c>
      <c r="S40" t="s">
        <v>157</v>
      </c>
      <c r="T40" t="s">
        <v>153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156</v>
      </c>
      <c r="O41" t="s">
        <v>154</v>
      </c>
      <c r="P41">
        <v>166</v>
      </c>
      <c r="Q41">
        <v>172</v>
      </c>
      <c r="R41">
        <v>10</v>
      </c>
      <c r="S41" t="s">
        <v>157</v>
      </c>
      <c r="T41" t="s">
        <v>156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153</v>
      </c>
      <c r="O42" t="s">
        <v>155</v>
      </c>
      <c r="P42">
        <v>326</v>
      </c>
      <c r="Q42">
        <v>29</v>
      </c>
      <c r="R42">
        <v>5</v>
      </c>
      <c r="S42">
        <v>67.5</v>
      </c>
      <c r="T42" t="s">
        <v>153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156</v>
      </c>
      <c r="O43" t="s">
        <v>154</v>
      </c>
      <c r="P43">
        <v>103</v>
      </c>
      <c r="Q43">
        <v>84</v>
      </c>
      <c r="R43">
        <v>5</v>
      </c>
      <c r="S43" t="s">
        <v>157</v>
      </c>
      <c r="T43" t="s">
        <v>156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156</v>
      </c>
      <c r="O44" t="s">
        <v>154</v>
      </c>
      <c r="P44">
        <v>69</v>
      </c>
      <c r="Q44">
        <v>1</v>
      </c>
      <c r="R44">
        <v>1</v>
      </c>
      <c r="S44" t="s">
        <v>157</v>
      </c>
      <c r="T44" t="s">
        <v>156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153</v>
      </c>
      <c r="O45" t="s">
        <v>155</v>
      </c>
      <c r="P45">
        <v>307</v>
      </c>
      <c r="Q45">
        <v>25</v>
      </c>
      <c r="R45">
        <v>1</v>
      </c>
      <c r="S45">
        <v>180</v>
      </c>
      <c r="T45" t="s">
        <v>153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153</v>
      </c>
      <c r="O46" t="s">
        <v>155</v>
      </c>
      <c r="P46">
        <v>325</v>
      </c>
      <c r="Q46">
        <v>22</v>
      </c>
      <c r="R46">
        <v>2</v>
      </c>
      <c r="S46" t="s">
        <v>157</v>
      </c>
      <c r="T46" t="s">
        <v>153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153</v>
      </c>
      <c r="O47" t="s">
        <v>155</v>
      </c>
      <c r="P47">
        <v>359</v>
      </c>
      <c r="Q47">
        <v>30</v>
      </c>
      <c r="R47">
        <v>4</v>
      </c>
      <c r="S47">
        <v>305</v>
      </c>
      <c r="T47" t="s">
        <v>153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156</v>
      </c>
      <c r="O48" t="s">
        <v>154</v>
      </c>
      <c r="P48">
        <v>73</v>
      </c>
      <c r="Q48">
        <v>177</v>
      </c>
      <c r="R48">
        <v>18</v>
      </c>
      <c r="S48">
        <v>215</v>
      </c>
      <c r="T48" t="s">
        <v>156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153</v>
      </c>
      <c r="O49" t="s">
        <v>155</v>
      </c>
      <c r="P49">
        <v>58</v>
      </c>
      <c r="Q49">
        <v>4</v>
      </c>
      <c r="R49">
        <v>4</v>
      </c>
      <c r="S49">
        <v>247.5</v>
      </c>
      <c r="T49" t="s">
        <v>153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153</v>
      </c>
      <c r="O50" t="s">
        <v>155</v>
      </c>
      <c r="P50">
        <v>697</v>
      </c>
      <c r="Q50">
        <v>61</v>
      </c>
      <c r="R50">
        <v>9</v>
      </c>
      <c r="S50" t="s">
        <v>157</v>
      </c>
      <c r="T50" t="s">
        <v>153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156</v>
      </c>
      <c r="O51" t="s">
        <v>154</v>
      </c>
      <c r="P51">
        <v>303</v>
      </c>
      <c r="Q51">
        <v>9</v>
      </c>
      <c r="R51">
        <v>9</v>
      </c>
      <c r="S51">
        <v>815</v>
      </c>
      <c r="T51" t="s">
        <v>156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153</v>
      </c>
      <c r="O52" t="s">
        <v>154</v>
      </c>
      <c r="P52">
        <v>389</v>
      </c>
      <c r="Q52">
        <v>39</v>
      </c>
      <c r="R52">
        <v>4</v>
      </c>
      <c r="S52">
        <v>875</v>
      </c>
      <c r="T52" t="s">
        <v>153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156</v>
      </c>
      <c r="O53" t="s">
        <v>155</v>
      </c>
      <c r="P53">
        <v>109</v>
      </c>
      <c r="Q53">
        <v>7</v>
      </c>
      <c r="R53">
        <v>3</v>
      </c>
      <c r="S53">
        <v>70</v>
      </c>
      <c r="T53" t="s">
        <v>156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153</v>
      </c>
      <c r="O54" t="s">
        <v>155</v>
      </c>
      <c r="P54">
        <v>0</v>
      </c>
      <c r="Q54">
        <v>0</v>
      </c>
      <c r="R54">
        <v>0</v>
      </c>
      <c r="S54" t="s">
        <v>157</v>
      </c>
      <c r="T54" t="s">
        <v>153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153</v>
      </c>
      <c r="O55" t="s">
        <v>154</v>
      </c>
      <c r="P55">
        <v>67</v>
      </c>
      <c r="Q55">
        <v>147</v>
      </c>
      <c r="R55">
        <v>4</v>
      </c>
      <c r="S55">
        <v>1200</v>
      </c>
      <c r="T55" t="s">
        <v>153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153</v>
      </c>
      <c r="O56" t="s">
        <v>155</v>
      </c>
      <c r="P56">
        <v>316</v>
      </c>
      <c r="Q56">
        <v>6</v>
      </c>
      <c r="R56">
        <v>5</v>
      </c>
      <c r="S56">
        <v>675</v>
      </c>
      <c r="T56" t="s">
        <v>153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156</v>
      </c>
      <c r="O57" t="s">
        <v>154</v>
      </c>
      <c r="P57">
        <v>161</v>
      </c>
      <c r="Q57">
        <v>10</v>
      </c>
      <c r="R57">
        <v>3</v>
      </c>
      <c r="S57">
        <v>415</v>
      </c>
      <c r="T57" t="s">
        <v>156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156</v>
      </c>
      <c r="O58" t="s">
        <v>154</v>
      </c>
      <c r="P58">
        <v>142</v>
      </c>
      <c r="Q58">
        <v>14</v>
      </c>
      <c r="R58">
        <v>2</v>
      </c>
      <c r="S58">
        <v>340</v>
      </c>
      <c r="T58" t="s">
        <v>156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153</v>
      </c>
      <c r="O59" t="s">
        <v>155</v>
      </c>
      <c r="P59">
        <v>425</v>
      </c>
      <c r="Q59">
        <v>43</v>
      </c>
      <c r="R59">
        <v>4</v>
      </c>
      <c r="S59" t="s">
        <v>157</v>
      </c>
      <c r="T59" t="s">
        <v>153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156</v>
      </c>
      <c r="O60" t="s">
        <v>154</v>
      </c>
      <c r="P60">
        <v>106</v>
      </c>
      <c r="Q60">
        <v>206</v>
      </c>
      <c r="R60">
        <v>7</v>
      </c>
      <c r="S60">
        <v>416.66699999999997</v>
      </c>
      <c r="T60" t="s">
        <v>156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153</v>
      </c>
      <c r="O61" t="s">
        <v>155</v>
      </c>
      <c r="P61">
        <v>240</v>
      </c>
      <c r="Q61">
        <v>482</v>
      </c>
      <c r="R61">
        <v>13</v>
      </c>
      <c r="S61">
        <v>1350</v>
      </c>
      <c r="T61" t="s">
        <v>153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153</v>
      </c>
      <c r="O62" t="s">
        <v>155</v>
      </c>
      <c r="P62">
        <v>203</v>
      </c>
      <c r="Q62">
        <v>70</v>
      </c>
      <c r="R62">
        <v>10</v>
      </c>
      <c r="S62">
        <v>90</v>
      </c>
      <c r="T62" t="s">
        <v>153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156</v>
      </c>
      <c r="O63" t="s">
        <v>155</v>
      </c>
      <c r="P63">
        <v>53</v>
      </c>
      <c r="Q63">
        <v>88</v>
      </c>
      <c r="R63">
        <v>3</v>
      </c>
      <c r="S63">
        <v>275</v>
      </c>
      <c r="T63" t="s">
        <v>156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153</v>
      </c>
      <c r="O64" t="s">
        <v>154</v>
      </c>
      <c r="P64">
        <v>125</v>
      </c>
      <c r="Q64">
        <v>199</v>
      </c>
      <c r="R64">
        <v>13</v>
      </c>
      <c r="S64">
        <v>230</v>
      </c>
      <c r="T64" t="s">
        <v>153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156</v>
      </c>
      <c r="O65" t="s">
        <v>154</v>
      </c>
      <c r="P65">
        <v>73</v>
      </c>
      <c r="Q65">
        <v>152</v>
      </c>
      <c r="R65">
        <v>11</v>
      </c>
      <c r="S65">
        <v>225</v>
      </c>
      <c r="T65" t="s">
        <v>156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153</v>
      </c>
      <c r="O66" t="s">
        <v>154</v>
      </c>
      <c r="P66">
        <v>80</v>
      </c>
      <c r="Q66">
        <v>4</v>
      </c>
      <c r="R66">
        <v>0</v>
      </c>
      <c r="S66" t="s">
        <v>157</v>
      </c>
      <c r="T66" t="s">
        <v>153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153</v>
      </c>
      <c r="O67" t="s">
        <v>155</v>
      </c>
      <c r="P67">
        <v>0</v>
      </c>
      <c r="Q67">
        <v>0</v>
      </c>
      <c r="R67">
        <v>0</v>
      </c>
      <c r="S67">
        <v>950</v>
      </c>
      <c r="T67" t="s">
        <v>153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156</v>
      </c>
      <c r="O68" t="s">
        <v>155</v>
      </c>
      <c r="P68">
        <v>391</v>
      </c>
      <c r="Q68">
        <v>38</v>
      </c>
      <c r="R68">
        <v>8</v>
      </c>
      <c r="S68" t="s">
        <v>157</v>
      </c>
      <c r="T68" t="s">
        <v>156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153</v>
      </c>
      <c r="O69" t="s">
        <v>154</v>
      </c>
      <c r="P69">
        <v>152</v>
      </c>
      <c r="Q69">
        <v>3</v>
      </c>
      <c r="R69">
        <v>5</v>
      </c>
      <c r="S69">
        <v>75</v>
      </c>
      <c r="T69" t="s">
        <v>153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153</v>
      </c>
      <c r="O70" t="s">
        <v>155</v>
      </c>
      <c r="P70">
        <v>107</v>
      </c>
      <c r="Q70">
        <v>242</v>
      </c>
      <c r="R70">
        <v>23</v>
      </c>
      <c r="S70">
        <v>105</v>
      </c>
      <c r="T70" t="s">
        <v>153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153</v>
      </c>
      <c r="O71" t="s">
        <v>155</v>
      </c>
      <c r="P71">
        <v>211</v>
      </c>
      <c r="Q71">
        <v>2</v>
      </c>
      <c r="R71">
        <v>1</v>
      </c>
      <c r="S71" t="s">
        <v>157</v>
      </c>
      <c r="T71" t="s">
        <v>153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156</v>
      </c>
      <c r="O72" t="s">
        <v>154</v>
      </c>
      <c r="P72">
        <v>153</v>
      </c>
      <c r="Q72">
        <v>223</v>
      </c>
      <c r="R72">
        <v>10</v>
      </c>
      <c r="S72">
        <v>320</v>
      </c>
      <c r="T72" t="s">
        <v>156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156</v>
      </c>
      <c r="O73" t="s">
        <v>155</v>
      </c>
      <c r="P73">
        <v>244</v>
      </c>
      <c r="Q73">
        <v>21</v>
      </c>
      <c r="R73">
        <v>4</v>
      </c>
      <c r="S73" t="s">
        <v>157</v>
      </c>
      <c r="T73" t="s">
        <v>156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153</v>
      </c>
      <c r="O74" t="s">
        <v>154</v>
      </c>
      <c r="P74">
        <v>119</v>
      </c>
      <c r="Q74">
        <v>216</v>
      </c>
      <c r="R74">
        <v>12</v>
      </c>
      <c r="S74">
        <v>850</v>
      </c>
      <c r="T74" t="s">
        <v>153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153</v>
      </c>
      <c r="O75" t="s">
        <v>155</v>
      </c>
      <c r="P75">
        <v>808</v>
      </c>
      <c r="Q75">
        <v>108</v>
      </c>
      <c r="R75">
        <v>2</v>
      </c>
      <c r="S75">
        <v>535</v>
      </c>
      <c r="T75" t="s">
        <v>153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153</v>
      </c>
      <c r="O76" t="s">
        <v>155</v>
      </c>
      <c r="P76">
        <v>280</v>
      </c>
      <c r="Q76">
        <v>10</v>
      </c>
      <c r="R76">
        <v>5</v>
      </c>
      <c r="S76">
        <v>933.33299999999997</v>
      </c>
      <c r="T76" t="s">
        <v>153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153</v>
      </c>
      <c r="O77" t="s">
        <v>155</v>
      </c>
      <c r="P77">
        <v>224</v>
      </c>
      <c r="Q77">
        <v>286</v>
      </c>
      <c r="R77">
        <v>8</v>
      </c>
      <c r="S77">
        <v>850</v>
      </c>
      <c r="T77" t="s">
        <v>156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156</v>
      </c>
      <c r="O78" t="s">
        <v>154</v>
      </c>
      <c r="P78">
        <v>226</v>
      </c>
      <c r="Q78">
        <v>7</v>
      </c>
      <c r="R78">
        <v>3</v>
      </c>
      <c r="S78">
        <v>210</v>
      </c>
      <c r="T78" t="s">
        <v>153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156</v>
      </c>
      <c r="O79" t="s">
        <v>155</v>
      </c>
      <c r="P79">
        <v>83</v>
      </c>
      <c r="Q79">
        <v>2</v>
      </c>
      <c r="R79">
        <v>1</v>
      </c>
      <c r="S79" t="s">
        <v>157</v>
      </c>
      <c r="T79" t="s">
        <v>156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153</v>
      </c>
      <c r="O80" t="s">
        <v>154</v>
      </c>
      <c r="P80">
        <v>182</v>
      </c>
      <c r="Q80">
        <v>9</v>
      </c>
      <c r="R80">
        <v>4</v>
      </c>
      <c r="S80">
        <v>325</v>
      </c>
      <c r="T80" t="s">
        <v>153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153</v>
      </c>
      <c r="O81" t="s">
        <v>154</v>
      </c>
      <c r="P81">
        <v>104</v>
      </c>
      <c r="Q81">
        <v>213</v>
      </c>
      <c r="R81">
        <v>9</v>
      </c>
      <c r="S81">
        <v>275</v>
      </c>
      <c r="T81" t="s">
        <v>153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153</v>
      </c>
      <c r="O82" t="s">
        <v>154</v>
      </c>
      <c r="P82">
        <v>463</v>
      </c>
      <c r="Q82">
        <v>32</v>
      </c>
      <c r="R82">
        <v>8</v>
      </c>
      <c r="S82" t="s">
        <v>157</v>
      </c>
      <c r="T82" t="s">
        <v>153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156</v>
      </c>
      <c r="O83" t="s">
        <v>155</v>
      </c>
      <c r="P83">
        <v>51</v>
      </c>
      <c r="Q83">
        <v>54</v>
      </c>
      <c r="R83">
        <v>8</v>
      </c>
      <c r="S83">
        <v>450</v>
      </c>
      <c r="T83" t="s">
        <v>156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153</v>
      </c>
      <c r="O84" t="s">
        <v>155</v>
      </c>
      <c r="P84">
        <v>1377</v>
      </c>
      <c r="Q84">
        <v>100</v>
      </c>
      <c r="R84">
        <v>6</v>
      </c>
      <c r="S84">
        <v>1975</v>
      </c>
      <c r="T84" t="s">
        <v>153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153</v>
      </c>
      <c r="O85" t="s">
        <v>154</v>
      </c>
      <c r="P85">
        <v>92</v>
      </c>
      <c r="Q85">
        <v>2</v>
      </c>
      <c r="R85">
        <v>2</v>
      </c>
      <c r="S85" t="s">
        <v>157</v>
      </c>
      <c r="T85" t="s">
        <v>153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156</v>
      </c>
      <c r="O86" t="s">
        <v>154</v>
      </c>
      <c r="P86">
        <v>303</v>
      </c>
      <c r="Q86">
        <v>6</v>
      </c>
      <c r="R86">
        <v>6</v>
      </c>
      <c r="S86">
        <v>1900</v>
      </c>
      <c r="T86" t="s">
        <v>156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153</v>
      </c>
      <c r="O87" t="s">
        <v>154</v>
      </c>
      <c r="P87">
        <v>276</v>
      </c>
      <c r="Q87">
        <v>6</v>
      </c>
      <c r="R87">
        <v>2</v>
      </c>
      <c r="S87">
        <v>600</v>
      </c>
      <c r="T87" t="s">
        <v>153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156</v>
      </c>
      <c r="O88" t="s">
        <v>154</v>
      </c>
      <c r="P88">
        <v>278</v>
      </c>
      <c r="Q88">
        <v>9</v>
      </c>
      <c r="R88">
        <v>9</v>
      </c>
      <c r="S88">
        <v>1041.6669999999999</v>
      </c>
      <c r="T88" t="s">
        <v>156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153</v>
      </c>
      <c r="O89" t="s">
        <v>155</v>
      </c>
      <c r="P89">
        <v>148</v>
      </c>
      <c r="Q89">
        <v>4</v>
      </c>
      <c r="R89">
        <v>2</v>
      </c>
      <c r="S89">
        <v>110</v>
      </c>
      <c r="T89" t="s">
        <v>153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153</v>
      </c>
      <c r="O90" t="s">
        <v>154</v>
      </c>
      <c r="P90">
        <v>165</v>
      </c>
      <c r="Q90">
        <v>9</v>
      </c>
      <c r="R90">
        <v>1</v>
      </c>
      <c r="S90">
        <v>260</v>
      </c>
      <c r="T90" t="s">
        <v>153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153</v>
      </c>
      <c r="O91" t="s">
        <v>154</v>
      </c>
      <c r="P91">
        <v>246</v>
      </c>
      <c r="Q91">
        <v>389</v>
      </c>
      <c r="R91">
        <v>18</v>
      </c>
      <c r="S91">
        <v>475</v>
      </c>
      <c r="T91" t="s">
        <v>153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153</v>
      </c>
      <c r="O92" t="s">
        <v>154</v>
      </c>
      <c r="P92">
        <v>533</v>
      </c>
      <c r="Q92">
        <v>40</v>
      </c>
      <c r="R92">
        <v>4</v>
      </c>
      <c r="S92">
        <v>431.5</v>
      </c>
      <c r="T92" t="s">
        <v>153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156</v>
      </c>
      <c r="O93" t="s">
        <v>155</v>
      </c>
      <c r="P93">
        <v>226</v>
      </c>
      <c r="Q93">
        <v>10</v>
      </c>
      <c r="R93">
        <v>6</v>
      </c>
      <c r="S93">
        <v>1220</v>
      </c>
      <c r="T93" t="s">
        <v>156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153</v>
      </c>
      <c r="O94" t="s">
        <v>155</v>
      </c>
      <c r="P94">
        <v>45</v>
      </c>
      <c r="Q94">
        <v>122</v>
      </c>
      <c r="R94">
        <v>26</v>
      </c>
      <c r="S94">
        <v>70</v>
      </c>
      <c r="T94" t="s">
        <v>153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153</v>
      </c>
      <c r="O95" t="s">
        <v>154</v>
      </c>
      <c r="P95">
        <v>157</v>
      </c>
      <c r="Q95">
        <v>7</v>
      </c>
      <c r="R95">
        <v>8</v>
      </c>
      <c r="S95">
        <v>145</v>
      </c>
      <c r="T95" t="s">
        <v>153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156</v>
      </c>
      <c r="O96" t="s">
        <v>154</v>
      </c>
      <c r="P96">
        <v>142</v>
      </c>
      <c r="Q96">
        <v>210</v>
      </c>
      <c r="R96">
        <v>10</v>
      </c>
      <c r="S96" t="s">
        <v>157</v>
      </c>
      <c r="T96" t="s">
        <v>156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156</v>
      </c>
      <c r="O97" t="s">
        <v>154</v>
      </c>
      <c r="P97">
        <v>59</v>
      </c>
      <c r="Q97">
        <v>156</v>
      </c>
      <c r="R97">
        <v>9</v>
      </c>
      <c r="S97">
        <v>595</v>
      </c>
      <c r="T97" t="s">
        <v>156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153</v>
      </c>
      <c r="O98" t="s">
        <v>155</v>
      </c>
      <c r="P98">
        <v>292</v>
      </c>
      <c r="Q98">
        <v>9</v>
      </c>
      <c r="R98">
        <v>5</v>
      </c>
      <c r="S98">
        <v>1861.46</v>
      </c>
      <c r="T98" t="s">
        <v>153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156</v>
      </c>
      <c r="O99" t="s">
        <v>154</v>
      </c>
      <c r="P99">
        <v>360</v>
      </c>
      <c r="Q99">
        <v>32</v>
      </c>
      <c r="R99">
        <v>5</v>
      </c>
      <c r="S99" t="s">
        <v>157</v>
      </c>
      <c r="T99" t="s">
        <v>156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156</v>
      </c>
      <c r="O100" t="s">
        <v>154</v>
      </c>
      <c r="P100">
        <v>274</v>
      </c>
      <c r="Q100">
        <v>2</v>
      </c>
      <c r="R100">
        <v>7</v>
      </c>
      <c r="S100">
        <v>300</v>
      </c>
      <c r="T100" t="s">
        <v>156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156</v>
      </c>
      <c r="O101" t="s">
        <v>154</v>
      </c>
      <c r="P101">
        <v>292</v>
      </c>
      <c r="Q101">
        <v>6</v>
      </c>
      <c r="R101">
        <v>3</v>
      </c>
      <c r="S101">
        <v>490</v>
      </c>
      <c r="T101" t="s">
        <v>156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153</v>
      </c>
      <c r="O102" t="s">
        <v>155</v>
      </c>
      <c r="P102">
        <v>1045</v>
      </c>
      <c r="Q102">
        <v>88</v>
      </c>
      <c r="R102">
        <v>13</v>
      </c>
      <c r="S102">
        <v>2460</v>
      </c>
      <c r="T102" t="s">
        <v>153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153</v>
      </c>
      <c r="O103" t="s">
        <v>155</v>
      </c>
      <c r="P103">
        <v>212</v>
      </c>
      <c r="Q103">
        <v>327</v>
      </c>
      <c r="R103">
        <v>20</v>
      </c>
      <c r="S103" t="s">
        <v>157</v>
      </c>
      <c r="T103" t="s">
        <v>153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153</v>
      </c>
      <c r="O104" t="s">
        <v>155</v>
      </c>
      <c r="P104">
        <v>102</v>
      </c>
      <c r="Q104">
        <v>132</v>
      </c>
      <c r="R104">
        <v>10</v>
      </c>
      <c r="S104">
        <v>375</v>
      </c>
      <c r="T104" t="s">
        <v>153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153</v>
      </c>
      <c r="O105" t="s">
        <v>155</v>
      </c>
      <c r="P105">
        <v>709</v>
      </c>
      <c r="Q105">
        <v>41</v>
      </c>
      <c r="R105">
        <v>7</v>
      </c>
      <c r="S105" t="s">
        <v>157</v>
      </c>
      <c r="T105" t="s">
        <v>153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153</v>
      </c>
      <c r="O106" t="s">
        <v>155</v>
      </c>
      <c r="P106">
        <v>244</v>
      </c>
      <c r="Q106">
        <v>2</v>
      </c>
      <c r="R106">
        <v>4</v>
      </c>
      <c r="S106" t="s">
        <v>157</v>
      </c>
      <c r="T106" t="s">
        <v>153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153</v>
      </c>
      <c r="O107" t="s">
        <v>155</v>
      </c>
      <c r="P107">
        <v>40</v>
      </c>
      <c r="Q107">
        <v>115</v>
      </c>
      <c r="R107">
        <v>15</v>
      </c>
      <c r="S107" t="s">
        <v>157</v>
      </c>
      <c r="T107" t="s">
        <v>153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156</v>
      </c>
      <c r="O108" t="s">
        <v>154</v>
      </c>
      <c r="P108">
        <v>206</v>
      </c>
      <c r="Q108">
        <v>10</v>
      </c>
      <c r="R108">
        <v>7</v>
      </c>
      <c r="S108" t="s">
        <v>157</v>
      </c>
      <c r="T108" t="s">
        <v>156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153</v>
      </c>
      <c r="O109" t="s">
        <v>154</v>
      </c>
      <c r="P109">
        <v>316</v>
      </c>
      <c r="Q109">
        <v>439</v>
      </c>
      <c r="R109">
        <v>10</v>
      </c>
      <c r="S109">
        <v>750</v>
      </c>
      <c r="T109" t="s">
        <v>153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153</v>
      </c>
      <c r="O110" t="s">
        <v>155</v>
      </c>
      <c r="P110">
        <v>269</v>
      </c>
      <c r="Q110">
        <v>17</v>
      </c>
      <c r="R110">
        <v>10</v>
      </c>
      <c r="S110">
        <v>1175</v>
      </c>
      <c r="T110" t="s">
        <v>153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153</v>
      </c>
      <c r="O111" t="s">
        <v>155</v>
      </c>
      <c r="P111">
        <v>116</v>
      </c>
      <c r="Q111">
        <v>5</v>
      </c>
      <c r="R111">
        <v>12</v>
      </c>
      <c r="S111">
        <v>70</v>
      </c>
      <c r="T111" t="s">
        <v>153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153</v>
      </c>
      <c r="O112" t="s">
        <v>154</v>
      </c>
      <c r="P112">
        <v>97</v>
      </c>
      <c r="Q112">
        <v>218</v>
      </c>
      <c r="R112">
        <v>16</v>
      </c>
      <c r="S112">
        <v>1500</v>
      </c>
      <c r="T112" t="s">
        <v>153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156</v>
      </c>
      <c r="O113" t="s">
        <v>154</v>
      </c>
      <c r="P113">
        <v>726</v>
      </c>
      <c r="Q113">
        <v>87</v>
      </c>
      <c r="R113">
        <v>3</v>
      </c>
      <c r="S113">
        <v>385</v>
      </c>
      <c r="T113" t="s">
        <v>153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156</v>
      </c>
      <c r="O114" t="s">
        <v>155</v>
      </c>
      <c r="P114">
        <v>869</v>
      </c>
      <c r="Q114">
        <v>62</v>
      </c>
      <c r="R114">
        <v>8</v>
      </c>
      <c r="S114">
        <v>1925.5709999999999</v>
      </c>
      <c r="T114" t="s">
        <v>156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156</v>
      </c>
      <c r="O115" t="s">
        <v>154</v>
      </c>
      <c r="P115">
        <v>1253</v>
      </c>
      <c r="Q115">
        <v>111</v>
      </c>
      <c r="R115">
        <v>11</v>
      </c>
      <c r="S115">
        <v>215</v>
      </c>
      <c r="T115" t="s">
        <v>156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156</v>
      </c>
      <c r="O116" t="s">
        <v>155</v>
      </c>
      <c r="P116">
        <v>96</v>
      </c>
      <c r="Q116">
        <v>4</v>
      </c>
      <c r="R116">
        <v>4</v>
      </c>
      <c r="S116" t="s">
        <v>157</v>
      </c>
      <c r="T116" t="s">
        <v>156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153</v>
      </c>
      <c r="O117" t="s">
        <v>154</v>
      </c>
      <c r="P117">
        <v>118</v>
      </c>
      <c r="Q117">
        <v>334</v>
      </c>
      <c r="R117">
        <v>21</v>
      </c>
      <c r="S117">
        <v>900</v>
      </c>
      <c r="T117" t="s">
        <v>153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153</v>
      </c>
      <c r="O118" t="s">
        <v>154</v>
      </c>
      <c r="P118">
        <v>228</v>
      </c>
      <c r="Q118">
        <v>377</v>
      </c>
      <c r="R118">
        <v>26</v>
      </c>
      <c r="S118">
        <v>155</v>
      </c>
      <c r="T118" t="s">
        <v>153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153</v>
      </c>
      <c r="O119" t="s">
        <v>154</v>
      </c>
      <c r="P119">
        <v>144</v>
      </c>
      <c r="Q119">
        <v>6</v>
      </c>
      <c r="R119">
        <v>5</v>
      </c>
      <c r="S119">
        <v>700</v>
      </c>
      <c r="T119" t="s">
        <v>153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156</v>
      </c>
      <c r="O120" t="s">
        <v>154</v>
      </c>
      <c r="P120">
        <v>282</v>
      </c>
      <c r="Q120">
        <v>487</v>
      </c>
      <c r="R120">
        <v>19</v>
      </c>
      <c r="S120">
        <v>535</v>
      </c>
      <c r="T120" t="s">
        <v>156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153</v>
      </c>
      <c r="O121" t="s">
        <v>155</v>
      </c>
      <c r="P121">
        <v>91</v>
      </c>
      <c r="Q121">
        <v>185</v>
      </c>
      <c r="R121">
        <v>12</v>
      </c>
      <c r="S121">
        <v>362.5</v>
      </c>
      <c r="T121" t="s">
        <v>153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156</v>
      </c>
      <c r="O122" t="s">
        <v>155</v>
      </c>
      <c r="P122">
        <v>137</v>
      </c>
      <c r="Q122">
        <v>5</v>
      </c>
      <c r="R122">
        <v>9</v>
      </c>
      <c r="S122">
        <v>733.33299999999997</v>
      </c>
      <c r="T122" t="s">
        <v>156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156</v>
      </c>
      <c r="O123" t="s">
        <v>154</v>
      </c>
      <c r="P123">
        <v>83</v>
      </c>
      <c r="Q123">
        <v>174</v>
      </c>
      <c r="R123">
        <v>16</v>
      </c>
      <c r="S123">
        <v>200</v>
      </c>
      <c r="T123" t="s">
        <v>156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153</v>
      </c>
      <c r="O124" t="s">
        <v>154</v>
      </c>
      <c r="P124">
        <v>462</v>
      </c>
      <c r="Q124">
        <v>9</v>
      </c>
      <c r="R124">
        <v>7</v>
      </c>
      <c r="S124">
        <v>400</v>
      </c>
      <c r="T124" t="s">
        <v>153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156</v>
      </c>
      <c r="O125" t="s">
        <v>155</v>
      </c>
      <c r="P125">
        <v>185</v>
      </c>
      <c r="Q125">
        <v>8</v>
      </c>
      <c r="R125">
        <v>4</v>
      </c>
      <c r="S125">
        <v>400</v>
      </c>
      <c r="T125" t="s">
        <v>153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156</v>
      </c>
      <c r="O126" t="s">
        <v>154</v>
      </c>
      <c r="P126">
        <v>207</v>
      </c>
      <c r="Q126">
        <v>358</v>
      </c>
      <c r="R126">
        <v>20</v>
      </c>
      <c r="S126">
        <v>737.5</v>
      </c>
      <c r="T126" t="s">
        <v>156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153</v>
      </c>
      <c r="O127" t="s">
        <v>154</v>
      </c>
      <c r="P127">
        <v>0</v>
      </c>
      <c r="Q127">
        <v>0</v>
      </c>
      <c r="R127">
        <v>0</v>
      </c>
      <c r="S127" t="s">
        <v>157</v>
      </c>
      <c r="T127" t="s">
        <v>153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153</v>
      </c>
      <c r="O128" t="s">
        <v>154</v>
      </c>
      <c r="P128">
        <v>670</v>
      </c>
      <c r="Q128">
        <v>57</v>
      </c>
      <c r="R128">
        <v>5</v>
      </c>
      <c r="S128">
        <v>500</v>
      </c>
      <c r="T128" t="s">
        <v>153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153</v>
      </c>
      <c r="O129" t="s">
        <v>154</v>
      </c>
      <c r="P129">
        <v>237</v>
      </c>
      <c r="Q129">
        <v>8</v>
      </c>
      <c r="R129">
        <v>1</v>
      </c>
      <c r="S129">
        <v>600</v>
      </c>
      <c r="T129" t="s">
        <v>153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156</v>
      </c>
      <c r="O130" t="s">
        <v>155</v>
      </c>
      <c r="P130">
        <v>331</v>
      </c>
      <c r="Q130">
        <v>20</v>
      </c>
      <c r="R130">
        <v>4</v>
      </c>
      <c r="S130">
        <v>662.5</v>
      </c>
      <c r="T130" t="s">
        <v>156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153</v>
      </c>
      <c r="O131" t="s">
        <v>154</v>
      </c>
      <c r="P131">
        <v>295</v>
      </c>
      <c r="Q131">
        <v>15</v>
      </c>
      <c r="R131">
        <v>5</v>
      </c>
      <c r="S131">
        <v>950</v>
      </c>
      <c r="T131" t="s">
        <v>153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156</v>
      </c>
      <c r="O132" t="s">
        <v>155</v>
      </c>
      <c r="P132">
        <v>116</v>
      </c>
      <c r="Q132">
        <v>222</v>
      </c>
      <c r="R132">
        <v>15</v>
      </c>
      <c r="S132">
        <v>750</v>
      </c>
      <c r="T132" t="s">
        <v>156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156</v>
      </c>
      <c r="O133" t="s">
        <v>155</v>
      </c>
      <c r="P133">
        <v>50</v>
      </c>
      <c r="Q133">
        <v>136</v>
      </c>
      <c r="R133">
        <v>20</v>
      </c>
      <c r="S133">
        <v>297.5</v>
      </c>
      <c r="T133" t="s">
        <v>156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153</v>
      </c>
      <c r="O134" t="s">
        <v>154</v>
      </c>
      <c r="P134">
        <v>0</v>
      </c>
      <c r="Q134">
        <v>0</v>
      </c>
      <c r="R134">
        <v>0</v>
      </c>
      <c r="S134">
        <v>325</v>
      </c>
      <c r="T134" t="s">
        <v>153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153</v>
      </c>
      <c r="O135" t="s">
        <v>154</v>
      </c>
      <c r="P135">
        <v>278</v>
      </c>
      <c r="Q135">
        <v>415</v>
      </c>
      <c r="R135">
        <v>16</v>
      </c>
      <c r="S135">
        <v>87.5</v>
      </c>
      <c r="T135" t="s">
        <v>153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156</v>
      </c>
      <c r="O136" t="s">
        <v>154</v>
      </c>
      <c r="P136">
        <v>138</v>
      </c>
      <c r="Q136">
        <v>15</v>
      </c>
      <c r="R136">
        <v>1</v>
      </c>
      <c r="S136">
        <v>175</v>
      </c>
      <c r="T136" t="s">
        <v>156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156</v>
      </c>
      <c r="O137" t="s">
        <v>155</v>
      </c>
      <c r="P137">
        <v>97</v>
      </c>
      <c r="Q137">
        <v>2</v>
      </c>
      <c r="R137">
        <v>2</v>
      </c>
      <c r="S137">
        <v>90</v>
      </c>
      <c r="T137" t="s">
        <v>156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153</v>
      </c>
      <c r="O138" t="s">
        <v>155</v>
      </c>
      <c r="P138">
        <v>368</v>
      </c>
      <c r="Q138">
        <v>20</v>
      </c>
      <c r="R138">
        <v>3</v>
      </c>
      <c r="S138">
        <v>1237.5</v>
      </c>
      <c r="T138" t="s">
        <v>153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153</v>
      </c>
      <c r="O139" t="s">
        <v>155</v>
      </c>
      <c r="P139">
        <v>211</v>
      </c>
      <c r="Q139">
        <v>56</v>
      </c>
      <c r="R139">
        <v>13</v>
      </c>
      <c r="S139">
        <v>430</v>
      </c>
      <c r="T139" t="s">
        <v>153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153</v>
      </c>
      <c r="O140" t="s">
        <v>155</v>
      </c>
      <c r="P140">
        <v>122</v>
      </c>
      <c r="Q140">
        <v>140</v>
      </c>
      <c r="R140">
        <v>5</v>
      </c>
      <c r="S140" t="s">
        <v>157</v>
      </c>
      <c r="T140" t="s">
        <v>156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153</v>
      </c>
      <c r="O141" t="s">
        <v>154</v>
      </c>
      <c r="P141">
        <v>276</v>
      </c>
      <c r="Q141">
        <v>7</v>
      </c>
      <c r="R141">
        <v>9</v>
      </c>
      <c r="S141">
        <v>100</v>
      </c>
      <c r="T141" t="s">
        <v>156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153</v>
      </c>
      <c r="O142" t="s">
        <v>154</v>
      </c>
      <c r="P142">
        <v>319</v>
      </c>
      <c r="Q142">
        <v>4</v>
      </c>
      <c r="R142">
        <v>14</v>
      </c>
      <c r="S142">
        <v>165</v>
      </c>
      <c r="T142" t="s">
        <v>153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153</v>
      </c>
      <c r="O143" t="s">
        <v>155</v>
      </c>
      <c r="P143">
        <v>241</v>
      </c>
      <c r="Q143">
        <v>8</v>
      </c>
      <c r="R143">
        <v>6</v>
      </c>
      <c r="S143">
        <v>250</v>
      </c>
      <c r="T143" t="s">
        <v>153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156</v>
      </c>
      <c r="O144" t="s">
        <v>155</v>
      </c>
      <c r="P144">
        <v>623</v>
      </c>
      <c r="Q144">
        <v>35</v>
      </c>
      <c r="R144">
        <v>3</v>
      </c>
      <c r="S144">
        <v>1300</v>
      </c>
      <c r="T144" t="s">
        <v>156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156</v>
      </c>
      <c r="O145" t="s">
        <v>154</v>
      </c>
      <c r="P145">
        <v>237</v>
      </c>
      <c r="Q145">
        <v>5</v>
      </c>
      <c r="R145">
        <v>4</v>
      </c>
      <c r="S145">
        <v>773.33299999999997</v>
      </c>
      <c r="T145" t="s">
        <v>156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153</v>
      </c>
      <c r="O146" t="s">
        <v>154</v>
      </c>
      <c r="P146">
        <v>132</v>
      </c>
      <c r="Q146">
        <v>205</v>
      </c>
      <c r="R146">
        <v>5</v>
      </c>
      <c r="S146" t="s">
        <v>157</v>
      </c>
      <c r="T146" t="s">
        <v>153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156</v>
      </c>
      <c r="O147" t="s">
        <v>155</v>
      </c>
      <c r="P147">
        <v>885</v>
      </c>
      <c r="Q147">
        <v>105</v>
      </c>
      <c r="R147">
        <v>8</v>
      </c>
      <c r="S147">
        <v>1008.333</v>
      </c>
      <c r="T147" t="s">
        <v>156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153</v>
      </c>
      <c r="O148" t="s">
        <v>155</v>
      </c>
      <c r="P148">
        <v>33</v>
      </c>
      <c r="Q148">
        <v>3</v>
      </c>
      <c r="R148">
        <v>0</v>
      </c>
      <c r="S148">
        <v>275</v>
      </c>
      <c r="T148" t="s">
        <v>153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153</v>
      </c>
      <c r="O149" t="s">
        <v>155</v>
      </c>
      <c r="P149">
        <v>231</v>
      </c>
      <c r="Q149">
        <v>374</v>
      </c>
      <c r="R149">
        <v>18</v>
      </c>
      <c r="S149">
        <v>775</v>
      </c>
      <c r="T149" t="s">
        <v>153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153</v>
      </c>
      <c r="O150" t="s">
        <v>155</v>
      </c>
      <c r="P150">
        <v>304</v>
      </c>
      <c r="Q150">
        <v>347</v>
      </c>
      <c r="R150">
        <v>10</v>
      </c>
      <c r="S150">
        <v>850</v>
      </c>
      <c r="T150" t="s">
        <v>153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153</v>
      </c>
      <c r="O151" t="s">
        <v>155</v>
      </c>
      <c r="P151">
        <v>0</v>
      </c>
      <c r="Q151">
        <v>0</v>
      </c>
      <c r="R151">
        <v>0</v>
      </c>
      <c r="S151">
        <v>365</v>
      </c>
      <c r="T151" t="s">
        <v>153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153</v>
      </c>
      <c r="O152" t="s">
        <v>154</v>
      </c>
      <c r="P152">
        <v>132</v>
      </c>
      <c r="Q152">
        <v>9</v>
      </c>
      <c r="R152">
        <v>0</v>
      </c>
      <c r="S152" t="s">
        <v>157</v>
      </c>
      <c r="T152" t="s">
        <v>153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153</v>
      </c>
      <c r="O153" t="s">
        <v>154</v>
      </c>
      <c r="P153">
        <v>28</v>
      </c>
      <c r="Q153">
        <v>56</v>
      </c>
      <c r="R153">
        <v>2</v>
      </c>
      <c r="S153">
        <v>95</v>
      </c>
      <c r="T153" t="s">
        <v>153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156</v>
      </c>
      <c r="O154" t="s">
        <v>154</v>
      </c>
      <c r="P154">
        <v>102</v>
      </c>
      <c r="Q154">
        <v>4</v>
      </c>
      <c r="R154">
        <v>2</v>
      </c>
      <c r="S154">
        <v>110</v>
      </c>
      <c r="T154" t="s">
        <v>156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156</v>
      </c>
      <c r="O155" t="s">
        <v>154</v>
      </c>
      <c r="P155">
        <v>158</v>
      </c>
      <c r="Q155">
        <v>4</v>
      </c>
      <c r="R155">
        <v>5</v>
      </c>
      <c r="S155">
        <v>100</v>
      </c>
      <c r="T155" t="s">
        <v>156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156</v>
      </c>
      <c r="O156" t="s">
        <v>155</v>
      </c>
      <c r="P156">
        <v>92</v>
      </c>
      <c r="Q156">
        <v>257</v>
      </c>
      <c r="R156">
        <v>20</v>
      </c>
      <c r="S156">
        <v>277.5</v>
      </c>
      <c r="T156" t="s">
        <v>156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153</v>
      </c>
      <c r="O157" t="s">
        <v>154</v>
      </c>
      <c r="P157">
        <v>211</v>
      </c>
      <c r="Q157">
        <v>9</v>
      </c>
      <c r="R157">
        <v>3</v>
      </c>
      <c r="S157">
        <v>80</v>
      </c>
      <c r="T157" t="s">
        <v>153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156</v>
      </c>
      <c r="O158" t="s">
        <v>155</v>
      </c>
      <c r="P158">
        <v>161</v>
      </c>
      <c r="Q158">
        <v>3</v>
      </c>
      <c r="R158">
        <v>3</v>
      </c>
      <c r="S158">
        <v>600</v>
      </c>
      <c r="T158" t="s">
        <v>156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156</v>
      </c>
      <c r="O159" t="s">
        <v>155</v>
      </c>
      <c r="P159">
        <v>193</v>
      </c>
      <c r="Q159">
        <v>11</v>
      </c>
      <c r="R159">
        <v>4</v>
      </c>
      <c r="S159" t="s">
        <v>157</v>
      </c>
      <c r="T159" t="s">
        <v>156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153</v>
      </c>
      <c r="O160" t="s">
        <v>154</v>
      </c>
      <c r="P160">
        <v>0</v>
      </c>
      <c r="Q160">
        <v>0</v>
      </c>
      <c r="R160">
        <v>0</v>
      </c>
      <c r="S160" t="s">
        <v>157</v>
      </c>
      <c r="T160" t="s">
        <v>153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153</v>
      </c>
      <c r="O161" t="s">
        <v>154</v>
      </c>
      <c r="P161">
        <v>110</v>
      </c>
      <c r="Q161">
        <v>308</v>
      </c>
      <c r="R161">
        <v>15</v>
      </c>
      <c r="S161">
        <v>200</v>
      </c>
      <c r="T161" t="s">
        <v>153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153</v>
      </c>
      <c r="O162" t="s">
        <v>154</v>
      </c>
      <c r="P162">
        <v>260</v>
      </c>
      <c r="Q162">
        <v>58</v>
      </c>
      <c r="R162">
        <v>4</v>
      </c>
      <c r="S162" t="s">
        <v>157</v>
      </c>
      <c r="T162" t="s">
        <v>153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156</v>
      </c>
      <c r="O163" t="s">
        <v>155</v>
      </c>
      <c r="P163">
        <v>280</v>
      </c>
      <c r="Q163">
        <v>479</v>
      </c>
      <c r="R163">
        <v>5</v>
      </c>
      <c r="S163">
        <v>657</v>
      </c>
      <c r="T163" t="s">
        <v>156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153</v>
      </c>
      <c r="O164" t="s">
        <v>154</v>
      </c>
      <c r="P164">
        <v>332</v>
      </c>
      <c r="Q164">
        <v>19</v>
      </c>
      <c r="R164">
        <v>2</v>
      </c>
      <c r="S164">
        <v>75</v>
      </c>
      <c r="T164" t="s">
        <v>156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153</v>
      </c>
      <c r="O165" t="s">
        <v>155</v>
      </c>
      <c r="P165">
        <v>330</v>
      </c>
      <c r="Q165">
        <v>16</v>
      </c>
      <c r="R165">
        <v>8</v>
      </c>
      <c r="S165">
        <v>2412.5</v>
      </c>
      <c r="T165" t="s">
        <v>153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156</v>
      </c>
      <c r="O166" t="s">
        <v>154</v>
      </c>
      <c r="P166">
        <v>87</v>
      </c>
      <c r="Q166">
        <v>166</v>
      </c>
      <c r="R166">
        <v>14</v>
      </c>
      <c r="S166">
        <v>250</v>
      </c>
      <c r="T166" t="s">
        <v>153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156</v>
      </c>
      <c r="O167" t="s">
        <v>155</v>
      </c>
      <c r="P167">
        <v>498</v>
      </c>
      <c r="Q167">
        <v>39</v>
      </c>
      <c r="R167">
        <v>13</v>
      </c>
      <c r="S167">
        <v>155</v>
      </c>
      <c r="T167" t="s">
        <v>156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156</v>
      </c>
      <c r="O168" t="s">
        <v>155</v>
      </c>
      <c r="P168">
        <v>290</v>
      </c>
      <c r="Q168">
        <v>440</v>
      </c>
      <c r="R168">
        <v>25</v>
      </c>
      <c r="S168">
        <v>640</v>
      </c>
      <c r="T168" t="s">
        <v>156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153</v>
      </c>
      <c r="O169" t="s">
        <v>155</v>
      </c>
      <c r="P169">
        <v>222</v>
      </c>
      <c r="Q169">
        <v>5</v>
      </c>
      <c r="R169">
        <v>5</v>
      </c>
      <c r="S169">
        <v>300</v>
      </c>
      <c r="T169" t="s">
        <v>153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153</v>
      </c>
      <c r="O170" t="s">
        <v>154</v>
      </c>
      <c r="P170">
        <v>227</v>
      </c>
      <c r="Q170">
        <v>15</v>
      </c>
      <c r="R170">
        <v>3</v>
      </c>
      <c r="S170">
        <v>110</v>
      </c>
      <c r="T170" t="s">
        <v>153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156</v>
      </c>
      <c r="O171" t="s">
        <v>155</v>
      </c>
      <c r="P171">
        <v>103</v>
      </c>
      <c r="Q171">
        <v>8</v>
      </c>
      <c r="R171">
        <v>2</v>
      </c>
      <c r="S171" t="s">
        <v>157</v>
      </c>
      <c r="T171" t="s">
        <v>156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153</v>
      </c>
      <c r="O172" t="s">
        <v>154</v>
      </c>
      <c r="P172">
        <v>686</v>
      </c>
      <c r="Q172">
        <v>46</v>
      </c>
      <c r="R172">
        <v>4</v>
      </c>
      <c r="S172">
        <v>825</v>
      </c>
      <c r="T172" t="s">
        <v>156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153</v>
      </c>
      <c r="O173" t="s">
        <v>155</v>
      </c>
      <c r="P173">
        <v>243</v>
      </c>
      <c r="Q173">
        <v>23</v>
      </c>
      <c r="R173">
        <v>5</v>
      </c>
      <c r="S173" t="s">
        <v>157</v>
      </c>
      <c r="T173" t="s">
        <v>153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156</v>
      </c>
      <c r="O174" t="s">
        <v>154</v>
      </c>
      <c r="P174">
        <v>249</v>
      </c>
      <c r="Q174">
        <v>444</v>
      </c>
      <c r="R174">
        <v>16</v>
      </c>
      <c r="S174">
        <v>195</v>
      </c>
      <c r="T174" t="s">
        <v>156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153</v>
      </c>
      <c r="O175" t="s">
        <v>154</v>
      </c>
      <c r="P175">
        <v>300</v>
      </c>
      <c r="Q175">
        <v>12</v>
      </c>
      <c r="R175">
        <v>2</v>
      </c>
      <c r="S175" t="s">
        <v>157</v>
      </c>
      <c r="T175" t="s">
        <v>153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156</v>
      </c>
      <c r="O176" t="s">
        <v>154</v>
      </c>
      <c r="P176">
        <v>49</v>
      </c>
      <c r="Q176">
        <v>2</v>
      </c>
      <c r="R176">
        <v>0</v>
      </c>
      <c r="S176">
        <v>450</v>
      </c>
      <c r="T176" t="s">
        <v>156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156</v>
      </c>
      <c r="O177" t="s">
        <v>154</v>
      </c>
      <c r="P177">
        <v>303</v>
      </c>
      <c r="Q177">
        <v>12</v>
      </c>
      <c r="R177">
        <v>5</v>
      </c>
      <c r="S177">
        <v>630</v>
      </c>
      <c r="T177" t="s">
        <v>156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156</v>
      </c>
      <c r="O178" t="s">
        <v>154</v>
      </c>
      <c r="P178">
        <v>88</v>
      </c>
      <c r="Q178">
        <v>0</v>
      </c>
      <c r="R178">
        <v>3</v>
      </c>
      <c r="S178">
        <v>86.5</v>
      </c>
      <c r="T178" t="s">
        <v>156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153</v>
      </c>
      <c r="O179" t="s">
        <v>155</v>
      </c>
      <c r="P179">
        <v>190</v>
      </c>
      <c r="Q179">
        <v>2</v>
      </c>
      <c r="R179">
        <v>2</v>
      </c>
      <c r="S179">
        <v>1300</v>
      </c>
      <c r="T179" t="s">
        <v>153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153</v>
      </c>
      <c r="O180" t="s">
        <v>155</v>
      </c>
      <c r="P180">
        <v>96</v>
      </c>
      <c r="Q180">
        <v>5</v>
      </c>
      <c r="R180">
        <v>3</v>
      </c>
      <c r="S180">
        <v>1000</v>
      </c>
      <c r="T180" t="s">
        <v>156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156</v>
      </c>
      <c r="O181" t="s">
        <v>155</v>
      </c>
      <c r="P181">
        <v>1199</v>
      </c>
      <c r="Q181">
        <v>149</v>
      </c>
      <c r="R181">
        <v>5</v>
      </c>
      <c r="S181">
        <v>1800</v>
      </c>
      <c r="T181" t="s">
        <v>156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153</v>
      </c>
      <c r="O182" t="s">
        <v>154</v>
      </c>
      <c r="P182">
        <v>1218</v>
      </c>
      <c r="Q182">
        <v>104</v>
      </c>
      <c r="R182">
        <v>10</v>
      </c>
      <c r="S182">
        <v>1310</v>
      </c>
      <c r="T182" t="s">
        <v>153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156</v>
      </c>
      <c r="O183" t="s">
        <v>154</v>
      </c>
      <c r="P183">
        <v>145</v>
      </c>
      <c r="Q183">
        <v>5</v>
      </c>
      <c r="R183">
        <v>7</v>
      </c>
      <c r="S183">
        <v>737.5</v>
      </c>
      <c r="T183" t="s">
        <v>156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156</v>
      </c>
      <c r="O184" t="s">
        <v>154</v>
      </c>
      <c r="P184">
        <v>332</v>
      </c>
      <c r="Q184">
        <v>9</v>
      </c>
      <c r="R184">
        <v>8</v>
      </c>
      <c r="S184">
        <v>625</v>
      </c>
      <c r="T184" t="s">
        <v>156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156</v>
      </c>
      <c r="O185" t="s">
        <v>155</v>
      </c>
      <c r="P185">
        <v>145</v>
      </c>
      <c r="Q185">
        <v>59</v>
      </c>
      <c r="R185">
        <v>8</v>
      </c>
      <c r="S185">
        <v>125</v>
      </c>
      <c r="T185" t="s">
        <v>156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156</v>
      </c>
      <c r="O186" t="s">
        <v>155</v>
      </c>
      <c r="P186">
        <v>181</v>
      </c>
      <c r="Q186">
        <v>13</v>
      </c>
      <c r="R186">
        <v>4</v>
      </c>
      <c r="S186">
        <v>1043.3330000000001</v>
      </c>
      <c r="T186" t="s">
        <v>156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156</v>
      </c>
      <c r="O187" t="s">
        <v>154</v>
      </c>
      <c r="P187">
        <v>65</v>
      </c>
      <c r="Q187">
        <v>258</v>
      </c>
      <c r="R187">
        <v>8</v>
      </c>
      <c r="S187">
        <v>725</v>
      </c>
      <c r="T187" t="s">
        <v>156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153</v>
      </c>
      <c r="O188" t="s">
        <v>154</v>
      </c>
      <c r="P188">
        <v>0</v>
      </c>
      <c r="Q188">
        <v>0</v>
      </c>
      <c r="R188">
        <v>0</v>
      </c>
      <c r="S188">
        <v>300</v>
      </c>
      <c r="T188" t="s">
        <v>153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153</v>
      </c>
      <c r="O189" t="s">
        <v>154</v>
      </c>
      <c r="P189">
        <v>429</v>
      </c>
      <c r="Q189">
        <v>8</v>
      </c>
      <c r="R189">
        <v>6</v>
      </c>
      <c r="S189">
        <v>365</v>
      </c>
      <c r="T189" t="s">
        <v>153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156</v>
      </c>
      <c r="O190" t="s">
        <v>154</v>
      </c>
      <c r="P190">
        <v>107</v>
      </c>
      <c r="Q190">
        <v>205</v>
      </c>
      <c r="R190">
        <v>16</v>
      </c>
      <c r="S190">
        <v>75</v>
      </c>
      <c r="T190" t="s">
        <v>156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156</v>
      </c>
      <c r="O191" t="s">
        <v>155</v>
      </c>
      <c r="P191">
        <v>1231</v>
      </c>
      <c r="Q191">
        <v>80</v>
      </c>
      <c r="R191">
        <v>7</v>
      </c>
      <c r="S191">
        <v>1183.3330000000001</v>
      </c>
      <c r="T191" t="s">
        <v>156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156</v>
      </c>
      <c r="O192" t="s">
        <v>155</v>
      </c>
      <c r="P192">
        <v>283</v>
      </c>
      <c r="Q192">
        <v>8</v>
      </c>
      <c r="R192">
        <v>3</v>
      </c>
      <c r="S192">
        <v>202.5</v>
      </c>
      <c r="T192" t="s">
        <v>156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153</v>
      </c>
      <c r="O193" t="s">
        <v>155</v>
      </c>
      <c r="P193">
        <v>156</v>
      </c>
      <c r="Q193">
        <v>2</v>
      </c>
      <c r="R193">
        <v>2</v>
      </c>
      <c r="S193">
        <v>225</v>
      </c>
      <c r="T193" t="s">
        <v>153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153</v>
      </c>
      <c r="O194" t="s">
        <v>155</v>
      </c>
      <c r="P194">
        <v>239</v>
      </c>
      <c r="Q194">
        <v>8</v>
      </c>
      <c r="R194">
        <v>2</v>
      </c>
      <c r="S194">
        <v>525</v>
      </c>
      <c r="T194" t="s">
        <v>153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156</v>
      </c>
      <c r="O195" t="s">
        <v>154</v>
      </c>
      <c r="P195">
        <v>235</v>
      </c>
      <c r="Q195">
        <v>22</v>
      </c>
      <c r="R195">
        <v>5</v>
      </c>
      <c r="S195">
        <v>265</v>
      </c>
      <c r="T195" t="s">
        <v>156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153</v>
      </c>
      <c r="O196" t="s">
        <v>155</v>
      </c>
      <c r="P196">
        <v>371</v>
      </c>
      <c r="Q196">
        <v>6</v>
      </c>
      <c r="R196">
        <v>6</v>
      </c>
      <c r="S196">
        <v>787.5</v>
      </c>
      <c r="T196" t="s">
        <v>153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153</v>
      </c>
      <c r="O197" t="s">
        <v>155</v>
      </c>
      <c r="P197">
        <v>483</v>
      </c>
      <c r="Q197">
        <v>48</v>
      </c>
      <c r="R197">
        <v>6</v>
      </c>
      <c r="S197">
        <v>800</v>
      </c>
      <c r="T197" t="s">
        <v>156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153</v>
      </c>
      <c r="O198" t="s">
        <v>154</v>
      </c>
      <c r="P198">
        <v>0</v>
      </c>
      <c r="Q198">
        <v>0</v>
      </c>
      <c r="R198">
        <v>0</v>
      </c>
      <c r="S198">
        <v>587.5</v>
      </c>
      <c r="T198" t="s">
        <v>153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156</v>
      </c>
      <c r="O199" t="s">
        <v>155</v>
      </c>
      <c r="P199">
        <v>64</v>
      </c>
      <c r="Q199">
        <v>119</v>
      </c>
      <c r="R199">
        <v>9</v>
      </c>
      <c r="S199" t="s">
        <v>157</v>
      </c>
      <c r="T199" t="s">
        <v>156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153</v>
      </c>
      <c r="O200" t="s">
        <v>155</v>
      </c>
      <c r="P200">
        <v>0</v>
      </c>
      <c r="Q200">
        <v>0</v>
      </c>
      <c r="R200">
        <v>0</v>
      </c>
      <c r="S200">
        <v>145</v>
      </c>
      <c r="T200" t="s">
        <v>153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153</v>
      </c>
      <c r="O201" t="s">
        <v>154</v>
      </c>
      <c r="P201">
        <v>245</v>
      </c>
      <c r="Q201">
        <v>5</v>
      </c>
      <c r="R201">
        <v>9</v>
      </c>
      <c r="S201" t="s">
        <v>157</v>
      </c>
      <c r="T201" t="s">
        <v>153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153</v>
      </c>
      <c r="O202" t="s">
        <v>155</v>
      </c>
      <c r="P202">
        <v>276</v>
      </c>
      <c r="Q202">
        <v>421</v>
      </c>
      <c r="R202">
        <v>11</v>
      </c>
      <c r="S202">
        <v>420</v>
      </c>
      <c r="T202" t="s">
        <v>153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156</v>
      </c>
      <c r="O203" t="s">
        <v>154</v>
      </c>
      <c r="P203">
        <v>317</v>
      </c>
      <c r="Q203">
        <v>36</v>
      </c>
      <c r="R203">
        <v>1</v>
      </c>
      <c r="S203">
        <v>75</v>
      </c>
      <c r="T203" t="s">
        <v>156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153</v>
      </c>
      <c r="O204" t="s">
        <v>155</v>
      </c>
      <c r="P204">
        <v>303</v>
      </c>
      <c r="Q204">
        <v>450</v>
      </c>
      <c r="R204">
        <v>14</v>
      </c>
      <c r="S204">
        <v>575</v>
      </c>
      <c r="T204" t="s">
        <v>153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156</v>
      </c>
      <c r="O205" t="s">
        <v>155</v>
      </c>
      <c r="P205">
        <v>107</v>
      </c>
      <c r="Q205">
        <v>3</v>
      </c>
      <c r="R205">
        <v>3</v>
      </c>
      <c r="S205" t="s">
        <v>157</v>
      </c>
      <c r="T205" t="s">
        <v>156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153</v>
      </c>
      <c r="O206" t="s">
        <v>154</v>
      </c>
      <c r="P206">
        <v>310</v>
      </c>
      <c r="Q206">
        <v>9</v>
      </c>
      <c r="R206">
        <v>9</v>
      </c>
      <c r="S206">
        <v>780</v>
      </c>
      <c r="T206" t="s">
        <v>153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156</v>
      </c>
      <c r="O207" t="s">
        <v>155</v>
      </c>
      <c r="P207">
        <v>201</v>
      </c>
      <c r="Q207">
        <v>6</v>
      </c>
      <c r="R207">
        <v>3</v>
      </c>
      <c r="S207">
        <v>90</v>
      </c>
      <c r="T207" t="s">
        <v>156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156</v>
      </c>
      <c r="O208" t="s">
        <v>154</v>
      </c>
      <c r="P208">
        <v>172</v>
      </c>
      <c r="Q208">
        <v>317</v>
      </c>
      <c r="R208">
        <v>25</v>
      </c>
      <c r="S208">
        <v>150</v>
      </c>
      <c r="T208" t="s">
        <v>156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153</v>
      </c>
      <c r="O209" t="s">
        <v>155</v>
      </c>
      <c r="P209">
        <v>0</v>
      </c>
      <c r="Q209">
        <v>0</v>
      </c>
      <c r="R209">
        <v>0</v>
      </c>
      <c r="S209">
        <v>700</v>
      </c>
      <c r="T209" t="s">
        <v>156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156</v>
      </c>
      <c r="O210" t="s">
        <v>155</v>
      </c>
      <c r="P210">
        <v>415</v>
      </c>
      <c r="Q210">
        <v>35</v>
      </c>
      <c r="R210">
        <v>3</v>
      </c>
      <c r="S210" t="s">
        <v>157</v>
      </c>
      <c r="T210" t="s">
        <v>156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153</v>
      </c>
      <c r="O211" t="s">
        <v>155</v>
      </c>
      <c r="P211">
        <v>233</v>
      </c>
      <c r="Q211">
        <v>7</v>
      </c>
      <c r="R211">
        <v>7</v>
      </c>
      <c r="S211">
        <v>550</v>
      </c>
      <c r="T211" t="s">
        <v>153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153</v>
      </c>
      <c r="O212" t="s">
        <v>154</v>
      </c>
      <c r="P212">
        <v>220</v>
      </c>
      <c r="Q212">
        <v>16</v>
      </c>
      <c r="R212">
        <v>4</v>
      </c>
      <c r="S212" t="s">
        <v>157</v>
      </c>
      <c r="T212" t="s">
        <v>153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156</v>
      </c>
      <c r="O213" t="s">
        <v>155</v>
      </c>
      <c r="P213">
        <v>259</v>
      </c>
      <c r="Q213">
        <v>30</v>
      </c>
      <c r="R213">
        <v>10</v>
      </c>
      <c r="S213">
        <v>650</v>
      </c>
      <c r="T213" t="s">
        <v>153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153</v>
      </c>
      <c r="O214" t="s">
        <v>154</v>
      </c>
      <c r="P214">
        <v>102</v>
      </c>
      <c r="Q214">
        <v>6</v>
      </c>
      <c r="R214">
        <v>3</v>
      </c>
      <c r="S214">
        <v>68</v>
      </c>
      <c r="T214" t="s">
        <v>153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156</v>
      </c>
      <c r="O215" t="s">
        <v>155</v>
      </c>
      <c r="P215">
        <v>468</v>
      </c>
      <c r="Q215">
        <v>47</v>
      </c>
      <c r="R215">
        <v>6</v>
      </c>
      <c r="S215">
        <v>100</v>
      </c>
      <c r="T215" t="s">
        <v>156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156</v>
      </c>
      <c r="O216" t="s">
        <v>154</v>
      </c>
      <c r="P216">
        <v>149</v>
      </c>
      <c r="Q216">
        <v>8</v>
      </c>
      <c r="R216">
        <v>6</v>
      </c>
      <c r="S216">
        <v>670</v>
      </c>
      <c r="T216" t="s">
        <v>156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153</v>
      </c>
      <c r="O217" t="s">
        <v>155</v>
      </c>
      <c r="P217">
        <v>103</v>
      </c>
      <c r="Q217">
        <v>283</v>
      </c>
      <c r="R217">
        <v>19</v>
      </c>
      <c r="S217">
        <v>175</v>
      </c>
      <c r="T217" t="s">
        <v>153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153</v>
      </c>
      <c r="O218" t="s">
        <v>154</v>
      </c>
      <c r="P218">
        <v>358</v>
      </c>
      <c r="Q218">
        <v>32</v>
      </c>
      <c r="R218">
        <v>8</v>
      </c>
      <c r="S218">
        <v>137</v>
      </c>
      <c r="T218" t="s">
        <v>153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156</v>
      </c>
      <c r="O219" t="s">
        <v>155</v>
      </c>
      <c r="P219">
        <v>78</v>
      </c>
      <c r="Q219">
        <v>220</v>
      </c>
      <c r="R219">
        <v>6</v>
      </c>
      <c r="S219">
        <v>2127.3330000000001</v>
      </c>
      <c r="T219" t="s">
        <v>156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156</v>
      </c>
      <c r="O220" t="s">
        <v>154</v>
      </c>
      <c r="P220">
        <v>756</v>
      </c>
      <c r="Q220">
        <v>64</v>
      </c>
      <c r="R220">
        <v>15</v>
      </c>
      <c r="S220">
        <v>875</v>
      </c>
      <c r="T220" t="s">
        <v>156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153</v>
      </c>
      <c r="O221" t="s">
        <v>154</v>
      </c>
      <c r="P221">
        <v>463</v>
      </c>
      <c r="Q221">
        <v>32</v>
      </c>
      <c r="R221">
        <v>8</v>
      </c>
      <c r="S221">
        <v>120</v>
      </c>
      <c r="T221" t="s">
        <v>153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156</v>
      </c>
      <c r="O222" t="s">
        <v>155</v>
      </c>
      <c r="P222">
        <v>212</v>
      </c>
      <c r="Q222">
        <v>1</v>
      </c>
      <c r="R222">
        <v>2</v>
      </c>
      <c r="S222">
        <v>140</v>
      </c>
      <c r="T222" t="s">
        <v>156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156</v>
      </c>
      <c r="O223" t="s">
        <v>155</v>
      </c>
      <c r="P223">
        <v>325</v>
      </c>
      <c r="Q223">
        <v>12</v>
      </c>
      <c r="R223">
        <v>8</v>
      </c>
      <c r="S223">
        <v>210</v>
      </c>
      <c r="T223" t="s">
        <v>156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156</v>
      </c>
      <c r="O224" t="s">
        <v>155</v>
      </c>
      <c r="P224">
        <v>228</v>
      </c>
      <c r="Q224">
        <v>7</v>
      </c>
      <c r="R224">
        <v>5</v>
      </c>
      <c r="S224">
        <v>800</v>
      </c>
      <c r="T224" t="s">
        <v>156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156</v>
      </c>
      <c r="O225" t="s">
        <v>154</v>
      </c>
      <c r="P225">
        <v>203</v>
      </c>
      <c r="Q225">
        <v>3</v>
      </c>
      <c r="R225">
        <v>3</v>
      </c>
      <c r="S225">
        <v>240</v>
      </c>
      <c r="T225" t="s">
        <v>156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153</v>
      </c>
      <c r="O226" t="s">
        <v>155</v>
      </c>
      <c r="P226">
        <v>149</v>
      </c>
      <c r="Q226">
        <v>1</v>
      </c>
      <c r="R226">
        <v>6</v>
      </c>
      <c r="S226">
        <v>350</v>
      </c>
      <c r="T226" t="s">
        <v>153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156</v>
      </c>
      <c r="O227" t="s">
        <v>154</v>
      </c>
      <c r="P227">
        <v>512</v>
      </c>
      <c r="Q227">
        <v>30</v>
      </c>
      <c r="R227">
        <v>5</v>
      </c>
      <c r="S227" t="s">
        <v>157</v>
      </c>
      <c r="T227" t="s">
        <v>156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153</v>
      </c>
      <c r="O228" t="s">
        <v>154</v>
      </c>
      <c r="P228">
        <v>261</v>
      </c>
      <c r="Q228">
        <v>459</v>
      </c>
      <c r="R228">
        <v>22</v>
      </c>
      <c r="S228">
        <v>175</v>
      </c>
      <c r="T228" t="s">
        <v>153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153</v>
      </c>
      <c r="O229" t="s">
        <v>154</v>
      </c>
      <c r="P229">
        <v>325</v>
      </c>
      <c r="Q229">
        <v>13</v>
      </c>
      <c r="R229">
        <v>3</v>
      </c>
      <c r="S229">
        <v>200</v>
      </c>
      <c r="T229" t="s">
        <v>153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156</v>
      </c>
      <c r="O230" t="s">
        <v>154</v>
      </c>
      <c r="P230">
        <v>151</v>
      </c>
      <c r="Q230">
        <v>8</v>
      </c>
      <c r="R230">
        <v>5</v>
      </c>
      <c r="S230" t="s">
        <v>157</v>
      </c>
      <c r="T230" t="s">
        <v>156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156</v>
      </c>
      <c r="O231" t="s">
        <v>155</v>
      </c>
      <c r="P231">
        <v>229</v>
      </c>
      <c r="Q231">
        <v>453</v>
      </c>
      <c r="R231">
        <v>15</v>
      </c>
      <c r="S231">
        <v>1940</v>
      </c>
      <c r="T231" t="s">
        <v>156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156</v>
      </c>
      <c r="O232" t="s">
        <v>154</v>
      </c>
      <c r="P232">
        <v>682</v>
      </c>
      <c r="Q232">
        <v>93</v>
      </c>
      <c r="R232">
        <v>13</v>
      </c>
      <c r="S232">
        <v>700</v>
      </c>
      <c r="T232" t="s">
        <v>156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153</v>
      </c>
      <c r="O233" t="s">
        <v>154</v>
      </c>
      <c r="P233">
        <v>250</v>
      </c>
      <c r="Q233">
        <v>11</v>
      </c>
      <c r="R233">
        <v>1</v>
      </c>
      <c r="S233">
        <v>750</v>
      </c>
      <c r="T233" t="s">
        <v>153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156</v>
      </c>
      <c r="O234" t="s">
        <v>154</v>
      </c>
      <c r="P234">
        <v>58</v>
      </c>
      <c r="Q234">
        <v>141</v>
      </c>
      <c r="R234">
        <v>23</v>
      </c>
      <c r="S234">
        <v>450</v>
      </c>
      <c r="T234" t="s">
        <v>156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153</v>
      </c>
      <c r="O235" t="s">
        <v>154</v>
      </c>
      <c r="P235">
        <v>157</v>
      </c>
      <c r="Q235">
        <v>6</v>
      </c>
      <c r="R235">
        <v>14</v>
      </c>
      <c r="S235">
        <v>172</v>
      </c>
      <c r="T235" t="s">
        <v>153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153</v>
      </c>
      <c r="O236" t="s">
        <v>155</v>
      </c>
      <c r="P236">
        <v>82</v>
      </c>
      <c r="Q236">
        <v>170</v>
      </c>
      <c r="R236">
        <v>15</v>
      </c>
      <c r="S236">
        <v>1260</v>
      </c>
      <c r="T236" t="s">
        <v>153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153</v>
      </c>
      <c r="O237" t="s">
        <v>154</v>
      </c>
      <c r="P237">
        <v>1224</v>
      </c>
      <c r="Q237">
        <v>115</v>
      </c>
      <c r="R237">
        <v>11</v>
      </c>
      <c r="S237" t="s">
        <v>157</v>
      </c>
      <c r="T237" t="s">
        <v>153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156</v>
      </c>
      <c r="O238" t="s">
        <v>154</v>
      </c>
      <c r="P238">
        <v>523</v>
      </c>
      <c r="Q238">
        <v>43</v>
      </c>
      <c r="R238">
        <v>6</v>
      </c>
      <c r="S238">
        <v>750</v>
      </c>
      <c r="T238" t="s">
        <v>156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153</v>
      </c>
      <c r="O239" t="s">
        <v>155</v>
      </c>
      <c r="P239">
        <v>172</v>
      </c>
      <c r="Q239">
        <v>1</v>
      </c>
      <c r="R239">
        <v>4</v>
      </c>
      <c r="S239">
        <v>190</v>
      </c>
      <c r="T239" t="s">
        <v>153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153</v>
      </c>
      <c r="O240" t="s">
        <v>155</v>
      </c>
      <c r="P240">
        <v>846</v>
      </c>
      <c r="Q240">
        <v>84</v>
      </c>
      <c r="R240">
        <v>9</v>
      </c>
      <c r="S240">
        <v>580</v>
      </c>
      <c r="T240" t="s">
        <v>153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156</v>
      </c>
      <c r="O241" t="s">
        <v>155</v>
      </c>
      <c r="P241">
        <v>117</v>
      </c>
      <c r="Q241">
        <v>269</v>
      </c>
      <c r="R241">
        <v>12</v>
      </c>
      <c r="S241">
        <v>130</v>
      </c>
      <c r="T241" t="s">
        <v>156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153</v>
      </c>
      <c r="O242" t="s">
        <v>154</v>
      </c>
      <c r="P242">
        <v>62</v>
      </c>
      <c r="Q242">
        <v>90</v>
      </c>
      <c r="R242">
        <v>3</v>
      </c>
      <c r="S242">
        <v>450</v>
      </c>
      <c r="T242" t="s">
        <v>153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153</v>
      </c>
      <c r="O243" t="s">
        <v>154</v>
      </c>
      <c r="P243">
        <v>167</v>
      </c>
      <c r="Q243">
        <v>2</v>
      </c>
      <c r="R243">
        <v>4</v>
      </c>
      <c r="S243">
        <v>300</v>
      </c>
      <c r="T243" t="s">
        <v>153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153</v>
      </c>
      <c r="O244" t="s">
        <v>155</v>
      </c>
      <c r="P244">
        <v>391</v>
      </c>
      <c r="Q244">
        <v>44</v>
      </c>
      <c r="R244">
        <v>4</v>
      </c>
      <c r="S244">
        <v>250</v>
      </c>
      <c r="T244" t="s">
        <v>153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156</v>
      </c>
      <c r="O245" t="s">
        <v>155</v>
      </c>
      <c r="P245">
        <v>41</v>
      </c>
      <c r="Q245">
        <v>118</v>
      </c>
      <c r="R245">
        <v>8</v>
      </c>
      <c r="S245">
        <v>1050</v>
      </c>
      <c r="T245" t="s">
        <v>153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153</v>
      </c>
      <c r="O246" t="s">
        <v>155</v>
      </c>
      <c r="P246">
        <v>286</v>
      </c>
      <c r="Q246">
        <v>8</v>
      </c>
      <c r="R246">
        <v>8</v>
      </c>
      <c r="S246">
        <v>215</v>
      </c>
      <c r="T246" t="s">
        <v>153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153</v>
      </c>
      <c r="O247" t="s">
        <v>155</v>
      </c>
      <c r="P247">
        <v>659</v>
      </c>
      <c r="Q247">
        <v>53</v>
      </c>
      <c r="R247">
        <v>7</v>
      </c>
      <c r="S247">
        <v>400</v>
      </c>
      <c r="T247" t="s">
        <v>153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153</v>
      </c>
      <c r="O248" t="s">
        <v>155</v>
      </c>
      <c r="P248">
        <v>866</v>
      </c>
      <c r="Q248">
        <v>65</v>
      </c>
      <c r="R248">
        <v>6</v>
      </c>
      <c r="S248" t="s">
        <v>157</v>
      </c>
      <c r="T248" t="s">
        <v>153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153</v>
      </c>
      <c r="O249" t="s">
        <v>155</v>
      </c>
      <c r="P249">
        <v>251</v>
      </c>
      <c r="Q249">
        <v>9</v>
      </c>
      <c r="R249">
        <v>4</v>
      </c>
      <c r="S249">
        <v>560</v>
      </c>
      <c r="T249" t="s">
        <v>153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153</v>
      </c>
      <c r="O250" t="s">
        <v>155</v>
      </c>
      <c r="P250">
        <v>426</v>
      </c>
      <c r="Q250">
        <v>4</v>
      </c>
      <c r="R250">
        <v>6</v>
      </c>
      <c r="S250">
        <v>1670</v>
      </c>
      <c r="T250" t="s">
        <v>153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153</v>
      </c>
      <c r="O251" t="s">
        <v>154</v>
      </c>
      <c r="P251">
        <v>0</v>
      </c>
      <c r="Q251">
        <v>0</v>
      </c>
      <c r="R251">
        <v>0</v>
      </c>
      <c r="S251">
        <v>487.5</v>
      </c>
      <c r="T251" t="s">
        <v>153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153</v>
      </c>
      <c r="O252" t="s">
        <v>154</v>
      </c>
      <c r="P252">
        <v>205</v>
      </c>
      <c r="Q252">
        <v>5</v>
      </c>
      <c r="R252">
        <v>4</v>
      </c>
      <c r="S252" t="s">
        <v>157</v>
      </c>
      <c r="T252" t="s">
        <v>153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153</v>
      </c>
      <c r="O253" t="s">
        <v>154</v>
      </c>
      <c r="P253">
        <v>0</v>
      </c>
      <c r="Q253">
        <v>0</v>
      </c>
      <c r="R253">
        <v>0</v>
      </c>
      <c r="S253">
        <v>425</v>
      </c>
      <c r="T253" t="s">
        <v>153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156</v>
      </c>
      <c r="O254" t="s">
        <v>155</v>
      </c>
      <c r="P254">
        <v>88</v>
      </c>
      <c r="Q254">
        <v>204</v>
      </c>
      <c r="R254">
        <v>16</v>
      </c>
      <c r="S254">
        <v>500</v>
      </c>
      <c r="T254" t="s">
        <v>153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156</v>
      </c>
      <c r="O255" t="s">
        <v>154</v>
      </c>
      <c r="P255">
        <v>99</v>
      </c>
      <c r="Q255">
        <v>3</v>
      </c>
      <c r="R255">
        <v>1</v>
      </c>
      <c r="S255" t="s">
        <v>157</v>
      </c>
      <c r="T255" t="s">
        <v>156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153</v>
      </c>
      <c r="O256" t="s">
        <v>154</v>
      </c>
      <c r="P256">
        <v>145</v>
      </c>
      <c r="Q256">
        <v>2</v>
      </c>
      <c r="R256">
        <v>2</v>
      </c>
      <c r="S256" t="s">
        <v>157</v>
      </c>
      <c r="T256" t="s">
        <v>153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153</v>
      </c>
      <c r="O257" t="s">
        <v>155</v>
      </c>
      <c r="P257">
        <v>44</v>
      </c>
      <c r="Q257">
        <v>0</v>
      </c>
      <c r="R257">
        <v>1</v>
      </c>
      <c r="S257">
        <v>250</v>
      </c>
      <c r="T257" t="s">
        <v>153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153</v>
      </c>
      <c r="O258" t="s">
        <v>155</v>
      </c>
      <c r="P258">
        <v>155</v>
      </c>
      <c r="Q258">
        <v>3</v>
      </c>
      <c r="R258">
        <v>2</v>
      </c>
      <c r="S258">
        <v>400</v>
      </c>
      <c r="T258" t="s">
        <v>153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153</v>
      </c>
      <c r="O259" t="s">
        <v>155</v>
      </c>
      <c r="P259">
        <v>60</v>
      </c>
      <c r="Q259">
        <v>176</v>
      </c>
      <c r="R259">
        <v>6</v>
      </c>
      <c r="S259">
        <v>450</v>
      </c>
      <c r="T259" t="s">
        <v>153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156</v>
      </c>
      <c r="O260" t="s">
        <v>154</v>
      </c>
      <c r="P260">
        <v>367</v>
      </c>
      <c r="Q260">
        <v>475</v>
      </c>
      <c r="R260">
        <v>19</v>
      </c>
      <c r="S260">
        <v>750</v>
      </c>
      <c r="T260" t="s">
        <v>156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153</v>
      </c>
      <c r="O261" t="s">
        <v>155</v>
      </c>
      <c r="P261">
        <v>86</v>
      </c>
      <c r="Q261">
        <v>150</v>
      </c>
      <c r="R261">
        <v>15</v>
      </c>
      <c r="S261">
        <v>70</v>
      </c>
      <c r="T261" t="s">
        <v>153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156</v>
      </c>
      <c r="O262" t="s">
        <v>154</v>
      </c>
      <c r="P262">
        <v>155</v>
      </c>
      <c r="Q262">
        <v>371</v>
      </c>
      <c r="R262">
        <v>29</v>
      </c>
      <c r="S262">
        <v>875</v>
      </c>
      <c r="T262" t="s">
        <v>156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156</v>
      </c>
      <c r="O263" t="s">
        <v>155</v>
      </c>
      <c r="P263">
        <v>190</v>
      </c>
      <c r="Q263">
        <v>2</v>
      </c>
      <c r="R263">
        <v>9</v>
      </c>
      <c r="S263">
        <v>190</v>
      </c>
      <c r="T263" t="s">
        <v>156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156</v>
      </c>
      <c r="O264" t="s">
        <v>155</v>
      </c>
      <c r="P264">
        <v>181</v>
      </c>
      <c r="Q264">
        <v>3</v>
      </c>
      <c r="R264">
        <v>2</v>
      </c>
      <c r="S264">
        <v>191</v>
      </c>
      <c r="T264" t="s">
        <v>156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156</v>
      </c>
      <c r="O265" t="s">
        <v>155</v>
      </c>
      <c r="P265">
        <v>309</v>
      </c>
      <c r="Q265">
        <v>492</v>
      </c>
      <c r="R265">
        <v>5</v>
      </c>
      <c r="S265">
        <v>740</v>
      </c>
      <c r="T265" t="s">
        <v>156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156</v>
      </c>
      <c r="O266" t="s">
        <v>155</v>
      </c>
      <c r="P266">
        <v>203</v>
      </c>
      <c r="Q266">
        <v>369</v>
      </c>
      <c r="R266">
        <v>16</v>
      </c>
      <c r="S266">
        <v>250</v>
      </c>
      <c r="T266" t="s">
        <v>156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156</v>
      </c>
      <c r="O267" t="s">
        <v>155</v>
      </c>
      <c r="P267">
        <v>42</v>
      </c>
      <c r="Q267">
        <v>94</v>
      </c>
      <c r="R267">
        <v>13</v>
      </c>
      <c r="S267">
        <v>140</v>
      </c>
      <c r="T267" t="s">
        <v>156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153</v>
      </c>
      <c r="O268" t="s">
        <v>154</v>
      </c>
      <c r="P268">
        <v>200</v>
      </c>
      <c r="Q268">
        <v>7</v>
      </c>
      <c r="R268">
        <v>6</v>
      </c>
      <c r="S268">
        <v>97.5</v>
      </c>
      <c r="T268" t="s">
        <v>153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153</v>
      </c>
      <c r="O269" t="s">
        <v>154</v>
      </c>
      <c r="P269">
        <v>0</v>
      </c>
      <c r="Q269">
        <v>0</v>
      </c>
      <c r="R269">
        <v>0</v>
      </c>
      <c r="S269">
        <v>740</v>
      </c>
      <c r="T269" t="s">
        <v>153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156</v>
      </c>
      <c r="O270" t="s">
        <v>154</v>
      </c>
      <c r="P270">
        <v>255</v>
      </c>
      <c r="Q270">
        <v>450</v>
      </c>
      <c r="R270">
        <v>17</v>
      </c>
      <c r="S270">
        <v>140</v>
      </c>
      <c r="T270" t="s">
        <v>156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153</v>
      </c>
      <c r="O271" t="s">
        <v>154</v>
      </c>
      <c r="P271">
        <v>135</v>
      </c>
      <c r="Q271">
        <v>257</v>
      </c>
      <c r="R271">
        <v>7</v>
      </c>
      <c r="S271">
        <v>341.66699999999997</v>
      </c>
      <c r="T271" t="s">
        <v>153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156</v>
      </c>
      <c r="O272" t="s">
        <v>154</v>
      </c>
      <c r="P272">
        <v>179</v>
      </c>
      <c r="Q272">
        <v>5</v>
      </c>
      <c r="R272">
        <v>3</v>
      </c>
      <c r="S272" t="s">
        <v>157</v>
      </c>
      <c r="T272" t="s">
        <v>156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153</v>
      </c>
      <c r="O273" t="s">
        <v>155</v>
      </c>
      <c r="P273">
        <v>352</v>
      </c>
      <c r="Q273">
        <v>9</v>
      </c>
      <c r="R273">
        <v>1</v>
      </c>
      <c r="S273">
        <v>1000</v>
      </c>
      <c r="T273" t="s">
        <v>153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153</v>
      </c>
      <c r="O274" t="s">
        <v>154</v>
      </c>
      <c r="P274">
        <v>1236</v>
      </c>
      <c r="Q274">
        <v>98</v>
      </c>
      <c r="R274">
        <v>18</v>
      </c>
      <c r="S274">
        <v>100</v>
      </c>
      <c r="T274" t="s">
        <v>153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153</v>
      </c>
      <c r="O275" t="s">
        <v>154</v>
      </c>
      <c r="P275">
        <v>281</v>
      </c>
      <c r="Q275">
        <v>21</v>
      </c>
      <c r="R275">
        <v>3</v>
      </c>
      <c r="S275">
        <v>90</v>
      </c>
      <c r="T275" t="s">
        <v>153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156</v>
      </c>
      <c r="O276" t="s">
        <v>155</v>
      </c>
      <c r="P276">
        <v>1320</v>
      </c>
      <c r="Q276">
        <v>166</v>
      </c>
      <c r="R276">
        <v>17</v>
      </c>
      <c r="S276">
        <v>200</v>
      </c>
      <c r="T276" t="s">
        <v>156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153</v>
      </c>
      <c r="O277" t="s">
        <v>154</v>
      </c>
      <c r="P277">
        <v>111</v>
      </c>
      <c r="Q277">
        <v>226</v>
      </c>
      <c r="R277">
        <v>11</v>
      </c>
      <c r="S277">
        <v>135</v>
      </c>
      <c r="T277" t="s">
        <v>153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156</v>
      </c>
      <c r="O278" t="s">
        <v>155</v>
      </c>
      <c r="P278">
        <v>320</v>
      </c>
      <c r="Q278">
        <v>465</v>
      </c>
      <c r="R278">
        <v>32</v>
      </c>
      <c r="S278">
        <v>155</v>
      </c>
      <c r="T278" t="s">
        <v>156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153</v>
      </c>
      <c r="O279" t="s">
        <v>154</v>
      </c>
      <c r="P279">
        <v>196</v>
      </c>
      <c r="Q279">
        <v>354</v>
      </c>
      <c r="R279">
        <v>15</v>
      </c>
      <c r="S279">
        <v>475</v>
      </c>
      <c r="T279" t="s">
        <v>153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156</v>
      </c>
      <c r="O280" t="s">
        <v>154</v>
      </c>
      <c r="P280">
        <v>1160</v>
      </c>
      <c r="Q280">
        <v>53</v>
      </c>
      <c r="R280">
        <v>7</v>
      </c>
      <c r="S280">
        <v>1450</v>
      </c>
      <c r="T280" t="s">
        <v>156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156</v>
      </c>
      <c r="O281" t="s">
        <v>155</v>
      </c>
      <c r="P281">
        <v>229</v>
      </c>
      <c r="Q281">
        <v>406</v>
      </c>
      <c r="R281">
        <v>22</v>
      </c>
      <c r="S281">
        <v>150</v>
      </c>
      <c r="T281" t="s">
        <v>156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153</v>
      </c>
      <c r="O282" t="s">
        <v>154</v>
      </c>
      <c r="P282">
        <v>289</v>
      </c>
      <c r="Q282">
        <v>407</v>
      </c>
      <c r="R282">
        <v>6</v>
      </c>
      <c r="S282">
        <v>105</v>
      </c>
      <c r="T282" t="s">
        <v>153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153</v>
      </c>
      <c r="O283" t="s">
        <v>154</v>
      </c>
      <c r="P283">
        <v>209</v>
      </c>
      <c r="Q283">
        <v>372</v>
      </c>
      <c r="R283">
        <v>17</v>
      </c>
      <c r="S283">
        <v>350</v>
      </c>
      <c r="T283" t="s">
        <v>153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156</v>
      </c>
      <c r="O284" t="s">
        <v>154</v>
      </c>
      <c r="P284">
        <v>367</v>
      </c>
      <c r="Q284">
        <v>432</v>
      </c>
      <c r="R284">
        <v>16</v>
      </c>
      <c r="S284">
        <v>90</v>
      </c>
      <c r="T284" t="s">
        <v>156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153</v>
      </c>
      <c r="O285" t="s">
        <v>155</v>
      </c>
      <c r="P285">
        <v>247</v>
      </c>
      <c r="Q285">
        <v>4</v>
      </c>
      <c r="R285">
        <v>8</v>
      </c>
      <c r="S285" t="s">
        <v>157</v>
      </c>
      <c r="T285" t="s">
        <v>153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153</v>
      </c>
      <c r="O286" t="s">
        <v>155</v>
      </c>
      <c r="P286">
        <v>351</v>
      </c>
      <c r="Q286">
        <v>442</v>
      </c>
      <c r="R286">
        <v>17</v>
      </c>
      <c r="S286">
        <v>530</v>
      </c>
      <c r="T286" t="s">
        <v>153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153</v>
      </c>
      <c r="O287" t="s">
        <v>155</v>
      </c>
      <c r="P287">
        <v>106</v>
      </c>
      <c r="Q287">
        <v>144</v>
      </c>
      <c r="R287">
        <v>7</v>
      </c>
      <c r="S287">
        <v>341.66699999999997</v>
      </c>
      <c r="T287" t="s">
        <v>153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153</v>
      </c>
      <c r="O288" t="s">
        <v>154</v>
      </c>
      <c r="P288">
        <v>315</v>
      </c>
      <c r="Q288">
        <v>10</v>
      </c>
      <c r="R288">
        <v>6</v>
      </c>
      <c r="S288">
        <v>940</v>
      </c>
      <c r="T288" t="s">
        <v>153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153</v>
      </c>
      <c r="O289" t="s">
        <v>155</v>
      </c>
      <c r="P289">
        <v>294</v>
      </c>
      <c r="Q289">
        <v>445</v>
      </c>
      <c r="R289">
        <v>13</v>
      </c>
      <c r="S289">
        <v>350</v>
      </c>
      <c r="T289" t="s">
        <v>153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156</v>
      </c>
      <c r="O290" t="s">
        <v>154</v>
      </c>
      <c r="P290">
        <v>209</v>
      </c>
      <c r="Q290">
        <v>246</v>
      </c>
      <c r="R290">
        <v>3</v>
      </c>
      <c r="S290">
        <v>326.66699999999997</v>
      </c>
      <c r="T290" t="s">
        <v>156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156</v>
      </c>
      <c r="O291" t="s">
        <v>155</v>
      </c>
      <c r="P291">
        <v>81</v>
      </c>
      <c r="Q291">
        <v>147</v>
      </c>
      <c r="R291">
        <v>4</v>
      </c>
      <c r="S291">
        <v>250</v>
      </c>
      <c r="T291" t="s">
        <v>156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156</v>
      </c>
      <c r="O292" t="s">
        <v>154</v>
      </c>
      <c r="P292">
        <v>337</v>
      </c>
      <c r="Q292">
        <v>19</v>
      </c>
      <c r="R292">
        <v>4</v>
      </c>
      <c r="S292">
        <v>740</v>
      </c>
      <c r="T292" t="s">
        <v>156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156</v>
      </c>
      <c r="O293" t="s">
        <v>154</v>
      </c>
      <c r="P293">
        <v>92</v>
      </c>
      <c r="Q293">
        <v>5</v>
      </c>
      <c r="R293">
        <v>3</v>
      </c>
      <c r="S293">
        <v>425</v>
      </c>
      <c r="T293" t="s">
        <v>153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153</v>
      </c>
      <c r="O294" t="s">
        <v>154</v>
      </c>
      <c r="P294">
        <v>166</v>
      </c>
      <c r="Q294">
        <v>211</v>
      </c>
      <c r="R294">
        <v>7</v>
      </c>
      <c r="S294" t="s">
        <v>157</v>
      </c>
      <c r="T294" t="s">
        <v>153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156</v>
      </c>
      <c r="O295" t="s">
        <v>155</v>
      </c>
      <c r="P295">
        <v>352</v>
      </c>
      <c r="Q295">
        <v>414</v>
      </c>
      <c r="R295">
        <v>9</v>
      </c>
      <c r="S295">
        <v>925</v>
      </c>
      <c r="T295" t="s">
        <v>156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153</v>
      </c>
      <c r="O296" t="s">
        <v>154</v>
      </c>
      <c r="P296">
        <v>70</v>
      </c>
      <c r="Q296">
        <v>144</v>
      </c>
      <c r="R296">
        <v>11</v>
      </c>
      <c r="S296">
        <v>185</v>
      </c>
      <c r="T296" t="s">
        <v>153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156</v>
      </c>
      <c r="O297" t="s">
        <v>154</v>
      </c>
      <c r="P297">
        <v>692</v>
      </c>
      <c r="Q297">
        <v>70</v>
      </c>
      <c r="R297">
        <v>8</v>
      </c>
      <c r="S297">
        <v>920</v>
      </c>
      <c r="T297" t="s">
        <v>153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156</v>
      </c>
      <c r="O298" t="s">
        <v>155</v>
      </c>
      <c r="P298">
        <v>131</v>
      </c>
      <c r="Q298">
        <v>6</v>
      </c>
      <c r="R298">
        <v>1</v>
      </c>
      <c r="S298">
        <v>286.66699999999997</v>
      </c>
      <c r="T298" t="s">
        <v>156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153</v>
      </c>
      <c r="O299" t="s">
        <v>154</v>
      </c>
      <c r="P299">
        <v>299</v>
      </c>
      <c r="Q299">
        <v>13</v>
      </c>
      <c r="R299">
        <v>5</v>
      </c>
      <c r="S299">
        <v>245</v>
      </c>
      <c r="T299" t="s">
        <v>153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153</v>
      </c>
      <c r="O300" t="s">
        <v>155</v>
      </c>
      <c r="P300">
        <v>37</v>
      </c>
      <c r="Q300">
        <v>98</v>
      </c>
      <c r="R300">
        <v>9</v>
      </c>
      <c r="S300" t="s">
        <v>157</v>
      </c>
      <c r="T300" t="s">
        <v>153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153</v>
      </c>
      <c r="O301" t="s">
        <v>154</v>
      </c>
      <c r="P301">
        <v>178</v>
      </c>
      <c r="Q301">
        <v>45</v>
      </c>
      <c r="R301">
        <v>4</v>
      </c>
      <c r="S301">
        <v>235</v>
      </c>
      <c r="T301" t="s">
        <v>153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156</v>
      </c>
      <c r="O302" t="s">
        <v>155</v>
      </c>
      <c r="P302">
        <v>810</v>
      </c>
      <c r="Q302">
        <v>99</v>
      </c>
      <c r="R302">
        <v>18</v>
      </c>
      <c r="S302">
        <v>1150</v>
      </c>
      <c r="T302" t="s">
        <v>156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156</v>
      </c>
      <c r="O303" t="s">
        <v>155</v>
      </c>
      <c r="P303">
        <v>133</v>
      </c>
      <c r="Q303">
        <v>371</v>
      </c>
      <c r="R303">
        <v>20</v>
      </c>
      <c r="S303">
        <v>160</v>
      </c>
      <c r="T303" t="s">
        <v>156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156</v>
      </c>
      <c r="O304" t="s">
        <v>154</v>
      </c>
      <c r="P304">
        <v>398</v>
      </c>
      <c r="Q304">
        <v>29</v>
      </c>
      <c r="R304">
        <v>7</v>
      </c>
      <c r="S304" t="s">
        <v>157</v>
      </c>
      <c r="T304" t="s">
        <v>156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153</v>
      </c>
      <c r="O305" t="s">
        <v>154</v>
      </c>
      <c r="P305">
        <v>160</v>
      </c>
      <c r="Q305">
        <v>290</v>
      </c>
      <c r="R305">
        <v>11</v>
      </c>
      <c r="S305">
        <v>425</v>
      </c>
      <c r="T305" t="s">
        <v>153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156</v>
      </c>
      <c r="O306" t="s">
        <v>154</v>
      </c>
      <c r="P306">
        <v>65</v>
      </c>
      <c r="Q306">
        <v>0</v>
      </c>
      <c r="R306">
        <v>0</v>
      </c>
      <c r="S306">
        <v>900</v>
      </c>
      <c r="T306" t="s">
        <v>156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156</v>
      </c>
      <c r="O307" t="s">
        <v>155</v>
      </c>
      <c r="P307">
        <v>270</v>
      </c>
      <c r="Q307">
        <v>13</v>
      </c>
      <c r="R307">
        <v>6</v>
      </c>
      <c r="S307" t="s">
        <v>157</v>
      </c>
      <c r="T307" t="s">
        <v>156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156</v>
      </c>
      <c r="O308" t="s">
        <v>154</v>
      </c>
      <c r="P308">
        <v>167</v>
      </c>
      <c r="Q308">
        <v>18</v>
      </c>
      <c r="R308">
        <v>6</v>
      </c>
      <c r="S308">
        <v>500</v>
      </c>
      <c r="T308" t="s">
        <v>156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156</v>
      </c>
      <c r="O309" t="s">
        <v>155</v>
      </c>
      <c r="P309">
        <v>133</v>
      </c>
      <c r="Q309">
        <v>173</v>
      </c>
      <c r="R309">
        <v>9</v>
      </c>
      <c r="S309">
        <v>277.5</v>
      </c>
      <c r="T309" t="s">
        <v>156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156</v>
      </c>
      <c r="O310" t="s">
        <v>155</v>
      </c>
      <c r="P310">
        <v>94</v>
      </c>
      <c r="Q310">
        <v>270</v>
      </c>
      <c r="R310">
        <v>16</v>
      </c>
      <c r="S310">
        <v>750</v>
      </c>
      <c r="T310" t="s">
        <v>156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156</v>
      </c>
      <c r="O311" t="s">
        <v>155</v>
      </c>
      <c r="P311">
        <v>300</v>
      </c>
      <c r="Q311">
        <v>12</v>
      </c>
      <c r="R311">
        <v>9</v>
      </c>
      <c r="S311">
        <v>160</v>
      </c>
      <c r="T311" t="s">
        <v>156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156</v>
      </c>
      <c r="O312" t="s">
        <v>155</v>
      </c>
      <c r="P312">
        <v>1182</v>
      </c>
      <c r="Q312">
        <v>96</v>
      </c>
      <c r="R312">
        <v>13</v>
      </c>
      <c r="S312">
        <v>1300</v>
      </c>
      <c r="T312" t="s">
        <v>156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156</v>
      </c>
      <c r="O313" t="s">
        <v>155</v>
      </c>
      <c r="P313">
        <v>170</v>
      </c>
      <c r="Q313">
        <v>284</v>
      </c>
      <c r="R313">
        <v>3</v>
      </c>
      <c r="S313">
        <v>525</v>
      </c>
      <c r="T313" t="s">
        <v>156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156</v>
      </c>
      <c r="O314" t="s">
        <v>155</v>
      </c>
      <c r="P314">
        <v>186</v>
      </c>
      <c r="Q314">
        <v>290</v>
      </c>
      <c r="R314">
        <v>17</v>
      </c>
      <c r="S314">
        <v>550</v>
      </c>
      <c r="T314" t="s">
        <v>156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153</v>
      </c>
      <c r="O315" t="s">
        <v>155</v>
      </c>
      <c r="P315">
        <v>121</v>
      </c>
      <c r="Q315">
        <v>267</v>
      </c>
      <c r="R315">
        <v>19</v>
      </c>
      <c r="S315">
        <v>1600</v>
      </c>
      <c r="T315" t="s">
        <v>153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156</v>
      </c>
      <c r="O316" t="s">
        <v>154</v>
      </c>
      <c r="P316">
        <v>942</v>
      </c>
      <c r="Q316">
        <v>72</v>
      </c>
      <c r="R316">
        <v>11</v>
      </c>
      <c r="S316">
        <v>120</v>
      </c>
      <c r="T316" t="s">
        <v>156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153</v>
      </c>
      <c r="O317" t="s">
        <v>154</v>
      </c>
      <c r="P317">
        <v>1222</v>
      </c>
      <c r="Q317">
        <v>139</v>
      </c>
      <c r="R317">
        <v>15</v>
      </c>
      <c r="S317">
        <v>165</v>
      </c>
      <c r="T317" t="s">
        <v>153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156</v>
      </c>
      <c r="O318" t="s">
        <v>155</v>
      </c>
      <c r="P318">
        <v>325</v>
      </c>
      <c r="Q318">
        <v>58</v>
      </c>
      <c r="R318">
        <v>6</v>
      </c>
      <c r="S318" t="s">
        <v>157</v>
      </c>
      <c r="T318" t="s">
        <v>156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156</v>
      </c>
      <c r="O319" t="s">
        <v>155</v>
      </c>
      <c r="P319">
        <v>325</v>
      </c>
      <c r="Q319">
        <v>9</v>
      </c>
      <c r="R319">
        <v>3</v>
      </c>
      <c r="S319">
        <v>700</v>
      </c>
      <c r="T319" t="s">
        <v>156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153</v>
      </c>
      <c r="O320" t="s">
        <v>155</v>
      </c>
      <c r="P320">
        <v>313</v>
      </c>
      <c r="Q320">
        <v>381</v>
      </c>
      <c r="R320">
        <v>20</v>
      </c>
      <c r="S320">
        <v>875</v>
      </c>
      <c r="T320" t="s">
        <v>153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153</v>
      </c>
      <c r="O321" t="s">
        <v>154</v>
      </c>
      <c r="P321">
        <v>37</v>
      </c>
      <c r="Q321">
        <v>113</v>
      </c>
      <c r="R321">
        <v>7</v>
      </c>
      <c r="S321">
        <v>385</v>
      </c>
      <c r="T321" t="s">
        <v>153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153</v>
      </c>
      <c r="O322" t="s">
        <v>155</v>
      </c>
      <c r="P322">
        <v>1314</v>
      </c>
      <c r="Q322">
        <v>131</v>
      </c>
      <c r="R322">
        <v>12</v>
      </c>
      <c r="S322">
        <v>960</v>
      </c>
      <c r="T322" t="s">
        <v>153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153</v>
      </c>
      <c r="O323" t="s">
        <v>154</v>
      </c>
      <c r="P323">
        <v>408</v>
      </c>
      <c r="Q323">
        <v>4</v>
      </c>
      <c r="R323">
        <v>3</v>
      </c>
      <c r="S323">
        <v>1000</v>
      </c>
      <c r="T323" t="s">
        <v>153</v>
      </c>
    </row>
  </sheetData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F6A36-35DA-3145-82D4-B60BF9C4CEBB}">
  <sheetPr codeName="Sheet15">
    <tabColor rgb="FF00B0F0"/>
  </sheetPr>
  <dimension ref="A1:F264"/>
  <sheetViews>
    <sheetView workbookViewId="0"/>
  </sheetViews>
  <sheetFormatPr baseColWidth="10" defaultRowHeight="16" x14ac:dyDescent="0.2"/>
  <sheetData>
    <row r="1" spans="1:6" x14ac:dyDescent="0.2">
      <c r="A1" t="s">
        <v>176</v>
      </c>
      <c r="B1" t="s">
        <v>175</v>
      </c>
      <c r="C1" t="s">
        <v>174</v>
      </c>
      <c r="D1" t="s">
        <v>173</v>
      </c>
      <c r="E1" t="s">
        <v>171</v>
      </c>
      <c r="F1" t="s">
        <v>159</v>
      </c>
    </row>
    <row r="2" spans="1:6" x14ac:dyDescent="0.2">
      <c r="A2">
        <v>-0.59454190723035805</v>
      </c>
      <c r="B2">
        <v>-0.52754539565204095</v>
      </c>
      <c r="C2">
        <v>-1.20381633190768</v>
      </c>
      <c r="D2">
        <v>-0.52106946237293705</v>
      </c>
      <c r="E2">
        <v>1.3952333746225201</v>
      </c>
      <c r="F2">
        <v>-0.13505510796936199</v>
      </c>
    </row>
    <row r="3" spans="1:6" x14ac:dyDescent="0.2">
      <c r="A3">
        <v>0.49132282611397698</v>
      </c>
      <c r="B3">
        <v>0.72857709786347702</v>
      </c>
      <c r="C3">
        <v>0.44067478882596101</v>
      </c>
      <c r="D3">
        <v>0.79254856202480894</v>
      </c>
      <c r="E3">
        <v>-0.89948530234333901</v>
      </c>
      <c r="F3">
        <v>-0.12397155010779599</v>
      </c>
    </row>
    <row r="4" spans="1:6" x14ac:dyDescent="0.2">
      <c r="A4">
        <v>0.73508837849739905</v>
      </c>
      <c r="B4">
        <v>0.95696300577538895</v>
      </c>
      <c r="C4">
        <v>0.40152023833230299</v>
      </c>
      <c r="D4">
        <v>1.0243635075067601</v>
      </c>
      <c r="E4">
        <v>0.76940100817728296</v>
      </c>
      <c r="F4">
        <v>-7.9637318661530995E-2</v>
      </c>
    </row>
    <row r="5" spans="1:6" x14ac:dyDescent="0.2">
      <c r="A5">
        <v>-0.46157887865758301</v>
      </c>
      <c r="B5">
        <v>-0.18496653378417199</v>
      </c>
      <c r="C5">
        <v>-0.61649807450280603</v>
      </c>
      <c r="D5">
        <v>-0.36652616538496702</v>
      </c>
      <c r="E5">
        <v>-1.1080960911584199</v>
      </c>
      <c r="F5">
        <v>-0.98516399595149096</v>
      </c>
    </row>
    <row r="6" spans="1:6" x14ac:dyDescent="0.2">
      <c r="A6">
        <v>1.3555825118370199</v>
      </c>
      <c r="B6">
        <v>-0.87012425751990896</v>
      </c>
      <c r="C6">
        <v>0.753911192775226</v>
      </c>
      <c r="D6">
        <v>-1.8803747162034298E-2</v>
      </c>
      <c r="E6">
        <v>0.76940100817728296</v>
      </c>
      <c r="F6">
        <v>0.47454057441677999</v>
      </c>
    </row>
    <row r="7" spans="1:6" x14ac:dyDescent="0.2">
      <c r="A7">
        <v>-1.56960411676405</v>
      </c>
      <c r="B7">
        <v>-1.21270311938778</v>
      </c>
      <c r="C7">
        <v>-1.2429708824013399</v>
      </c>
      <c r="D7">
        <v>-1.6801441897827101</v>
      </c>
      <c r="E7">
        <v>-1.1080960911584199</v>
      </c>
      <c r="F7">
        <v>-1.0328232947562299</v>
      </c>
    </row>
    <row r="8" spans="1:6" x14ac:dyDescent="0.2">
      <c r="A8">
        <v>-0.77182594532739301</v>
      </c>
      <c r="B8">
        <v>-1.3268960733437301</v>
      </c>
      <c r="C8">
        <v>-1.20381633190768</v>
      </c>
      <c r="D8">
        <v>-1.0619710018308299</v>
      </c>
      <c r="E8">
        <v>-0.89948530234333901</v>
      </c>
      <c r="F8">
        <v>-0.96632194758682799</v>
      </c>
    </row>
    <row r="9" spans="1:6" x14ac:dyDescent="0.2">
      <c r="A9">
        <v>-0.59454190723035805</v>
      </c>
      <c r="B9">
        <v>-0.64173834960799703</v>
      </c>
      <c r="C9">
        <v>-1.12550723092036</v>
      </c>
      <c r="D9">
        <v>-0.75288440785489297</v>
      </c>
      <c r="E9">
        <v>-1.1080960911584199</v>
      </c>
      <c r="F9">
        <v>-1.0217397368946599</v>
      </c>
    </row>
    <row r="10" spans="1:6" x14ac:dyDescent="0.2">
      <c r="A10">
        <v>-0.35077635484693598</v>
      </c>
      <c r="B10">
        <v>0.61438414390752005</v>
      </c>
      <c r="C10">
        <v>-0.224952569566226</v>
      </c>
      <c r="D10">
        <v>0.56073361654285403</v>
      </c>
      <c r="E10">
        <v>1.18662258580744</v>
      </c>
      <c r="F10">
        <v>1.2503896247264099</v>
      </c>
    </row>
    <row r="11" spans="1:6" x14ac:dyDescent="0.2">
      <c r="A11">
        <v>1.1339774642157301</v>
      </c>
      <c r="B11">
        <v>1.07115595973134</v>
      </c>
      <c r="C11">
        <v>2.0460113590659401</v>
      </c>
      <c r="D11">
        <v>0.90845603476578696</v>
      </c>
      <c r="E11">
        <v>0.56079021936220497</v>
      </c>
      <c r="F11">
        <v>-4.1636232177365E-2</v>
      </c>
    </row>
    <row r="12" spans="1:6" x14ac:dyDescent="0.2">
      <c r="A12">
        <v>-1.21503604056998</v>
      </c>
      <c r="B12">
        <v>-0.87012425751990896</v>
      </c>
      <c r="C12">
        <v>-0.92973447845207102</v>
      </c>
      <c r="D12">
        <v>-0.98469935333684799</v>
      </c>
      <c r="E12">
        <v>0.35217943054712703</v>
      </c>
      <c r="F12">
        <v>-5.1928424007615402E-2</v>
      </c>
    </row>
    <row r="13" spans="1:6" x14ac:dyDescent="0.2">
      <c r="A13">
        <v>0.114594245157779</v>
      </c>
      <c r="B13">
        <v>0.15761232808369599</v>
      </c>
      <c r="C13">
        <v>-0.26410712005988402</v>
      </c>
      <c r="D13">
        <v>0.36755449530789103</v>
      </c>
      <c r="E13">
        <v>-0.69087451352826101</v>
      </c>
      <c r="F13">
        <v>3.11982599541312E-2</v>
      </c>
    </row>
    <row r="14" spans="1:6" x14ac:dyDescent="0.2">
      <c r="A14">
        <v>-1.0599125072350699</v>
      </c>
      <c r="B14">
        <v>-1.3268960733437301</v>
      </c>
      <c r="C14">
        <v>-0.96888902894572904</v>
      </c>
      <c r="D14">
        <v>-1.5642367170417399</v>
      </c>
      <c r="E14">
        <v>-0.27365293589810602</v>
      </c>
      <c r="F14">
        <v>0.36370499580111698</v>
      </c>
    </row>
    <row r="15" spans="1:6" x14ac:dyDescent="0.2">
      <c r="A15">
        <v>-1.4366410881912699</v>
      </c>
      <c r="B15">
        <v>-0.52754539565204095</v>
      </c>
      <c r="C15">
        <v>-1.00804357943939</v>
      </c>
      <c r="D15">
        <v>-0.94606352908985503</v>
      </c>
      <c r="E15">
        <v>1.18662258580744</v>
      </c>
      <c r="F15">
        <v>-0.65598232746297402</v>
      </c>
    </row>
    <row r="16" spans="1:6" x14ac:dyDescent="0.2">
      <c r="A16">
        <v>1.1118169594536</v>
      </c>
      <c r="B16">
        <v>0.95696300577538895</v>
      </c>
      <c r="C16">
        <v>1.3412294501801001</v>
      </c>
      <c r="D16">
        <v>0.90845603476578696</v>
      </c>
      <c r="E16">
        <v>1.60384416343759</v>
      </c>
      <c r="F16">
        <v>0.52995836372461103</v>
      </c>
    </row>
    <row r="17" spans="1:6" x14ac:dyDescent="0.2">
      <c r="A17">
        <v>-1.37015957390488</v>
      </c>
      <c r="B17">
        <v>-1.0985101654318199</v>
      </c>
      <c r="C17">
        <v>-1.20381633190768</v>
      </c>
      <c r="D17">
        <v>-1.6801441897827101</v>
      </c>
      <c r="E17">
        <v>-0.48226372471318302</v>
      </c>
      <c r="F17">
        <v>-0.800068579663335</v>
      </c>
    </row>
    <row r="18" spans="1:6" x14ac:dyDescent="0.2">
      <c r="A18">
        <v>-1.68040664057469</v>
      </c>
      <c r="B18">
        <v>-0.41335244169608398</v>
      </c>
      <c r="C18">
        <v>-1.5170527358569399</v>
      </c>
      <c r="D18">
        <v>-1.1392426503248201</v>
      </c>
      <c r="E18">
        <v>0.14356864173205</v>
      </c>
      <c r="F18">
        <v>-0.88873704255586405</v>
      </c>
    </row>
    <row r="19" spans="1:6" x14ac:dyDescent="0.2">
      <c r="A19">
        <v>-0.35077635484693598</v>
      </c>
      <c r="B19">
        <v>0.50019118995156397</v>
      </c>
      <c r="C19">
        <v>0.67560209178790998</v>
      </c>
      <c r="D19">
        <v>-0.13471121990301199</v>
      </c>
      <c r="E19">
        <v>-1.31670687997349</v>
      </c>
      <c r="F19">
        <v>-0.96632194758682799</v>
      </c>
    </row>
    <row r="20" spans="1:6" x14ac:dyDescent="0.2">
      <c r="A20">
        <v>2.5952226109261799E-2</v>
      </c>
      <c r="B20">
        <v>-0.98431721147586504</v>
      </c>
      <c r="C20">
        <v>9.9747333957227197E-3</v>
      </c>
      <c r="D20">
        <v>-0.32789034113797499</v>
      </c>
      <c r="E20">
        <v>-1.31670687997349</v>
      </c>
      <c r="F20">
        <v>-0.93307127400212897</v>
      </c>
    </row>
    <row r="21" spans="1:6" x14ac:dyDescent="0.2">
      <c r="A21">
        <v>0.18107575944416701</v>
      </c>
      <c r="B21">
        <v>0.50019118995156397</v>
      </c>
      <c r="C21">
        <v>0.20574748586401301</v>
      </c>
      <c r="D21">
        <v>0.40619031955488399</v>
      </c>
      <c r="E21">
        <v>-0.27365293589810602</v>
      </c>
      <c r="F21">
        <v>0.14203383856979299</v>
      </c>
    </row>
    <row r="22" spans="1:6" x14ac:dyDescent="0.2">
      <c r="A22">
        <v>1.3334220070748899</v>
      </c>
      <c r="B22">
        <v>0.72857709786347702</v>
      </c>
      <c r="C22">
        <v>0.71475664228156799</v>
      </c>
      <c r="D22">
        <v>1.95162328943459</v>
      </c>
      <c r="E22">
        <v>2.22967652988283</v>
      </c>
      <c r="F22">
        <v>0.53365362191565702</v>
      </c>
    </row>
    <row r="23" spans="1:6" x14ac:dyDescent="0.2">
      <c r="A23">
        <v>1.2226194832642401</v>
      </c>
      <c r="B23">
        <v>-0.87012425751990896</v>
      </c>
      <c r="C23">
        <v>1.45869310166107</v>
      </c>
      <c r="D23">
        <v>-1.8803747162034298E-2</v>
      </c>
      <c r="E23">
        <v>-0.27365293589810602</v>
      </c>
      <c r="F23">
        <v>0.50779124800147801</v>
      </c>
    </row>
    <row r="24" spans="1:6" x14ac:dyDescent="0.2">
      <c r="A24">
        <v>-0.77182594532739301</v>
      </c>
      <c r="B24">
        <v>-0.87012425751990896</v>
      </c>
      <c r="C24">
        <v>-0.89057992795841301</v>
      </c>
      <c r="D24">
        <v>-1.29378594731279</v>
      </c>
      <c r="E24">
        <v>-6.5042147083028107E-2</v>
      </c>
      <c r="F24">
        <v>0.382176853333204</v>
      </c>
    </row>
    <row r="25" spans="1:6" x14ac:dyDescent="0.2">
      <c r="A25">
        <v>0.46916232135184799</v>
      </c>
      <c r="B25">
        <v>-0.18496653378417199</v>
      </c>
      <c r="C25">
        <v>-0.18579801907256799</v>
      </c>
      <c r="D25">
        <v>0.174375374072928</v>
      </c>
      <c r="E25">
        <v>0.56079021936220497</v>
      </c>
      <c r="F25">
        <v>0.47454057441677999</v>
      </c>
    </row>
    <row r="26" spans="1:6" x14ac:dyDescent="0.2">
      <c r="A26">
        <v>0.97885393088082095</v>
      </c>
      <c r="B26">
        <v>-0.64173834960799703</v>
      </c>
      <c r="C26">
        <v>1.45869310166107</v>
      </c>
      <c r="D26">
        <v>-0.55970528661993002</v>
      </c>
      <c r="E26">
        <v>-0.48226372471318302</v>
      </c>
      <c r="F26">
        <v>0.19745162787762399</v>
      </c>
    </row>
    <row r="27" spans="1:6" x14ac:dyDescent="0.2">
      <c r="A27">
        <v>0.64644635944888196</v>
      </c>
      <c r="B27">
        <v>0.95696300577538895</v>
      </c>
      <c r="C27">
        <v>1.38038400067376</v>
      </c>
      <c r="D27">
        <v>1.68117251970564</v>
      </c>
      <c r="E27">
        <v>1.3952333746225201</v>
      </c>
      <c r="F27">
        <v>0.80704731026376597</v>
      </c>
    </row>
    <row r="28" spans="1:6" x14ac:dyDescent="0.2">
      <c r="A28">
        <v>3.79172134713246E-3</v>
      </c>
      <c r="B28">
        <v>-0.64173834960799703</v>
      </c>
      <c r="C28">
        <v>9.9747333957227197E-3</v>
      </c>
      <c r="D28">
        <v>-0.59834111086692199</v>
      </c>
      <c r="E28">
        <v>-0.89948530234333901</v>
      </c>
      <c r="F28">
        <v>-0.94415483186369598</v>
      </c>
    </row>
    <row r="29" spans="1:6" x14ac:dyDescent="0.2">
      <c r="A29">
        <v>1.3334220070748899</v>
      </c>
      <c r="B29">
        <v>0.61438414390752005</v>
      </c>
      <c r="C29">
        <v>1.10630214721815</v>
      </c>
      <c r="D29">
        <v>1.10163515600075</v>
      </c>
      <c r="E29">
        <v>-0.48226372471318302</v>
      </c>
      <c r="F29">
        <v>0.169742733223709</v>
      </c>
    </row>
    <row r="30" spans="1:6" x14ac:dyDescent="0.2">
      <c r="A30">
        <v>-1.3036780596185</v>
      </c>
      <c r="B30">
        <v>-0.64173834960799703</v>
      </c>
      <c r="C30">
        <v>-1.2429708824013399</v>
      </c>
      <c r="D30">
        <v>-1.02333517758384</v>
      </c>
      <c r="E30">
        <v>-6.5042147083028107E-2</v>
      </c>
      <c r="F30">
        <v>-0.52297963312417906</v>
      </c>
    </row>
    <row r="31" spans="1:6" x14ac:dyDescent="0.2">
      <c r="A31">
        <v>-4.0529288177126102E-2</v>
      </c>
      <c r="B31">
        <v>-0.18496653378417199</v>
      </c>
      <c r="C31">
        <v>-0.65565262499646404</v>
      </c>
      <c r="D31">
        <v>0.328918671060899</v>
      </c>
      <c r="E31">
        <v>1.3952333746225201</v>
      </c>
      <c r="F31">
        <v>0.69621173164810402</v>
      </c>
    </row>
    <row r="32" spans="1:6" x14ac:dyDescent="0.2">
      <c r="A32">
        <v>-1.0599125072350699</v>
      </c>
      <c r="B32">
        <v>-0.75593130356395299</v>
      </c>
      <c r="C32">
        <v>-1.20381633190768</v>
      </c>
      <c r="D32">
        <v>-1.02333517758384</v>
      </c>
      <c r="E32">
        <v>-1.1080960911584199</v>
      </c>
      <c r="F32">
        <v>-0.98848906330996</v>
      </c>
    </row>
    <row r="33" spans="1:6" x14ac:dyDescent="0.2">
      <c r="A33">
        <v>-1.48096209771553</v>
      </c>
      <c r="B33">
        <v>-1.21270311938778</v>
      </c>
      <c r="C33">
        <v>-1.5562072863506</v>
      </c>
      <c r="D33">
        <v>-1.1778784745718101</v>
      </c>
      <c r="E33">
        <v>-1.1080960911584199</v>
      </c>
      <c r="F33">
        <v>-1.03836507368701</v>
      </c>
    </row>
    <row r="34" spans="1:6" x14ac:dyDescent="0.2">
      <c r="A34">
        <v>-1.37015957390488</v>
      </c>
      <c r="B34">
        <v>-0.52754539565204095</v>
      </c>
      <c r="C34">
        <v>-0.89057992795841301</v>
      </c>
      <c r="D34">
        <v>-1.2551501230658</v>
      </c>
      <c r="E34">
        <v>-0.69087451352826101</v>
      </c>
      <c r="F34">
        <v>-0.78898502180176899</v>
      </c>
    </row>
    <row r="35" spans="1:6" x14ac:dyDescent="0.2">
      <c r="A35">
        <v>-0.88262846913803905</v>
      </c>
      <c r="B35">
        <v>-1.0985101654318199</v>
      </c>
      <c r="C35">
        <v>-1.0471981299330499</v>
      </c>
      <c r="D35">
        <v>-0.98469935333684799</v>
      </c>
      <c r="E35">
        <v>-0.27365293589810602</v>
      </c>
      <c r="F35">
        <v>-0.51189607526261305</v>
      </c>
    </row>
    <row r="36" spans="1:6" x14ac:dyDescent="0.2">
      <c r="A36">
        <v>0.53564383563823503</v>
      </c>
      <c r="B36">
        <v>-0.52754539565204095</v>
      </c>
      <c r="C36">
        <v>8.8283834383038898E-2</v>
      </c>
      <c r="D36">
        <v>-9.6075395656019399E-2</v>
      </c>
      <c r="E36">
        <v>-0.89948530234333901</v>
      </c>
      <c r="F36">
        <v>-0.71140011677080495</v>
      </c>
    </row>
    <row r="37" spans="1:6" x14ac:dyDescent="0.2">
      <c r="A37">
        <v>-1.1263940215214601</v>
      </c>
      <c r="B37">
        <v>-0.41335244169608398</v>
      </c>
      <c r="C37">
        <v>-0.81227082697109698</v>
      </c>
      <c r="D37">
        <v>-0.75288440785489297</v>
      </c>
      <c r="E37">
        <v>-0.48226372471318302</v>
      </c>
      <c r="F37">
        <v>-0.63935699067062501</v>
      </c>
    </row>
    <row r="38" spans="1:6" x14ac:dyDescent="0.2">
      <c r="A38">
        <v>0.84589090230804498</v>
      </c>
      <c r="B38">
        <v>0.15761232808369599</v>
      </c>
      <c r="C38">
        <v>0.63644754129425196</v>
      </c>
      <c r="D38">
        <v>0.71527691353082401</v>
      </c>
      <c r="E38">
        <v>-0.27365293589810602</v>
      </c>
      <c r="F38">
        <v>0.61862682661713997</v>
      </c>
    </row>
    <row r="39" spans="1:6" x14ac:dyDescent="0.2">
      <c r="A39">
        <v>-0.15133181198777301</v>
      </c>
      <c r="B39">
        <v>0.27180528203965199</v>
      </c>
      <c r="C39">
        <v>-0.49903442302183199</v>
      </c>
      <c r="D39">
        <v>0.44482614380187602</v>
      </c>
      <c r="E39">
        <v>2.0210657410677499</v>
      </c>
      <c r="F39">
        <v>0.75162952095593505</v>
      </c>
    </row>
    <row r="40" spans="1:6" x14ac:dyDescent="0.2">
      <c r="A40">
        <v>-1.21503604056998</v>
      </c>
      <c r="B40">
        <v>-1.0985101654318199</v>
      </c>
      <c r="C40">
        <v>-0.96888902894572904</v>
      </c>
      <c r="D40">
        <v>-0.86879188059586998</v>
      </c>
      <c r="E40">
        <v>-1.1080960911584199</v>
      </c>
      <c r="F40">
        <v>-1.0328232947562299</v>
      </c>
    </row>
    <row r="41" spans="1:6" x14ac:dyDescent="0.2">
      <c r="A41">
        <v>1.3334220070748899</v>
      </c>
      <c r="B41">
        <v>0.84277005181943299</v>
      </c>
      <c r="C41">
        <v>0.98883849573717397</v>
      </c>
      <c r="D41">
        <v>0.79254856202480894</v>
      </c>
      <c r="E41">
        <v>0.35217943054712703</v>
      </c>
      <c r="F41">
        <v>1.47206078195774</v>
      </c>
    </row>
    <row r="42" spans="1:6" x14ac:dyDescent="0.2">
      <c r="A42">
        <v>-0.15133181198777301</v>
      </c>
      <c r="B42">
        <v>4.3419374127740003E-2</v>
      </c>
      <c r="C42">
        <v>-0.381570771540858</v>
      </c>
      <c r="D42">
        <v>5.8467901331950803E-2</v>
      </c>
      <c r="E42">
        <v>0.97801179699235996</v>
      </c>
      <c r="F42">
        <v>0.308287206493286</v>
      </c>
    </row>
    <row r="43" spans="1:6" x14ac:dyDescent="0.2">
      <c r="A43">
        <v>-0.12917130722564299</v>
      </c>
      <c r="B43">
        <v>0.72857709786347702</v>
      </c>
      <c r="C43">
        <v>-0.224952569566226</v>
      </c>
      <c r="D43">
        <v>1.2948142772357101</v>
      </c>
      <c r="E43">
        <v>-0.27365293589810602</v>
      </c>
      <c r="F43">
        <v>-0.26805780230815701</v>
      </c>
    </row>
    <row r="44" spans="1:6" x14ac:dyDescent="0.2">
      <c r="A44">
        <v>-1.10423351675933</v>
      </c>
      <c r="B44">
        <v>-0.29915948774012802</v>
      </c>
      <c r="C44">
        <v>-1.0471981299330499</v>
      </c>
      <c r="D44">
        <v>-1.02333517758384</v>
      </c>
      <c r="E44">
        <v>-0.69087451352826101</v>
      </c>
      <c r="F44">
        <v>-0.43431117023165</v>
      </c>
    </row>
    <row r="45" spans="1:6" x14ac:dyDescent="0.2">
      <c r="A45">
        <v>-0.66102342151674598</v>
      </c>
      <c r="B45">
        <v>-0.64173834960799703</v>
      </c>
      <c r="C45">
        <v>-0.89057992795841301</v>
      </c>
      <c r="D45">
        <v>-0.40516198963195998</v>
      </c>
      <c r="E45">
        <v>0.97801179699235996</v>
      </c>
      <c r="F45">
        <v>-0.26436254411711002</v>
      </c>
    </row>
    <row r="46" spans="1:6" x14ac:dyDescent="0.2">
      <c r="A46">
        <v>1.5328665499340499</v>
      </c>
      <c r="B46">
        <v>1.5279277755551699</v>
      </c>
      <c r="C46">
        <v>1.6936204046230201</v>
      </c>
      <c r="D46">
        <v>1.14027098024774</v>
      </c>
      <c r="E46">
        <v>-0.27365293589810602</v>
      </c>
      <c r="F46">
        <v>1.80456751780473</v>
      </c>
    </row>
    <row r="47" spans="1:6" x14ac:dyDescent="0.2">
      <c r="A47">
        <v>0.114594245157779</v>
      </c>
      <c r="B47">
        <v>1.41373482159921</v>
      </c>
      <c r="C47">
        <v>0.12743838487669701</v>
      </c>
      <c r="D47">
        <v>0.67664108928383104</v>
      </c>
      <c r="E47">
        <v>-1.31670687997349</v>
      </c>
      <c r="F47">
        <v>-0.98848906330996</v>
      </c>
    </row>
    <row r="48" spans="1:6" x14ac:dyDescent="0.2">
      <c r="A48">
        <v>-1.4144805834291401</v>
      </c>
      <c r="B48">
        <v>-0.64173834960799703</v>
      </c>
      <c r="C48">
        <v>-1.3212799833886499</v>
      </c>
      <c r="D48">
        <v>-1.1006068260778299</v>
      </c>
      <c r="E48">
        <v>1.8124549522526701</v>
      </c>
      <c r="F48">
        <v>-0.57839742243201098</v>
      </c>
    </row>
    <row r="49" spans="1:6" x14ac:dyDescent="0.2">
      <c r="A49">
        <v>-1.1485545262835899</v>
      </c>
      <c r="B49">
        <v>-1.3268960733437301</v>
      </c>
      <c r="C49">
        <v>-1.0863526804267001</v>
      </c>
      <c r="D49">
        <v>-1.4096934200537701</v>
      </c>
      <c r="E49">
        <v>-0.69087451352826101</v>
      </c>
      <c r="F49">
        <v>-0.67814944318610604</v>
      </c>
    </row>
    <row r="50" spans="1:6" x14ac:dyDescent="0.2">
      <c r="A50">
        <v>-1.21503604056998</v>
      </c>
      <c r="B50">
        <v>-1.21270311938778</v>
      </c>
      <c r="C50">
        <v>-0.92973447845207102</v>
      </c>
      <c r="D50">
        <v>-1.4096934200537701</v>
      </c>
      <c r="E50">
        <v>-0.69087451352826101</v>
      </c>
      <c r="F50">
        <v>-0.68923300104767304</v>
      </c>
    </row>
    <row r="51" spans="1:6" x14ac:dyDescent="0.2">
      <c r="A51">
        <v>0.69076736897313995</v>
      </c>
      <c r="B51">
        <v>2.2130854992909099</v>
      </c>
      <c r="C51">
        <v>1.4978476521547299</v>
      </c>
      <c r="D51">
        <v>1.64253669545865</v>
      </c>
      <c r="E51">
        <v>2.0210657410677499</v>
      </c>
      <c r="F51">
        <v>0.91788288887942804</v>
      </c>
    </row>
    <row r="52" spans="1:6" x14ac:dyDescent="0.2">
      <c r="A52">
        <v>-1.21503604056998</v>
      </c>
      <c r="B52">
        <v>-0.75593130356395299</v>
      </c>
      <c r="C52">
        <v>-1.00804357943939</v>
      </c>
      <c r="D52">
        <v>-1.1392426503248201</v>
      </c>
      <c r="E52">
        <v>-0.89948530234333901</v>
      </c>
      <c r="F52">
        <v>-1.0217397368946599</v>
      </c>
    </row>
    <row r="53" spans="1:6" x14ac:dyDescent="0.2">
      <c r="A53">
        <v>0.75724888325952799</v>
      </c>
      <c r="B53">
        <v>0.95696300577538895</v>
      </c>
      <c r="C53">
        <v>0.47982933931962002</v>
      </c>
      <c r="D53">
        <v>1.3334501014827</v>
      </c>
      <c r="E53">
        <v>-0.69087451352826101</v>
      </c>
      <c r="F53">
        <v>-0.95523838972526198</v>
      </c>
    </row>
    <row r="54" spans="1:6" x14ac:dyDescent="0.2">
      <c r="A54">
        <v>-0.59454190723035805</v>
      </c>
      <c r="B54">
        <v>-0.98431721147586504</v>
      </c>
      <c r="C54">
        <v>-0.49903442302183199</v>
      </c>
      <c r="D54">
        <v>-0.83015605634887801</v>
      </c>
      <c r="E54">
        <v>2.0210657410677499</v>
      </c>
      <c r="F54">
        <v>-0.47864540167791497</v>
      </c>
    </row>
    <row r="55" spans="1:6" x14ac:dyDescent="0.2">
      <c r="A55">
        <v>0.51348333087610598</v>
      </c>
      <c r="B55">
        <v>1.64212072951113</v>
      </c>
      <c r="C55">
        <v>0.55813844030693605</v>
      </c>
      <c r="D55">
        <v>1.7198083439526299</v>
      </c>
      <c r="E55">
        <v>1.3952333746225201</v>
      </c>
      <c r="F55">
        <v>0.69621173164810402</v>
      </c>
    </row>
    <row r="56" spans="1:6" x14ac:dyDescent="0.2">
      <c r="A56">
        <v>0.31403878801694302</v>
      </c>
      <c r="B56">
        <v>1.98469959137899</v>
      </c>
      <c r="C56">
        <v>0.91052939474985795</v>
      </c>
      <c r="D56">
        <v>1.2948142772357101</v>
      </c>
      <c r="E56">
        <v>2.22967652988283</v>
      </c>
      <c r="F56">
        <v>-2.0524136305674801E-3</v>
      </c>
    </row>
    <row r="57" spans="1:6" x14ac:dyDescent="0.2">
      <c r="A57">
        <v>0.64644635944888196</v>
      </c>
      <c r="B57">
        <v>1.64212072951113</v>
      </c>
      <c r="C57">
        <v>1.2237657986991199</v>
      </c>
      <c r="D57">
        <v>1.7584441681996199</v>
      </c>
      <c r="E57">
        <v>1.60384416343759</v>
      </c>
      <c r="F57">
        <v>0.88093695710368303</v>
      </c>
    </row>
    <row r="58" spans="1:6" x14ac:dyDescent="0.2">
      <c r="A58">
        <v>0.247557273730555</v>
      </c>
      <c r="B58">
        <v>-0.64173834960799703</v>
      </c>
      <c r="C58">
        <v>8.8283834383038898E-2</v>
      </c>
      <c r="D58">
        <v>-0.21198286839699701</v>
      </c>
      <c r="E58">
        <v>0.35217943054712703</v>
      </c>
      <c r="F58">
        <v>0.69621173164810402</v>
      </c>
    </row>
    <row r="59" spans="1:6" x14ac:dyDescent="0.2">
      <c r="A59">
        <v>-0.23997383103629</v>
      </c>
      <c r="B59">
        <v>-0.87012425751990896</v>
      </c>
      <c r="C59">
        <v>9.9747333957227197E-3</v>
      </c>
      <c r="D59">
        <v>-0.86879188059586998</v>
      </c>
      <c r="E59">
        <v>-0.69087451352826101</v>
      </c>
      <c r="F59">
        <v>-0.72248367463237095</v>
      </c>
    </row>
    <row r="60" spans="1:6" x14ac:dyDescent="0.2">
      <c r="A60">
        <v>-0.10701080246351399</v>
      </c>
      <c r="B60">
        <v>0.38599823599560801</v>
      </c>
      <c r="C60">
        <v>0.16659293537035499</v>
      </c>
      <c r="D60">
        <v>-0.17334704415000399</v>
      </c>
      <c r="E60">
        <v>-0.27365293589810602</v>
      </c>
      <c r="F60">
        <v>-0.46756184381634802</v>
      </c>
    </row>
    <row r="61" spans="1:6" x14ac:dyDescent="0.2">
      <c r="A61">
        <v>-0.26213433579841899</v>
      </c>
      <c r="B61">
        <v>-0.87012425751990896</v>
      </c>
      <c r="C61">
        <v>-0.69480717549012205</v>
      </c>
      <c r="D61">
        <v>-0.86879188059586998</v>
      </c>
      <c r="E61">
        <v>-0.69087451352826101</v>
      </c>
      <c r="F61">
        <v>-0.57839742243201098</v>
      </c>
    </row>
    <row r="62" spans="1:6" x14ac:dyDescent="0.2">
      <c r="A62">
        <v>-0.83830745961378095</v>
      </c>
      <c r="B62">
        <v>-0.52754539565204095</v>
      </c>
      <c r="C62">
        <v>-0.224952569566226</v>
      </c>
      <c r="D62">
        <v>-0.63697693511391495</v>
      </c>
      <c r="E62">
        <v>1.60384416343759</v>
      </c>
      <c r="F62">
        <v>-0.19047289727719299</v>
      </c>
    </row>
    <row r="63" spans="1:6" x14ac:dyDescent="0.2">
      <c r="A63">
        <v>2.88465734042394</v>
      </c>
      <c r="B63">
        <v>2.2130854992909099</v>
      </c>
      <c r="C63">
        <v>2.43755686400252</v>
      </c>
      <c r="D63">
        <v>2.3766173561514998</v>
      </c>
      <c r="E63">
        <v>-0.48226372471318302</v>
      </c>
      <c r="F63">
        <v>3.1900122505005002</v>
      </c>
    </row>
    <row r="64" spans="1:6" x14ac:dyDescent="0.2">
      <c r="A64">
        <v>1.2226194832642401</v>
      </c>
      <c r="B64">
        <v>1.98469959137899</v>
      </c>
      <c r="C64">
        <v>1.3412294501801001</v>
      </c>
      <c r="D64">
        <v>1.2175426287417299</v>
      </c>
      <c r="E64">
        <v>0.76940100817728296</v>
      </c>
      <c r="F64">
        <v>3.0237588825770101</v>
      </c>
    </row>
    <row r="65" spans="1:6" x14ac:dyDescent="0.2">
      <c r="A65">
        <v>-0.55022089770610005</v>
      </c>
      <c r="B65">
        <v>-0.29915948774012802</v>
      </c>
      <c r="C65">
        <v>-0.18579801907256799</v>
      </c>
      <c r="D65">
        <v>-0.48243363812594497</v>
      </c>
      <c r="E65">
        <v>0.35217943054712703</v>
      </c>
      <c r="F65">
        <v>0.14203383856979299</v>
      </c>
    </row>
    <row r="66" spans="1:6" x14ac:dyDescent="0.2">
      <c r="A66">
        <v>1.46638503564767</v>
      </c>
      <c r="B66">
        <v>2.2130854992909099</v>
      </c>
      <c r="C66">
        <v>1.3412294501801001</v>
      </c>
      <c r="D66">
        <v>2.4925248288924799</v>
      </c>
      <c r="E66">
        <v>1.3952333746225201</v>
      </c>
      <c r="F66">
        <v>1.1210821885786699</v>
      </c>
    </row>
    <row r="67" spans="1:6" x14ac:dyDescent="0.2">
      <c r="A67">
        <v>-0.57238140246822899</v>
      </c>
      <c r="B67">
        <v>0.50019118995156397</v>
      </c>
      <c r="C67">
        <v>-0.42072532203451601</v>
      </c>
      <c r="D67">
        <v>-0.25061869264399</v>
      </c>
      <c r="E67">
        <v>-1.1080960911584199</v>
      </c>
      <c r="F67">
        <v>-0.94415483186369598</v>
      </c>
    </row>
    <row r="68" spans="1:6" x14ac:dyDescent="0.2">
      <c r="A68">
        <v>-1.48096209771553</v>
      </c>
      <c r="B68">
        <v>4.3419374127740003E-2</v>
      </c>
      <c r="C68">
        <v>-1.3212799833886499</v>
      </c>
      <c r="D68">
        <v>-0.86879188059586998</v>
      </c>
      <c r="E68">
        <v>1.8124549522526701</v>
      </c>
      <c r="F68">
        <v>-0.611648096016709</v>
      </c>
    </row>
    <row r="69" spans="1:6" x14ac:dyDescent="0.2">
      <c r="A69">
        <v>0.13675474991990799</v>
      </c>
      <c r="B69">
        <v>0.15761232808369599</v>
      </c>
      <c r="C69">
        <v>0.47982933931962002</v>
      </c>
      <c r="D69">
        <v>0.21301119831992099</v>
      </c>
      <c r="E69">
        <v>-0.69087451352826101</v>
      </c>
      <c r="F69">
        <v>-0.13505510796936199</v>
      </c>
    </row>
    <row r="70" spans="1:6" x14ac:dyDescent="0.2">
      <c r="A70">
        <v>-0.55022089770610005</v>
      </c>
      <c r="B70">
        <v>0.15761232808369599</v>
      </c>
      <c r="C70">
        <v>-0.61649807450280603</v>
      </c>
      <c r="D70">
        <v>-0.21198286839699701</v>
      </c>
      <c r="E70">
        <v>-0.48226372471318302</v>
      </c>
      <c r="F70">
        <v>-0.231482061364988</v>
      </c>
    </row>
    <row r="71" spans="1:6" x14ac:dyDescent="0.2">
      <c r="A71">
        <v>0.33619929277907201</v>
      </c>
      <c r="B71">
        <v>1.7563136834670801</v>
      </c>
      <c r="C71">
        <v>0.83222029376254203</v>
      </c>
      <c r="D71">
        <v>1.60390087121165</v>
      </c>
      <c r="E71">
        <v>-0.69087451352826101</v>
      </c>
      <c r="F71">
        <v>1.5163950134040001</v>
      </c>
    </row>
    <row r="72" spans="1:6" x14ac:dyDescent="0.2">
      <c r="A72">
        <v>-0.66102342151674598</v>
      </c>
      <c r="B72">
        <v>-0.52754539565204095</v>
      </c>
      <c r="C72">
        <v>-0.77311627647743897</v>
      </c>
      <c r="D72">
        <v>-0.63697693511391495</v>
      </c>
      <c r="E72">
        <v>-1.31670687997349</v>
      </c>
      <c r="F72">
        <v>-1.0328232947562299</v>
      </c>
    </row>
    <row r="73" spans="1:6" x14ac:dyDescent="0.2">
      <c r="A73">
        <v>0.66860686421101101</v>
      </c>
      <c r="B73">
        <v>1.5279277755551699</v>
      </c>
      <c r="C73">
        <v>0.83222029376254203</v>
      </c>
      <c r="D73">
        <v>1.7198083439526299</v>
      </c>
      <c r="E73">
        <v>-0.89948530234333901</v>
      </c>
      <c r="F73">
        <v>-0.86656992683273204</v>
      </c>
    </row>
    <row r="74" spans="1:6" x14ac:dyDescent="0.2">
      <c r="A74">
        <v>0.247557273730555</v>
      </c>
      <c r="B74">
        <v>0.15761232808369599</v>
      </c>
      <c r="C74">
        <v>-2.9179817097935299E-2</v>
      </c>
      <c r="D74">
        <v>0.25164702256691401</v>
      </c>
      <c r="E74">
        <v>0.97801179699235996</v>
      </c>
      <c r="F74">
        <v>0.13095028070822701</v>
      </c>
    </row>
    <row r="75" spans="1:6" x14ac:dyDescent="0.2">
      <c r="A75">
        <v>0.89021191183230397</v>
      </c>
      <c r="B75">
        <v>1.41373482159921</v>
      </c>
      <c r="C75">
        <v>1.38038400067376</v>
      </c>
      <c r="D75">
        <v>2.0288949379285701</v>
      </c>
      <c r="E75">
        <v>1.3952333746225201</v>
      </c>
      <c r="F75">
        <v>2.9383268185800602</v>
      </c>
    </row>
    <row r="76" spans="1:6" x14ac:dyDescent="0.2">
      <c r="A76">
        <v>0.15891525468203699</v>
      </c>
      <c r="B76">
        <v>1.7563136834670801</v>
      </c>
      <c r="C76">
        <v>1.65446585412936</v>
      </c>
      <c r="D76">
        <v>0.75391273777781698</v>
      </c>
      <c r="E76">
        <v>-0.89948530234333901</v>
      </c>
      <c r="F76">
        <v>-0.52297963312417906</v>
      </c>
    </row>
    <row r="77" spans="1:6" x14ac:dyDescent="0.2">
      <c r="A77">
        <v>4.8112730871391E-2</v>
      </c>
      <c r="B77">
        <v>0.38599823599560801</v>
      </c>
      <c r="C77">
        <v>0.59729299080059395</v>
      </c>
      <c r="D77">
        <v>-0.17334704415000399</v>
      </c>
      <c r="E77">
        <v>-6.5042147083028107E-2</v>
      </c>
      <c r="F77">
        <v>-0.101804434384663</v>
      </c>
    </row>
    <row r="78" spans="1:6" x14ac:dyDescent="0.2">
      <c r="A78">
        <v>0.95669342611869201</v>
      </c>
      <c r="B78">
        <v>0.61438414390752005</v>
      </c>
      <c r="C78">
        <v>0.24490203635767099</v>
      </c>
      <c r="D78">
        <v>1.2561784529887201</v>
      </c>
      <c r="E78">
        <v>0.56079021936220497</v>
      </c>
      <c r="F78">
        <v>4.2651173630724202</v>
      </c>
    </row>
    <row r="79" spans="1:6" x14ac:dyDescent="0.2">
      <c r="A79">
        <v>-1.3036780596185</v>
      </c>
      <c r="B79">
        <v>-1.0985101654318199</v>
      </c>
      <c r="C79">
        <v>-0.53818897351549</v>
      </c>
      <c r="D79">
        <v>-1.1006068260778299</v>
      </c>
      <c r="E79">
        <v>0.14356864173205</v>
      </c>
      <c r="F79">
        <v>-0.35672626520068601</v>
      </c>
    </row>
    <row r="80" spans="1:6" x14ac:dyDescent="0.2">
      <c r="A80">
        <v>1.0231749404050801</v>
      </c>
      <c r="B80">
        <v>1.1853489136873001</v>
      </c>
      <c r="C80">
        <v>0.83222029376254203</v>
      </c>
      <c r="D80">
        <v>1.2561784529887201</v>
      </c>
      <c r="E80">
        <v>1.3952333746225201</v>
      </c>
      <c r="F80">
        <v>0.47454057441677999</v>
      </c>
    </row>
    <row r="81" spans="1:6" x14ac:dyDescent="0.2">
      <c r="A81">
        <v>1.9982371499387701</v>
      </c>
      <c r="B81">
        <v>2.2130854992909099</v>
      </c>
      <c r="C81">
        <v>1.81108405610399</v>
      </c>
      <c r="D81">
        <v>2.1834382349165402</v>
      </c>
      <c r="E81">
        <v>-0.48226372471318302</v>
      </c>
      <c r="F81">
        <v>1.41664299264991</v>
      </c>
    </row>
    <row r="82" spans="1:6" x14ac:dyDescent="0.2">
      <c r="A82">
        <v>-1.2593570500942399</v>
      </c>
      <c r="B82">
        <v>-0.87012425751990896</v>
      </c>
      <c r="C82">
        <v>-1.39958908437597</v>
      </c>
      <c r="D82">
        <v>-1.29378594731279</v>
      </c>
      <c r="E82">
        <v>-1.31670687997349</v>
      </c>
      <c r="F82">
        <v>-1.0328232947562299</v>
      </c>
    </row>
    <row r="83" spans="1:6" x14ac:dyDescent="0.2">
      <c r="A83">
        <v>0.44700181658971799</v>
      </c>
      <c r="B83">
        <v>0.50019118995156397</v>
      </c>
      <c r="C83">
        <v>0.59729299080059395</v>
      </c>
      <c r="D83">
        <v>0.83118438627180202</v>
      </c>
      <c r="E83">
        <v>1.3952333746225201</v>
      </c>
      <c r="F83">
        <v>2.13707425365171</v>
      </c>
    </row>
    <row r="84" spans="1:6" x14ac:dyDescent="0.2">
      <c r="A84">
        <v>-0.70534443104100497</v>
      </c>
      <c r="B84">
        <v>0.50019118995156397</v>
      </c>
      <c r="C84">
        <v>-0.851425377464755</v>
      </c>
      <c r="D84">
        <v>1.9832077084958301E-2</v>
      </c>
      <c r="E84">
        <v>-0.48226372471318302</v>
      </c>
      <c r="F84">
        <v>-0.334559149477554</v>
      </c>
    </row>
    <row r="85" spans="1:6" x14ac:dyDescent="0.2">
      <c r="A85">
        <v>0.38052030230333</v>
      </c>
      <c r="B85">
        <v>1.41373482159921</v>
      </c>
      <c r="C85">
        <v>1.02799304623083</v>
      </c>
      <c r="D85">
        <v>2.0675307621755601</v>
      </c>
      <c r="E85">
        <v>1.18662258580744</v>
      </c>
      <c r="F85">
        <v>3.0804424141926301</v>
      </c>
    </row>
    <row r="86" spans="1:6" x14ac:dyDescent="0.2">
      <c r="A86">
        <v>0.97885393088082095</v>
      </c>
      <c r="B86">
        <v>2.2130854992909099</v>
      </c>
      <c r="C86">
        <v>1.4195385511674099</v>
      </c>
      <c r="D86">
        <v>1.91298746518759</v>
      </c>
      <c r="E86">
        <v>-0.89948530234333901</v>
      </c>
      <c r="F86">
        <v>-0.71140011677080495</v>
      </c>
    </row>
    <row r="87" spans="1:6" x14ac:dyDescent="0.2">
      <c r="A87">
        <v>1.39990352136128</v>
      </c>
      <c r="B87">
        <v>2.5556643611587702</v>
      </c>
      <c r="C87">
        <v>1.4195385511674099</v>
      </c>
      <c r="D87">
        <v>2.1834382349165402</v>
      </c>
      <c r="E87">
        <v>-0.27365293589810602</v>
      </c>
      <c r="F87">
        <v>0.80704731026376597</v>
      </c>
    </row>
    <row r="88" spans="1:6" x14ac:dyDescent="0.2">
      <c r="A88">
        <v>0.225396768968425</v>
      </c>
      <c r="B88">
        <v>4.3419374127740003E-2</v>
      </c>
      <c r="C88">
        <v>0.32321113734498702</v>
      </c>
      <c r="D88">
        <v>9.7103725578943298E-2</v>
      </c>
      <c r="E88">
        <v>-0.69087451352826101</v>
      </c>
      <c r="F88">
        <v>-0.84440281110960003</v>
      </c>
    </row>
    <row r="89" spans="1:6" x14ac:dyDescent="0.2">
      <c r="A89">
        <v>-0.68318392627887503</v>
      </c>
      <c r="B89">
        <v>0.27180528203965199</v>
      </c>
      <c r="C89">
        <v>-0.381570771540858</v>
      </c>
      <c r="D89">
        <v>-0.17334704415000399</v>
      </c>
      <c r="E89">
        <v>1.8124549522526701</v>
      </c>
      <c r="F89">
        <v>0.36370499580111698</v>
      </c>
    </row>
    <row r="90" spans="1:6" x14ac:dyDescent="0.2">
      <c r="A90">
        <v>-0.30645534532267799</v>
      </c>
      <c r="B90">
        <v>-0.87012425751990896</v>
      </c>
      <c r="C90">
        <v>-0.49903442302183199</v>
      </c>
      <c r="D90">
        <v>-0.59834111086692199</v>
      </c>
      <c r="E90">
        <v>0.35217943054712703</v>
      </c>
      <c r="F90">
        <v>-2.0524136305674801E-3</v>
      </c>
    </row>
    <row r="91" spans="1:6" x14ac:dyDescent="0.2">
      <c r="A91">
        <v>-0.50589988818184095</v>
      </c>
      <c r="B91">
        <v>-0.98431721147586504</v>
      </c>
      <c r="C91">
        <v>-0.96888902894572904</v>
      </c>
      <c r="D91">
        <v>-0.28925451689098203</v>
      </c>
      <c r="E91">
        <v>0.14356864173205</v>
      </c>
      <c r="F91">
        <v>-0.38443515985460203</v>
      </c>
    </row>
    <row r="92" spans="1:6" x14ac:dyDescent="0.2">
      <c r="A92">
        <v>-0.26213433579841899</v>
      </c>
      <c r="B92">
        <v>1.07115595973134</v>
      </c>
      <c r="C92">
        <v>-0.224952569566226</v>
      </c>
      <c r="D92">
        <v>-0.21198286839699701</v>
      </c>
      <c r="E92">
        <v>1.60384416343759</v>
      </c>
      <c r="F92">
        <v>0.43759464264103498</v>
      </c>
    </row>
    <row r="93" spans="1:6" x14ac:dyDescent="0.2">
      <c r="A93">
        <v>-0.68318392627887503</v>
      </c>
      <c r="B93">
        <v>0.50019118995156397</v>
      </c>
      <c r="C93">
        <v>-0.73396172598378095</v>
      </c>
      <c r="D93">
        <v>0.135739549825936</v>
      </c>
      <c r="E93">
        <v>2.64689810751298</v>
      </c>
      <c r="F93">
        <v>-0.74465079035550397</v>
      </c>
    </row>
    <row r="94" spans="1:6" x14ac:dyDescent="0.2">
      <c r="A94">
        <v>0.69076736897313995</v>
      </c>
      <c r="B94">
        <v>-0.75593130356395299</v>
      </c>
      <c r="C94">
        <v>1.4978476521547299</v>
      </c>
      <c r="D94">
        <v>0.25164702256691401</v>
      </c>
      <c r="E94">
        <v>-0.48226372471318302</v>
      </c>
      <c r="F94">
        <v>-0.30130847589285498</v>
      </c>
    </row>
    <row r="95" spans="1:6" x14ac:dyDescent="0.2">
      <c r="A95">
        <v>-0.52806039294397</v>
      </c>
      <c r="B95">
        <v>-7.0773579828216096E-2</v>
      </c>
      <c r="C95">
        <v>0.28405658685132901</v>
      </c>
      <c r="D95">
        <v>-0.7142485836079</v>
      </c>
      <c r="E95">
        <v>-0.48226372471318302</v>
      </c>
      <c r="F95">
        <v>-0.30130847589285498</v>
      </c>
    </row>
    <row r="96" spans="1:6" x14ac:dyDescent="0.2">
      <c r="A96">
        <v>0.40268080706546</v>
      </c>
      <c r="B96">
        <v>-1.0985101654318199</v>
      </c>
      <c r="C96">
        <v>-0.49903442302183199</v>
      </c>
      <c r="D96">
        <v>-0.28925451689098203</v>
      </c>
      <c r="E96">
        <v>0.76940100817728296</v>
      </c>
      <c r="F96">
        <v>0.44683167976286398</v>
      </c>
    </row>
    <row r="97" spans="1:6" x14ac:dyDescent="0.2">
      <c r="A97">
        <v>-0.66102342151674598</v>
      </c>
      <c r="B97">
        <v>0.15761232808369599</v>
      </c>
      <c r="C97">
        <v>-0.69480717549012205</v>
      </c>
      <c r="D97">
        <v>-1.8803747162034298E-2</v>
      </c>
      <c r="E97">
        <v>-0.48226372471318302</v>
      </c>
      <c r="F97">
        <v>-7.9637318661530995E-2</v>
      </c>
    </row>
    <row r="98" spans="1:6" x14ac:dyDescent="0.2">
      <c r="A98">
        <v>0.26971777849268402</v>
      </c>
      <c r="B98">
        <v>-0.75593130356395299</v>
      </c>
      <c r="C98">
        <v>-2.9179817097935299E-2</v>
      </c>
      <c r="D98">
        <v>-1.8803747162034298E-2</v>
      </c>
      <c r="E98">
        <v>0.14356864173205</v>
      </c>
      <c r="F98">
        <v>0.14203383856979299</v>
      </c>
    </row>
    <row r="99" spans="1:6" x14ac:dyDescent="0.2">
      <c r="A99">
        <v>1.1118169594536</v>
      </c>
      <c r="B99">
        <v>0.38599823599560801</v>
      </c>
      <c r="C99">
        <v>0.59729299080059395</v>
      </c>
      <c r="D99">
        <v>1.2561784529887201</v>
      </c>
      <c r="E99">
        <v>-0.48226372471318302</v>
      </c>
      <c r="F99">
        <v>0.28057831183937099</v>
      </c>
    </row>
    <row r="100" spans="1:6" x14ac:dyDescent="0.2">
      <c r="A100">
        <v>1.3555825118370199</v>
      </c>
      <c r="B100">
        <v>1.07115595973134</v>
      </c>
      <c r="C100">
        <v>0.67560209178790998</v>
      </c>
      <c r="D100">
        <v>1.41072174997669</v>
      </c>
      <c r="E100">
        <v>-6.5042147083028107E-2</v>
      </c>
      <c r="F100">
        <v>0.91788288887942804</v>
      </c>
    </row>
    <row r="101" spans="1:6" x14ac:dyDescent="0.2">
      <c r="A101">
        <v>-8.4850297701384705E-2</v>
      </c>
      <c r="B101">
        <v>0.27180528203965199</v>
      </c>
      <c r="C101">
        <v>-0.18579801907256799</v>
      </c>
      <c r="D101">
        <v>0.25164702256691401</v>
      </c>
      <c r="E101">
        <v>-6.5042147083028107E-2</v>
      </c>
      <c r="F101">
        <v>0.47454057441677999</v>
      </c>
    </row>
    <row r="102" spans="1:6" x14ac:dyDescent="0.2">
      <c r="A102">
        <v>-1.19287553580785</v>
      </c>
      <c r="B102">
        <v>-0.18496653378417199</v>
      </c>
      <c r="C102">
        <v>-0.96888902894572904</v>
      </c>
      <c r="D102">
        <v>-0.48243363812594497</v>
      </c>
      <c r="E102">
        <v>-0.48226372471318302</v>
      </c>
      <c r="F102">
        <v>-0.52852141205496295</v>
      </c>
    </row>
    <row r="103" spans="1:6" x14ac:dyDescent="0.2">
      <c r="A103">
        <v>-0.83830745961378095</v>
      </c>
      <c r="B103">
        <v>-0.52754539565204095</v>
      </c>
      <c r="C103">
        <v>-1.28212543289499</v>
      </c>
      <c r="D103">
        <v>-0.55970528661993002</v>
      </c>
      <c r="E103">
        <v>2.22967652988283</v>
      </c>
      <c r="F103">
        <v>-0.46756184381634802</v>
      </c>
    </row>
    <row r="104" spans="1:6" x14ac:dyDescent="0.2">
      <c r="A104">
        <v>-0.19565282151203101</v>
      </c>
      <c r="B104">
        <v>-1.21270311938778</v>
      </c>
      <c r="C104">
        <v>-0.34241622104719999</v>
      </c>
      <c r="D104">
        <v>-1.0619710018308299</v>
      </c>
      <c r="E104">
        <v>-0.69087451352826101</v>
      </c>
      <c r="F104">
        <v>-0.99403084224074301</v>
      </c>
    </row>
    <row r="105" spans="1:6" x14ac:dyDescent="0.2">
      <c r="A105">
        <v>-1.5252831072397901</v>
      </c>
      <c r="B105">
        <v>-0.75593130356395299</v>
      </c>
      <c r="C105">
        <v>-1.4387436348696301</v>
      </c>
      <c r="D105">
        <v>-0.83015605634887801</v>
      </c>
      <c r="E105">
        <v>0.35217943054712703</v>
      </c>
      <c r="F105">
        <v>-0.800068579663335</v>
      </c>
    </row>
    <row r="106" spans="1:6" x14ac:dyDescent="0.2">
      <c r="A106">
        <v>-1.5031226024776601</v>
      </c>
      <c r="B106">
        <v>-0.87012425751990896</v>
      </c>
      <c r="C106">
        <v>-1.2429708824013399</v>
      </c>
      <c r="D106">
        <v>-1.5642367170417399</v>
      </c>
      <c r="E106">
        <v>-0.89948530234333901</v>
      </c>
      <c r="F106">
        <v>-0.98848906330996</v>
      </c>
    </row>
    <row r="107" spans="1:6" x14ac:dyDescent="0.2">
      <c r="A107">
        <v>1.37774301659915</v>
      </c>
      <c r="B107">
        <v>3.2408220848945102</v>
      </c>
      <c r="C107">
        <v>2.0460113590659401</v>
      </c>
      <c r="D107">
        <v>2.1834382349165402</v>
      </c>
      <c r="E107">
        <v>-0.27365293589810602</v>
      </c>
      <c r="F107">
        <v>1.55518746591949</v>
      </c>
    </row>
    <row r="108" spans="1:6" x14ac:dyDescent="0.2">
      <c r="A108">
        <v>-0.10701080246351399</v>
      </c>
      <c r="B108">
        <v>-0.64173834960799703</v>
      </c>
      <c r="C108">
        <v>-0.26410712005988402</v>
      </c>
      <c r="D108">
        <v>-0.59834111086692199</v>
      </c>
      <c r="E108">
        <v>1.60384416343759</v>
      </c>
      <c r="F108">
        <v>-0.23480712872345799</v>
      </c>
    </row>
    <row r="109" spans="1:6" x14ac:dyDescent="0.2">
      <c r="A109">
        <v>-0.10701080246351399</v>
      </c>
      <c r="B109">
        <v>-1.0985101654318199</v>
      </c>
      <c r="C109">
        <v>0.40152023833230299</v>
      </c>
      <c r="D109">
        <v>-0.75288440785489297</v>
      </c>
      <c r="E109">
        <v>-1.1080960911584199</v>
      </c>
      <c r="F109">
        <v>-0.96632194758682799</v>
      </c>
    </row>
    <row r="110" spans="1:6" x14ac:dyDescent="0.2">
      <c r="A110">
        <v>0.80156989278378699</v>
      </c>
      <c r="B110">
        <v>2.4414714072028199</v>
      </c>
      <c r="C110">
        <v>1.18461124820546</v>
      </c>
      <c r="D110">
        <v>2.5311606531394699</v>
      </c>
      <c r="E110">
        <v>-1.1080960911584199</v>
      </c>
      <c r="F110">
        <v>-0.82223569538646701</v>
      </c>
    </row>
    <row r="111" spans="1:6" x14ac:dyDescent="0.2">
      <c r="A111">
        <v>2.04255815946303</v>
      </c>
      <c r="B111">
        <v>1.98469959137899</v>
      </c>
      <c r="C111">
        <v>2.0851659095596</v>
      </c>
      <c r="D111">
        <v>2.68570395012744</v>
      </c>
      <c r="E111">
        <v>-0.69087451352826101</v>
      </c>
      <c r="F111">
        <v>-0.63381521173984201</v>
      </c>
    </row>
    <row r="112" spans="1:6" x14ac:dyDescent="0.2">
      <c r="A112">
        <v>-1.1707150310457199</v>
      </c>
      <c r="B112">
        <v>-0.29915948774012802</v>
      </c>
      <c r="C112">
        <v>-0.81227082697109698</v>
      </c>
      <c r="D112">
        <v>-1.1006068260778299</v>
      </c>
      <c r="E112">
        <v>0.97801179699235996</v>
      </c>
      <c r="F112">
        <v>1.69373193918906</v>
      </c>
    </row>
    <row r="113" spans="1:6" x14ac:dyDescent="0.2">
      <c r="A113">
        <v>0.55780434040036497</v>
      </c>
      <c r="B113">
        <v>-0.18496653378417199</v>
      </c>
      <c r="C113">
        <v>-0.26410712005988402</v>
      </c>
      <c r="D113">
        <v>0.79254856202480894</v>
      </c>
      <c r="E113">
        <v>2.0210657410677499</v>
      </c>
      <c r="F113">
        <v>0.52626310553356404</v>
      </c>
    </row>
    <row r="114" spans="1:6" x14ac:dyDescent="0.2">
      <c r="A114">
        <v>0.53564383563823503</v>
      </c>
      <c r="B114">
        <v>1.07115595973134</v>
      </c>
      <c r="C114">
        <v>0.24490203635767099</v>
      </c>
      <c r="D114">
        <v>0.86982021051879399</v>
      </c>
      <c r="E114">
        <v>-0.27365293589810602</v>
      </c>
      <c r="F114">
        <v>1.0471903250271799</v>
      </c>
    </row>
    <row r="115" spans="1:6" x14ac:dyDescent="0.2">
      <c r="A115">
        <v>-1.5252831072397901</v>
      </c>
      <c r="B115">
        <v>-0.41335244169608398</v>
      </c>
      <c r="C115">
        <v>-1.4387436348696301</v>
      </c>
      <c r="D115">
        <v>-0.79152023210188505</v>
      </c>
      <c r="E115">
        <v>1.3952333746225201</v>
      </c>
      <c r="F115">
        <v>-0.57839742243201098</v>
      </c>
    </row>
    <row r="116" spans="1:6" x14ac:dyDescent="0.2">
      <c r="A116">
        <v>1.66582957850683</v>
      </c>
      <c r="B116">
        <v>-0.18496653378417199</v>
      </c>
      <c r="C116">
        <v>0.98883849573717397</v>
      </c>
      <c r="D116">
        <v>0.86982021051879399</v>
      </c>
      <c r="E116">
        <v>-0.48226372471318302</v>
      </c>
      <c r="F116">
        <v>0.52995836372461103</v>
      </c>
    </row>
    <row r="117" spans="1:6" x14ac:dyDescent="0.2">
      <c r="A117">
        <v>0.62428585468675302</v>
      </c>
      <c r="B117">
        <v>-0.52754539565204095</v>
      </c>
      <c r="C117">
        <v>0.12743838487669701</v>
      </c>
      <c r="D117">
        <v>-0.52106946237293705</v>
      </c>
      <c r="E117">
        <v>0.76940100817728296</v>
      </c>
      <c r="F117">
        <v>0.69621173164810402</v>
      </c>
    </row>
    <row r="118" spans="1:6" x14ac:dyDescent="0.2">
      <c r="A118">
        <v>-0.83830745961378095</v>
      </c>
      <c r="B118">
        <v>0.15761232808369599</v>
      </c>
      <c r="C118">
        <v>-0.89057992795841301</v>
      </c>
      <c r="D118">
        <v>-1.8803747162034298E-2</v>
      </c>
      <c r="E118">
        <v>1.60384416343759</v>
      </c>
      <c r="F118">
        <v>-0.37889338092381902</v>
      </c>
    </row>
    <row r="119" spans="1:6" x14ac:dyDescent="0.2">
      <c r="A119">
        <v>-1.48096209771553</v>
      </c>
      <c r="B119">
        <v>-0.87012425751990896</v>
      </c>
      <c r="C119">
        <v>-1.12550723092036</v>
      </c>
      <c r="D119">
        <v>-1.1778784745718101</v>
      </c>
      <c r="E119">
        <v>-1.1080960911584199</v>
      </c>
      <c r="F119">
        <v>-0.977405505448394</v>
      </c>
    </row>
    <row r="120" spans="1:6" x14ac:dyDescent="0.2">
      <c r="A120">
        <v>-0.48373938341971201</v>
      </c>
      <c r="B120">
        <v>-0.87012425751990896</v>
      </c>
      <c r="C120">
        <v>-0.851425377464755</v>
      </c>
      <c r="D120">
        <v>-0.52106946237293705</v>
      </c>
      <c r="E120">
        <v>-1.31670687997349</v>
      </c>
      <c r="F120">
        <v>-0.94415483186369598</v>
      </c>
    </row>
    <row r="121" spans="1:6" x14ac:dyDescent="0.2">
      <c r="A121">
        <v>-0.28429484056054799</v>
      </c>
      <c r="B121">
        <v>-0.64173834960799703</v>
      </c>
      <c r="C121">
        <v>-0.26410712005988402</v>
      </c>
      <c r="D121">
        <v>-0.36652616538496702</v>
      </c>
      <c r="E121">
        <v>0.56079021936220497</v>
      </c>
      <c r="F121">
        <v>-0.96632194758682799</v>
      </c>
    </row>
    <row r="122" spans="1:6" x14ac:dyDescent="0.2">
      <c r="A122">
        <v>0.86805140707017503</v>
      </c>
      <c r="B122">
        <v>1.29954186764326</v>
      </c>
      <c r="C122">
        <v>0.12743838487669701</v>
      </c>
      <c r="D122">
        <v>1.41072174997669</v>
      </c>
      <c r="E122">
        <v>0.56079021936220497</v>
      </c>
      <c r="F122">
        <v>-0.57285564350122697</v>
      </c>
    </row>
    <row r="123" spans="1:6" x14ac:dyDescent="0.2">
      <c r="A123">
        <v>-0.12917130722564299</v>
      </c>
      <c r="B123">
        <v>-0.98431721147586504</v>
      </c>
      <c r="C123">
        <v>4.9129283889380801E-2</v>
      </c>
      <c r="D123">
        <v>-0.67561275936090703</v>
      </c>
      <c r="E123">
        <v>-0.48226372471318302</v>
      </c>
      <c r="F123">
        <v>-1.0106561790330899</v>
      </c>
    </row>
    <row r="124" spans="1:6" x14ac:dyDescent="0.2">
      <c r="A124">
        <v>-0.30645534532267799</v>
      </c>
      <c r="B124">
        <v>-0.75593130356395299</v>
      </c>
      <c r="C124">
        <v>-0.69480717549012205</v>
      </c>
      <c r="D124">
        <v>-0.75288440785489297</v>
      </c>
      <c r="E124">
        <v>1.18662258580744</v>
      </c>
      <c r="F124">
        <v>0.14203383856979299</v>
      </c>
    </row>
    <row r="125" spans="1:6" x14ac:dyDescent="0.2">
      <c r="A125">
        <v>1.2226194832642401</v>
      </c>
      <c r="B125">
        <v>1.7563136834670801</v>
      </c>
      <c r="C125">
        <v>1.10630214721815</v>
      </c>
      <c r="D125">
        <v>2.1448024106695498</v>
      </c>
      <c r="E125">
        <v>-0.89948530234333901</v>
      </c>
      <c r="F125">
        <v>-0.74465079035550397</v>
      </c>
    </row>
    <row r="126" spans="1:6" x14ac:dyDescent="0.2">
      <c r="A126">
        <v>1.46638503564767</v>
      </c>
      <c r="B126">
        <v>-0.52754539565204095</v>
      </c>
      <c r="C126">
        <v>0.47982933931962002</v>
      </c>
      <c r="D126">
        <v>1.0243635075067601</v>
      </c>
      <c r="E126">
        <v>-0.27365293589810602</v>
      </c>
      <c r="F126">
        <v>0.268386398191648</v>
      </c>
    </row>
    <row r="127" spans="1:6" x14ac:dyDescent="0.2">
      <c r="A127">
        <v>-1.5252831072397901</v>
      </c>
      <c r="B127">
        <v>-1.0985101654318199</v>
      </c>
      <c r="C127">
        <v>-1.63451638733792</v>
      </c>
      <c r="D127">
        <v>-1.6415083655357201</v>
      </c>
      <c r="E127">
        <v>-0.89948530234333901</v>
      </c>
      <c r="F127">
        <v>-1.0217397368946599</v>
      </c>
    </row>
    <row r="128" spans="1:6" x14ac:dyDescent="0.2">
      <c r="A128">
        <v>2.04255815946303</v>
      </c>
      <c r="B128">
        <v>0.95696300577538895</v>
      </c>
      <c r="C128">
        <v>1.6936204046230201</v>
      </c>
      <c r="D128">
        <v>2.2607098834105299</v>
      </c>
      <c r="E128">
        <v>1.18662258580744</v>
      </c>
      <c r="F128">
        <v>4.1598235633875396</v>
      </c>
    </row>
    <row r="129" spans="1:6" x14ac:dyDescent="0.2">
      <c r="A129">
        <v>-0.92694947866229804</v>
      </c>
      <c r="B129">
        <v>-0.75593130356395299</v>
      </c>
      <c r="C129">
        <v>-0.92973447845207102</v>
      </c>
      <c r="D129">
        <v>-0.98469935333684799</v>
      </c>
      <c r="E129">
        <v>1.3952333746225201</v>
      </c>
      <c r="F129">
        <v>-0.63381521173984201</v>
      </c>
    </row>
    <row r="130" spans="1:6" x14ac:dyDescent="0.2">
      <c r="A130">
        <v>-0.70534443104100497</v>
      </c>
      <c r="B130">
        <v>0.15761232808369599</v>
      </c>
      <c r="C130">
        <v>-0.77311627647743897</v>
      </c>
      <c r="D130">
        <v>0.328918671060899</v>
      </c>
      <c r="E130">
        <v>-0.89948530234333901</v>
      </c>
      <c r="F130">
        <v>-0.84440281110960003</v>
      </c>
    </row>
    <row r="131" spans="1:6" x14ac:dyDescent="0.2">
      <c r="A131">
        <v>1.08965645469147</v>
      </c>
      <c r="B131">
        <v>0.50019118995156397</v>
      </c>
      <c r="C131">
        <v>1.38038400067376</v>
      </c>
      <c r="D131">
        <v>1.0243635075067601</v>
      </c>
      <c r="E131">
        <v>-0.69087451352826101</v>
      </c>
      <c r="F131">
        <v>0.23070230146232301</v>
      </c>
    </row>
    <row r="132" spans="1:6" x14ac:dyDescent="0.2">
      <c r="A132">
        <v>-0.35077635484693598</v>
      </c>
      <c r="B132">
        <v>-7.0773579828216096E-2</v>
      </c>
      <c r="C132">
        <v>-2.9179817097935299E-2</v>
      </c>
      <c r="D132">
        <v>-9.6075395656019399E-2</v>
      </c>
      <c r="E132">
        <v>-0.27365293589810602</v>
      </c>
      <c r="F132">
        <v>-0.52297963312417906</v>
      </c>
    </row>
    <row r="133" spans="1:6" x14ac:dyDescent="0.2">
      <c r="A133">
        <v>-0.77182594532739301</v>
      </c>
      <c r="B133">
        <v>-0.75593130356395299</v>
      </c>
      <c r="C133">
        <v>-1.2429708824013399</v>
      </c>
      <c r="D133">
        <v>-0.55970528661993002</v>
      </c>
      <c r="E133">
        <v>-0.69087451352826101</v>
      </c>
      <c r="F133">
        <v>-0.94415483186369598</v>
      </c>
    </row>
    <row r="134" spans="1:6" x14ac:dyDescent="0.2">
      <c r="A134">
        <v>-0.37293685960906497</v>
      </c>
      <c r="B134">
        <v>4.3419374127740003E-2</v>
      </c>
      <c r="C134">
        <v>-0.53818897351549</v>
      </c>
      <c r="D134">
        <v>-0.36652616538496702</v>
      </c>
      <c r="E134">
        <v>1.18662258580744</v>
      </c>
      <c r="F134">
        <v>0.64079394234027298</v>
      </c>
    </row>
    <row r="135" spans="1:6" x14ac:dyDescent="0.2">
      <c r="A135">
        <v>-0.15133181198777301</v>
      </c>
      <c r="B135">
        <v>-0.98431721147586504</v>
      </c>
      <c r="C135">
        <v>-0.34241622104719999</v>
      </c>
      <c r="D135">
        <v>-0.32789034113797499</v>
      </c>
      <c r="E135">
        <v>-0.89948530234333901</v>
      </c>
      <c r="F135">
        <v>-0.75573434821706997</v>
      </c>
    </row>
    <row r="136" spans="1:6" x14ac:dyDescent="0.2">
      <c r="A136">
        <v>-1.3479990691427499</v>
      </c>
      <c r="B136">
        <v>-0.75593130356395299</v>
      </c>
      <c r="C136">
        <v>-1.3604345338823101</v>
      </c>
      <c r="D136">
        <v>-0.90742770484286295</v>
      </c>
      <c r="E136">
        <v>0.76940100817728296</v>
      </c>
      <c r="F136">
        <v>-0.19047289727719299</v>
      </c>
    </row>
    <row r="137" spans="1:6" x14ac:dyDescent="0.2">
      <c r="A137">
        <v>1.6879900832689601</v>
      </c>
      <c r="B137">
        <v>0.95696300577538895</v>
      </c>
      <c r="C137">
        <v>1.10630214721815</v>
      </c>
      <c r="D137">
        <v>1.06299933175376</v>
      </c>
      <c r="E137">
        <v>-0.48226372471318302</v>
      </c>
      <c r="F137">
        <v>0.208535185739191</v>
      </c>
    </row>
    <row r="138" spans="1:6" x14ac:dyDescent="0.2">
      <c r="A138">
        <v>-1.10423351675933</v>
      </c>
      <c r="B138">
        <v>-0.64173834960799703</v>
      </c>
      <c r="C138">
        <v>-0.81227082697109698</v>
      </c>
      <c r="D138">
        <v>-1.1006068260778299</v>
      </c>
      <c r="E138">
        <v>-1.31670687997349</v>
      </c>
      <c r="F138">
        <v>-0.99624755381305696</v>
      </c>
    </row>
    <row r="139" spans="1:6" x14ac:dyDescent="0.2">
      <c r="A139">
        <v>0.225396768968425</v>
      </c>
      <c r="B139">
        <v>1.8705066374230399</v>
      </c>
      <c r="C139">
        <v>1.1454566977118099</v>
      </c>
      <c r="D139">
        <v>1.3334501014827</v>
      </c>
      <c r="E139">
        <v>0.14356864173205</v>
      </c>
      <c r="F139">
        <v>1.69373193918906</v>
      </c>
    </row>
    <row r="140" spans="1:6" x14ac:dyDescent="0.2">
      <c r="A140">
        <v>0.93453292135656296</v>
      </c>
      <c r="B140">
        <v>1.07115595973134</v>
      </c>
      <c r="C140">
        <v>0.55813844030693605</v>
      </c>
      <c r="D140">
        <v>0.25164702256691401</v>
      </c>
      <c r="E140">
        <v>1.3952333746225201</v>
      </c>
      <c r="F140">
        <v>1.02871846749509</v>
      </c>
    </row>
    <row r="141" spans="1:6" x14ac:dyDescent="0.2">
      <c r="A141">
        <v>1.39990352136128</v>
      </c>
      <c r="B141">
        <v>0.15761232808369599</v>
      </c>
      <c r="C141">
        <v>1.53700220264839</v>
      </c>
      <c r="D141">
        <v>1.2175426287417299</v>
      </c>
      <c r="E141">
        <v>1.18662258580744</v>
      </c>
      <c r="F141">
        <v>2.8020877253456802</v>
      </c>
    </row>
    <row r="142" spans="1:6" x14ac:dyDescent="0.2">
      <c r="A142">
        <v>0.86805140707017503</v>
      </c>
      <c r="B142">
        <v>1.98469959137899</v>
      </c>
      <c r="C142">
        <v>1.18461124820546</v>
      </c>
      <c r="D142">
        <v>1.5266292227176701</v>
      </c>
      <c r="E142">
        <v>-0.27365293589810602</v>
      </c>
      <c r="F142">
        <v>1.7158990549122</v>
      </c>
    </row>
    <row r="143" spans="1:6" x14ac:dyDescent="0.2">
      <c r="A143">
        <v>-0.74966544056526296</v>
      </c>
      <c r="B143">
        <v>-0.87012425751990896</v>
      </c>
      <c r="C143">
        <v>-0.81227082697109698</v>
      </c>
      <c r="D143">
        <v>-0.86879188059586998</v>
      </c>
      <c r="E143">
        <v>0.56079021936220497</v>
      </c>
      <c r="F143">
        <v>0.44683167976286398</v>
      </c>
    </row>
    <row r="144" spans="1:6" x14ac:dyDescent="0.2">
      <c r="A144">
        <v>1.17829847373998</v>
      </c>
      <c r="B144">
        <v>1.64212072951113</v>
      </c>
      <c r="C144">
        <v>1.3412294501801001</v>
      </c>
      <c r="D144">
        <v>1.7198083439526299</v>
      </c>
      <c r="E144">
        <v>-0.69087451352826101</v>
      </c>
      <c r="F144">
        <v>0.19745162787762399</v>
      </c>
    </row>
    <row r="145" spans="1:6" x14ac:dyDescent="0.2">
      <c r="A145">
        <v>-0.37293685960906497</v>
      </c>
      <c r="B145">
        <v>4.3419374127740003E-2</v>
      </c>
      <c r="C145">
        <v>-0.14664346857891</v>
      </c>
      <c r="D145">
        <v>-0.32789034113797499</v>
      </c>
      <c r="E145">
        <v>-1.1080960911584199</v>
      </c>
      <c r="F145">
        <v>-0.91090415827899696</v>
      </c>
    </row>
    <row r="146" spans="1:6" x14ac:dyDescent="0.2">
      <c r="A146">
        <v>1.1339774642157301</v>
      </c>
      <c r="B146">
        <v>4.3419374127740003E-2</v>
      </c>
      <c r="C146">
        <v>0.67560209178790998</v>
      </c>
      <c r="D146">
        <v>1.06299933175376</v>
      </c>
      <c r="E146">
        <v>0.35217943054712703</v>
      </c>
      <c r="F146">
        <v>1.12477523005814</v>
      </c>
    </row>
    <row r="147" spans="1:6" x14ac:dyDescent="0.2">
      <c r="A147">
        <v>0.62428585468675302</v>
      </c>
      <c r="B147">
        <v>-0.75593130356395299</v>
      </c>
      <c r="C147">
        <v>0.28405658685132901</v>
      </c>
      <c r="D147">
        <v>-0.13471121990301199</v>
      </c>
      <c r="E147">
        <v>0.56079021936220497</v>
      </c>
      <c r="F147">
        <v>0.41912278510894901</v>
      </c>
    </row>
    <row r="148" spans="1:6" x14ac:dyDescent="0.2">
      <c r="A148">
        <v>-0.50589988818184095</v>
      </c>
      <c r="B148">
        <v>1.41373482159921</v>
      </c>
      <c r="C148">
        <v>0.55813844030693605</v>
      </c>
      <c r="D148">
        <v>0.48346196804886898</v>
      </c>
      <c r="E148">
        <v>-6.5042147083028107E-2</v>
      </c>
      <c r="F148">
        <v>-0.52297963312417906</v>
      </c>
    </row>
    <row r="149" spans="1:6" x14ac:dyDescent="0.2">
      <c r="A149">
        <v>2.5522497689920001</v>
      </c>
      <c r="B149">
        <v>2.2130854992909099</v>
      </c>
      <c r="C149">
        <v>2.5158659649898398</v>
      </c>
      <c r="D149">
        <v>1.7198083439526299</v>
      </c>
      <c r="E149">
        <v>-0.89948530234333901</v>
      </c>
      <c r="F149">
        <v>-0.37889338092381902</v>
      </c>
    </row>
    <row r="150" spans="1:6" x14ac:dyDescent="0.2">
      <c r="A150">
        <v>-0.97127048818655604</v>
      </c>
      <c r="B150">
        <v>-1.3268960733437301</v>
      </c>
      <c r="C150">
        <v>-0.92973447845207102</v>
      </c>
      <c r="D150">
        <v>-0.98469935333684799</v>
      </c>
      <c r="E150">
        <v>-1.31670687997349</v>
      </c>
      <c r="F150">
        <v>-1.0217397368946599</v>
      </c>
    </row>
    <row r="151" spans="1:6" x14ac:dyDescent="0.2">
      <c r="A151">
        <v>0.424841311827589</v>
      </c>
      <c r="B151">
        <v>0.95696300577538895</v>
      </c>
      <c r="C151">
        <v>0.44067478882596101</v>
      </c>
      <c r="D151">
        <v>0.52209779229586095</v>
      </c>
      <c r="E151">
        <v>-6.5042147083028107E-2</v>
      </c>
      <c r="F151">
        <v>1.4351148501819899</v>
      </c>
    </row>
    <row r="152" spans="1:6" x14ac:dyDescent="0.2">
      <c r="A152">
        <v>0.424841311827589</v>
      </c>
      <c r="B152">
        <v>-0.41335244169608398</v>
      </c>
      <c r="C152">
        <v>0.87137484425620004</v>
      </c>
      <c r="D152">
        <v>-0.25061869264399</v>
      </c>
      <c r="E152">
        <v>-1.1080960911584199</v>
      </c>
      <c r="F152">
        <v>-0.73910901142472096</v>
      </c>
    </row>
    <row r="153" spans="1:6" x14ac:dyDescent="0.2">
      <c r="A153">
        <v>-0.83830745961378095</v>
      </c>
      <c r="B153">
        <v>-0.41335244169608398</v>
      </c>
      <c r="C153">
        <v>-0.851425377464755</v>
      </c>
      <c r="D153">
        <v>-0.55970528661993002</v>
      </c>
      <c r="E153">
        <v>0.97801179699235996</v>
      </c>
      <c r="F153">
        <v>-0.68923300104767304</v>
      </c>
    </row>
    <row r="154" spans="1:6" x14ac:dyDescent="0.2">
      <c r="A154">
        <v>0.73508837849739905</v>
      </c>
      <c r="B154">
        <v>-7.0773579828216096E-2</v>
      </c>
      <c r="C154">
        <v>0.87137484425620004</v>
      </c>
      <c r="D154">
        <v>-0.17334704415000399</v>
      </c>
      <c r="E154">
        <v>1.60384416343759</v>
      </c>
      <c r="F154">
        <v>-2.4219529353699899E-2</v>
      </c>
    </row>
    <row r="155" spans="1:6" x14ac:dyDescent="0.2">
      <c r="A155">
        <v>-1.2371965453321101</v>
      </c>
      <c r="B155">
        <v>-0.29915948774012802</v>
      </c>
      <c r="C155">
        <v>-1.12550723092036</v>
      </c>
      <c r="D155">
        <v>-0.90742770484286295</v>
      </c>
      <c r="E155">
        <v>-0.27365293589810602</v>
      </c>
      <c r="F155">
        <v>-0.60056453815514299</v>
      </c>
    </row>
    <row r="156" spans="1:6" x14ac:dyDescent="0.2">
      <c r="A156">
        <v>0.91237241659443302</v>
      </c>
      <c r="B156">
        <v>1.07115595973134</v>
      </c>
      <c r="C156">
        <v>1.3412294501801001</v>
      </c>
      <c r="D156">
        <v>1.3334501014827</v>
      </c>
      <c r="E156">
        <v>-6.5042147083028107E-2</v>
      </c>
      <c r="F156">
        <v>0.55766725837852604</v>
      </c>
    </row>
    <row r="157" spans="1:6" x14ac:dyDescent="0.2">
      <c r="A157">
        <v>-0.52806039294397</v>
      </c>
      <c r="B157">
        <v>1.1853489136873001</v>
      </c>
      <c r="C157">
        <v>-6.8334367591593406E-2</v>
      </c>
      <c r="D157">
        <v>0.40619031955488399</v>
      </c>
      <c r="E157">
        <v>0.56079021936220497</v>
      </c>
      <c r="F157">
        <v>0.58537615303244195</v>
      </c>
    </row>
    <row r="158" spans="1:6" x14ac:dyDescent="0.2">
      <c r="A158">
        <v>0.44700181658971799</v>
      </c>
      <c r="B158">
        <v>1.8705066374230399</v>
      </c>
      <c r="C158">
        <v>0.47982933931962002</v>
      </c>
      <c r="D158">
        <v>1.64253669545865</v>
      </c>
      <c r="E158">
        <v>1.18662258580744</v>
      </c>
      <c r="F158">
        <v>0.114324943915878</v>
      </c>
    </row>
    <row r="159" spans="1:6" x14ac:dyDescent="0.2">
      <c r="A159">
        <v>-0.35077635484693598</v>
      </c>
      <c r="B159">
        <v>0.72857709786347702</v>
      </c>
      <c r="C159">
        <v>-0.49903442302183199</v>
      </c>
      <c r="D159">
        <v>0.328918671060899</v>
      </c>
      <c r="E159">
        <v>-0.89948530234333901</v>
      </c>
      <c r="F159">
        <v>-0.86656992683273204</v>
      </c>
    </row>
    <row r="160" spans="1:6" x14ac:dyDescent="0.2">
      <c r="A160">
        <v>1.08965645469147</v>
      </c>
      <c r="B160">
        <v>0.95696300577538895</v>
      </c>
      <c r="C160">
        <v>1.5761567531420499</v>
      </c>
      <c r="D160">
        <v>0.83118438627180202</v>
      </c>
      <c r="E160">
        <v>0.56079021936220497</v>
      </c>
      <c r="F160">
        <v>-0.25697424444659001</v>
      </c>
    </row>
    <row r="161" spans="1:6" x14ac:dyDescent="0.2">
      <c r="A161">
        <v>-1.19287553580785</v>
      </c>
      <c r="B161">
        <v>-1.0985101654318199</v>
      </c>
      <c r="C161">
        <v>-1.0863526804267001</v>
      </c>
      <c r="D161">
        <v>-1.02333517758384</v>
      </c>
      <c r="E161">
        <v>-1.31670687997349</v>
      </c>
      <c r="F161">
        <v>-1.0217397368946599</v>
      </c>
    </row>
    <row r="162" spans="1:6" x14ac:dyDescent="0.2">
      <c r="A162">
        <v>1.57718755945831</v>
      </c>
      <c r="B162">
        <v>-0.87012425751990896</v>
      </c>
      <c r="C162">
        <v>1.53700220264839</v>
      </c>
      <c r="D162">
        <v>0.328918671060899</v>
      </c>
      <c r="E162">
        <v>-0.48226372471318302</v>
      </c>
      <c r="F162">
        <v>8.6616049261962202E-2</v>
      </c>
    </row>
    <row r="163" spans="1:6" x14ac:dyDescent="0.2">
      <c r="A163">
        <v>0.51348333087610598</v>
      </c>
      <c r="B163">
        <v>0.84277005181943299</v>
      </c>
      <c r="C163">
        <v>0.87137484425620004</v>
      </c>
      <c r="D163">
        <v>0.135739549825936</v>
      </c>
      <c r="E163">
        <v>-6.5042147083028107E-2</v>
      </c>
      <c r="F163">
        <v>0.54104192158617703</v>
      </c>
    </row>
    <row r="164" spans="1:6" x14ac:dyDescent="0.2">
      <c r="A164">
        <v>-1.1485545262835899</v>
      </c>
      <c r="B164">
        <v>4.3419374127740003E-2</v>
      </c>
      <c r="C164">
        <v>-1.28212543289499</v>
      </c>
      <c r="D164">
        <v>-0.59834111086692199</v>
      </c>
      <c r="E164">
        <v>-1.1080960911584199</v>
      </c>
      <c r="F164">
        <v>-0.98848906330996</v>
      </c>
    </row>
    <row r="165" spans="1:6" x14ac:dyDescent="0.2">
      <c r="A165">
        <v>-0.32861585008480698</v>
      </c>
      <c r="B165">
        <v>-0.41335244169608398</v>
      </c>
      <c r="C165">
        <v>-0.30326167055354197</v>
      </c>
      <c r="D165">
        <v>-0.83015605634887801</v>
      </c>
      <c r="E165">
        <v>-1.1080960911584199</v>
      </c>
      <c r="F165">
        <v>-0.85548636897116603</v>
      </c>
    </row>
    <row r="166" spans="1:6" x14ac:dyDescent="0.2">
      <c r="A166">
        <v>0.89021191183230397</v>
      </c>
      <c r="B166">
        <v>0.27180528203965199</v>
      </c>
      <c r="C166">
        <v>0.36236568783864498</v>
      </c>
      <c r="D166">
        <v>1.0243635075067601</v>
      </c>
      <c r="E166">
        <v>1.18662258580744</v>
      </c>
      <c r="F166">
        <v>0.36370499580111698</v>
      </c>
    </row>
    <row r="167" spans="1:6" x14ac:dyDescent="0.2">
      <c r="A167">
        <v>0.51348333087610598</v>
      </c>
      <c r="B167">
        <v>0.72857709786347702</v>
      </c>
      <c r="C167">
        <v>0.51898388981327803</v>
      </c>
      <c r="D167">
        <v>0.985727683259772</v>
      </c>
      <c r="E167">
        <v>-0.27365293589810602</v>
      </c>
      <c r="F167">
        <v>3.11982599541312E-2</v>
      </c>
    </row>
    <row r="168" spans="1:6" x14ac:dyDescent="0.2">
      <c r="A168">
        <v>-0.94910998342442698</v>
      </c>
      <c r="B168">
        <v>-0.41335244169608398</v>
      </c>
      <c r="C168">
        <v>-0.96888902894572904</v>
      </c>
      <c r="D168">
        <v>-0.59834111086692199</v>
      </c>
      <c r="E168">
        <v>0.35217943054712703</v>
      </c>
      <c r="F168">
        <v>0.25286941718545503</v>
      </c>
    </row>
    <row r="169" spans="1:6" x14ac:dyDescent="0.2">
      <c r="A169">
        <v>-1.19287553580785</v>
      </c>
      <c r="B169">
        <v>-0.98431721147586504</v>
      </c>
      <c r="C169">
        <v>-1.1646617814140201</v>
      </c>
      <c r="D169">
        <v>-1.44832924430076</v>
      </c>
      <c r="E169">
        <v>-1.31670687997349</v>
      </c>
      <c r="F169">
        <v>-1.0372567179008501</v>
      </c>
    </row>
    <row r="170" spans="1:6" x14ac:dyDescent="0.2">
      <c r="A170">
        <v>-0.81614695485165101</v>
      </c>
      <c r="B170">
        <v>-0.98431721147586504</v>
      </c>
      <c r="C170">
        <v>-1.4387436348696301</v>
      </c>
      <c r="D170">
        <v>-0.83015605634887801</v>
      </c>
      <c r="E170">
        <v>-0.89948530234333901</v>
      </c>
      <c r="F170">
        <v>-0.96632194758682799</v>
      </c>
    </row>
    <row r="171" spans="1:6" x14ac:dyDescent="0.2">
      <c r="A171">
        <v>-0.68318392627887503</v>
      </c>
      <c r="B171">
        <v>0.84277005181943299</v>
      </c>
      <c r="C171">
        <v>-0.30326167055354197</v>
      </c>
      <c r="D171">
        <v>5.8467901331950803E-2</v>
      </c>
      <c r="E171">
        <v>-0.27365293589810602</v>
      </c>
      <c r="F171">
        <v>0.29720364863172</v>
      </c>
    </row>
    <row r="172" spans="1:6" x14ac:dyDescent="0.2">
      <c r="A172">
        <v>0.26971777849268402</v>
      </c>
      <c r="B172">
        <v>1.8705066374230399</v>
      </c>
      <c r="C172">
        <v>0.63644754129425196</v>
      </c>
      <c r="D172">
        <v>0.75391273777781698</v>
      </c>
      <c r="E172">
        <v>-0.89948530234333901</v>
      </c>
      <c r="F172">
        <v>-0.800068579663335</v>
      </c>
    </row>
    <row r="173" spans="1:6" x14ac:dyDescent="0.2">
      <c r="A173">
        <v>-1.0599125072350699</v>
      </c>
      <c r="B173">
        <v>-0.41335244169608398</v>
      </c>
      <c r="C173">
        <v>-1.0471981299330499</v>
      </c>
      <c r="D173">
        <v>-0.7142485836079</v>
      </c>
      <c r="E173">
        <v>-0.89948530234333901</v>
      </c>
      <c r="F173">
        <v>-0.88430361941123803</v>
      </c>
    </row>
    <row r="174" spans="1:6" x14ac:dyDescent="0.2">
      <c r="A174">
        <v>-2.3673822882006998</v>
      </c>
      <c r="B174">
        <v>-1.3268960733437301</v>
      </c>
      <c r="C174">
        <v>-2.1435255437554699</v>
      </c>
      <c r="D174">
        <v>-1.98923078375865</v>
      </c>
      <c r="E174">
        <v>-1.1080960911584199</v>
      </c>
      <c r="F174">
        <v>3.5276905744457001</v>
      </c>
    </row>
    <row r="175" spans="1:6" x14ac:dyDescent="0.2">
      <c r="A175">
        <v>-0.30645534532267799</v>
      </c>
      <c r="B175">
        <v>-0.75593130356395299</v>
      </c>
      <c r="C175">
        <v>-0.73396172598378095</v>
      </c>
      <c r="D175">
        <v>-0.98469935333684799</v>
      </c>
      <c r="E175">
        <v>-6.5042147083028107E-2</v>
      </c>
      <c r="F175">
        <v>0.75162952095593505</v>
      </c>
    </row>
    <row r="176" spans="1:6" x14ac:dyDescent="0.2">
      <c r="A176">
        <v>-1.4366410881912699</v>
      </c>
      <c r="B176">
        <v>-0.18496653378417199</v>
      </c>
      <c r="C176">
        <v>-1.12550723092036</v>
      </c>
      <c r="D176">
        <v>-0.63697693511391495</v>
      </c>
      <c r="E176">
        <v>-0.89948530234333901</v>
      </c>
      <c r="F176">
        <v>-0.92198771614056296</v>
      </c>
    </row>
    <row r="177" spans="1:6" x14ac:dyDescent="0.2">
      <c r="A177">
        <v>-0.72750493580313402</v>
      </c>
      <c r="B177">
        <v>-0.64173834960799703</v>
      </c>
      <c r="C177">
        <v>-0.65565262499646404</v>
      </c>
      <c r="D177">
        <v>-1.1006068260778299</v>
      </c>
      <c r="E177">
        <v>-0.89948530234333901</v>
      </c>
      <c r="F177">
        <v>-0.87765348469429805</v>
      </c>
    </row>
    <row r="178" spans="1:6" x14ac:dyDescent="0.2">
      <c r="A178">
        <v>1.3112615023127601</v>
      </c>
      <c r="B178">
        <v>-0.41335244169608398</v>
      </c>
      <c r="C178">
        <v>1.3412294501801001</v>
      </c>
      <c r="D178">
        <v>-9.6075395656019399E-2</v>
      </c>
      <c r="E178">
        <v>-0.69087451352826101</v>
      </c>
      <c r="F178">
        <v>-0.72248367463237095</v>
      </c>
    </row>
    <row r="179" spans="1:6" x14ac:dyDescent="0.2">
      <c r="A179">
        <v>4.8112730871391E-2</v>
      </c>
      <c r="B179">
        <v>-0.29915948774012802</v>
      </c>
      <c r="C179">
        <v>0.24490203635767099</v>
      </c>
      <c r="D179">
        <v>-0.25061869264399</v>
      </c>
      <c r="E179">
        <v>-6.5042147083028107E-2</v>
      </c>
      <c r="F179">
        <v>0.58537615303244195</v>
      </c>
    </row>
    <row r="180" spans="1:6" x14ac:dyDescent="0.2">
      <c r="A180">
        <v>-0.70534443104100497</v>
      </c>
      <c r="B180">
        <v>-0.52754539565204095</v>
      </c>
      <c r="C180">
        <v>-0.81227082697109698</v>
      </c>
      <c r="D180">
        <v>-0.55970528661993002</v>
      </c>
      <c r="E180">
        <v>-0.69087451352826101</v>
      </c>
      <c r="F180">
        <v>-0.65598232746297402</v>
      </c>
    </row>
    <row r="181" spans="1:6" x14ac:dyDescent="0.2">
      <c r="A181">
        <v>-0.32861585008480698</v>
      </c>
      <c r="B181">
        <v>-0.29915948774012802</v>
      </c>
      <c r="C181">
        <v>-0.45987987252817403</v>
      </c>
      <c r="D181">
        <v>-0.36652616538496702</v>
      </c>
      <c r="E181">
        <v>-0.48226372471318302</v>
      </c>
      <c r="F181">
        <v>-0.41214405450851699</v>
      </c>
    </row>
    <row r="182" spans="1:6" x14ac:dyDescent="0.2">
      <c r="A182">
        <v>0.64644635944888196</v>
      </c>
      <c r="B182">
        <v>-1.0985101654318199</v>
      </c>
      <c r="C182">
        <v>0.12743838487669701</v>
      </c>
      <c r="D182">
        <v>-0.17334704415000399</v>
      </c>
      <c r="E182">
        <v>-1.1080960911584199</v>
      </c>
      <c r="F182">
        <v>-0.800068579663335</v>
      </c>
    </row>
    <row r="183" spans="1:6" x14ac:dyDescent="0.2">
      <c r="A183">
        <v>0.97885393088082095</v>
      </c>
      <c r="B183">
        <v>0.72857709786347702</v>
      </c>
      <c r="C183">
        <v>1.9677022580786301</v>
      </c>
      <c r="D183">
        <v>-9.6075395656019399E-2</v>
      </c>
      <c r="E183">
        <v>-1.1080960911584199</v>
      </c>
      <c r="F183">
        <v>-0.74465079035550397</v>
      </c>
    </row>
    <row r="184" spans="1:6" x14ac:dyDescent="0.2">
      <c r="A184">
        <v>0.80156989278378699</v>
      </c>
      <c r="B184">
        <v>-1.3268960733437301</v>
      </c>
      <c r="C184">
        <v>0.47982933931962002</v>
      </c>
      <c r="D184">
        <v>9.7103725578943298E-2</v>
      </c>
      <c r="E184">
        <v>0.35217943054712703</v>
      </c>
      <c r="F184">
        <v>3.1124273454695399</v>
      </c>
    </row>
    <row r="185" spans="1:6" x14ac:dyDescent="0.2">
      <c r="A185">
        <v>-0.61670241199248799</v>
      </c>
      <c r="B185">
        <v>0.38599823599560801</v>
      </c>
      <c r="C185">
        <v>-0.381570771540858</v>
      </c>
      <c r="D185">
        <v>-0.13471121990301199</v>
      </c>
      <c r="E185">
        <v>-6.5042147083028107E-2</v>
      </c>
      <c r="F185">
        <v>0.36370499580111698</v>
      </c>
    </row>
    <row r="186" spans="1:6" x14ac:dyDescent="0.2">
      <c r="A186">
        <v>1.2226194832642401</v>
      </c>
      <c r="B186">
        <v>4.3419374127740003E-2</v>
      </c>
      <c r="C186">
        <v>1.30207489968644</v>
      </c>
      <c r="D186">
        <v>-5.74395714090268E-2</v>
      </c>
      <c r="E186">
        <v>-0.69087451352826101</v>
      </c>
      <c r="F186">
        <v>0.47454057441677999</v>
      </c>
    </row>
    <row r="187" spans="1:6" x14ac:dyDescent="0.2">
      <c r="A187">
        <v>-0.55022089770610005</v>
      </c>
      <c r="B187">
        <v>-0.29915948774012802</v>
      </c>
      <c r="C187">
        <v>-0.45987987252817403</v>
      </c>
      <c r="D187">
        <v>-0.40516198963195998</v>
      </c>
      <c r="E187">
        <v>1.3952333746225201</v>
      </c>
      <c r="F187">
        <v>-0.19047289727719299</v>
      </c>
    </row>
    <row r="188" spans="1:6" x14ac:dyDescent="0.2">
      <c r="A188">
        <v>0.60212534992462297</v>
      </c>
      <c r="B188">
        <v>2.0988925453349498</v>
      </c>
      <c r="C188">
        <v>1.0671475967244901</v>
      </c>
      <c r="D188">
        <v>1.41072174997669</v>
      </c>
      <c r="E188">
        <v>-1.31670687997349</v>
      </c>
      <c r="F188">
        <v>-0.80671871438027398</v>
      </c>
    </row>
    <row r="189" spans="1:6" x14ac:dyDescent="0.2">
      <c r="A189">
        <v>0.33619929277907201</v>
      </c>
      <c r="B189">
        <v>-0.29915948774012802</v>
      </c>
      <c r="C189">
        <v>0.28405658685132901</v>
      </c>
      <c r="D189">
        <v>0.135739549825936</v>
      </c>
      <c r="E189">
        <v>0.35217943054712703</v>
      </c>
      <c r="F189">
        <v>1.6050634762965299</v>
      </c>
    </row>
    <row r="190" spans="1:6" x14ac:dyDescent="0.2">
      <c r="A190">
        <v>-1.2371965453321101</v>
      </c>
      <c r="B190">
        <v>-1.3268960733437301</v>
      </c>
      <c r="C190">
        <v>-1.5562072863506</v>
      </c>
      <c r="D190">
        <v>-1.02333517758384</v>
      </c>
      <c r="E190">
        <v>3.4813412627732898</v>
      </c>
      <c r="F190">
        <v>0.47454057441677999</v>
      </c>
    </row>
    <row r="191" spans="1:6" x14ac:dyDescent="0.2">
      <c r="A191">
        <v>-1.1485545262835899</v>
      </c>
      <c r="B191">
        <v>-0.64173834960799703</v>
      </c>
      <c r="C191">
        <v>-0.53818897351549</v>
      </c>
      <c r="D191">
        <v>-1.2551501230658</v>
      </c>
      <c r="E191">
        <v>-0.48226372471318302</v>
      </c>
      <c r="F191">
        <v>-0.76681790607863598</v>
      </c>
    </row>
    <row r="192" spans="1:6" x14ac:dyDescent="0.2">
      <c r="A192">
        <v>1.0231749404050801</v>
      </c>
      <c r="B192">
        <v>-0.64173834960799703</v>
      </c>
      <c r="C192">
        <v>0.24490203635767099</v>
      </c>
      <c r="D192">
        <v>-0.13471121990301199</v>
      </c>
      <c r="E192">
        <v>-0.27365293589810602</v>
      </c>
      <c r="F192">
        <v>9.7699607123528404E-2</v>
      </c>
    </row>
    <row r="193" spans="1:6" x14ac:dyDescent="0.2">
      <c r="A193">
        <v>-0.79398645008952196</v>
      </c>
      <c r="B193">
        <v>-1.3268960733437301</v>
      </c>
      <c r="C193">
        <v>-0.851425377464755</v>
      </c>
      <c r="D193">
        <v>-0.79152023210188505</v>
      </c>
      <c r="E193">
        <v>-0.48226372471318302</v>
      </c>
      <c r="F193">
        <v>-0.89982060041743095</v>
      </c>
    </row>
    <row r="194" spans="1:6" x14ac:dyDescent="0.2">
      <c r="A194">
        <v>-0.68318392627887503</v>
      </c>
      <c r="B194">
        <v>-0.75593130356395299</v>
      </c>
      <c r="C194">
        <v>-0.77311627647743897</v>
      </c>
      <c r="D194">
        <v>-0.86879188059586998</v>
      </c>
      <c r="E194">
        <v>0.97801179699235996</v>
      </c>
      <c r="F194">
        <v>-0.19047289727719299</v>
      </c>
    </row>
    <row r="195" spans="1:6" x14ac:dyDescent="0.2">
      <c r="A195">
        <v>-0.26213433579841899</v>
      </c>
      <c r="B195">
        <v>-0.52754539565204095</v>
      </c>
      <c r="C195">
        <v>-0.18579801907256799</v>
      </c>
      <c r="D195">
        <v>-0.25061869264399</v>
      </c>
      <c r="E195">
        <v>-0.48226372471318302</v>
      </c>
      <c r="F195">
        <v>-0.52297963312417906</v>
      </c>
    </row>
    <row r="196" spans="1:6" x14ac:dyDescent="0.2">
      <c r="A196">
        <v>-1.1485545262835899</v>
      </c>
      <c r="B196">
        <v>-0.87012425751990896</v>
      </c>
      <c r="C196">
        <v>-1.28212543289499</v>
      </c>
      <c r="D196">
        <v>-1.29378594731279</v>
      </c>
      <c r="E196">
        <v>0.97801179699235996</v>
      </c>
      <c r="F196">
        <v>-0.63381521173984201</v>
      </c>
    </row>
    <row r="197" spans="1:6" x14ac:dyDescent="0.2">
      <c r="A197">
        <v>-0.83830745961378095</v>
      </c>
      <c r="B197">
        <v>0.15761232808369599</v>
      </c>
      <c r="C197">
        <v>-0.49903442302183199</v>
      </c>
      <c r="D197">
        <v>-0.59834111086692199</v>
      </c>
      <c r="E197">
        <v>1.8124549522526701</v>
      </c>
      <c r="F197">
        <v>1.1395540461107501</v>
      </c>
    </row>
    <row r="198" spans="1:6" x14ac:dyDescent="0.2">
      <c r="A198">
        <v>3.79172134713246E-3</v>
      </c>
      <c r="B198">
        <v>2.4414714072028199</v>
      </c>
      <c r="C198">
        <v>0.79306574326888402</v>
      </c>
      <c r="D198">
        <v>1.3334501014827</v>
      </c>
      <c r="E198">
        <v>-0.89948530234333901</v>
      </c>
      <c r="F198">
        <v>-0.71140011677080495</v>
      </c>
    </row>
    <row r="199" spans="1:6" x14ac:dyDescent="0.2">
      <c r="A199">
        <v>-0.88262846913803905</v>
      </c>
      <c r="B199">
        <v>0.15761232808369599</v>
      </c>
      <c r="C199">
        <v>-0.49903442302183199</v>
      </c>
      <c r="D199">
        <v>-0.86879188059586998</v>
      </c>
      <c r="E199">
        <v>2.22967652988283</v>
      </c>
      <c r="F199">
        <v>-0.30130847589285498</v>
      </c>
    </row>
    <row r="200" spans="1:6" x14ac:dyDescent="0.2">
      <c r="A200">
        <v>4.8112730871391E-2</v>
      </c>
      <c r="B200">
        <v>-0.29915948774012802</v>
      </c>
      <c r="C200">
        <v>-0.381570771540858</v>
      </c>
      <c r="D200">
        <v>-9.6075395656019399E-2</v>
      </c>
      <c r="E200">
        <v>0.35217943054712703</v>
      </c>
      <c r="F200">
        <v>5.3365375677263599E-2</v>
      </c>
    </row>
    <row r="201" spans="1:6" x14ac:dyDescent="0.2">
      <c r="A201">
        <v>1.1561379689778599</v>
      </c>
      <c r="B201">
        <v>1.8705066374230399</v>
      </c>
      <c r="C201">
        <v>2.9465660204200801</v>
      </c>
      <c r="D201">
        <v>0.86982021051879399</v>
      </c>
      <c r="E201">
        <v>0.14356864173205</v>
      </c>
      <c r="F201">
        <v>2.51391522094496</v>
      </c>
    </row>
    <row r="202" spans="1:6" x14ac:dyDescent="0.2">
      <c r="A202">
        <v>-0.15133181198777301</v>
      </c>
      <c r="B202">
        <v>0.72857709786347702</v>
      </c>
      <c r="C202">
        <v>0.40152023833230299</v>
      </c>
      <c r="D202">
        <v>0.25164702256691401</v>
      </c>
      <c r="E202">
        <v>2.64689810751298</v>
      </c>
      <c r="F202">
        <v>-0.107346213315446</v>
      </c>
    </row>
    <row r="203" spans="1:6" x14ac:dyDescent="0.2">
      <c r="A203">
        <v>-0.57238140246822899</v>
      </c>
      <c r="B203">
        <v>1.07115595973134</v>
      </c>
      <c r="C203">
        <v>-0.49903442302183199</v>
      </c>
      <c r="D203">
        <v>0.328918671060899</v>
      </c>
      <c r="E203">
        <v>-0.48226372471318302</v>
      </c>
      <c r="F203">
        <v>-0.245890686585024</v>
      </c>
    </row>
    <row r="204" spans="1:6" x14ac:dyDescent="0.2">
      <c r="A204">
        <v>0.82373039754591604</v>
      </c>
      <c r="B204">
        <v>-7.0773579828216096E-2</v>
      </c>
      <c r="C204">
        <v>-0.14664346857891</v>
      </c>
      <c r="D204">
        <v>0.94709185901277904</v>
      </c>
      <c r="E204">
        <v>0.76940100817728296</v>
      </c>
      <c r="F204">
        <v>-7.9637318661530995E-2</v>
      </c>
    </row>
    <row r="205" spans="1:6" x14ac:dyDescent="0.2">
      <c r="A205">
        <v>-0.70534443104100497</v>
      </c>
      <c r="B205">
        <v>-0.75593130356395299</v>
      </c>
      <c r="C205">
        <v>-0.77311627647743897</v>
      </c>
      <c r="D205">
        <v>-0.48243363812594497</v>
      </c>
      <c r="E205">
        <v>-0.27365293589810602</v>
      </c>
      <c r="F205">
        <v>-0.63381521173984201</v>
      </c>
    </row>
    <row r="206" spans="1:6" x14ac:dyDescent="0.2">
      <c r="A206">
        <v>-1.2371965453321101</v>
      </c>
      <c r="B206">
        <v>-0.41335244169608398</v>
      </c>
      <c r="C206">
        <v>-0.92973447845207102</v>
      </c>
      <c r="D206">
        <v>-0.94606352908985503</v>
      </c>
      <c r="E206">
        <v>0.97801179699235996</v>
      </c>
      <c r="F206">
        <v>-0.30130847589285498</v>
      </c>
    </row>
    <row r="207" spans="1:6" x14ac:dyDescent="0.2">
      <c r="A207">
        <v>-0.39509736437119503</v>
      </c>
      <c r="B207">
        <v>-7.0773579828216096E-2</v>
      </c>
      <c r="C207">
        <v>-0.18579801907256799</v>
      </c>
      <c r="D207">
        <v>-0.25061869264399</v>
      </c>
      <c r="E207">
        <v>0.56079021936220497</v>
      </c>
      <c r="F207">
        <v>-0.19047289727719299</v>
      </c>
    </row>
    <row r="208" spans="1:6" x14ac:dyDescent="0.2">
      <c r="A208">
        <v>0.60212534992462297</v>
      </c>
      <c r="B208">
        <v>-0.41335244169608398</v>
      </c>
      <c r="C208">
        <v>-0.107488918085251</v>
      </c>
      <c r="D208">
        <v>-0.28925451689098203</v>
      </c>
      <c r="E208">
        <v>0.35217943054712703</v>
      </c>
      <c r="F208">
        <v>0.47454057441677999</v>
      </c>
    </row>
    <row r="209" spans="1:6" x14ac:dyDescent="0.2">
      <c r="A209">
        <v>-0.88262846913803905</v>
      </c>
      <c r="B209">
        <v>-1.0985101654318199</v>
      </c>
      <c r="C209">
        <v>-0.89057992795841301</v>
      </c>
      <c r="D209">
        <v>-1.1392426503248201</v>
      </c>
      <c r="E209">
        <v>-1.31670687997349</v>
      </c>
      <c r="F209">
        <v>-1.0328232947562299</v>
      </c>
    </row>
    <row r="210" spans="1:6" x14ac:dyDescent="0.2">
      <c r="A210">
        <v>0.247557273730555</v>
      </c>
      <c r="B210">
        <v>-0.41335244169608398</v>
      </c>
      <c r="C210">
        <v>8.8283834383038898E-2</v>
      </c>
      <c r="D210">
        <v>-0.7142485836079</v>
      </c>
      <c r="E210">
        <v>-6.5042147083028107E-2</v>
      </c>
      <c r="F210">
        <v>0.75162952095593505</v>
      </c>
    </row>
    <row r="211" spans="1:6" x14ac:dyDescent="0.2">
      <c r="A211">
        <v>-1.7912091643853401</v>
      </c>
      <c r="B211">
        <v>-0.98431721147586504</v>
      </c>
      <c r="C211">
        <v>-1.83028913980621</v>
      </c>
      <c r="D211">
        <v>-1.6028725412887299</v>
      </c>
      <c r="E211">
        <v>-0.69087451352826101</v>
      </c>
      <c r="F211">
        <v>-0.76681790607863598</v>
      </c>
    </row>
    <row r="212" spans="1:6" x14ac:dyDescent="0.2">
      <c r="A212">
        <v>-0.88262846913803905</v>
      </c>
      <c r="B212">
        <v>-0.75593130356395299</v>
      </c>
      <c r="C212">
        <v>-0.49903442302183199</v>
      </c>
      <c r="D212">
        <v>-0.36652616538496702</v>
      </c>
      <c r="E212">
        <v>-0.27365293589810602</v>
      </c>
      <c r="F212">
        <v>-0.76460119450632302</v>
      </c>
    </row>
    <row r="213" spans="1:6" x14ac:dyDescent="0.2">
      <c r="A213">
        <v>1.55502705469618</v>
      </c>
      <c r="B213">
        <v>0.27180528203965199</v>
      </c>
      <c r="C213">
        <v>0.51898388981327803</v>
      </c>
      <c r="D213">
        <v>0.94709185901277904</v>
      </c>
      <c r="E213">
        <v>-0.27365293589810602</v>
      </c>
      <c r="F213">
        <v>0.45237345869364698</v>
      </c>
    </row>
    <row r="214" spans="1:6" x14ac:dyDescent="0.2">
      <c r="A214">
        <v>-0.48373938341971201</v>
      </c>
      <c r="B214">
        <v>-1.21270311938778</v>
      </c>
      <c r="C214">
        <v>-0.65565262499646404</v>
      </c>
      <c r="D214">
        <v>-0.90742770484286295</v>
      </c>
      <c r="E214">
        <v>-0.69087451352826101</v>
      </c>
      <c r="F214">
        <v>-0.63381521173984201</v>
      </c>
    </row>
    <row r="215" spans="1:6" x14ac:dyDescent="0.2">
      <c r="A215">
        <v>-1.1263940215214601</v>
      </c>
      <c r="B215">
        <v>-0.41335244169608398</v>
      </c>
      <c r="C215">
        <v>-0.89057992795841301</v>
      </c>
      <c r="D215">
        <v>-1.02333517758384</v>
      </c>
      <c r="E215">
        <v>-0.89948530234333901</v>
      </c>
      <c r="F215">
        <v>-0.87765348469429805</v>
      </c>
    </row>
    <row r="216" spans="1:6" x14ac:dyDescent="0.2">
      <c r="A216">
        <v>-0.15133181198777301</v>
      </c>
      <c r="B216">
        <v>0.50019118995156397</v>
      </c>
      <c r="C216">
        <v>-0.18579801907256799</v>
      </c>
      <c r="D216">
        <v>0.135739549825936</v>
      </c>
      <c r="E216">
        <v>-1.31670687997349</v>
      </c>
      <c r="F216">
        <v>-0.97186372651761099</v>
      </c>
    </row>
    <row r="217" spans="1:6" x14ac:dyDescent="0.2">
      <c r="A217">
        <v>0.114594245157779</v>
      </c>
      <c r="B217">
        <v>0.95696300577538895</v>
      </c>
      <c r="C217">
        <v>0.16659293537035499</v>
      </c>
      <c r="D217">
        <v>0.21301119831992099</v>
      </c>
      <c r="E217">
        <v>0.97801179699235996</v>
      </c>
      <c r="F217">
        <v>0.45237345869364698</v>
      </c>
    </row>
    <row r="218" spans="1:6" x14ac:dyDescent="0.2">
      <c r="A218">
        <v>0.91237241659443302</v>
      </c>
      <c r="B218">
        <v>-0.52754539565204095</v>
      </c>
      <c r="C218">
        <v>0.71475664228156799</v>
      </c>
      <c r="D218">
        <v>-0.17334704415000399</v>
      </c>
      <c r="E218">
        <v>-1.31670687997349</v>
      </c>
      <c r="F218">
        <v>-0.87765348469429805</v>
      </c>
    </row>
    <row r="219" spans="1:6" x14ac:dyDescent="0.2">
      <c r="A219">
        <v>-0.99343099294868598</v>
      </c>
      <c r="B219">
        <v>-0.98431721147586504</v>
      </c>
      <c r="C219">
        <v>-1.1646617814140201</v>
      </c>
      <c r="D219">
        <v>-0.7142485836079</v>
      </c>
      <c r="E219">
        <v>0.56079021936220497</v>
      </c>
      <c r="F219">
        <v>-0.43061591204060401</v>
      </c>
    </row>
    <row r="220" spans="1:6" x14ac:dyDescent="0.2">
      <c r="A220">
        <v>1.2226194832642401</v>
      </c>
      <c r="B220">
        <v>-0.29915948774012802</v>
      </c>
      <c r="C220">
        <v>1.0671475967244901</v>
      </c>
      <c r="D220">
        <v>-0.21198286839699701</v>
      </c>
      <c r="E220">
        <v>1.18662258580744</v>
      </c>
      <c r="F220">
        <v>1.02871846749509</v>
      </c>
    </row>
    <row r="221" spans="1:6" x14ac:dyDescent="0.2">
      <c r="A221">
        <v>0.20323626420629601</v>
      </c>
      <c r="B221">
        <v>1.98469959137899</v>
      </c>
      <c r="C221">
        <v>-2.9179817097935299E-2</v>
      </c>
      <c r="D221">
        <v>1.41072174997669</v>
      </c>
      <c r="E221">
        <v>-0.27365293589810602</v>
      </c>
      <c r="F221">
        <v>-0.96632194758682799</v>
      </c>
    </row>
    <row r="222" spans="1:6" x14ac:dyDescent="0.2">
      <c r="A222">
        <v>-0.92694947866229804</v>
      </c>
      <c r="B222">
        <v>-0.75593130356395299</v>
      </c>
      <c r="C222">
        <v>-1.3604345338823101</v>
      </c>
      <c r="D222">
        <v>-0.90742770484286295</v>
      </c>
      <c r="E222">
        <v>-0.89948530234333901</v>
      </c>
      <c r="F222">
        <v>-0.98848906330996</v>
      </c>
    </row>
    <row r="223" spans="1:6" x14ac:dyDescent="0.2">
      <c r="A223">
        <v>0.71292787373527</v>
      </c>
      <c r="B223">
        <v>0.50019118995156397</v>
      </c>
      <c r="C223">
        <v>0.71475664228156799</v>
      </c>
      <c r="D223">
        <v>0.985727683259772</v>
      </c>
      <c r="E223">
        <v>-0.69087451352826101</v>
      </c>
      <c r="F223">
        <v>-0.74465079035550397</v>
      </c>
    </row>
    <row r="224" spans="1:6" x14ac:dyDescent="0.2">
      <c r="A224">
        <v>9.2433740395649597E-2</v>
      </c>
      <c r="B224">
        <v>0.72857709786347702</v>
      </c>
      <c r="C224">
        <v>-2.9179817097935299E-2</v>
      </c>
      <c r="D224">
        <v>9.7103725578943298E-2</v>
      </c>
      <c r="E224">
        <v>-1.1080960911584199</v>
      </c>
      <c r="F224">
        <v>-0.88873704255586405</v>
      </c>
    </row>
    <row r="225" spans="1:6" x14ac:dyDescent="0.2">
      <c r="A225">
        <v>0.82373039754591604</v>
      </c>
      <c r="B225">
        <v>0.61438414390752005</v>
      </c>
      <c r="C225">
        <v>0.44067478882596101</v>
      </c>
      <c r="D225">
        <v>0.63800526503683896</v>
      </c>
      <c r="E225">
        <v>-1.1080960911584199</v>
      </c>
      <c r="F225">
        <v>-0.84440281110960003</v>
      </c>
    </row>
    <row r="226" spans="1:6" x14ac:dyDescent="0.2">
      <c r="A226">
        <v>1.1339774642157301</v>
      </c>
      <c r="B226">
        <v>-0.98431721147586504</v>
      </c>
      <c r="C226">
        <v>1.0671475967244901</v>
      </c>
      <c r="D226">
        <v>-5.74395714090268E-2</v>
      </c>
      <c r="E226">
        <v>-0.27365293589810602</v>
      </c>
      <c r="F226">
        <v>-0.13505510796936199</v>
      </c>
    </row>
    <row r="227" spans="1:6" x14ac:dyDescent="0.2">
      <c r="A227">
        <v>0.75724888325952799</v>
      </c>
      <c r="B227">
        <v>1.07115595973134</v>
      </c>
      <c r="C227">
        <v>0.12743838487669701</v>
      </c>
      <c r="D227">
        <v>1.14027098024774</v>
      </c>
      <c r="E227">
        <v>2.22967652988283</v>
      </c>
      <c r="F227">
        <v>2.0262386750360499</v>
      </c>
    </row>
    <row r="228" spans="1:6" x14ac:dyDescent="0.2">
      <c r="A228">
        <v>-0.26213433579841899</v>
      </c>
      <c r="B228">
        <v>-1.3268960733437301</v>
      </c>
      <c r="C228">
        <v>-0.42072532203451601</v>
      </c>
      <c r="D228">
        <v>-0.59834111086692199</v>
      </c>
      <c r="E228">
        <v>-0.69087451352826101</v>
      </c>
      <c r="F228">
        <v>-0.85548636897116603</v>
      </c>
    </row>
    <row r="229" spans="1:6" x14ac:dyDescent="0.2">
      <c r="A229">
        <v>-0.10701080246351399</v>
      </c>
      <c r="B229">
        <v>-0.41335244169608398</v>
      </c>
      <c r="C229">
        <v>-6.8334367591593406E-2</v>
      </c>
      <c r="D229">
        <v>-0.7142485836079</v>
      </c>
      <c r="E229">
        <v>-1.1080960911584199</v>
      </c>
      <c r="F229">
        <v>-0.95523838972526198</v>
      </c>
    </row>
    <row r="230" spans="1:6" x14ac:dyDescent="0.2">
      <c r="A230">
        <v>0.31403878801694302</v>
      </c>
      <c r="B230">
        <v>-1.21270311938778</v>
      </c>
      <c r="C230">
        <v>0.47982933931962002</v>
      </c>
      <c r="D230">
        <v>-0.25061869264399</v>
      </c>
      <c r="E230">
        <v>-0.69087451352826101</v>
      </c>
      <c r="F230">
        <v>-0.41214405450851699</v>
      </c>
    </row>
    <row r="231" spans="1:6" x14ac:dyDescent="0.2">
      <c r="A231">
        <v>2.2641632070843198</v>
      </c>
      <c r="B231">
        <v>-0.64173834960799703</v>
      </c>
      <c r="C231">
        <v>1.4195385511674099</v>
      </c>
      <c r="D231">
        <v>0.174375374072928</v>
      </c>
      <c r="E231">
        <v>-0.27365293589810602</v>
      </c>
      <c r="F231">
        <v>-0.98848906330996</v>
      </c>
    </row>
    <row r="232" spans="1:6" x14ac:dyDescent="0.2">
      <c r="A232">
        <v>1.3555825118370199</v>
      </c>
      <c r="B232">
        <v>0.61438414390752005</v>
      </c>
      <c r="C232">
        <v>1.30207489968644</v>
      </c>
      <c r="D232">
        <v>0.83118438627180202</v>
      </c>
      <c r="E232">
        <v>0.14356864173205</v>
      </c>
      <c r="F232">
        <v>-1.31359714921337E-2</v>
      </c>
    </row>
    <row r="233" spans="1:6" x14ac:dyDescent="0.2">
      <c r="A233">
        <v>-0.70534443104100497</v>
      </c>
      <c r="B233">
        <v>-0.98431721147586504</v>
      </c>
      <c r="C233">
        <v>-0.49903442302183199</v>
      </c>
      <c r="D233">
        <v>-1.02333517758384</v>
      </c>
      <c r="E233">
        <v>0.14356864173205</v>
      </c>
      <c r="F233">
        <v>-0.43061591204060401</v>
      </c>
    </row>
    <row r="234" spans="1:6" x14ac:dyDescent="0.2">
      <c r="A234">
        <v>0.97885393088082095</v>
      </c>
      <c r="B234">
        <v>1.29954186764326</v>
      </c>
      <c r="C234">
        <v>0.55813844030693605</v>
      </c>
      <c r="D234">
        <v>0.90845603476578696</v>
      </c>
      <c r="E234">
        <v>-0.27365293589810602</v>
      </c>
      <c r="F234">
        <v>0.89571577315629602</v>
      </c>
    </row>
    <row r="235" spans="1:6" x14ac:dyDescent="0.2">
      <c r="A235">
        <v>2.3306447213707102</v>
      </c>
      <c r="B235">
        <v>-0.18496653378417199</v>
      </c>
      <c r="C235">
        <v>1.4195385511674099</v>
      </c>
      <c r="D235">
        <v>0.52209779229586095</v>
      </c>
      <c r="E235">
        <v>-0.69087451352826101</v>
      </c>
      <c r="F235">
        <v>-0.41214405450851699</v>
      </c>
    </row>
    <row r="236" spans="1:6" x14ac:dyDescent="0.2">
      <c r="A236">
        <v>-0.10701080246351399</v>
      </c>
      <c r="B236">
        <v>-0.98431721147586504</v>
      </c>
      <c r="C236">
        <v>-0.26410712005988402</v>
      </c>
      <c r="D236">
        <v>-0.90742770484286295</v>
      </c>
      <c r="E236">
        <v>0.14356864173205</v>
      </c>
      <c r="F236">
        <v>-0.46386658562530197</v>
      </c>
    </row>
    <row r="237" spans="1:6" x14ac:dyDescent="0.2">
      <c r="A237">
        <v>-0.83830745961378095</v>
      </c>
      <c r="B237">
        <v>-1.21270311938778</v>
      </c>
      <c r="C237">
        <v>-1.12550723092036</v>
      </c>
      <c r="D237">
        <v>-1.1006068260778299</v>
      </c>
      <c r="E237">
        <v>-0.69087451352826101</v>
      </c>
      <c r="F237">
        <v>-0.63381521173984201</v>
      </c>
    </row>
    <row r="238" spans="1:6" x14ac:dyDescent="0.2">
      <c r="A238">
        <v>2.2863237118464501</v>
      </c>
      <c r="B238">
        <v>0.27180528203965199</v>
      </c>
      <c r="C238">
        <v>2.0460113590659401</v>
      </c>
      <c r="D238">
        <v>0.29028284681390598</v>
      </c>
      <c r="E238">
        <v>-0.48226372471318302</v>
      </c>
      <c r="F238">
        <v>0.45237345869364698</v>
      </c>
    </row>
    <row r="239" spans="1:6" x14ac:dyDescent="0.2">
      <c r="A239">
        <v>-0.88262846913803905</v>
      </c>
      <c r="B239">
        <v>-0.41335244169608398</v>
      </c>
      <c r="C239">
        <v>-1.12550723092036</v>
      </c>
      <c r="D239">
        <v>-0.83015605634887801</v>
      </c>
      <c r="E239">
        <v>-6.5042147083028107E-2</v>
      </c>
      <c r="F239">
        <v>-0.245890686585024</v>
      </c>
    </row>
    <row r="240" spans="1:6" x14ac:dyDescent="0.2">
      <c r="A240">
        <v>0.73508837849739905</v>
      </c>
      <c r="B240">
        <v>-1.0985101654318199</v>
      </c>
      <c r="C240">
        <v>-0.26410712005988402</v>
      </c>
      <c r="D240">
        <v>0.36755449530789103</v>
      </c>
      <c r="E240">
        <v>0.14356864173205</v>
      </c>
      <c r="F240">
        <v>0.862465099571597</v>
      </c>
    </row>
    <row r="241" spans="1:6" x14ac:dyDescent="0.2">
      <c r="A241">
        <v>0.26971777849268402</v>
      </c>
      <c r="B241">
        <v>0.61438414390752005</v>
      </c>
      <c r="C241">
        <v>-6.8334367591593406E-2</v>
      </c>
      <c r="D241">
        <v>-0.28925451689098203</v>
      </c>
      <c r="E241">
        <v>-0.69087451352826101</v>
      </c>
      <c r="F241">
        <v>-0.77790146394020199</v>
      </c>
    </row>
    <row r="242" spans="1:6" x14ac:dyDescent="0.2">
      <c r="A242">
        <v>-2.3009007739143099</v>
      </c>
      <c r="B242">
        <v>-1.21270311938778</v>
      </c>
      <c r="C242">
        <v>-2.0652164427681501</v>
      </c>
      <c r="D242">
        <v>-1.8733233110176799</v>
      </c>
      <c r="E242">
        <v>-1.31670687997349</v>
      </c>
      <c r="F242">
        <v>0.851381541710031</v>
      </c>
    </row>
    <row r="243" spans="1:6" x14ac:dyDescent="0.2">
      <c r="A243">
        <v>-1.4366410881912699</v>
      </c>
      <c r="B243">
        <v>-1.0985101654318199</v>
      </c>
      <c r="C243">
        <v>-1.20381633190768</v>
      </c>
      <c r="D243">
        <v>-1.3324217715597799</v>
      </c>
      <c r="E243">
        <v>-6.5042147083028107E-2</v>
      </c>
      <c r="F243">
        <v>-0.55253504851783197</v>
      </c>
    </row>
    <row r="244" spans="1:6" x14ac:dyDescent="0.2">
      <c r="A244">
        <v>-1.3479990691427499</v>
      </c>
      <c r="B244">
        <v>-0.18496653378417199</v>
      </c>
      <c r="C244">
        <v>-1.3212799833886499</v>
      </c>
      <c r="D244">
        <v>-0.86879188059586998</v>
      </c>
      <c r="E244">
        <v>-0.27365293589810602</v>
      </c>
      <c r="F244">
        <v>-0.64489876960140802</v>
      </c>
    </row>
    <row r="245" spans="1:6" x14ac:dyDescent="0.2">
      <c r="A245">
        <v>-1.0377520024729401</v>
      </c>
      <c r="B245">
        <v>-0.87012425751990896</v>
      </c>
      <c r="C245">
        <v>-1.47789818536328</v>
      </c>
      <c r="D245">
        <v>-1.1392426503248201</v>
      </c>
      <c r="E245">
        <v>2.0210657410677499</v>
      </c>
      <c r="F245">
        <v>-0.66706588532454003</v>
      </c>
    </row>
    <row r="246" spans="1:6" x14ac:dyDescent="0.2">
      <c r="A246">
        <v>0.86805140707017503</v>
      </c>
      <c r="B246">
        <v>-0.18496653378417199</v>
      </c>
      <c r="C246">
        <v>4.9129283889380801E-2</v>
      </c>
      <c r="D246">
        <v>1.9832077084958301E-2</v>
      </c>
      <c r="E246">
        <v>-6.5042147083028107E-2</v>
      </c>
      <c r="F246">
        <v>1.36122520334208</v>
      </c>
    </row>
    <row r="247" spans="1:6" x14ac:dyDescent="0.2">
      <c r="A247">
        <v>0.66860686421101101</v>
      </c>
      <c r="B247">
        <v>-1.21270311938778</v>
      </c>
      <c r="C247">
        <v>4.9129283889380801E-2</v>
      </c>
      <c r="D247">
        <v>0.29028284681390598</v>
      </c>
      <c r="E247">
        <v>-0.89948530234333901</v>
      </c>
      <c r="F247">
        <v>-0.83331925324803302</v>
      </c>
    </row>
    <row r="248" spans="1:6" x14ac:dyDescent="0.2">
      <c r="A248">
        <v>0.114594245157779</v>
      </c>
      <c r="B248">
        <v>-0.75593130356395299</v>
      </c>
      <c r="C248">
        <v>0.83222029376254203</v>
      </c>
      <c r="D248">
        <v>1.9832077084958301E-2</v>
      </c>
      <c r="E248">
        <v>-0.48226372471318302</v>
      </c>
      <c r="F248">
        <v>-0.245890686585024</v>
      </c>
    </row>
    <row r="249" spans="1:6" x14ac:dyDescent="0.2">
      <c r="A249">
        <v>-1.4588015929534</v>
      </c>
      <c r="B249">
        <v>-0.98431721147586504</v>
      </c>
      <c r="C249">
        <v>-1.47789818536328</v>
      </c>
      <c r="D249">
        <v>-1.44832924430076</v>
      </c>
      <c r="E249">
        <v>0.56079021936220497</v>
      </c>
      <c r="F249">
        <v>0.80704731026376597</v>
      </c>
    </row>
    <row r="250" spans="1:6" x14ac:dyDescent="0.2">
      <c r="A250">
        <v>-1.68040664057469</v>
      </c>
      <c r="B250">
        <v>-0.87012425751990896</v>
      </c>
      <c r="C250">
        <v>-1.5953618368442599</v>
      </c>
      <c r="D250">
        <v>-1.02333517758384</v>
      </c>
      <c r="E250">
        <v>2.4382873186978999</v>
      </c>
      <c r="F250">
        <v>-7.9637318661530995E-2</v>
      </c>
    </row>
    <row r="251" spans="1:6" x14ac:dyDescent="0.2">
      <c r="A251">
        <v>-0.86046796437591</v>
      </c>
      <c r="B251">
        <v>-0.87012425751990896</v>
      </c>
      <c r="C251">
        <v>-0.77311627647743897</v>
      </c>
      <c r="D251">
        <v>-0.79152023210188505</v>
      </c>
      <c r="E251">
        <v>-0.69087451352826101</v>
      </c>
      <c r="F251">
        <v>-0.57285564350122697</v>
      </c>
    </row>
    <row r="252" spans="1:6" x14ac:dyDescent="0.2">
      <c r="A252">
        <v>9.2433740395649597E-2</v>
      </c>
      <c r="B252">
        <v>0.72857709786347702</v>
      </c>
      <c r="C252">
        <v>-0.18579801907256799</v>
      </c>
      <c r="D252">
        <v>0.75391273777781698</v>
      </c>
      <c r="E252">
        <v>-6.5042147083028107E-2</v>
      </c>
      <c r="F252">
        <v>0.47454057441677999</v>
      </c>
    </row>
    <row r="253" spans="1:6" x14ac:dyDescent="0.2">
      <c r="A253">
        <v>0.69076736897313995</v>
      </c>
      <c r="B253">
        <v>-1.3268960733437301</v>
      </c>
      <c r="C253">
        <v>1.53700220264839</v>
      </c>
      <c r="D253">
        <v>-0.86879188059586998</v>
      </c>
      <c r="E253">
        <v>-1.1080960911584199</v>
      </c>
      <c r="F253">
        <v>-0.83331925324803302</v>
      </c>
    </row>
    <row r="254" spans="1:6" x14ac:dyDescent="0.2">
      <c r="A254">
        <v>1.7323110927932199</v>
      </c>
      <c r="B254">
        <v>0.84277005181943299</v>
      </c>
      <c r="C254">
        <v>2.0460113590659401</v>
      </c>
      <c r="D254">
        <v>1.7970799924466201</v>
      </c>
      <c r="E254">
        <v>-0.27365293589810602</v>
      </c>
      <c r="F254">
        <v>1.69373193918906</v>
      </c>
    </row>
    <row r="255" spans="1:6" x14ac:dyDescent="0.2">
      <c r="A255">
        <v>-0.59454190723035805</v>
      </c>
      <c r="B255">
        <v>-0.75593130356395299</v>
      </c>
      <c r="C255">
        <v>-0.69480717549012205</v>
      </c>
      <c r="D255">
        <v>-0.28925451689098203</v>
      </c>
      <c r="E255">
        <v>-6.5042147083028107E-2</v>
      </c>
      <c r="F255">
        <v>-2.4219529353699899E-2</v>
      </c>
    </row>
    <row r="256" spans="1:6" x14ac:dyDescent="0.2">
      <c r="A256">
        <v>0.35835979754120101</v>
      </c>
      <c r="B256">
        <v>-1.21270311938778</v>
      </c>
      <c r="C256">
        <v>0.47982933931962002</v>
      </c>
      <c r="D256">
        <v>-0.94606352908985503</v>
      </c>
      <c r="E256">
        <v>-6.5042147083028107E-2</v>
      </c>
      <c r="F256">
        <v>3.11982599541312E-2</v>
      </c>
    </row>
    <row r="257" spans="1:6" x14ac:dyDescent="0.2">
      <c r="A257">
        <v>2.1976816927979299</v>
      </c>
      <c r="B257">
        <v>-0.41335244169608398</v>
      </c>
      <c r="C257">
        <v>2.0460113590659401</v>
      </c>
      <c r="D257">
        <v>0.75391273777781698</v>
      </c>
      <c r="E257">
        <v>-0.48226372471318302</v>
      </c>
      <c r="F257">
        <v>2.3587454108830399</v>
      </c>
    </row>
    <row r="258" spans="1:6" x14ac:dyDescent="0.2">
      <c r="A258">
        <v>0.20323626420629601</v>
      </c>
      <c r="B258">
        <v>-7.0773579828216096E-2</v>
      </c>
      <c r="C258">
        <v>0.44067478882596101</v>
      </c>
      <c r="D258">
        <v>-0.40516198963195998</v>
      </c>
      <c r="E258">
        <v>-1.31670687997349</v>
      </c>
      <c r="F258">
        <v>-0.92198771614056296</v>
      </c>
    </row>
    <row r="259" spans="1:6" x14ac:dyDescent="0.2">
      <c r="A259">
        <v>1.4220640261234101</v>
      </c>
      <c r="B259">
        <v>1.1853489136873001</v>
      </c>
      <c r="C259">
        <v>1.0671475967244901</v>
      </c>
      <c r="D259">
        <v>1.8743516409406</v>
      </c>
      <c r="E259">
        <v>-1.31670687997349</v>
      </c>
      <c r="F259">
        <v>-0.82223569538646701</v>
      </c>
    </row>
    <row r="260" spans="1:6" x14ac:dyDescent="0.2">
      <c r="A260">
        <v>0.424841311827589</v>
      </c>
      <c r="B260">
        <v>-0.52754539565204095</v>
      </c>
      <c r="C260">
        <v>0.40152023833230299</v>
      </c>
      <c r="D260">
        <v>-0.13471121990301199</v>
      </c>
      <c r="E260">
        <v>-0.48226372471318302</v>
      </c>
      <c r="F260">
        <v>0.36370499580111698</v>
      </c>
    </row>
    <row r="261" spans="1:6" x14ac:dyDescent="0.2">
      <c r="A261">
        <v>0.62428585468675302</v>
      </c>
      <c r="B261">
        <v>-0.75593130356395299</v>
      </c>
      <c r="C261">
        <v>0.83222029376254203</v>
      </c>
      <c r="D261">
        <v>-5.74395714090268E-2</v>
      </c>
      <c r="E261">
        <v>0.97801179699235996</v>
      </c>
      <c r="F261">
        <v>0.75162952095593505</v>
      </c>
    </row>
    <row r="262" spans="1:6" x14ac:dyDescent="0.2">
      <c r="A262">
        <v>0.40268080706546</v>
      </c>
      <c r="B262">
        <v>-0.98431721147586504</v>
      </c>
      <c r="C262">
        <v>0.24490203635767099</v>
      </c>
      <c r="D262">
        <v>-0.32789034113797499</v>
      </c>
      <c r="E262">
        <v>-0.27365293589810602</v>
      </c>
      <c r="F262">
        <v>-0.334559149477554</v>
      </c>
    </row>
    <row r="263" spans="1:6" x14ac:dyDescent="0.2">
      <c r="A263">
        <v>0.80156989278378699</v>
      </c>
      <c r="B263">
        <v>-0.29915948774012802</v>
      </c>
      <c r="C263">
        <v>1.18461124820546</v>
      </c>
      <c r="D263">
        <v>0.328918671060899</v>
      </c>
      <c r="E263">
        <v>0.14356864173205</v>
      </c>
      <c r="F263">
        <v>0.94005000460256005</v>
      </c>
    </row>
    <row r="264" spans="1:6" x14ac:dyDescent="0.2">
      <c r="A264">
        <v>1.37774301659915</v>
      </c>
      <c r="B264">
        <v>-0.29915948774012802</v>
      </c>
      <c r="C264">
        <v>0.87137484425620004</v>
      </c>
      <c r="D264">
        <v>-0.28925451689098203</v>
      </c>
      <c r="E264">
        <v>0.76940100817728296</v>
      </c>
      <c r="F264">
        <v>1.02871846749509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20</vt:i4>
      </vt:variant>
    </vt:vector>
  </HeadingPairs>
  <TitlesOfParts>
    <vt:vector size="34" baseType="lpstr">
      <vt:lpstr>Today</vt:lpstr>
      <vt:lpstr>Themes</vt:lpstr>
      <vt:lpstr>OutOfSampleTesting</vt:lpstr>
      <vt:lpstr>AIC</vt:lpstr>
      <vt:lpstr>IndicatorVariables</vt:lpstr>
      <vt:lpstr>Diagnostics</vt:lpstr>
      <vt:lpstr>PreWork4NextClass</vt:lpstr>
      <vt:lpstr>InClassProjects</vt:lpstr>
      <vt:lpstr>Q_OOS</vt:lpstr>
      <vt:lpstr>Q_AIC</vt:lpstr>
      <vt:lpstr>Q_Diagnostics</vt:lpstr>
      <vt:lpstr>LendingClubData</vt:lpstr>
      <vt:lpstr>Hitters</vt:lpstr>
      <vt:lpstr>Hitters_Simple</vt:lpstr>
      <vt:lpstr>DiffB0_Diff_B1!a</vt:lpstr>
      <vt:lpstr>DiffB0_SameB1!a</vt:lpstr>
      <vt:lpstr>SameB0_DiffB1!a</vt:lpstr>
      <vt:lpstr>DiffB0_Diff_B1!b</vt:lpstr>
      <vt:lpstr>DiffB0_SameB1!b</vt:lpstr>
      <vt:lpstr>SameB0_DiffB1!b</vt:lpstr>
      <vt:lpstr>class</vt:lpstr>
      <vt:lpstr>cty</vt:lpstr>
      <vt:lpstr>cyl</vt:lpstr>
      <vt:lpstr>displ</vt:lpstr>
      <vt:lpstr>drv</vt:lpstr>
      <vt:lpstr>fl</vt:lpstr>
      <vt:lpstr>hwy</vt:lpstr>
      <vt:lpstr>manufacturer</vt:lpstr>
      <vt:lpstr>model</vt:lpstr>
      <vt:lpstr>DiffB0_Diff_B1!t</vt:lpstr>
      <vt:lpstr>DiffB0_SameB1!t</vt:lpstr>
      <vt:lpstr>SameB0_DiffB1!t</vt:lpstr>
      <vt:lpstr>trans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2022-10-04T18:18:52Z</dcterms:modified>
</cp:coreProperties>
</file>