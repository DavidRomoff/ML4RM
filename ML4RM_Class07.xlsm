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3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4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+xml"/>
  <Override PartName="/xl/charts/chartEx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06C37115-8DD7-534A-8F69-82F755B0E3E6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MultLogReg_RCode" sheetId="180" state="veryHidden" r:id="rId13"/>
    <sheet name="Ordinal_LogisticRegress" sheetId="181" state="veryHidden" r:id="rId14"/>
    <sheet name="OrdLogReg_RCode" sheetId="182" state="veryHidden" r:id="rId15"/>
    <sheet name="ClusterAnalysis" sheetId="119" r:id="rId16"/>
    <sheet name="Cluster" sheetId="122" state="veryHidden" r:id="rId17"/>
    <sheet name="Excel_Demo" sheetId="123" state="veryHidden" r:id="rId18"/>
    <sheet name="R_Demo" sheetId="124" state="veryHidden" r:id="rId19"/>
    <sheet name="PAM" sheetId="179" state="veryHidden" r:id="rId20"/>
    <sheet name="Silhouette" sheetId="160" state="veryHidden" r:id="rId21"/>
    <sheet name="HClust" sheetId="183" state="veryHidden" r:id="rId22"/>
    <sheet name="HClust_RCode" sheetId="184" state="veryHidden" r:id="rId23"/>
    <sheet name="PieceWiseModels" sheetId="157" r:id="rId24"/>
    <sheet name="Data" sheetId="140" state="veryHidden" r:id="rId25"/>
    <sheet name="Fit_O3" sheetId="141" state="veryHidden" r:id="rId26"/>
    <sheet name="Fit_3Piece_O0" sheetId="142" state="veryHidden" r:id="rId27"/>
    <sheet name="Fit_3Piece_O1" sheetId="143" state="veryHidden" r:id="rId28"/>
    <sheet name="Fit_3Piece_O1_v2" sheetId="144" state="veryHidden" r:id="rId29"/>
    <sheet name="Fit_6Piece_O1" sheetId="145" state="veryHidden" r:id="rId30"/>
    <sheet name="Fit_2Piece_O2" sheetId="146" state="veryHidden" r:id="rId31"/>
    <sheet name="Splines" sheetId="156" r:id="rId32"/>
    <sheet name="NoSpline1" sheetId="147" state="veryHidden" r:id="rId33"/>
    <sheet name="NoSpline2" sheetId="148" state="veryHidden" r:id="rId34"/>
    <sheet name="NoSpline3" sheetId="149" state="veryHidden" r:id="rId35"/>
    <sheet name="CubicSpline1" sheetId="150" state="veryHidden" r:id="rId36"/>
    <sheet name="CubicSpline2" sheetId="151" state="veryHidden" r:id="rId37"/>
    <sheet name="CubicSpline3" sheetId="152" state="veryHidden" r:id="rId38"/>
    <sheet name="CubicSpline_YC" sheetId="153" state="veryHidden" r:id="rId39"/>
    <sheet name="CubicSpline_YC_Optim" sheetId="154" state="veryHidden" r:id="rId40"/>
    <sheet name="CubicSpline_YC_Optim_Penalized" sheetId="155" state="veryHidden" r:id="rId41"/>
    <sheet name="Shapley" sheetId="161" r:id="rId42"/>
    <sheet name="Additive_2Player" sheetId="162" state="veryHidden" r:id="rId43"/>
    <sheet name="Additive_2P_Cases" sheetId="163" state="veryHidden" r:id="rId44"/>
    <sheet name="Additive_2P_Expectation" sheetId="164" state="veryHidden" r:id="rId45"/>
    <sheet name="Website" sheetId="165" state="veryHidden" r:id="rId46"/>
    <sheet name="Additive_3Player" sheetId="166" state="veryHidden" r:id="rId47"/>
    <sheet name="Theory2Models1" sheetId="211" state="veryHidden" r:id="rId48"/>
    <sheet name="Theory2Models2" sheetId="212" state="veryHidden" r:id="rId49"/>
    <sheet name="Theory2Models3" sheetId="218" state="veryHidden" r:id="rId50"/>
    <sheet name="Example1_Notation" sheetId="215" state="veryHidden" r:id="rId51"/>
    <sheet name="Example1_Indicator" sheetId="219" state="veryHidden" r:id="rId52"/>
    <sheet name="Example1_Values" sheetId="216" state="veryHidden" r:id="rId53"/>
    <sheet name="Additive_3Variable" sheetId="217" state="veryHidden" r:id="rId54"/>
    <sheet name="Additive_3Variable_Waterfall" sheetId="220" state="veryHidden" r:id="rId55"/>
    <sheet name="RCode_Shapley" sheetId="221" state="veryHidden" r:id="rId56"/>
    <sheet name="NaiveBayes" sheetId="178" r:id="rId57"/>
    <sheet name="train" sheetId="173" state="veryHidden" r:id="rId58"/>
    <sheet name="test" sheetId="174" state="veryHidden" r:id="rId59"/>
    <sheet name="fit_forecast" sheetId="175" state="veryHidden" r:id="rId60"/>
    <sheet name="RCode" sheetId="177" state="veryHidden" r:id="rId61"/>
    <sheet name="train_text" sheetId="185" state="veryHidden" r:id="rId62"/>
    <sheet name="test_text" sheetId="186" state="veryHidden" r:id="rId63"/>
    <sheet name="fit_forecast_text" sheetId="187" state="veryHidden" r:id="rId64"/>
    <sheet name="RCode_text" sheetId="188" state="veryHidden" r:id="rId65"/>
    <sheet name="PCA" sheetId="202" r:id="rId66"/>
    <sheet name="Terminology" sheetId="190" state="veryHidden" r:id="rId67"/>
    <sheet name="Boxers1" sheetId="191" state="veryHidden" r:id="rId68"/>
    <sheet name="Boxers2" sheetId="192" state="veryHidden" r:id="rId69"/>
    <sheet name="Boxers3" sheetId="193" state="veryHidden" r:id="rId70"/>
    <sheet name="Dimensions" sheetId="194" state="veryHidden" r:id="rId71"/>
    <sheet name="GreenPaint1" sheetId="195" state="veryHidden" r:id="rId72"/>
    <sheet name="GreenPaint2" sheetId="196" state="veryHidden" r:id="rId73"/>
    <sheet name="LimePaint" sheetId="197" state="veryHidden" r:id="rId74"/>
    <sheet name="Boxers4" sheetId="198" state="veryHidden" r:id="rId75"/>
    <sheet name="Calculation" sheetId="199" state="veryHidden" r:id="rId76"/>
    <sheet name="PCA_RCode" sheetId="200" state="veryHidden" r:id="rId77"/>
    <sheet name="Extra" sheetId="201" state="veryHidden" r:id="rId78"/>
    <sheet name="MarketBasketAnalysis" sheetId="203" r:id="rId79"/>
    <sheet name="TransactionsData_v1" sheetId="206" state="veryHidden" r:id="rId80"/>
    <sheet name="TransactionsData_v2" sheetId="207" state="veryHidden" r:id="rId81"/>
    <sheet name="TransactionsData_v3" sheetId="208" state="veryHidden" r:id="rId82"/>
    <sheet name="BasketAnalysis" sheetId="205" state="veryHidden" r:id="rId83"/>
    <sheet name="AprioriAlgo_RCode1" sheetId="209" state="veryHidden" r:id="rId84"/>
    <sheet name="AprioriAlgo_RCode2" sheetId="204" state="veryHidden" r:id="rId85"/>
    <sheet name="PreWork4NextClass" sheetId="27" r:id="rId86"/>
    <sheet name="InClassProjects" sheetId="26" r:id="rId87"/>
    <sheet name="Q_OrdinalRegression" sheetId="137" r:id="rId88"/>
    <sheet name="Q_HClusterAnalysis" sheetId="169" r:id="rId89"/>
    <sheet name="Q_PCA" sheetId="210" r:id="rId90"/>
    <sheet name="Q_Optimization" sheetId="222" r:id="rId91"/>
  </sheets>
  <externalReferences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</externalReferences>
  <definedNames>
    <definedName name="_c1" localSheetId="38">CubicSpline_YC!$T$30</definedName>
    <definedName name="_c1" localSheetId="39">CubicSpline_YC_Optim!$T$30</definedName>
    <definedName name="_c1" localSheetId="40">CubicSpline_YC_Optim_Penalized!$T$30</definedName>
    <definedName name="_c1">CubicSpline3!$T$27</definedName>
    <definedName name="_c2" localSheetId="38">CubicSpline_YC!$T$34</definedName>
    <definedName name="_c2" localSheetId="39">CubicSpline_YC_Optim!$T$34</definedName>
    <definedName name="_c2" localSheetId="40">CubicSpline_YC_Optim_Penalized!$T$34</definedName>
    <definedName name="_c2">CubicSpline3!$T$31</definedName>
    <definedName name="_c3" localSheetId="38">CubicSpline_YC!$T$38</definedName>
    <definedName name="_c3" localSheetId="39">CubicSpline_YC_Optim!$T$38</definedName>
    <definedName name="_c3" localSheetId="40">CubicSpline_YC_Optim_Penalized!$T$38</definedName>
    <definedName name="_c3">CubicSpline3!$T$35</definedName>
    <definedName name="_r2" localSheetId="2">#REF!</definedName>
    <definedName name="_r2" localSheetId="78">#REF!</definedName>
    <definedName name="_r2" localSheetId="65">#REF!</definedName>
    <definedName name="_r2">#REF!</definedName>
    <definedName name="_R2_orig">[1]RSquareAdj!$C$6</definedName>
    <definedName name="_xlchart.v5.0" hidden="1">Additive_3Variable_Waterfall!$N$12:$Q$12</definedName>
    <definedName name="_xlchart.v5.1" hidden="1">Additive_3Variable_Waterfall!$N$13:$Q$13</definedName>
    <definedName name="A">[2]NextClass1_MeanVar!#REF!</definedName>
    <definedName name="a_0" localSheetId="38">CubicSpline_YC!#REF!</definedName>
    <definedName name="a_0" localSheetId="39">CubicSpline_YC_Optim!#REF!</definedName>
    <definedName name="a_0" localSheetId="40">CubicSpline_YC_Optim_Penalized!#REF!</definedName>
    <definedName name="a_0">#REF!</definedName>
    <definedName name="a_1" localSheetId="38">CubicSpline_YC!$AN$28</definedName>
    <definedName name="a_1" localSheetId="39">CubicSpline_YC_Optim!$AN$28</definedName>
    <definedName name="a_1" localSheetId="40">CubicSpline_YC_Optim_Penalized!$AN$28</definedName>
    <definedName name="a_1">#REF!</definedName>
    <definedName name="a_10" localSheetId="38">CubicSpline_YC!$AN$52</definedName>
    <definedName name="a_10" localSheetId="39">CubicSpline_YC_Optim!$AN$52</definedName>
    <definedName name="a_10" localSheetId="40">CubicSpline_YC_Optim_Penalized!$AN$52</definedName>
    <definedName name="a_10">#REF!</definedName>
    <definedName name="a_2" localSheetId="38">CubicSpline_YC!$AN$32</definedName>
    <definedName name="a_2" localSheetId="39">CubicSpline_YC_Optim!$AN$32</definedName>
    <definedName name="a_2" localSheetId="40">CubicSpline_YC_Optim_Penalized!$AN$32</definedName>
    <definedName name="a_2">#REF!</definedName>
    <definedName name="a_3" localSheetId="38">CubicSpline_YC!$AN$36</definedName>
    <definedName name="a_3" localSheetId="39">CubicSpline_YC_Optim!$AN$36</definedName>
    <definedName name="a_3" localSheetId="40">CubicSpline_YC_Optim_Penalized!$AN$36</definedName>
    <definedName name="a_3">#REF!</definedName>
    <definedName name="a_30" localSheetId="38">CubicSpline_YC!$AN$56</definedName>
    <definedName name="a_30" localSheetId="39">CubicSpline_YC_Optim!$AN$56</definedName>
    <definedName name="a_30" localSheetId="40">CubicSpline_YC_Optim_Penalized!$AN$56</definedName>
    <definedName name="a_30">#REF!</definedName>
    <definedName name="a_4" localSheetId="38">CubicSpline_YC!$AN$40</definedName>
    <definedName name="a_4" localSheetId="39">CubicSpline_YC_Optim!$AN$40</definedName>
    <definedName name="a_4" localSheetId="40">CubicSpline_YC_Optim_Penalized!$AN$40</definedName>
    <definedName name="a_4">#REF!</definedName>
    <definedName name="a_5" localSheetId="38">CubicSpline_YC!$AN$44</definedName>
    <definedName name="a_5" localSheetId="39">CubicSpline_YC_Optim!$AN$44</definedName>
    <definedName name="a_5" localSheetId="40">CubicSpline_YC_Optim_Penalized!$AN$44</definedName>
    <definedName name="a_5">#REF!</definedName>
    <definedName name="a_7" localSheetId="38">CubicSpline_YC!$AN$48</definedName>
    <definedName name="a_7" localSheetId="39">CubicSpline_YC_Optim!$AN$48</definedName>
    <definedName name="a_7" localSheetId="40">CubicSpline_YC_Optim_Penalized!$AN$48</definedName>
    <definedName name="a_7">#REF!</definedName>
    <definedName name="A_x">[3]ProductRule!$C$14</definedName>
    <definedName name="A_x_h">[3]ProductRule!$C$16</definedName>
    <definedName name="a1_" localSheetId="38">CubicSpline_YC!$T$28</definedName>
    <definedName name="a1_" localSheetId="39">CubicSpline_YC_Optim!$T$28</definedName>
    <definedName name="a1_" localSheetId="40">CubicSpline_YC_Optim_Penalized!$T$28</definedName>
    <definedName name="a1_">CubicSpline3!$T$25</definedName>
    <definedName name="a2_" localSheetId="38">CubicSpline_YC!$T$32</definedName>
    <definedName name="a2_" localSheetId="39">CubicSpline_YC_Optim!$T$32</definedName>
    <definedName name="a2_" localSheetId="40">CubicSpline_YC_Optim_Penalized!$T$32</definedName>
    <definedName name="a2_">CubicSpline3!$T$29</definedName>
    <definedName name="a3_" localSheetId="38">CubicSpline_YC!$T$36</definedName>
    <definedName name="a3_" localSheetId="39">CubicSpline_YC_Optim!$T$36</definedName>
    <definedName name="a3_" localSheetId="40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8">CubicSpline_YC!#REF!</definedName>
    <definedName name="b_0" localSheetId="39">CubicSpline_YC_Optim!#REF!</definedName>
    <definedName name="b_0" localSheetId="40">CubicSpline_YC_Optim_Penalized!#REF!</definedName>
    <definedName name="b_0">#REF!</definedName>
    <definedName name="b_1" localSheetId="38">CubicSpline_YC!$AN$29</definedName>
    <definedName name="b_1" localSheetId="39">CubicSpline_YC_Optim!$AN$29</definedName>
    <definedName name="b_1" localSheetId="40">CubicSpline_YC_Optim_Penalized!$AN$29</definedName>
    <definedName name="b_1">#REF!</definedName>
    <definedName name="b_10" localSheetId="38">CubicSpline_YC!$AN$53</definedName>
    <definedName name="b_10" localSheetId="39">CubicSpline_YC_Optim!$AN$53</definedName>
    <definedName name="b_10" localSheetId="40">CubicSpline_YC_Optim_Penalized!$AN$53</definedName>
    <definedName name="b_10">#REF!</definedName>
    <definedName name="b_2" localSheetId="38">CubicSpline_YC!$AN$33</definedName>
    <definedName name="b_2" localSheetId="39">CubicSpline_YC_Optim!$AN$33</definedName>
    <definedName name="b_2" localSheetId="40">CubicSpline_YC_Optim_Penalized!$AN$33</definedName>
    <definedName name="b_2">#REF!</definedName>
    <definedName name="b_3" localSheetId="38">CubicSpline_YC!$AN$37</definedName>
    <definedName name="b_3" localSheetId="39">CubicSpline_YC_Optim!$AN$37</definedName>
    <definedName name="b_3" localSheetId="40">CubicSpline_YC_Optim_Penalized!$AN$37</definedName>
    <definedName name="b_3">#REF!</definedName>
    <definedName name="b_30" localSheetId="38">CubicSpline_YC!$AN$57</definedName>
    <definedName name="b_30" localSheetId="39">CubicSpline_YC_Optim!$AN$57</definedName>
    <definedName name="b_30" localSheetId="40">CubicSpline_YC_Optim_Penalized!$AN$57</definedName>
    <definedName name="b_30">#REF!</definedName>
    <definedName name="b_4" localSheetId="38">CubicSpline_YC!$AN$41</definedName>
    <definedName name="b_4" localSheetId="39">CubicSpline_YC_Optim!$AN$41</definedName>
    <definedName name="b_4" localSheetId="40">CubicSpline_YC_Optim_Penalized!$AN$41</definedName>
    <definedName name="b_4">#REF!</definedName>
    <definedName name="b_5" localSheetId="38">CubicSpline_YC!$AN$45</definedName>
    <definedName name="b_5" localSheetId="39">CubicSpline_YC_Optim!$AN$45</definedName>
    <definedName name="b_5" localSheetId="40">CubicSpline_YC_Optim_Penalized!$AN$45</definedName>
    <definedName name="b_5">#REF!</definedName>
    <definedName name="b_7" localSheetId="38">CubicSpline_YC!$AN$49</definedName>
    <definedName name="b_7" localSheetId="39">CubicSpline_YC_Optim!$AN$49</definedName>
    <definedName name="b_7" localSheetId="40">CubicSpline_YC_Optim_Penalized!$AN$49</definedName>
    <definedName name="b_7">#REF!</definedName>
    <definedName name="b0">#REF!</definedName>
    <definedName name="b1_" localSheetId="38">CubicSpline_YC!$T$29</definedName>
    <definedName name="b1_" localSheetId="39">CubicSpline_YC_Optim!$T$29</definedName>
    <definedName name="b1_" localSheetId="40">CubicSpline_YC_Optim_Penalized!$T$29</definedName>
    <definedName name="b1_">CubicSpline3!$T$26</definedName>
    <definedName name="b2_" localSheetId="38">CubicSpline_YC!$T$33</definedName>
    <definedName name="b2_" localSheetId="39">CubicSpline_YC_Optim!$T$33</definedName>
    <definedName name="b2_" localSheetId="40">CubicSpline_YC_Optim_Penalized!$T$33</definedName>
    <definedName name="b2_">CubicSpline3!$T$30</definedName>
    <definedName name="b3_" localSheetId="38">CubicSpline_YC!$T$37</definedName>
    <definedName name="b3_" localSheetId="39">CubicSpline_YC_Optim!$T$37</definedName>
    <definedName name="b3_" localSheetId="40">CubicSpline_YC_Optim_Penalized!$T$37</definedName>
    <definedName name="b3_">CubicSpline3!$T$34</definedName>
    <definedName name="Balloons">BasketAnalysis!$I$4:$I$8</definedName>
    <definedName name="beta" localSheetId="2">#REF!</definedName>
    <definedName name="beta" localSheetId="78">#REF!</definedName>
    <definedName name="beta" localSheetId="65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8">CubicSpline_YC!$AN$60</definedName>
    <definedName name="c_0" localSheetId="39">CubicSpline_YC_Optim!$AN$60</definedName>
    <definedName name="c_0" localSheetId="40">CubicSpline_YC_Optim_Penalized!$AN$60</definedName>
    <definedName name="c_0">#REF!</definedName>
    <definedName name="c_1" localSheetId="38">CubicSpline_YC!$AN$30</definedName>
    <definedName name="c_1" localSheetId="39">CubicSpline_YC_Optim!$AN$30</definedName>
    <definedName name="c_1" localSheetId="40">CubicSpline_YC_Optim_Penalized!$AN$30</definedName>
    <definedName name="c_1">#REF!</definedName>
    <definedName name="c_10" localSheetId="38">CubicSpline_YC!$AN$54</definedName>
    <definedName name="c_10" localSheetId="39">CubicSpline_YC_Optim!$AN$54</definedName>
    <definedName name="c_10" localSheetId="40">CubicSpline_YC_Optim_Penalized!$AN$54</definedName>
    <definedName name="c_10">#REF!</definedName>
    <definedName name="c_2" localSheetId="38">CubicSpline_YC!$AN$34</definedName>
    <definedName name="c_2" localSheetId="39">CubicSpline_YC_Optim!$AN$34</definedName>
    <definedName name="c_2" localSheetId="40">CubicSpline_YC_Optim_Penalized!$AN$34</definedName>
    <definedName name="c_2">#REF!</definedName>
    <definedName name="c_3" localSheetId="38">CubicSpline_YC!$AN$38</definedName>
    <definedName name="c_3" localSheetId="39">CubicSpline_YC_Optim!$AN$38</definedName>
    <definedName name="c_3" localSheetId="40">CubicSpline_YC_Optim_Penalized!$AN$38</definedName>
    <definedName name="c_3">#REF!</definedName>
    <definedName name="c_30" localSheetId="38">CubicSpline_YC!$AN$58</definedName>
    <definedName name="c_30" localSheetId="39">CubicSpline_YC_Optim!$AN$58</definedName>
    <definedName name="c_30" localSheetId="40">CubicSpline_YC_Optim_Penalized!$AN$58</definedName>
    <definedName name="c_30">#REF!</definedName>
    <definedName name="c_4" localSheetId="38">CubicSpline_YC!$AN$42</definedName>
    <definedName name="c_4" localSheetId="39">CubicSpline_YC_Optim!$AN$42</definedName>
    <definedName name="c_4" localSheetId="40">CubicSpline_YC_Optim_Penalized!$AN$42</definedName>
    <definedName name="c_4">#REF!</definedName>
    <definedName name="c_5" localSheetId="38">CubicSpline_YC!$AN$46</definedName>
    <definedName name="c_5" localSheetId="39">CubicSpline_YC_Optim!$AN$46</definedName>
    <definedName name="c_5" localSheetId="40">CubicSpline_YC_Optim_Penalized!$AN$46</definedName>
    <definedName name="c_5">#REF!</definedName>
    <definedName name="c_7" localSheetId="38">CubicSpline_YC!$AN$50</definedName>
    <definedName name="c_7" localSheetId="39">CubicSpline_YC_Optim!$AN$50</definedName>
    <definedName name="c_7" localSheetId="40">CubicSpline_YC_Optim_Penalized!$AN$50</definedName>
    <definedName name="c_7">#REF!</definedName>
    <definedName name="Cake">#REF!</definedName>
    <definedName name="Candy_Bar">BasketAnalysis!$J$4:$J$8</definedName>
    <definedName name="Cd" localSheetId="2">[8]Options2!#REF!</definedName>
    <definedName name="Cd" localSheetId="78">[8]Options2!#REF!</definedName>
    <definedName name="Cd" localSheetId="65">[8]Options2!#REF!</definedName>
    <definedName name="Cd">[8]Options2!#REF!</definedName>
    <definedName name="Change" localSheetId="2">[5]VaR0!#REF!</definedName>
    <definedName name="Change" localSheetId="78">[5]VaR0!#REF!</definedName>
    <definedName name="Change" localSheetId="65">[5]VaR0!#REF!</definedName>
    <definedName name="Change">[5]VaR0!#REF!</definedName>
    <definedName name="change1" localSheetId="2">#REF!</definedName>
    <definedName name="change1" localSheetId="78">#REF!</definedName>
    <definedName name="change1" localSheetId="65">#REF!</definedName>
    <definedName name="change1">#REF!</definedName>
    <definedName name="change2" localSheetId="2">#REF!</definedName>
    <definedName name="change2" localSheetId="78">#REF!</definedName>
    <definedName name="change2" localSheetId="65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8">CubicSpline_YC!$AN$61</definedName>
    <definedName name="d_0" localSheetId="39">CubicSpline_YC_Optim!$AN$61</definedName>
    <definedName name="d_0" localSheetId="40">CubicSpline_YC_Optim_Penalized!$AN$61</definedName>
    <definedName name="d_0">#REF!</definedName>
    <definedName name="d_1" localSheetId="38">CubicSpline_YC!$AN$31</definedName>
    <definedName name="d_1" localSheetId="39">CubicSpline_YC_Optim!$AN$31</definedName>
    <definedName name="d_1" localSheetId="40">CubicSpline_YC_Optim_Penalized!$AN$31</definedName>
    <definedName name="d_1">#REF!</definedName>
    <definedName name="d_10" localSheetId="38">CubicSpline_YC!$AN$55</definedName>
    <definedName name="d_10" localSheetId="39">CubicSpline_YC_Optim!$AN$55</definedName>
    <definedName name="d_10" localSheetId="40">CubicSpline_YC_Optim_Penalized!$AN$55</definedName>
    <definedName name="d_10">#REF!</definedName>
    <definedName name="d_2" localSheetId="38">CubicSpline_YC!$AN$35</definedName>
    <definedName name="d_2" localSheetId="39">CubicSpline_YC_Optim!$AN$35</definedName>
    <definedName name="d_2" localSheetId="40">CubicSpline_YC_Optim_Penalized!$AN$35</definedName>
    <definedName name="d_2">#REF!</definedName>
    <definedName name="d_3" localSheetId="38">CubicSpline_YC!$AN$39</definedName>
    <definedName name="d_3" localSheetId="39">CubicSpline_YC_Optim!$AN$39</definedName>
    <definedName name="d_3" localSheetId="40">CubicSpline_YC_Optim_Penalized!$AN$39</definedName>
    <definedName name="d_3">#REF!</definedName>
    <definedName name="d_30" localSheetId="38">CubicSpline_YC!$AN$59</definedName>
    <definedName name="d_30" localSheetId="39">CubicSpline_YC_Optim!$AN$59</definedName>
    <definedName name="d_30" localSheetId="40">CubicSpline_YC_Optim_Penalized!$AN$59</definedName>
    <definedName name="d_30">#REF!</definedName>
    <definedName name="d_4" localSheetId="38">CubicSpline_YC!$AN$43</definedName>
    <definedName name="d_4" localSheetId="39">CubicSpline_YC_Optim!$AN$43</definedName>
    <definedName name="d_4" localSheetId="40">CubicSpline_YC_Optim_Penalized!$AN$43</definedName>
    <definedName name="d_4">#REF!</definedName>
    <definedName name="d_5" localSheetId="38">CubicSpline_YC!$AN$47</definedName>
    <definedName name="d_5" localSheetId="39">CubicSpline_YC_Optim!$AN$47</definedName>
    <definedName name="d_5" localSheetId="40">CubicSpline_YC_Optim_Penalized!$AN$47</definedName>
    <definedName name="d_5">#REF!</definedName>
    <definedName name="d_7" localSheetId="38">CubicSpline_YC!$AN$51</definedName>
    <definedName name="d_7" localSheetId="39">CubicSpline_YC_Optim!$AN$51</definedName>
    <definedName name="d_7" localSheetId="40">CubicSpline_YC_Optim_Penalized!$AN$51</definedName>
    <definedName name="d_7">#REF!</definedName>
    <definedName name="d1_" localSheetId="38">CubicSpline_YC!$T$31</definedName>
    <definedName name="d1_" localSheetId="39">CubicSpline_YC_Optim!$T$31</definedName>
    <definedName name="d1_" localSheetId="40">CubicSpline_YC_Optim_Penalized!$T$31</definedName>
    <definedName name="d1_">CubicSpline3!$T$28</definedName>
    <definedName name="d2_" localSheetId="38">CubicSpline_YC!$T$35</definedName>
    <definedName name="d2_" localSheetId="39">CubicSpline_YC_Optim!$T$35</definedName>
    <definedName name="d2_" localSheetId="40">CubicSpline_YC_Optim_Penalized!$T$35</definedName>
    <definedName name="d2_">CubicSpline3!$T$32</definedName>
    <definedName name="d3_" localSheetId="38">CubicSpline_YC!$T$39</definedName>
    <definedName name="d3_" localSheetId="39">CubicSpline_YC_Optim!$T$39</definedName>
    <definedName name="d3_" localSheetId="40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8">CubicSpline_YC!$F$65:$AK$96</definedName>
    <definedName name="dmat" localSheetId="39">CubicSpline_YC_Optim!$F$65:$AK$96</definedName>
    <definedName name="dmat" localSheetId="40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lowers">BasketAnalysis!$E$4:$E$8</definedName>
    <definedName name="forward_rate">[12]FX_Intro!$C$68</definedName>
    <definedName name="Frequency" localSheetId="2">#REF!</definedName>
    <definedName name="Frequency" localSheetId="78">#REF!</definedName>
    <definedName name="Frequency" localSheetId="65">#REF!</definedName>
    <definedName name="Frequency">#REF!</definedName>
    <definedName name="g_x">[3]ProductRule!$C$13</definedName>
    <definedName name="g_x_h">[3]ProductRule!$D$20</definedName>
    <definedName name="Get_Well_Card">BasketAnalysis!$F$4:$F$8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8">CubicSpline_YC!$C$100:$C$400</definedName>
    <definedName name="i" localSheetId="39">CubicSpline_YC_Optim!$C$100:$C$400</definedName>
    <definedName name="i" localSheetId="40">CubicSpline_YC_Optim_Penalized!$C$100:$C$400</definedName>
    <definedName name="i">CubicSpline3!$AA$8:$AA$38</definedName>
    <definedName name="i_1" localSheetId="40">CubicSpline_YC_Optim_Penalized!$B$100:$B$400</definedName>
    <definedName name="i_1">CubicSpline_YC_Optim!$B$100:$B$400</definedName>
    <definedName name="idx" localSheetId="2">#REF!</definedName>
    <definedName name="idx" localSheetId="78">#REF!</definedName>
    <definedName name="idx" localSheetId="65">#REF!</definedName>
    <definedName name="idx">#REF!</definedName>
    <definedName name="Inflator">[1]RSquareAdj!$C$10</definedName>
    <definedName name="k" localSheetId="2">[15]KNN_Vote!$AA$3</definedName>
    <definedName name="k" localSheetId="78">[15]KNN_Vote!$AA$3</definedName>
    <definedName name="k" localSheetId="65">[15]KNN_Vote!$AA$3</definedName>
    <definedName name="k">#REF!</definedName>
    <definedName name="L">#REF!</definedName>
    <definedName name="label" localSheetId="38">CubicSpline_YC!$B$28:$B$59</definedName>
    <definedName name="label" localSheetId="39">CubicSpline_YC_Optim!$B$28:$B$59</definedName>
    <definedName name="label" localSheetId="40">CubicSpline_YC_Optim_Penalized!$B$28:$B$59</definedName>
    <definedName name="label" localSheetId="37">CubicSpline3!$B$25:$B$36</definedName>
    <definedName name="label">#REF!</definedName>
    <definedName name="LL">#REF!</definedName>
    <definedName name="LN_Sim" localSheetId="2">#REF!</definedName>
    <definedName name="LN_Sim" localSheetId="78">#REF!</definedName>
    <definedName name="LN_Sim" localSheetId="65">#REF!</definedName>
    <definedName name="LN_Sim">#REF!</definedName>
    <definedName name="loss" localSheetId="2">#REF!</definedName>
    <definedName name="loss" localSheetId="78">#REF!</definedName>
    <definedName name="loss" localSheetId="65">#REF!</definedName>
    <definedName name="loss">#REF!</definedName>
    <definedName name="loss_30" localSheetId="2">#REF!</definedName>
    <definedName name="loss_30" localSheetId="78">#REF!</definedName>
    <definedName name="loss_30" localSheetId="65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 localSheetId="78">#REF!</definedName>
    <definedName name="n_" localSheetId="65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 localSheetId="78">[15]DurbinWatson!$B$3</definedName>
    <definedName name="p" localSheetId="65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 localSheetId="78">#REF!</definedName>
    <definedName name="Period" localSheetId="65">#REF!</definedName>
    <definedName name="Period">#REF!</definedName>
    <definedName name="peso_rate">[12]FX_Intro!$C$66</definedName>
    <definedName name="Pij" localSheetId="2">#REF!</definedName>
    <definedName name="Pij" localSheetId="78">#REF!</definedName>
    <definedName name="Pij" localSheetId="65">#REF!</definedName>
    <definedName name="Pij">#REF!</definedName>
    <definedName name="pmt" localSheetId="2">#REF!</definedName>
    <definedName name="pmt" localSheetId="78">#REF!</definedName>
    <definedName name="pmt" localSheetId="65">#REF!</definedName>
    <definedName name="pmt">#REF!</definedName>
    <definedName name="pmt_" localSheetId="2">#REF!</definedName>
    <definedName name="pmt_" localSheetId="78">#REF!</definedName>
    <definedName name="pmt_" localSheetId="65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 localSheetId="78">#REF!</definedName>
    <definedName name="price1" localSheetId="65">#REF!</definedName>
    <definedName name="price1">#REF!</definedName>
    <definedName name="price2" localSheetId="2">#REF!</definedName>
    <definedName name="price2" localSheetId="78">#REF!</definedName>
    <definedName name="price2" localSheetId="65">#REF!</definedName>
    <definedName name="price2">#REF!</definedName>
    <definedName name="price3" localSheetId="2">#REF!</definedName>
    <definedName name="price3" localSheetId="78">#REF!</definedName>
    <definedName name="price3" localSheetId="65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 localSheetId="78">#REF!</definedName>
    <definedName name="risk1" localSheetId="65">#REF!</definedName>
    <definedName name="risk1">#REF!</definedName>
    <definedName name="risk2" localSheetId="2">#REF!</definedName>
    <definedName name="risk2" localSheetId="78">#REF!</definedName>
    <definedName name="risk2" localSheetId="65">#REF!</definedName>
    <definedName name="risk2">#REF!</definedName>
    <definedName name="risk3" localSheetId="2">#REF!</definedName>
    <definedName name="risk3" localSheetId="78">#REF!</definedName>
    <definedName name="risk3" localSheetId="65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 localSheetId="78">#REF!</definedName>
    <definedName name="SD" localSheetId="65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 localSheetId="78">#REF!</definedName>
    <definedName name="SE0" localSheetId="65">#REF!</definedName>
    <definedName name="SE0">#REF!</definedName>
    <definedName name="SE1_" localSheetId="2">#REF!</definedName>
    <definedName name="SE1_" localSheetId="78">#REF!</definedName>
    <definedName name="SE1_" localSheetId="65">#REF!</definedName>
    <definedName name="SE1_">#REF!</definedName>
    <definedName name="SE2_" localSheetId="2">#REF!</definedName>
    <definedName name="SE2_" localSheetId="78">#REF!</definedName>
    <definedName name="SE2_" localSheetId="65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da">BasketAnalysis!$G$4:$G$8</definedName>
    <definedName name="solver_adj" localSheetId="39" hidden="1">CubicSpline_YC_Optim!$AN$28:$AN$59</definedName>
    <definedName name="solver_adj" localSheetId="40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9" hidden="1">0.0001</definedName>
    <definedName name="solver_cvg" localSheetId="40" hidden="1">0.0001</definedName>
    <definedName name="solver_cvg" localSheetId="8" hidden="1">0.0001</definedName>
    <definedName name="solver_cvg" localSheetId="9" hidden="1">0.0001</definedName>
    <definedName name="solver_drv" localSheetId="39" hidden="1">1</definedName>
    <definedName name="solver_drv" localSheetId="40" hidden="1">1</definedName>
    <definedName name="solver_drv" localSheetId="8" hidden="1">1</definedName>
    <definedName name="solver_drv" localSheetId="9" hidden="1">1</definedName>
    <definedName name="solver_eng" localSheetId="39" hidden="1">1</definedName>
    <definedName name="solver_eng" localSheetId="40" hidden="1">1</definedName>
    <definedName name="solver_eng" localSheetId="8" hidden="1">1</definedName>
    <definedName name="solver_eng" localSheetId="9" hidden="1">1</definedName>
    <definedName name="solver_itr" localSheetId="39" hidden="1">2147483647</definedName>
    <definedName name="solver_itr" localSheetId="40" hidden="1">2147483647</definedName>
    <definedName name="solver_itr" localSheetId="8" hidden="1">2147483647</definedName>
    <definedName name="solver_itr" localSheetId="9" hidden="1">2147483647</definedName>
    <definedName name="solver_lin" localSheetId="39" hidden="1">2</definedName>
    <definedName name="solver_lin" localSheetId="40" hidden="1">2</definedName>
    <definedName name="solver_lin" localSheetId="8" hidden="1">2</definedName>
    <definedName name="solver_lin" localSheetId="9" hidden="1">2</definedName>
    <definedName name="solver_mip" localSheetId="39" hidden="1">2147483647</definedName>
    <definedName name="solver_mip" localSheetId="40" hidden="1">2147483647</definedName>
    <definedName name="solver_mip" localSheetId="8" hidden="1">2147483647</definedName>
    <definedName name="solver_mip" localSheetId="9" hidden="1">2147483647</definedName>
    <definedName name="solver_mni" localSheetId="39" hidden="1">30</definedName>
    <definedName name="solver_mni" localSheetId="40" hidden="1">30</definedName>
    <definedName name="solver_mni" localSheetId="8" hidden="1">30</definedName>
    <definedName name="solver_mni" localSheetId="9" hidden="1">30</definedName>
    <definedName name="solver_mrt" localSheetId="39" hidden="1">0.075</definedName>
    <definedName name="solver_mrt" localSheetId="40" hidden="1">0.075</definedName>
    <definedName name="solver_mrt" localSheetId="8" hidden="1">0.075</definedName>
    <definedName name="solver_mrt" localSheetId="9" hidden="1">0.075</definedName>
    <definedName name="solver_msl" localSheetId="39" hidden="1">2</definedName>
    <definedName name="solver_msl" localSheetId="40" hidden="1">2</definedName>
    <definedName name="solver_msl" localSheetId="8" hidden="1">2</definedName>
    <definedName name="solver_msl" localSheetId="9" hidden="1">2</definedName>
    <definedName name="solver_neg" localSheetId="39" hidden="1">2</definedName>
    <definedName name="solver_neg" localSheetId="40" hidden="1">2</definedName>
    <definedName name="solver_neg" localSheetId="8" hidden="1">1</definedName>
    <definedName name="solver_neg" localSheetId="9" hidden="1">1</definedName>
    <definedName name="solver_nod" localSheetId="39" hidden="1">2147483647</definedName>
    <definedName name="solver_nod" localSheetId="40" hidden="1">2147483647</definedName>
    <definedName name="solver_nod" localSheetId="8" hidden="1">2147483647</definedName>
    <definedName name="solver_nod" localSheetId="9" hidden="1">2147483647</definedName>
    <definedName name="solver_num" localSheetId="39" hidden="1">0</definedName>
    <definedName name="solver_num" localSheetId="40" hidden="1">0</definedName>
    <definedName name="solver_num" localSheetId="8" hidden="1">0</definedName>
    <definedName name="solver_num" localSheetId="9" hidden="1">0</definedName>
    <definedName name="solver_opt" localSheetId="39" hidden="1">CubicSpline_YC_Optim!$O$101</definedName>
    <definedName name="solver_opt" localSheetId="40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9" hidden="1">0.000001</definedName>
    <definedName name="solver_pre" localSheetId="40" hidden="1">0.000001</definedName>
    <definedName name="solver_pre" localSheetId="8" hidden="1">0.000001</definedName>
    <definedName name="solver_pre" localSheetId="9" hidden="1">0.000001</definedName>
    <definedName name="solver_rbv" localSheetId="39" hidden="1">1</definedName>
    <definedName name="solver_rbv" localSheetId="40" hidden="1">1</definedName>
    <definedName name="solver_rbv" localSheetId="8" hidden="1">1</definedName>
    <definedName name="solver_rbv" localSheetId="9" hidden="1">1</definedName>
    <definedName name="solver_rlx" localSheetId="39" hidden="1">1</definedName>
    <definedName name="solver_rlx" localSheetId="40" hidden="1">1</definedName>
    <definedName name="solver_rlx" localSheetId="8" hidden="1">2</definedName>
    <definedName name="solver_rlx" localSheetId="9" hidden="1">2</definedName>
    <definedName name="solver_rsd" localSheetId="39" hidden="1">0</definedName>
    <definedName name="solver_rsd" localSheetId="40" hidden="1">0</definedName>
    <definedName name="solver_rsd" localSheetId="8" hidden="1">0</definedName>
    <definedName name="solver_rsd" localSheetId="9" hidden="1">0</definedName>
    <definedName name="solver_scl" localSheetId="39" hidden="1">2</definedName>
    <definedName name="solver_scl" localSheetId="40" hidden="1">2</definedName>
    <definedName name="solver_scl" localSheetId="8" hidden="1">1</definedName>
    <definedName name="solver_scl" localSheetId="9" hidden="1">1</definedName>
    <definedName name="solver_sho" localSheetId="39" hidden="1">2</definedName>
    <definedName name="solver_sho" localSheetId="40" hidden="1">2</definedName>
    <definedName name="solver_sho" localSheetId="8" hidden="1">2</definedName>
    <definedName name="solver_sho" localSheetId="9" hidden="1">2</definedName>
    <definedName name="solver_ssz" localSheetId="39" hidden="1">100</definedName>
    <definedName name="solver_ssz" localSheetId="40" hidden="1">100</definedName>
    <definedName name="solver_ssz" localSheetId="8" hidden="1">100</definedName>
    <definedName name="solver_ssz" localSheetId="9" hidden="1">100</definedName>
    <definedName name="solver_tim" localSheetId="39" hidden="1">2147483647</definedName>
    <definedName name="solver_tim" localSheetId="40" hidden="1">2147483647</definedName>
    <definedName name="solver_tim" localSheetId="8" hidden="1">2147483647</definedName>
    <definedName name="solver_tim" localSheetId="9" hidden="1">2147483647</definedName>
    <definedName name="solver_tol" localSheetId="39" hidden="1">0.01</definedName>
    <definedName name="solver_tol" localSheetId="40" hidden="1">0.01</definedName>
    <definedName name="solver_tol" localSheetId="8" hidden="1">0.01</definedName>
    <definedName name="solver_tol" localSheetId="9" hidden="1">0.01</definedName>
    <definedName name="solver_typ" localSheetId="39" hidden="1">2</definedName>
    <definedName name="solver_typ" localSheetId="40" hidden="1">2</definedName>
    <definedName name="solver_typ" localSheetId="8" hidden="1">1</definedName>
    <definedName name="solver_typ" localSheetId="9" hidden="1">1</definedName>
    <definedName name="solver_val" localSheetId="39" hidden="1">0</definedName>
    <definedName name="solver_val" localSheetId="40" hidden="1">0</definedName>
    <definedName name="solver_val" localSheetId="8" hidden="1">0</definedName>
    <definedName name="solver_val" localSheetId="9" hidden="1">0</definedName>
    <definedName name="solver_ver" localSheetId="39" hidden="1">2</definedName>
    <definedName name="solver_ver" localSheetId="40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 localSheetId="78">#REF!</definedName>
    <definedName name="stdev" localSheetId="65">#REF!</definedName>
    <definedName name="stdev">#REF!</definedName>
    <definedName name="Stuffed_Animal">BasketAnalysis!$H$4:$H$8</definedName>
    <definedName name="Sum">[13]CentralLimitTheorem!$C$7:$C$106</definedName>
    <definedName name="SupportThreshold">#REF!</definedName>
    <definedName name="t" localSheetId="38">CubicSpline_YC!$D$100:$D$400</definedName>
    <definedName name="t" localSheetId="39">CubicSpline_YC_Optim!$D$100:$D$400</definedName>
    <definedName name="t" localSheetId="40">CubicSpline_YC_Optim_Penalized!$D$100:$D$400</definedName>
    <definedName name="t" localSheetId="2">#REF!</definedName>
    <definedName name="t" localSheetId="78">#REF!</definedName>
    <definedName name="t" localSheetId="65">#REF!</definedName>
    <definedName name="t">CubicSpline3!$AB$8:$AB$38</definedName>
    <definedName name="t_">[4]CDS!$B$21:$B$25</definedName>
    <definedName name="table_asf">[19]ASF!$C$31:$D$34</definedName>
    <definedName name="time" localSheetId="38">CubicSpline_YC!$D$28:$D$59</definedName>
    <definedName name="time" localSheetId="39">CubicSpline_YC_Optim!$D$28:$D$59</definedName>
    <definedName name="time" localSheetId="40">CubicSpline_YC_Optim_Penalized!$D$28:$D$59</definedName>
    <definedName name="time" localSheetId="36">CubicSpline2!$D$25:$D$36</definedName>
    <definedName name="time" localSheetId="37">CubicSpline3!$D$25:$D$36</definedName>
    <definedName name="Time" localSheetId="2">#REF!</definedName>
    <definedName name="Time" localSheetId="78">#REF!</definedName>
    <definedName name="Time" localSheetId="65">#REF!</definedName>
    <definedName name="time">CubicSpline1!$D$24:$D$27</definedName>
    <definedName name="Time_" localSheetId="38">CubicSpline_YC!$F$37:$F$66</definedName>
    <definedName name="Time_" localSheetId="39">CubicSpline_YC_Optim!$F$37:$F$66</definedName>
    <definedName name="Time_" localSheetId="40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 localSheetId="78">#REF!</definedName>
    <definedName name="tmat12" localSheetId="65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8">CubicSpline_YC!$C$28:$C$59</definedName>
    <definedName name="value" localSheetId="39">CubicSpline_YC_Optim!$C$28:$C$59</definedName>
    <definedName name="value" localSheetId="40">CubicSpline_YC_Optim_Penalized!$C$28:$C$59</definedName>
    <definedName name="value" localSheetId="37">CubicSpline3!$C$25:$C$36</definedName>
    <definedName name="Value">[11]VaR3!$D$50:$H$50</definedName>
    <definedName name="value_01">[17]Dur2!$I$12</definedName>
    <definedName name="value_lo" localSheetId="2">#REF!</definedName>
    <definedName name="value_lo" localSheetId="78">#REF!</definedName>
    <definedName name="value_lo" localSheetId="65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 localSheetId="78">#REF!</definedName>
    <definedName name="y_draw" localSheetId="65">#REF!</definedName>
    <definedName name="y_draw">#REF!</definedName>
    <definedName name="ybar" localSheetId="2">#REF!</definedName>
    <definedName name="ybar" localSheetId="78">#REF!</definedName>
    <definedName name="ybar" localSheetId="65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 localSheetId="78">#REF!</definedName>
    <definedName name="yhat" localSheetId="65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3" i="220" l="1"/>
  <c r="P13" i="220"/>
  <c r="O13" i="220"/>
  <c r="N13" i="220"/>
  <c r="A14" i="220"/>
  <c r="A13" i="220"/>
  <c r="D2" i="220" a="1"/>
  <c r="G14" i="220" s="1"/>
  <c r="C4" i="216" a="1"/>
  <c r="E23" i="216" s="1"/>
  <c r="C4" i="219" a="1"/>
  <c r="C4" i="219" s="1"/>
  <c r="E4" i="219"/>
  <c r="C5" i="219"/>
  <c r="D5" i="219"/>
  <c r="E5" i="219"/>
  <c r="D6" i="219"/>
  <c r="D7" i="219"/>
  <c r="E7" i="219"/>
  <c r="C8" i="219"/>
  <c r="D8" i="219"/>
  <c r="C9" i="219"/>
  <c r="C10" i="219"/>
  <c r="D10" i="219"/>
  <c r="E10" i="219"/>
  <c r="C11" i="219"/>
  <c r="E11" i="219"/>
  <c r="E12" i="219"/>
  <c r="C13" i="219"/>
  <c r="D13" i="219"/>
  <c r="E13" i="219"/>
  <c r="D14" i="219"/>
  <c r="D15" i="219"/>
  <c r="E15" i="219"/>
  <c r="C16" i="219"/>
  <c r="D16" i="219"/>
  <c r="C17" i="219"/>
  <c r="C18" i="219"/>
  <c r="D18" i="219"/>
  <c r="E18" i="219"/>
  <c r="C19" i="219"/>
  <c r="E19" i="219"/>
  <c r="E20" i="219"/>
  <c r="C21" i="219"/>
  <c r="D21" i="219"/>
  <c r="E21" i="219"/>
  <c r="D22" i="219"/>
  <c r="D23" i="219"/>
  <c r="E23" i="219"/>
  <c r="A14" i="217"/>
  <c r="A13" i="217"/>
  <c r="A14" i="166"/>
  <c r="A13" i="166"/>
  <c r="I15" i="175"/>
  <c r="D12" i="166"/>
  <c r="N15" i="181"/>
  <c r="N14" i="181"/>
  <c r="N13" i="181"/>
  <c r="P13" i="181" s="1"/>
  <c r="P15" i="181"/>
  <c r="N12" i="181"/>
  <c r="P14" i="181"/>
  <c r="P12" i="181"/>
  <c r="P8" i="181"/>
  <c r="P7" i="181"/>
  <c r="P6" i="181"/>
  <c r="P5" i="181"/>
  <c r="J9" i="205"/>
  <c r="I9" i="205"/>
  <c r="H9" i="205"/>
  <c r="G9" i="205"/>
  <c r="F9" i="205"/>
  <c r="E9" i="205"/>
  <c r="B23" i="205" s="1" a="1"/>
  <c r="B23" i="205" s="1"/>
  <c r="C3" i="197"/>
  <c r="D3" i="197" s="1"/>
  <c r="C4" i="197"/>
  <c r="C5" i="197"/>
  <c r="D5" i="197" s="1"/>
  <c r="E5" i="197" s="1"/>
  <c r="C6" i="197"/>
  <c r="D6" i="197" s="1"/>
  <c r="E6" i="197" s="1"/>
  <c r="C7" i="197"/>
  <c r="D7" i="197" s="1"/>
  <c r="C8" i="197"/>
  <c r="C9" i="197"/>
  <c r="D9" i="197" s="1"/>
  <c r="E9" i="197" s="1"/>
  <c r="C10" i="197"/>
  <c r="C11" i="197"/>
  <c r="D11" i="197" s="1"/>
  <c r="C12" i="197"/>
  <c r="C13" i="197"/>
  <c r="D13" i="197" s="1"/>
  <c r="E13" i="197" s="1"/>
  <c r="C14" i="197"/>
  <c r="D14" i="197" s="1"/>
  <c r="C15" i="197"/>
  <c r="D15" i="197" s="1"/>
  <c r="C16" i="197"/>
  <c r="C17" i="197"/>
  <c r="D17" i="197" s="1"/>
  <c r="E17" i="197" s="1"/>
  <c r="C18" i="197"/>
  <c r="D18" i="197" s="1"/>
  <c r="C19" i="197"/>
  <c r="D19" i="197" s="1"/>
  <c r="C20" i="197"/>
  <c r="C21" i="197"/>
  <c r="D21" i="197" s="1"/>
  <c r="E21" i="197" s="1"/>
  <c r="C22" i="197"/>
  <c r="D22" i="197" s="1"/>
  <c r="E22" i="197" s="1"/>
  <c r="C23" i="197"/>
  <c r="D23" i="197" s="1"/>
  <c r="C24" i="197"/>
  <c r="B3" i="196"/>
  <c r="C3" i="196" s="1"/>
  <c r="B4" i="196"/>
  <c r="C4" i="196" s="1"/>
  <c r="B5" i="196"/>
  <c r="B6" i="196"/>
  <c r="C6" i="196" s="1"/>
  <c r="B7" i="196"/>
  <c r="C7" i="196" s="1"/>
  <c r="B8" i="196"/>
  <c r="C8" i="196" s="1"/>
  <c r="B9" i="196"/>
  <c r="B10" i="196"/>
  <c r="C10" i="196" s="1"/>
  <c r="B11" i="196"/>
  <c r="C11" i="196" s="1"/>
  <c r="E11" i="196" s="1"/>
  <c r="B12" i="196"/>
  <c r="C12" i="196" s="1"/>
  <c r="B13" i="196"/>
  <c r="B14" i="196"/>
  <c r="C14" i="196" s="1"/>
  <c r="B15" i="196"/>
  <c r="B16" i="196"/>
  <c r="C16" i="196" s="1"/>
  <c r="B17" i="196"/>
  <c r="B18" i="196"/>
  <c r="C18" i="196" s="1"/>
  <c r="B19" i="196"/>
  <c r="C19" i="196" s="1"/>
  <c r="B20" i="196"/>
  <c r="C20" i="196" s="1"/>
  <c r="B21" i="196"/>
  <c r="B22" i="196"/>
  <c r="C22" i="196" s="1"/>
  <c r="B23" i="196"/>
  <c r="C23" i="196" s="1"/>
  <c r="E23" i="196" s="1"/>
  <c r="B24" i="196"/>
  <c r="C24" i="196" s="1"/>
  <c r="B3" i="195"/>
  <c r="C3" i="195" s="1"/>
  <c r="B4" i="195"/>
  <c r="C4" i="195" s="1"/>
  <c r="B5" i="195"/>
  <c r="C5" i="195" s="1"/>
  <c r="B6" i="195"/>
  <c r="C6" i="195" s="1"/>
  <c r="B7" i="195"/>
  <c r="C7" i="195" s="1"/>
  <c r="B8" i="195"/>
  <c r="C8" i="195" s="1"/>
  <c r="B9" i="195"/>
  <c r="C9" i="195" s="1"/>
  <c r="B10" i="195"/>
  <c r="C10" i="195" s="1"/>
  <c r="B11" i="195"/>
  <c r="C11" i="195" s="1"/>
  <c r="B12" i="195"/>
  <c r="C12" i="195" s="1"/>
  <c r="B13" i="195"/>
  <c r="C13" i="195" s="1"/>
  <c r="B14" i="195"/>
  <c r="C14" i="195" s="1"/>
  <c r="B15" i="195"/>
  <c r="C15" i="195" s="1"/>
  <c r="B16" i="195"/>
  <c r="C16" i="195" s="1"/>
  <c r="B17" i="195"/>
  <c r="C17" i="195" s="1"/>
  <c r="B18" i="195"/>
  <c r="C18" i="195" s="1"/>
  <c r="B19" i="195"/>
  <c r="C19" i="195" s="1"/>
  <c r="B20" i="195"/>
  <c r="C20" i="195" s="1"/>
  <c r="B21" i="195"/>
  <c r="C21" i="195" s="1"/>
  <c r="B22" i="195"/>
  <c r="C22" i="195" s="1"/>
  <c r="B23" i="195"/>
  <c r="C23" i="195" s="1"/>
  <c r="B24" i="195"/>
  <c r="C24" i="195" s="1"/>
  <c r="L4" i="192"/>
  <c r="B4" i="192" s="1"/>
  <c r="L5" i="192"/>
  <c r="B5" i="192" s="1"/>
  <c r="L6" i="192"/>
  <c r="B6" i="192" s="1"/>
  <c r="B7" i="192"/>
  <c r="L7" i="192"/>
  <c r="L8" i="192"/>
  <c r="B8" i="192" s="1"/>
  <c r="L9" i="192"/>
  <c r="B9" i="192" s="1"/>
  <c r="L10" i="192"/>
  <c r="B10" i="192" s="1"/>
  <c r="B11" i="192"/>
  <c r="L11" i="192"/>
  <c r="L12" i="192"/>
  <c r="B12" i="192" s="1"/>
  <c r="L13" i="192"/>
  <c r="B13" i="192" s="1"/>
  <c r="L14" i="192"/>
  <c r="B14" i="192" s="1"/>
  <c r="B15" i="192"/>
  <c r="L15" i="192"/>
  <c r="L16" i="192"/>
  <c r="B16" i="192" s="1"/>
  <c r="L17" i="192"/>
  <c r="B17" i="192" s="1"/>
  <c r="L18" i="192"/>
  <c r="B18" i="192" s="1"/>
  <c r="B19" i="192"/>
  <c r="L19" i="192"/>
  <c r="L20" i="192"/>
  <c r="B20" i="192" s="1"/>
  <c r="L21" i="192"/>
  <c r="B21" i="192" s="1"/>
  <c r="L22" i="192"/>
  <c r="B22" i="192" s="1"/>
  <c r="B23" i="192"/>
  <c r="L23" i="192"/>
  <c r="L24" i="192"/>
  <c r="B24" i="192" s="1"/>
  <c r="L25" i="192"/>
  <c r="B25" i="192" s="1"/>
  <c r="L26" i="192"/>
  <c r="B26" i="192" s="1"/>
  <c r="B27" i="192"/>
  <c r="L27" i="192"/>
  <c r="H15" i="205" a="1"/>
  <c r="E15" i="205" a="1"/>
  <c r="F17" i="205" a="1"/>
  <c r="G16" i="205" a="1"/>
  <c r="F18" i="205" a="1"/>
  <c r="I18" i="205" a="1"/>
  <c r="G18" i="205" a="1"/>
  <c r="H18" i="205" a="1"/>
  <c r="E16" i="205" a="1"/>
  <c r="J18" i="205" a="1"/>
  <c r="G15" i="205" a="1"/>
  <c r="H14" i="205" a="1"/>
  <c r="E13" i="205" a="1"/>
  <c r="H17" i="205" a="1"/>
  <c r="F13" i="205" a="1"/>
  <c r="J14" i="205" a="1"/>
  <c r="J13" i="205" a="1"/>
  <c r="H16" i="205" a="1"/>
  <c r="H13" i="205" a="1"/>
  <c r="E17" i="205" a="1"/>
  <c r="I15" i="205" a="1"/>
  <c r="E18" i="205" a="1"/>
  <c r="J15" i="205" a="1"/>
  <c r="J16" i="205" a="1"/>
  <c r="G17" i="205" a="1"/>
  <c r="I13" i="205" a="1"/>
  <c r="I14" i="205" a="1"/>
  <c r="I16" i="205" a="1"/>
  <c r="G13" i="205" a="1"/>
  <c r="I17" i="205" a="1"/>
  <c r="F15" i="205" a="1"/>
  <c r="G14" i="205" a="1"/>
  <c r="J17" i="205" a="1"/>
  <c r="F16" i="205" a="1"/>
  <c r="E14" i="205" a="1"/>
  <c r="F14" i="205" a="1"/>
  <c r="G13" i="220" l="1"/>
  <c r="J14" i="220"/>
  <c r="D2" i="220"/>
  <c r="D12" i="220" s="1"/>
  <c r="D17" i="220" s="1"/>
  <c r="N17" i="220" s="1"/>
  <c r="J15" i="220"/>
  <c r="J13" i="220"/>
  <c r="J12" i="220"/>
  <c r="J17" i="220" s="1"/>
  <c r="D15" i="220"/>
  <c r="D13" i="220"/>
  <c r="G15" i="220"/>
  <c r="D14" i="220"/>
  <c r="G12" i="220"/>
  <c r="G17" i="220" s="1"/>
  <c r="D8" i="216"/>
  <c r="C11" i="216"/>
  <c r="E21" i="216"/>
  <c r="D5" i="216"/>
  <c r="C8" i="216"/>
  <c r="E10" i="216"/>
  <c r="D13" i="216"/>
  <c r="C16" i="216"/>
  <c r="E18" i="216"/>
  <c r="D21" i="216"/>
  <c r="C6" i="216"/>
  <c r="E8" i="216"/>
  <c r="D11" i="216"/>
  <c r="C14" i="216"/>
  <c r="E16" i="216"/>
  <c r="D19" i="216"/>
  <c r="C22" i="216"/>
  <c r="D6" i="216"/>
  <c r="C9" i="216"/>
  <c r="E11" i="216"/>
  <c r="D14" i="216"/>
  <c r="C17" i="216"/>
  <c r="E19" i="216"/>
  <c r="D22" i="216"/>
  <c r="E22" i="216"/>
  <c r="E5" i="216"/>
  <c r="C19" i="216"/>
  <c r="C20" i="216"/>
  <c r="D4" i="216"/>
  <c r="D26" i="216" s="1"/>
  <c r="C7" i="216"/>
  <c r="E9" i="216"/>
  <c r="D12" i="216"/>
  <c r="C15" i="216"/>
  <c r="E17" i="216"/>
  <c r="D20" i="216"/>
  <c r="C23" i="216"/>
  <c r="D16" i="216"/>
  <c r="E14" i="216"/>
  <c r="E4" i="216"/>
  <c r="E26" i="216" s="1"/>
  <c r="D7" i="216"/>
  <c r="C10" i="216"/>
  <c r="E12" i="216"/>
  <c r="D15" i="216"/>
  <c r="C18" i="216"/>
  <c r="E20" i="216"/>
  <c r="D23" i="216"/>
  <c r="E13" i="216"/>
  <c r="C4" i="216"/>
  <c r="C26" i="216" s="1"/>
  <c r="E6" i="216"/>
  <c r="D9" i="216"/>
  <c r="C12" i="216"/>
  <c r="D17" i="216"/>
  <c r="C5" i="216"/>
  <c r="E7" i="216"/>
  <c r="D10" i="216"/>
  <c r="C13" i="216"/>
  <c r="E15" i="216"/>
  <c r="D18" i="216"/>
  <c r="C21" i="216"/>
  <c r="C22" i="219"/>
  <c r="D19" i="219"/>
  <c r="E16" i="219"/>
  <c r="C14" i="219"/>
  <c r="D11" i="219"/>
  <c r="E8" i="219"/>
  <c r="C6" i="219"/>
  <c r="C23" i="219"/>
  <c r="C26" i="219" s="1"/>
  <c r="D20" i="219"/>
  <c r="E17" i="219"/>
  <c r="C15" i="219"/>
  <c r="D12" i="219"/>
  <c r="E9" i="219"/>
  <c r="C7" i="219"/>
  <c r="D4" i="219"/>
  <c r="G4" i="219" s="1" a="1"/>
  <c r="G4" i="219" s="1"/>
  <c r="E22" i="219"/>
  <c r="C20" i="219"/>
  <c r="D17" i="219"/>
  <c r="E14" i="219"/>
  <c r="C12" i="219"/>
  <c r="D9" i="219"/>
  <c r="E6" i="219"/>
  <c r="E26" i="219" s="1"/>
  <c r="D26" i="219"/>
  <c r="E26" i="215"/>
  <c r="D26" i="215"/>
  <c r="C26" i="215"/>
  <c r="G4" i="215" a="1"/>
  <c r="G4" i="215" s="1"/>
  <c r="H13" i="205"/>
  <c r="H23" i="205" s="1"/>
  <c r="J14" i="205"/>
  <c r="J24" i="205" s="1"/>
  <c r="J16" i="205"/>
  <c r="J26" i="205" s="1"/>
  <c r="J18" i="205"/>
  <c r="J28" i="205" s="1"/>
  <c r="E13" i="205"/>
  <c r="E23" i="205" s="1"/>
  <c r="G14" i="205"/>
  <c r="G24" i="205" s="1"/>
  <c r="G16" i="205"/>
  <c r="G26" i="205" s="1"/>
  <c r="G18" i="205"/>
  <c r="G28" i="205" s="1"/>
  <c r="F13" i="205"/>
  <c r="F23" i="205" s="1"/>
  <c r="F15" i="205"/>
  <c r="F25" i="205" s="1"/>
  <c r="J17" i="205"/>
  <c r="J27" i="205" s="1"/>
  <c r="F14" i="205"/>
  <c r="F24" i="205" s="1"/>
  <c r="F16" i="205"/>
  <c r="F26" i="205" s="1"/>
  <c r="F18" i="205"/>
  <c r="F28" i="205" s="1"/>
  <c r="I13" i="205"/>
  <c r="I23" i="205" s="1"/>
  <c r="I15" i="205"/>
  <c r="I25" i="205" s="1"/>
  <c r="E17" i="205"/>
  <c r="E27" i="205" s="1"/>
  <c r="H14" i="205"/>
  <c r="H24" i="205" s="1"/>
  <c r="H16" i="205"/>
  <c r="H26" i="205" s="1"/>
  <c r="F17" i="205"/>
  <c r="F27" i="205" s="1"/>
  <c r="G13" i="205"/>
  <c r="G23" i="205" s="1"/>
  <c r="E14" i="205"/>
  <c r="E24" i="205" s="1"/>
  <c r="I14" i="205"/>
  <c r="I24" i="205" s="1"/>
  <c r="G15" i="205"/>
  <c r="G25" i="205" s="1"/>
  <c r="E16" i="205"/>
  <c r="E26" i="205" s="1"/>
  <c r="I16" i="205"/>
  <c r="I26" i="205" s="1"/>
  <c r="G17" i="205"/>
  <c r="G27" i="205" s="1"/>
  <c r="E18" i="205"/>
  <c r="E28" i="205" s="1"/>
  <c r="I18" i="205"/>
  <c r="I28" i="205" s="1"/>
  <c r="H15" i="205"/>
  <c r="H25" i="205" s="1"/>
  <c r="H17" i="205"/>
  <c r="H27" i="205" s="1"/>
  <c r="E15" i="205"/>
  <c r="E25" i="205" s="1"/>
  <c r="I17" i="205"/>
  <c r="I27" i="205" s="1"/>
  <c r="J13" i="205"/>
  <c r="J23" i="205" s="1"/>
  <c r="J15" i="205"/>
  <c r="J25" i="205" s="1"/>
  <c r="H18" i="205"/>
  <c r="H28" i="205" s="1"/>
  <c r="E3" i="196"/>
  <c r="E7" i="196"/>
  <c r="E19" i="196"/>
  <c r="E18" i="197"/>
  <c r="H18" i="197" s="1"/>
  <c r="E14" i="197"/>
  <c r="H14" i="197" s="1"/>
  <c r="C15" i="196"/>
  <c r="E15" i="196" s="1"/>
  <c r="G22" i="197"/>
  <c r="H13" i="197"/>
  <c r="I6" i="197"/>
  <c r="F23" i="196"/>
  <c r="F3" i="196"/>
  <c r="H5" i="197"/>
  <c r="I22" i="197"/>
  <c r="F11" i="196"/>
  <c r="H6" i="197"/>
  <c r="H9" i="197"/>
  <c r="F19" i="196"/>
  <c r="F7" i="196"/>
  <c r="C21" i="196"/>
  <c r="F21" i="196" s="1"/>
  <c r="C17" i="196"/>
  <c r="F17" i="196" s="1"/>
  <c r="C13" i="196"/>
  <c r="F13" i="196" s="1"/>
  <c r="C9" i="196"/>
  <c r="F9" i="196" s="1"/>
  <c r="C5" i="196"/>
  <c r="F5" i="196" s="1"/>
  <c r="H22" i="197"/>
  <c r="H17" i="197"/>
  <c r="D10" i="197"/>
  <c r="E10" i="197" s="1"/>
  <c r="G6" i="197"/>
  <c r="E20" i="196"/>
  <c r="F20" i="196"/>
  <c r="E8" i="196"/>
  <c r="F8" i="196"/>
  <c r="E22" i="196"/>
  <c r="F22" i="196"/>
  <c r="E18" i="196"/>
  <c r="F18" i="196"/>
  <c r="E14" i="196"/>
  <c r="F14" i="196"/>
  <c r="E10" i="196"/>
  <c r="F10" i="196"/>
  <c r="E6" i="196"/>
  <c r="F6" i="196"/>
  <c r="H21" i="197"/>
  <c r="E7" i="197"/>
  <c r="H7" i="197" s="1"/>
  <c r="E16" i="196"/>
  <c r="F16" i="196"/>
  <c r="E4" i="196"/>
  <c r="F4" i="196"/>
  <c r="E15" i="197"/>
  <c r="H15" i="197" s="1"/>
  <c r="E23" i="197"/>
  <c r="G23" i="197" s="1"/>
  <c r="E24" i="196"/>
  <c r="F24" i="196"/>
  <c r="E12" i="196"/>
  <c r="F12" i="196"/>
  <c r="E11" i="197"/>
  <c r="H11" i="197" s="1"/>
  <c r="E19" i="197"/>
  <c r="I19" i="197" s="1"/>
  <c r="E3" i="197"/>
  <c r="H3" i="197" s="1"/>
  <c r="D24" i="197"/>
  <c r="E24" i="197" s="1"/>
  <c r="G21" i="197"/>
  <c r="D20" i="197"/>
  <c r="E20" i="197" s="1"/>
  <c r="G17" i="197"/>
  <c r="D16" i="197"/>
  <c r="E16" i="197" s="1"/>
  <c r="G13" i="197"/>
  <c r="D12" i="197"/>
  <c r="E12" i="197" s="1"/>
  <c r="G9" i="197"/>
  <c r="D8" i="197"/>
  <c r="E8" i="197" s="1"/>
  <c r="G5" i="197"/>
  <c r="D4" i="197"/>
  <c r="E4" i="197" s="1"/>
  <c r="I21" i="197"/>
  <c r="I17" i="197"/>
  <c r="I13" i="197"/>
  <c r="I9" i="197"/>
  <c r="I5" i="197"/>
  <c r="G4" i="216" l="1" a="1"/>
  <c r="G4" i="216" s="1"/>
  <c r="K28" i="216" a="1"/>
  <c r="K28" i="216" s="1"/>
  <c r="O28" i="216" s="1" a="1"/>
  <c r="O28" i="216" s="1"/>
  <c r="K29" i="216" a="1"/>
  <c r="K29" i="216" s="1"/>
  <c r="O29" i="216" s="1" a="1"/>
  <c r="O29" i="216" s="1"/>
  <c r="K26" i="216" a="1"/>
  <c r="K26" i="216" s="1"/>
  <c r="O26" i="216" s="1" a="1"/>
  <c r="O26" i="216" s="1"/>
  <c r="K30" i="216" a="1"/>
  <c r="K30" i="216" s="1"/>
  <c r="O30" i="216" s="1" a="1"/>
  <c r="O30" i="216" s="1"/>
  <c r="K27" i="216" a="1"/>
  <c r="K27" i="216" s="1"/>
  <c r="O27" i="216" s="1" a="1"/>
  <c r="O27" i="216" s="1"/>
  <c r="K31" i="216" a="1"/>
  <c r="K31" i="216" s="1"/>
  <c r="O31" i="216" s="1" a="1"/>
  <c r="O31" i="216" s="1"/>
  <c r="K25" i="216" a="1"/>
  <c r="K25" i="216" s="1"/>
  <c r="O25" i="216" s="1" a="1"/>
  <c r="O25" i="216" s="1"/>
  <c r="K24" i="216" a="1"/>
  <c r="K24" i="216" s="1"/>
  <c r="O24" i="216" s="1" a="1"/>
  <c r="O24" i="216" s="1"/>
  <c r="G7" i="197"/>
  <c r="I7" i="197"/>
  <c r="G14" i="197"/>
  <c r="G18" i="197"/>
  <c r="G11" i="197"/>
  <c r="F15" i="196"/>
  <c r="I14" i="197"/>
  <c r="E5" i="196"/>
  <c r="I18" i="197"/>
  <c r="G15" i="197"/>
  <c r="I8" i="197"/>
  <c r="I12" i="197"/>
  <c r="H23" i="197"/>
  <c r="E9" i="196"/>
  <c r="G4" i="197"/>
  <c r="I10" i="197"/>
  <c r="I16" i="197"/>
  <c r="G10" i="197"/>
  <c r="H4" i="197"/>
  <c r="H10" i="197"/>
  <c r="E13" i="196"/>
  <c r="H20" i="197"/>
  <c r="E17" i="196"/>
  <c r="H24" i="197"/>
  <c r="I3" i="197"/>
  <c r="E21" i="196"/>
  <c r="I4" i="197"/>
  <c r="G3" i="197"/>
  <c r="G19" i="197"/>
  <c r="H19" i="197"/>
  <c r="G12" i="197"/>
  <c r="G8" i="197"/>
  <c r="I15" i="197"/>
  <c r="H8" i="197"/>
  <c r="G20" i="197"/>
  <c r="H12" i="197"/>
  <c r="I20" i="197"/>
  <c r="I11" i="197"/>
  <c r="I23" i="197"/>
  <c r="H16" i="197"/>
  <c r="I24" i="197"/>
  <c r="G24" i="197"/>
  <c r="G16" i="197"/>
  <c r="D2" i="217" l="1" a="1"/>
  <c r="M29" i="187"/>
  <c r="L29" i="187"/>
  <c r="K29" i="187"/>
  <c r="J29" i="187"/>
  <c r="I29" i="187"/>
  <c r="H29" i="187"/>
  <c r="M28" i="187"/>
  <c r="L28" i="187"/>
  <c r="K28" i="187"/>
  <c r="J28" i="187"/>
  <c r="I28" i="187"/>
  <c r="H28" i="187"/>
  <c r="M27" i="187"/>
  <c r="L27" i="187"/>
  <c r="K27" i="187"/>
  <c r="J27" i="187"/>
  <c r="I27" i="187"/>
  <c r="H27" i="187"/>
  <c r="M26" i="187"/>
  <c r="L26" i="187"/>
  <c r="K26" i="187"/>
  <c r="J26" i="187"/>
  <c r="I26" i="187"/>
  <c r="H26" i="187"/>
  <c r="M25" i="187"/>
  <c r="L25" i="187"/>
  <c r="K25" i="187"/>
  <c r="J25" i="187"/>
  <c r="I25" i="187"/>
  <c r="H25" i="187"/>
  <c r="M24" i="187"/>
  <c r="L24" i="187"/>
  <c r="K24" i="187"/>
  <c r="J24" i="187"/>
  <c r="I24" i="187"/>
  <c r="H24" i="187"/>
  <c r="M23" i="187"/>
  <c r="L23" i="187"/>
  <c r="K23" i="187"/>
  <c r="J23" i="187"/>
  <c r="I23" i="187"/>
  <c r="H23" i="187"/>
  <c r="M22" i="187"/>
  <c r="L22" i="187"/>
  <c r="K22" i="187"/>
  <c r="J22" i="187"/>
  <c r="I22" i="187"/>
  <c r="H22" i="187"/>
  <c r="M21" i="187"/>
  <c r="L21" i="187"/>
  <c r="K21" i="187"/>
  <c r="J21" i="187"/>
  <c r="I21" i="187"/>
  <c r="H21" i="187"/>
  <c r="M20" i="187"/>
  <c r="L20" i="187"/>
  <c r="K20" i="187"/>
  <c r="J20" i="187"/>
  <c r="I20" i="187"/>
  <c r="H20" i="187"/>
  <c r="M15" i="187"/>
  <c r="L15" i="187"/>
  <c r="K15" i="187"/>
  <c r="J15" i="187"/>
  <c r="I15" i="187"/>
  <c r="H15" i="187"/>
  <c r="M14" i="187"/>
  <c r="L14" i="187"/>
  <c r="K14" i="187"/>
  <c r="J14" i="187"/>
  <c r="I14" i="187"/>
  <c r="H14" i="187"/>
  <c r="M11" i="187"/>
  <c r="L11" i="187"/>
  <c r="K11" i="187"/>
  <c r="J11" i="187"/>
  <c r="I11" i="187"/>
  <c r="H11" i="187"/>
  <c r="M10" i="187"/>
  <c r="L10" i="187"/>
  <c r="K10" i="187"/>
  <c r="J10" i="187"/>
  <c r="I10" i="187"/>
  <c r="H10" i="187"/>
  <c r="M9" i="187"/>
  <c r="L9" i="187"/>
  <c r="K9" i="187"/>
  <c r="J9" i="187"/>
  <c r="I9" i="187"/>
  <c r="H9" i="187"/>
  <c r="M8" i="187"/>
  <c r="L8" i="187"/>
  <c r="K8" i="187"/>
  <c r="J8" i="187"/>
  <c r="I8" i="187"/>
  <c r="H8" i="187"/>
  <c r="M7" i="187"/>
  <c r="L7" i="187"/>
  <c r="K7" i="187"/>
  <c r="J7" i="187"/>
  <c r="I7" i="187"/>
  <c r="H7" i="187"/>
  <c r="M6" i="187"/>
  <c r="L6" i="187"/>
  <c r="K6" i="187"/>
  <c r="J6" i="187"/>
  <c r="I6" i="187"/>
  <c r="H6" i="187"/>
  <c r="M5" i="187"/>
  <c r="L5" i="187"/>
  <c r="K5" i="187"/>
  <c r="J5" i="187"/>
  <c r="I5" i="187"/>
  <c r="H5" i="187"/>
  <c r="M4" i="187"/>
  <c r="L4" i="187"/>
  <c r="L13" i="187" s="1"/>
  <c r="K4" i="187"/>
  <c r="K13" i="187" s="1"/>
  <c r="J4" i="187"/>
  <c r="I4" i="187"/>
  <c r="H4" i="187"/>
  <c r="M3" i="187"/>
  <c r="L3" i="187"/>
  <c r="K3" i="187"/>
  <c r="J3" i="187"/>
  <c r="J16" i="187" s="1"/>
  <c r="I3" i="187"/>
  <c r="I16" i="187" s="1"/>
  <c r="H3" i="187"/>
  <c r="M2" i="187"/>
  <c r="M16" i="187" s="1"/>
  <c r="L2" i="187"/>
  <c r="L16" i="187" s="1"/>
  <c r="K2" i="187"/>
  <c r="K16" i="187" s="1"/>
  <c r="J2" i="187"/>
  <c r="J17" i="187" s="1"/>
  <c r="I2" i="187"/>
  <c r="H2" i="187"/>
  <c r="H16" i="187" s="1"/>
  <c r="D2" i="217" l="1"/>
  <c r="J12" i="217" s="1"/>
  <c r="J15" i="217"/>
  <c r="G13" i="217"/>
  <c r="G14" i="217"/>
  <c r="G15" i="217"/>
  <c r="D13" i="217"/>
  <c r="J14" i="217"/>
  <c r="D15" i="217"/>
  <c r="J13" i="217"/>
  <c r="D14" i="217"/>
  <c r="O22" i="187" a="1"/>
  <c r="O22" i="187" s="1"/>
  <c r="O28" i="187" a="1"/>
  <c r="O28" i="187" s="1"/>
  <c r="O20" i="187" a="1"/>
  <c r="O20" i="187" s="1"/>
  <c r="O23" i="187" a="1"/>
  <c r="O23" i="187" s="1"/>
  <c r="O25" i="187" a="1"/>
  <c r="O25" i="187" s="1"/>
  <c r="O26" i="187" a="1"/>
  <c r="O26" i="187" s="1"/>
  <c r="O21" i="187" a="1"/>
  <c r="O21" i="187" s="1"/>
  <c r="O24" i="187" a="1"/>
  <c r="O24" i="187" s="1"/>
  <c r="O27" i="187" a="1"/>
  <c r="O27" i="187" s="1"/>
  <c r="K17" i="187"/>
  <c r="H13" i="187"/>
  <c r="H17" i="187"/>
  <c r="P29" i="187" s="1" a="1"/>
  <c r="P29" i="187" s="1"/>
  <c r="O29" i="187" a="1"/>
  <c r="O29" i="187" s="1"/>
  <c r="I13" i="187"/>
  <c r="I17" i="187"/>
  <c r="J13" i="187"/>
  <c r="L17" i="187"/>
  <c r="M13" i="187"/>
  <c r="M17" i="187"/>
  <c r="D12" i="217" l="1"/>
  <c r="G12" i="217"/>
  <c r="D17" i="217"/>
  <c r="G17" i="217"/>
  <c r="J17" i="217"/>
  <c r="Q29" i="187"/>
  <c r="T29" i="187" s="1"/>
  <c r="Q21" i="187"/>
  <c r="S21" i="187" s="1"/>
  <c r="P28" i="187" a="1"/>
  <c r="P28" i="187" s="1"/>
  <c r="P20" i="187" a="1"/>
  <c r="P20" i="187" s="1"/>
  <c r="P26" i="187" a="1"/>
  <c r="P26" i="187" s="1"/>
  <c r="Q26" i="187" s="1"/>
  <c r="S26" i="187" s="1"/>
  <c r="P23" i="187" a="1"/>
  <c r="P23" i="187" s="1"/>
  <c r="P24" i="187" a="1"/>
  <c r="P24" i="187" s="1"/>
  <c r="P27" i="187" a="1"/>
  <c r="P27" i="187" s="1"/>
  <c r="P21" i="187" a="1"/>
  <c r="P21" i="187" s="1"/>
  <c r="P25" i="187" a="1"/>
  <c r="P25" i="187" s="1"/>
  <c r="P22" i="187" a="1"/>
  <c r="P22" i="187" s="1"/>
  <c r="Q25" i="187"/>
  <c r="S25" i="187" s="1"/>
  <c r="Q23" i="187"/>
  <c r="S23" i="187" s="1"/>
  <c r="Q22" i="187"/>
  <c r="S22" i="187" s="1"/>
  <c r="N17" i="217" l="1"/>
  <c r="T21" i="187"/>
  <c r="T23" i="187"/>
  <c r="T25" i="187"/>
  <c r="Q20" i="187"/>
  <c r="S20" i="187" s="1"/>
  <c r="T24" i="187"/>
  <c r="T22" i="187"/>
  <c r="T26" i="187"/>
  <c r="S29" i="187"/>
  <c r="Q24" i="187"/>
  <c r="S24" i="187" s="1"/>
  <c r="Q27" i="187"/>
  <c r="S27" i="187" s="1"/>
  <c r="Q28" i="187"/>
  <c r="S28" i="187" s="1"/>
  <c r="T28" i="187" l="1"/>
  <c r="T27" i="187"/>
  <c r="T20" i="187"/>
  <c r="H16" i="175" l="1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D17" i="166" l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N17" i="166" l="1"/>
  <c r="T25" i="15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G17" i="123" l="1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  <c r="E128" i="154" l="1"/>
  <c r="E176" i="154"/>
  <c r="E392" i="153"/>
  <c r="E137" i="153"/>
  <c r="E242" i="154"/>
  <c r="AC18" i="152"/>
  <c r="E202" i="153"/>
  <c r="E172" i="154"/>
  <c r="E304" i="154"/>
  <c r="E398" i="155"/>
  <c r="E306" i="154"/>
  <c r="E199" i="154"/>
  <c r="AC32" i="152"/>
  <c r="E350" i="154"/>
  <c r="E389" i="155"/>
  <c r="E391" i="153"/>
  <c r="E168" i="153"/>
  <c r="E208" i="154"/>
  <c r="E243" i="153"/>
  <c r="E205" i="154"/>
  <c r="E150" i="155"/>
  <c r="E360" i="155"/>
  <c r="E172" i="155"/>
  <c r="E351" i="153"/>
  <c r="E100" i="155"/>
  <c r="E399" i="153"/>
  <c r="E183" i="154"/>
  <c r="E130" i="155"/>
  <c r="E129" i="155"/>
  <c r="E150" i="154"/>
  <c r="E343" i="154"/>
  <c r="E255" i="153"/>
  <c r="E104" i="154"/>
  <c r="E247" i="153"/>
  <c r="E314" i="153"/>
  <c r="E270" i="155"/>
  <c r="H150" i="155"/>
  <c r="E139" i="155"/>
  <c r="E276" i="155"/>
  <c r="E262" i="154"/>
  <c r="E149" i="155"/>
  <c r="E383" i="154"/>
  <c r="E363" i="154"/>
  <c r="E345" i="154"/>
  <c r="E369" i="153"/>
  <c r="E196" i="154"/>
  <c r="E187" i="153"/>
  <c r="E188" i="153"/>
  <c r="E265" i="154"/>
  <c r="E281" i="154"/>
  <c r="E119" i="153"/>
  <c r="AC9" i="152"/>
  <c r="E346" i="153"/>
  <c r="E343" i="155"/>
  <c r="E309" i="155"/>
  <c r="E326" i="155"/>
  <c r="E112" i="154"/>
  <c r="E390" i="154"/>
  <c r="E368" i="154"/>
  <c r="E351" i="154"/>
  <c r="E110" i="154"/>
  <c r="E253" i="155"/>
  <c r="E118" i="154"/>
  <c r="E210" i="155"/>
  <c r="E185" i="155"/>
  <c r="E169" i="155"/>
  <c r="E113" i="153"/>
  <c r="E124" i="153"/>
  <c r="E194" i="155"/>
  <c r="E337" i="153"/>
  <c r="E139" i="153"/>
  <c r="E110" i="153"/>
  <c r="E348" i="155"/>
  <c r="H140" i="154"/>
  <c r="E117" i="155"/>
  <c r="E155" i="155"/>
  <c r="E204" i="153"/>
  <c r="E247" i="154"/>
  <c r="E261" i="155"/>
  <c r="E327" i="154"/>
  <c r="E192" i="155"/>
  <c r="E155" i="153"/>
  <c r="E361" i="153"/>
  <c r="E144" i="155"/>
  <c r="E363" i="155"/>
  <c r="E374" i="154"/>
  <c r="E218" i="154"/>
  <c r="E382" i="155"/>
  <c r="E230" i="153"/>
  <c r="H200" i="155"/>
  <c r="E331" i="154"/>
  <c r="E116" i="154"/>
  <c r="E311" i="154"/>
  <c r="E312" i="154"/>
  <c r="E346" i="154"/>
  <c r="E163" i="154"/>
  <c r="E339" i="154"/>
  <c r="E185" i="153"/>
  <c r="E194" i="153"/>
  <c r="E198" i="153"/>
  <c r="E314" i="154"/>
  <c r="E297" i="154"/>
  <c r="E153" i="155"/>
  <c r="E390" i="155"/>
  <c r="E216" i="154"/>
  <c r="E190" i="154"/>
  <c r="E311" i="153"/>
  <c r="E118" i="155"/>
  <c r="E147" i="154"/>
  <c r="E279" i="155"/>
  <c r="E233" i="154"/>
  <c r="AC35" i="152"/>
  <c r="E121" i="154"/>
  <c r="E203" i="155"/>
  <c r="AC8" i="152"/>
  <c r="E146" i="154"/>
  <c r="E132" i="154"/>
  <c r="E125" i="153"/>
  <c r="E197" i="155"/>
  <c r="E355" i="155"/>
  <c r="E225" i="155"/>
  <c r="E393" i="154"/>
  <c r="H170" i="155"/>
  <c r="E245" i="154"/>
  <c r="E111" i="154"/>
  <c r="E195" i="154"/>
  <c r="E178" i="155"/>
  <c r="E211" i="155"/>
  <c r="E318" i="155"/>
  <c r="E300" i="155"/>
  <c r="E280" i="154"/>
  <c r="E212" i="155"/>
  <c r="E188" i="155"/>
  <c r="E287" i="154"/>
  <c r="E305" i="155"/>
  <c r="E334" i="154"/>
  <c r="E333" i="153"/>
  <c r="E124" i="154"/>
  <c r="E313" i="153"/>
  <c r="E278" i="153"/>
  <c r="E142" i="153"/>
  <c r="E251" i="153"/>
  <c r="E167" i="153"/>
  <c r="E189" i="154"/>
  <c r="E171" i="153"/>
  <c r="E308" i="154"/>
  <c r="E368" i="155"/>
  <c r="E309" i="153"/>
  <c r="E107" i="154"/>
  <c r="E189" i="155"/>
  <c r="E345" i="153"/>
  <c r="E392" i="154"/>
  <c r="E160" i="154"/>
  <c r="E175" i="155"/>
  <c r="E246" i="155"/>
  <c r="E337" i="154"/>
  <c r="E101" i="153"/>
  <c r="E244" i="154"/>
  <c r="E390" i="153"/>
  <c r="E264" i="153"/>
  <c r="E326" i="154"/>
  <c r="E268" i="155"/>
  <c r="E131" i="155"/>
  <c r="E269" i="155"/>
  <c r="E256" i="154"/>
  <c r="E361" i="154"/>
  <c r="E265" i="155"/>
  <c r="E299" i="154"/>
  <c r="E180" i="153"/>
  <c r="E247" i="155"/>
  <c r="E201" i="154"/>
  <c r="E231" i="153"/>
  <c r="E104" i="153"/>
  <c r="E173" i="155"/>
  <c r="E138" i="153"/>
  <c r="E182" i="154"/>
  <c r="E221" i="154"/>
  <c r="H130" i="154"/>
  <c r="E329" i="155"/>
  <c r="E396" i="153"/>
  <c r="E364" i="155"/>
  <c r="E175" i="153"/>
  <c r="E352" i="154"/>
  <c r="E163" i="153"/>
  <c r="E325" i="155"/>
  <c r="E134" i="154"/>
  <c r="E262" i="155"/>
  <c r="E360" i="153"/>
  <c r="E363" i="153"/>
  <c r="E113" i="155"/>
  <c r="E322" i="153"/>
  <c r="E274" i="155"/>
  <c r="E240" i="155"/>
  <c r="E143" i="154"/>
  <c r="E180" i="154"/>
  <c r="E105" i="153"/>
  <c r="E316" i="154"/>
  <c r="E211" i="153"/>
  <c r="E345" i="155"/>
  <c r="E249" i="153"/>
  <c r="E398" i="153"/>
  <c r="E212" i="153"/>
  <c r="E374" i="155"/>
  <c r="E388" i="154"/>
  <c r="E113" i="154"/>
  <c r="E229" i="155"/>
  <c r="E397" i="154"/>
  <c r="E300" i="154"/>
  <c r="E188" i="154"/>
  <c r="E380" i="153"/>
  <c r="E400" i="154"/>
  <c r="E224" i="153"/>
  <c r="E385" i="154"/>
  <c r="E355" i="154"/>
  <c r="E346" i="155"/>
  <c r="E219" i="154"/>
  <c r="E239" i="153"/>
  <c r="E137" i="155"/>
  <c r="AC10" i="152"/>
  <c r="E151" i="153"/>
  <c r="E347" i="153"/>
  <c r="E227" i="154"/>
  <c r="E331" i="153"/>
  <c r="E378" i="155"/>
  <c r="E365" i="154"/>
  <c r="E389" i="153"/>
  <c r="E313" i="155"/>
  <c r="E360" i="154"/>
  <c r="E130" i="153"/>
  <c r="E181" i="153"/>
  <c r="E140" i="155"/>
  <c r="E246" i="153"/>
  <c r="E200" i="153"/>
  <c r="E245" i="153"/>
  <c r="E226" i="153"/>
  <c r="E212" i="154"/>
  <c r="E379" i="153"/>
  <c r="E151" i="154"/>
  <c r="E111" i="155"/>
  <c r="E297" i="153"/>
  <c r="E382" i="154"/>
  <c r="E202" i="155"/>
  <c r="E342" i="155"/>
  <c r="E132" i="155"/>
  <c r="E245" i="155"/>
  <c r="E347" i="155"/>
  <c r="H170" i="154"/>
  <c r="E305" i="153"/>
  <c r="E312" i="155"/>
  <c r="E317" i="155"/>
  <c r="E380" i="154"/>
  <c r="E213" i="153"/>
  <c r="E201" i="153"/>
  <c r="E394" i="155"/>
  <c r="E256" i="155"/>
  <c r="AC37" i="152"/>
  <c r="E307" i="154"/>
  <c r="E108" i="155"/>
  <c r="E206" i="155"/>
  <c r="E367" i="153"/>
  <c r="E372" i="155"/>
  <c r="E386" i="154"/>
  <c r="E167" i="155"/>
  <c r="E174" i="153"/>
  <c r="E309" i="154"/>
  <c r="E102" i="155"/>
  <c r="E229" i="153"/>
  <c r="E386" i="153"/>
  <c r="E102" i="154"/>
  <c r="E327" i="153"/>
  <c r="E197" i="154"/>
  <c r="E280" i="153"/>
  <c r="E359" i="155"/>
  <c r="E379" i="154"/>
  <c r="E198" i="155"/>
  <c r="E384" i="153"/>
  <c r="E290" i="154"/>
  <c r="E338" i="155"/>
  <c r="E275" i="154"/>
  <c r="E158" i="154"/>
  <c r="E190" i="153"/>
  <c r="E157" i="153"/>
  <c r="E127" i="155"/>
  <c r="E237" i="155"/>
  <c r="E328" i="154"/>
  <c r="E321" i="154"/>
  <c r="E367" i="155"/>
  <c r="AC20" i="152"/>
  <c r="E120" i="154"/>
  <c r="E142" i="154"/>
  <c r="E236" i="155"/>
  <c r="E166" i="153"/>
  <c r="E240" i="153"/>
  <c r="AC16" i="152"/>
  <c r="E228" i="154"/>
  <c r="E109" i="153"/>
  <c r="AC28" i="152"/>
  <c r="E149" i="153"/>
  <c r="E339" i="153"/>
  <c r="E255" i="154"/>
  <c r="AC38" i="152"/>
  <c r="E361" i="155"/>
  <c r="E367" i="154"/>
  <c r="E153" i="153"/>
  <c r="E177" i="153"/>
  <c r="E197" i="153"/>
  <c r="E219" i="153"/>
  <c r="E297" i="155"/>
  <c r="E268" i="154"/>
  <c r="E295" i="153"/>
  <c r="E125" i="154"/>
  <c r="AC25" i="152"/>
  <c r="E243" i="154"/>
  <c r="E263" i="153"/>
  <c r="E354" i="154"/>
  <c r="E290" i="155"/>
  <c r="E344" i="155"/>
  <c r="E261" i="154"/>
  <c r="AC15" i="152"/>
  <c r="E133" i="154"/>
  <c r="E301" i="154"/>
  <c r="E242" i="153"/>
  <c r="E289" i="154"/>
  <c r="E294" i="153"/>
  <c r="E105" i="155"/>
  <c r="E374" i="153"/>
  <c r="E372" i="153"/>
  <c r="AC34" i="152"/>
  <c r="E144" i="154"/>
  <c r="E388" i="153"/>
  <c r="E135" i="154"/>
  <c r="E364" i="153"/>
  <c r="E288" i="153"/>
  <c r="E376" i="153"/>
  <c r="E272" i="155"/>
  <c r="E393" i="155"/>
  <c r="E213" i="155"/>
  <c r="E353" i="154"/>
  <c r="E376" i="154"/>
  <c r="E101" i="154"/>
  <c r="E349" i="153"/>
  <c r="E311" i="155"/>
  <c r="E281" i="155"/>
  <c r="E214" i="155"/>
  <c r="E180" i="155"/>
  <c r="E178" i="153"/>
  <c r="E387" i="155"/>
  <c r="E174" i="154"/>
  <c r="AC24" i="152"/>
  <c r="E373" i="154"/>
  <c r="E160" i="155"/>
  <c r="E200" i="155"/>
  <c r="E366" i="154"/>
  <c r="E323" i="153"/>
  <c r="E335" i="153"/>
  <c r="E159" i="154"/>
  <c r="E207" i="153"/>
  <c r="E310" i="153"/>
  <c r="E135" i="153"/>
  <c r="E164" i="155"/>
  <c r="E252" i="154"/>
  <c r="E296" i="153"/>
  <c r="AC36" i="152"/>
  <c r="E279" i="154"/>
  <c r="E319" i="155"/>
  <c r="E330" i="153"/>
  <c r="E369" i="154"/>
  <c r="E274" i="154"/>
  <c r="E271" i="154"/>
  <c r="E126" i="155"/>
  <c r="E143" i="155"/>
  <c r="E127" i="153"/>
  <c r="E233" i="155"/>
  <c r="E190" i="155"/>
  <c r="E315" i="154"/>
  <c r="E134" i="153"/>
  <c r="E238" i="154"/>
  <c r="E263" i="154"/>
  <c r="E254" i="153"/>
  <c r="E315" i="155"/>
  <c r="E340" i="155"/>
  <c r="E170" i="154"/>
  <c r="E223" i="155"/>
  <c r="E196" i="155"/>
  <c r="E119" i="154"/>
  <c r="E231" i="155"/>
  <c r="E292" i="155"/>
  <c r="E336" i="154"/>
  <c r="E329" i="153"/>
  <c r="E228" i="155"/>
  <c r="E248" i="153"/>
  <c r="E144" i="153"/>
  <c r="E312" i="153"/>
  <c r="E154" i="155"/>
  <c r="E322" i="154"/>
  <c r="E235" i="155"/>
  <c r="E397" i="155"/>
  <c r="E184" i="154"/>
  <c r="E126" i="153"/>
  <c r="E184" i="153"/>
  <c r="E116" i="153"/>
  <c r="E338" i="154"/>
  <c r="E128" i="155"/>
  <c r="E166" i="154"/>
  <c r="E336" i="153"/>
  <c r="E294" i="154"/>
  <c r="E216" i="153"/>
  <c r="E381" i="155"/>
  <c r="E314" i="155"/>
  <c r="E395" i="155"/>
  <c r="E395" i="153"/>
  <c r="E322" i="155"/>
  <c r="E218" i="155"/>
  <c r="E268" i="153"/>
  <c r="E100" i="153"/>
  <c r="E270" i="153"/>
  <c r="E181" i="155"/>
  <c r="E273" i="153"/>
  <c r="E253" i="153"/>
  <c r="E381" i="153"/>
  <c r="E117" i="153"/>
  <c r="E186" i="154"/>
  <c r="E230" i="154"/>
  <c r="E213" i="154"/>
  <c r="E211" i="154"/>
  <c r="E201" i="155"/>
  <c r="E354" i="155"/>
  <c r="E286" i="155"/>
  <c r="E154" i="154"/>
  <c r="E276" i="154"/>
  <c r="E167" i="154"/>
  <c r="E259" i="153"/>
  <c r="E123" i="154"/>
  <c r="E370" i="153"/>
  <c r="E150" i="153"/>
  <c r="E253" i="154"/>
  <c r="E234" i="155"/>
  <c r="E347" i="154"/>
  <c r="E348" i="154"/>
  <c r="E114" i="154"/>
  <c r="E354" i="153"/>
  <c r="E140" i="154"/>
  <c r="E269" i="153"/>
  <c r="E254" i="154"/>
  <c r="E365" i="155"/>
  <c r="E137" i="154"/>
  <c r="E366" i="153"/>
  <c r="E152" i="153"/>
  <c r="E123" i="155"/>
  <c r="E231" i="154"/>
  <c r="E284" i="155"/>
  <c r="E307" i="155"/>
  <c r="E317" i="154"/>
  <c r="E139" i="154"/>
  <c r="E377" i="155"/>
  <c r="E335" i="155"/>
  <c r="E334" i="153"/>
  <c r="E299" i="153"/>
  <c r="E159" i="155"/>
  <c r="E362" i="153"/>
  <c r="E217" i="155"/>
  <c r="AC29" i="152"/>
  <c r="E249" i="154"/>
  <c r="E209" i="153"/>
  <c r="E131" i="153"/>
  <c r="E234" i="153"/>
  <c r="E281" i="153"/>
  <c r="E283" i="154"/>
  <c r="E194" i="154"/>
  <c r="E173" i="154"/>
  <c r="E160" i="153"/>
  <c r="E383" i="153"/>
  <c r="E298" i="154"/>
  <c r="E368" i="153"/>
  <c r="E219" i="155"/>
  <c r="E260" i="154"/>
  <c r="E186" i="153"/>
  <c r="E293" i="153"/>
  <c r="E241" i="155"/>
  <c r="E169" i="154"/>
  <c r="E302" i="155"/>
  <c r="E252" i="155"/>
  <c r="E156" i="155"/>
  <c r="E236" i="154"/>
  <c r="E209" i="154"/>
  <c r="H140" i="155"/>
  <c r="E184" i="155"/>
  <c r="E149" i="154"/>
  <c r="E332" i="154"/>
  <c r="E397" i="153"/>
  <c r="E358" i="155"/>
  <c r="E302" i="154"/>
  <c r="E195" i="155"/>
  <c r="E176" i="153"/>
  <c r="E222" i="153"/>
  <c r="E187" i="154"/>
  <c r="E375" i="155"/>
  <c r="E290" i="153"/>
  <c r="E324" i="155"/>
  <c r="E258" i="155"/>
  <c r="E169" i="153"/>
  <c r="E220" i="154"/>
  <c r="E189" i="153"/>
  <c r="E179" i="154"/>
  <c r="AC23" i="152"/>
  <c r="E168" i="155"/>
  <c r="E111" i="153"/>
  <c r="E266" i="155"/>
  <c r="E254" i="155"/>
  <c r="E342" i="153"/>
  <c r="E152" i="154"/>
  <c r="E215" i="155"/>
  <c r="E192" i="154"/>
  <c r="E340" i="154"/>
  <c r="E357" i="154"/>
  <c r="E249" i="155"/>
  <c r="E330" i="155"/>
  <c r="E147" i="153"/>
  <c r="E343" i="153"/>
  <c r="E103" i="155"/>
  <c r="E340" i="153"/>
  <c r="E255" i="155"/>
  <c r="E256" i="153"/>
  <c r="E145" i="153"/>
  <c r="E272" i="154"/>
  <c r="E218" i="153"/>
  <c r="E126" i="154"/>
  <c r="E271" i="155"/>
  <c r="E259" i="154"/>
  <c r="E383" i="155"/>
  <c r="E138" i="154"/>
  <c r="E204" i="155"/>
  <c r="E315" i="153"/>
  <c r="E108" i="154"/>
  <c r="E210" i="153"/>
  <c r="E284" i="154"/>
  <c r="E319" i="153"/>
  <c r="E251" i="154"/>
  <c r="E226" i="154"/>
  <c r="E287" i="155"/>
  <c r="E165" i="154"/>
  <c r="E236" i="153"/>
  <c r="E285" i="154"/>
  <c r="E214" i="153"/>
  <c r="E186" i="155"/>
  <c r="E182" i="153"/>
  <c r="E394" i="154"/>
  <c r="E400" i="153"/>
  <c r="E250" i="154"/>
  <c r="E161" i="153"/>
  <c r="E143" i="153"/>
  <c r="E102" i="153"/>
  <c r="E193" i="154"/>
  <c r="E207" i="155"/>
  <c r="E222" i="154"/>
  <c r="E129" i="153"/>
  <c r="E124" i="155"/>
  <c r="E264" i="154"/>
  <c r="E217" i="154"/>
  <c r="E350" i="153"/>
  <c r="E288" i="154"/>
  <c r="E177" i="155"/>
  <c r="E277" i="153"/>
  <c r="E356" i="154"/>
  <c r="E148" i="153"/>
  <c r="E177" i="154"/>
  <c r="E223" i="153"/>
  <c r="E370" i="154"/>
  <c r="E235" i="153"/>
  <c r="E242" i="155"/>
  <c r="E310" i="155"/>
  <c r="E103" i="153"/>
  <c r="AC27" i="152"/>
  <c r="E377" i="154"/>
  <c r="E133" i="155"/>
  <c r="E239" i="154"/>
  <c r="E156" i="154"/>
  <c r="E296" i="154"/>
  <c r="E192" i="153"/>
  <c r="H130" i="155"/>
  <c r="E320" i="155"/>
  <c r="E246" i="154"/>
  <c r="E191" i="155"/>
  <c r="E162" i="155"/>
  <c r="E257" i="155"/>
  <c r="E400" i="155"/>
  <c r="E252" i="153"/>
  <c r="E164" i="154"/>
  <c r="E321" i="153"/>
  <c r="E266" i="154"/>
  <c r="E379" i="155"/>
  <c r="E267" i="154"/>
  <c r="E170" i="155"/>
  <c r="E205" i="155"/>
  <c r="E282" i="153"/>
  <c r="E115" i="155"/>
  <c r="E395" i="154"/>
  <c r="E257" i="153"/>
  <c r="E198" i="154"/>
  <c r="E232" i="155"/>
  <c r="E214" i="154"/>
  <c r="E174" i="155"/>
  <c r="E306" i="153"/>
  <c r="H120" i="154"/>
  <c r="E375" i="153"/>
  <c r="E215" i="153"/>
  <c r="E278" i="155"/>
  <c r="E203" i="153"/>
  <c r="E187" i="155"/>
  <c r="E105" i="154"/>
  <c r="E398" i="154"/>
  <c r="E120" i="155"/>
  <c r="E206" i="154"/>
  <c r="E146" i="155"/>
  <c r="E352" i="153"/>
  <c r="E276" i="153"/>
  <c r="E171" i="155"/>
  <c r="E295" i="155"/>
  <c r="E298" i="155"/>
  <c r="E332" i="153"/>
  <c r="E296" i="155"/>
  <c r="E288" i="155"/>
  <c r="E240" i="154"/>
  <c r="E251" i="155"/>
  <c r="E170" i="153"/>
  <c r="E122" i="155"/>
  <c r="E330" i="154"/>
  <c r="E385" i="155"/>
  <c r="E308" i="155"/>
  <c r="E261" i="153"/>
  <c r="E179" i="155"/>
  <c r="E148" i="155"/>
  <c r="E238" i="155"/>
  <c r="E112" i="155"/>
  <c r="E356" i="155"/>
  <c r="E131" i="154"/>
  <c r="E278" i="154"/>
  <c r="E325" i="153"/>
  <c r="E163" i="155"/>
  <c r="E372" i="154"/>
  <c r="E141" i="153"/>
  <c r="E215" i="154"/>
  <c r="E387" i="154"/>
  <c r="AC17" i="152"/>
  <c r="E308" i="153"/>
  <c r="E106" i="155"/>
  <c r="E301" i="153"/>
  <c r="E337" i="155"/>
  <c r="AC26" i="152"/>
  <c r="E275" i="155"/>
  <c r="E232" i="153"/>
  <c r="AC33" i="152"/>
  <c r="E199" i="153"/>
  <c r="E243" i="155"/>
  <c r="E282" i="154"/>
  <c r="E388" i="155"/>
  <c r="E341" i="155"/>
  <c r="E286" i="154"/>
  <c r="E171" i="154"/>
  <c r="AC22" i="152"/>
  <c r="E377" i="153"/>
  <c r="E295" i="154"/>
  <c r="E183" i="155"/>
  <c r="E350" i="155"/>
  <c r="E158" i="155"/>
  <c r="E399" i="155"/>
  <c r="E127" i="154"/>
  <c r="E204" i="154"/>
  <c r="E341" i="154"/>
  <c r="E323" i="155"/>
  <c r="E394" i="153"/>
  <c r="E107" i="155"/>
  <c r="E378" i="154"/>
  <c r="E108" i="153"/>
  <c r="E362" i="155"/>
  <c r="E280" i="155"/>
  <c r="E373" i="155"/>
  <c r="E112" i="153"/>
  <c r="E185" i="154"/>
  <c r="E209" i="155"/>
  <c r="E183" i="153"/>
  <c r="E277" i="154"/>
  <c r="E339" i="155"/>
  <c r="E371" i="154"/>
  <c r="E147" i="155"/>
  <c r="E270" i="154"/>
  <c r="E316" i="153"/>
  <c r="E196" i="153"/>
  <c r="E100" i="154"/>
  <c r="E300" i="153"/>
  <c r="E392" i="155"/>
  <c r="E206" i="153"/>
  <c r="E191" i="154"/>
  <c r="E173" i="153"/>
  <c r="E179" i="153"/>
  <c r="E286" i="153"/>
  <c r="E325" i="154"/>
  <c r="E282" i="155"/>
  <c r="E273" i="154"/>
  <c r="E264" i="155"/>
  <c r="E153" i="154"/>
  <c r="E241" i="153"/>
  <c r="E159" i="153"/>
  <c r="E260" i="153"/>
  <c r="E250" i="153"/>
  <c r="H150" i="154"/>
  <c r="E217" i="153"/>
  <c r="E299" i="155"/>
  <c r="H120" i="155"/>
  <c r="E109" i="155"/>
  <c r="E352" i="155"/>
  <c r="E358" i="153"/>
  <c r="E318" i="153"/>
  <c r="E114" i="155"/>
  <c r="AC14" i="152"/>
  <c r="E145" i="155"/>
  <c r="E199" i="155"/>
  <c r="E342" i="154"/>
  <c r="E172" i="153"/>
  <c r="E335" i="154"/>
  <c r="E285" i="153"/>
  <c r="E123" i="153"/>
  <c r="E323" i="154"/>
  <c r="E138" i="155"/>
  <c r="AC30" i="152"/>
  <c r="E329" i="154"/>
  <c r="E292" i="153"/>
  <c r="E244" i="153"/>
  <c r="E333" i="155"/>
  <c r="E387" i="153"/>
  <c r="E271" i="153"/>
  <c r="E110" i="155"/>
  <c r="E291" i="154"/>
  <c r="E220" i="155"/>
  <c r="E289" i="153"/>
  <c r="E132" i="153"/>
  <c r="E305" i="154"/>
  <c r="E221" i="155"/>
  <c r="E320" i="154"/>
  <c r="E324" i="154"/>
  <c r="E293" i="155"/>
  <c r="E298" i="153"/>
  <c r="E191" i="153"/>
  <c r="E118" i="153"/>
  <c r="E310" i="154"/>
  <c r="E344" i="154"/>
  <c r="E106" i="154"/>
  <c r="E396" i="155"/>
  <c r="E225" i="154"/>
  <c r="E272" i="153"/>
  <c r="E232" i="154"/>
  <c r="H110" i="155"/>
  <c r="E294" i="155"/>
  <c r="E385" i="153"/>
  <c r="E121" i="153"/>
  <c r="E382" i="153"/>
  <c r="E224" i="155"/>
  <c r="E328" i="153"/>
  <c r="E349" i="155"/>
  <c r="E155" i="154"/>
  <c r="E133" i="153"/>
  <c r="E237" i="154"/>
  <c r="E303" i="155"/>
  <c r="E237" i="153"/>
  <c r="E332" i="155"/>
  <c r="E116" i="155"/>
  <c r="E239" i="155"/>
  <c r="E166" i="155"/>
  <c r="E389" i="154"/>
  <c r="E370" i="155"/>
  <c r="E208" i="153"/>
  <c r="E226" i="155"/>
  <c r="AC13" i="152"/>
  <c r="H200" i="154"/>
  <c r="E162" i="153"/>
  <c r="E235" i="154"/>
  <c r="E205" i="153"/>
  <c r="E292" i="154"/>
  <c r="E302" i="153"/>
  <c r="E220" i="153"/>
  <c r="E162" i="154"/>
  <c r="E291" i="155"/>
  <c r="E328" i="155"/>
  <c r="E107" i="153"/>
  <c r="E366" i="155"/>
  <c r="E141" i="155"/>
  <c r="E338" i="153"/>
  <c r="E120" i="153"/>
  <c r="E227" i="155"/>
  <c r="E128" i="153"/>
  <c r="E122" i="154"/>
  <c r="E273" i="155"/>
  <c r="E157" i="154"/>
  <c r="E396" i="154"/>
  <c r="E145" i="154"/>
  <c r="E130" i="154"/>
  <c r="E359" i="153"/>
  <c r="E324" i="153"/>
  <c r="E344" i="153"/>
  <c r="E154" i="153"/>
  <c r="E158" i="153"/>
  <c r="E165" i="155"/>
  <c r="E119" i="155"/>
  <c r="E156" i="153"/>
  <c r="E104" i="155"/>
  <c r="E357" i="155"/>
  <c r="E234" i="154"/>
  <c r="E274" i="153"/>
  <c r="AC19" i="152"/>
  <c r="E229" i="154"/>
  <c r="E101" i="155"/>
  <c r="AC31" i="152"/>
  <c r="E279" i="153"/>
  <c r="E306" i="155"/>
  <c r="E115" i="154"/>
  <c r="E248" i="154"/>
  <c r="E135" i="155"/>
  <c r="E248" i="155"/>
  <c r="E357" i="153"/>
  <c r="E146" i="153"/>
  <c r="E391" i="155"/>
  <c r="E125" i="155"/>
  <c r="E227" i="153"/>
  <c r="E265" i="153"/>
  <c r="E378" i="153"/>
  <c r="E331" i="155"/>
  <c r="E221" i="153"/>
  <c r="E320" i="153"/>
  <c r="E313" i="154"/>
  <c r="E384" i="154"/>
  <c r="E358" i="154"/>
  <c r="E304" i="153"/>
  <c r="E117" i="154"/>
  <c r="E267" i="155"/>
  <c r="E200" i="154"/>
  <c r="E175" i="154"/>
  <c r="E142" i="155"/>
  <c r="E307" i="153"/>
  <c r="E178" i="154"/>
  <c r="E284" i="153"/>
  <c r="E207" i="154"/>
  <c r="E109" i="154"/>
  <c r="E371" i="155"/>
  <c r="E134" i="155"/>
  <c r="E181" i="154"/>
  <c r="E301" i="155"/>
  <c r="E356" i="153"/>
  <c r="E384" i="155"/>
  <c r="E266" i="153"/>
  <c r="E263" i="155"/>
  <c r="E165" i="153"/>
  <c r="E355" i="153"/>
  <c r="AC12" i="152"/>
  <c r="E275" i="153"/>
  <c r="E182" i="155"/>
  <c r="E168" i="154"/>
  <c r="E321" i="155"/>
  <c r="E259" i="155"/>
  <c r="E364" i="154"/>
  <c r="E283" i="153"/>
  <c r="E233" i="153"/>
  <c r="E161" i="154"/>
  <c r="E176" i="155"/>
  <c r="E224" i="154"/>
  <c r="E193" i="153"/>
  <c r="E303" i="154"/>
  <c r="E293" i="154"/>
  <c r="E373" i="153"/>
  <c r="E386" i="155"/>
  <c r="E399" i="154"/>
  <c r="E291" i="153"/>
  <c r="E203" i="154"/>
  <c r="E193" i="155"/>
  <c r="E244" i="155"/>
  <c r="AC11" i="152"/>
  <c r="E289" i="155"/>
  <c r="E316" i="155"/>
  <c r="E277" i="155"/>
  <c r="E136" i="154"/>
  <c r="E129" i="154"/>
  <c r="E334" i="155"/>
  <c r="E376" i="155"/>
  <c r="E161" i="155"/>
  <c r="E208" i="155"/>
  <c r="E349" i="154"/>
  <c r="E136" i="155"/>
  <c r="E258" i="153"/>
  <c r="E267" i="153"/>
  <c r="E287" i="153"/>
  <c r="E238" i="153"/>
  <c r="E121" i="155"/>
  <c r="E216" i="155"/>
  <c r="E257" i="154"/>
  <c r="E157" i="155"/>
  <c r="E152" i="155"/>
  <c r="E304" i="155"/>
  <c r="E136" i="153"/>
  <c r="E122" i="153"/>
  <c r="E336" i="155"/>
  <c r="E222" i="155"/>
  <c r="E391" i="154"/>
  <c r="AC21" i="152"/>
  <c r="E148" i="154"/>
  <c r="E225" i="153"/>
  <c r="E230" i="155"/>
  <c r="E375" i="154"/>
  <c r="E195" i="153"/>
  <c r="E326" i="153"/>
  <c r="E319" i="154"/>
  <c r="E393" i="153"/>
  <c r="E341" i="153"/>
  <c r="E353" i="153"/>
  <c r="E228" i="153"/>
  <c r="E140" i="153"/>
  <c r="E348" i="153"/>
  <c r="E365" i="153"/>
  <c r="E371" i="153"/>
  <c r="E351" i="155"/>
  <c r="E141" i="154"/>
  <c r="E359" i="154"/>
  <c r="E380" i="155"/>
  <c r="H110" i="154"/>
  <c r="E262" i="153"/>
  <c r="E318" i="154"/>
  <c r="E258" i="154"/>
  <c r="E106" i="153"/>
  <c r="E303" i="153"/>
  <c r="E223" i="154"/>
  <c r="E327" i="155"/>
  <c r="E115" i="153"/>
  <c r="E283" i="155"/>
  <c r="E151" i="155"/>
  <c r="E381" i="154"/>
  <c r="E202" i="154"/>
  <c r="E114" i="153"/>
  <c r="E369" i="155"/>
  <c r="E250" i="155"/>
  <c r="E362" i="154"/>
  <c r="E241" i="154"/>
  <c r="E317" i="153"/>
  <c r="E164" i="153"/>
  <c r="E260" i="155"/>
  <c r="E333" i="154"/>
  <c r="E103" i="154"/>
  <c r="E353" i="155"/>
  <c r="E285" i="155"/>
  <c r="E269" i="154"/>
  <c r="E210" i="154"/>
  <c r="R285" i="155" l="1" a="1"/>
  <c r="R285" i="155" s="1"/>
  <c r="R353" i="155" a="1"/>
  <c r="R353" i="155" s="1"/>
  <c r="R260" i="155" a="1"/>
  <c r="R260" i="155" s="1"/>
  <c r="R250" i="155" a="1"/>
  <c r="R250" i="155" s="1"/>
  <c r="R369" i="155" a="1"/>
  <c r="R369" i="155" s="1"/>
  <c r="S369" i="155" s="1"/>
  <c r="R151" i="155" a="1"/>
  <c r="R151" i="155" s="1"/>
  <c r="S151" i="155" s="1"/>
  <c r="R283" i="155" a="1"/>
  <c r="R283" i="155" s="1"/>
  <c r="R327" i="155" a="1"/>
  <c r="R327" i="155" s="1"/>
  <c r="I110" i="154"/>
  <c r="R380" i="155" a="1"/>
  <c r="R380" i="155" s="1"/>
  <c r="R351" i="155" a="1"/>
  <c r="R351" i="155" s="1"/>
  <c r="R230" i="155" a="1"/>
  <c r="R230" i="155" s="1"/>
  <c r="R222" i="155" a="1"/>
  <c r="R222" i="155" s="1"/>
  <c r="S222" i="155" s="1"/>
  <c r="R336" i="155" a="1"/>
  <c r="R336" i="155" s="1"/>
  <c r="S336" i="155" s="1"/>
  <c r="R304" i="155" a="1"/>
  <c r="R304" i="155" s="1"/>
  <c r="R152" i="155" a="1"/>
  <c r="R152" i="155" s="1"/>
  <c r="R157" i="155" a="1"/>
  <c r="R157" i="155" s="1"/>
  <c r="R216" i="155" a="1"/>
  <c r="R216" i="155" s="1"/>
  <c r="R121" i="155" a="1"/>
  <c r="R121" i="155" s="1"/>
  <c r="R136" i="155" a="1"/>
  <c r="R136" i="155" s="1"/>
  <c r="R208" i="155" a="1"/>
  <c r="R208" i="155" s="1"/>
  <c r="R161" i="155" a="1"/>
  <c r="R161" i="155" s="1"/>
  <c r="R376" i="155" a="1"/>
  <c r="R376" i="155" s="1"/>
  <c r="R334" i="155" a="1"/>
  <c r="R334" i="155" s="1"/>
  <c r="R277" i="155" a="1"/>
  <c r="R277" i="155" s="1"/>
  <c r="R316" i="155" a="1"/>
  <c r="R316" i="155" s="1"/>
  <c r="R289" i="155" a="1"/>
  <c r="R289" i="155" s="1"/>
  <c r="R244" i="155" a="1"/>
  <c r="R244" i="155" s="1"/>
  <c r="S244" i="155" s="1"/>
  <c r="R193" i="155" a="1"/>
  <c r="R193" i="155" s="1"/>
  <c r="R386" i="155" a="1"/>
  <c r="R386" i="155" s="1"/>
  <c r="R176" i="155" a="1"/>
  <c r="R176" i="155" s="1"/>
  <c r="R259" i="155" a="1"/>
  <c r="R259" i="155" s="1"/>
  <c r="R321" i="155" a="1"/>
  <c r="R321" i="155" s="1"/>
  <c r="R182" i="155" a="1"/>
  <c r="R182" i="155" s="1"/>
  <c r="R263" i="155" a="1"/>
  <c r="R263" i="155" s="1"/>
  <c r="R384" i="155" a="1"/>
  <c r="R384" i="155" s="1"/>
  <c r="S384" i="155" s="1"/>
  <c r="R301" i="155" a="1"/>
  <c r="R301" i="155" s="1"/>
  <c r="R134" i="155" a="1"/>
  <c r="R134" i="155" s="1"/>
  <c r="S134" i="155" s="1"/>
  <c r="R371" i="155" a="1"/>
  <c r="R371" i="155" s="1"/>
  <c r="R142" i="155" a="1"/>
  <c r="R142" i="155" s="1"/>
  <c r="G200" i="154"/>
  <c r="R267" i="155" a="1"/>
  <c r="R267" i="155" s="1"/>
  <c r="R331" i="155" a="1"/>
  <c r="R331" i="155" s="1"/>
  <c r="R125" i="155" a="1"/>
  <c r="R125" i="155" s="1"/>
  <c r="R391" i="155" a="1"/>
  <c r="R391" i="155" s="1"/>
  <c r="R248" i="155" a="1"/>
  <c r="R248" i="155" s="1"/>
  <c r="S248" i="155" s="1"/>
  <c r="R135" i="155" a="1"/>
  <c r="R135" i="155" s="1"/>
  <c r="R306" i="155" a="1"/>
  <c r="R306" i="155" s="1"/>
  <c r="R101" i="155" a="1"/>
  <c r="R101" i="155" s="1"/>
  <c r="R357" i="155" a="1"/>
  <c r="R357" i="155" s="1"/>
  <c r="R104" i="155" a="1"/>
  <c r="R104" i="155" s="1"/>
  <c r="R119" i="155" a="1"/>
  <c r="R119" i="155" s="1"/>
  <c r="R165" i="155" a="1"/>
  <c r="R165" i="155" s="1"/>
  <c r="G130" i="154"/>
  <c r="R273" i="155" a="1"/>
  <c r="R273" i="155" s="1"/>
  <c r="R227" i="155" a="1"/>
  <c r="R227" i="155" s="1"/>
  <c r="R141" i="155" a="1"/>
  <c r="R141" i="155" s="1"/>
  <c r="R366" i="155" a="1"/>
  <c r="R366" i="155" s="1"/>
  <c r="R328" i="155" a="1"/>
  <c r="R328" i="155" s="1"/>
  <c r="R291" i="155" a="1"/>
  <c r="R291" i="155" s="1"/>
  <c r="S291" i="155" s="1"/>
  <c r="I200" i="154"/>
  <c r="R226" i="155" a="1"/>
  <c r="R226" i="155" s="1"/>
  <c r="S226" i="155" s="1"/>
  <c r="R370" i="155" a="1"/>
  <c r="R370" i="155" s="1"/>
  <c r="R166" i="155" a="1"/>
  <c r="R166" i="155" s="1"/>
  <c r="R239" i="155" a="1"/>
  <c r="R239" i="155" s="1"/>
  <c r="R116" i="155" a="1"/>
  <c r="R116" i="155" s="1"/>
  <c r="R332" i="155" a="1"/>
  <c r="R332" i="155" s="1"/>
  <c r="S332" i="155" s="1"/>
  <c r="R303" i="155" a="1"/>
  <c r="R303" i="155" s="1"/>
  <c r="R349" i="155" a="1"/>
  <c r="R349" i="155" s="1"/>
  <c r="S349" i="155" s="1"/>
  <c r="R224" i="155" a="1"/>
  <c r="R224" i="155" s="1"/>
  <c r="S224" i="155" s="1"/>
  <c r="R294" i="155" a="1"/>
  <c r="R294" i="155" s="1"/>
  <c r="I110" i="155"/>
  <c r="R396" i="155" a="1"/>
  <c r="R396" i="155" s="1"/>
  <c r="R293" i="155" a="1"/>
  <c r="R293" i="155" s="1"/>
  <c r="R221" i="155" a="1"/>
  <c r="R221" i="155" s="1"/>
  <c r="R220" i="155" a="1"/>
  <c r="R220" i="155" s="1"/>
  <c r="R110" i="155" a="1"/>
  <c r="R110" i="155" s="1"/>
  <c r="G110" i="155"/>
  <c r="R333" i="155" a="1"/>
  <c r="R333" i="155" s="1"/>
  <c r="S333" i="155" s="1"/>
  <c r="R138" i="155" a="1"/>
  <c r="R138" i="155" s="1"/>
  <c r="R199" i="155" a="1"/>
  <c r="R199" i="155" s="1"/>
  <c r="R145" i="155" a="1"/>
  <c r="R145" i="155" s="1"/>
  <c r="R114" i="155" a="1"/>
  <c r="R114" i="155" s="1"/>
  <c r="R352" i="155" a="1"/>
  <c r="R352" i="155" s="1"/>
  <c r="S352" i="155" s="1"/>
  <c r="R109" i="155" a="1"/>
  <c r="R109" i="155" s="1"/>
  <c r="S109" i="155" s="1"/>
  <c r="I120" i="155"/>
  <c r="R299" i="155" a="1"/>
  <c r="R299" i="155" s="1"/>
  <c r="I150" i="154"/>
  <c r="R264" i="155" a="1"/>
  <c r="R264" i="155" s="1"/>
  <c r="R282" i="155" a="1"/>
  <c r="R282" i="155" s="1"/>
  <c r="R392" i="155" a="1"/>
  <c r="R392" i="155" s="1"/>
  <c r="G100" i="154"/>
  <c r="R147" i="155" a="1"/>
  <c r="R147" i="155" s="1"/>
  <c r="R339" i="155" a="1"/>
  <c r="R339" i="155" s="1"/>
  <c r="S339" i="155" s="1"/>
  <c r="R209" i="155" a="1"/>
  <c r="R209" i="155" s="1"/>
  <c r="R373" i="155" a="1"/>
  <c r="R373" i="155" s="1"/>
  <c r="R280" i="155" a="1"/>
  <c r="R280" i="155" s="1"/>
  <c r="R362" i="155" a="1"/>
  <c r="R362" i="155" s="1"/>
  <c r="R107" i="155" a="1"/>
  <c r="R107" i="155" s="1"/>
  <c r="R323" i="155" a="1"/>
  <c r="R323" i="155" s="1"/>
  <c r="R399" i="155" a="1"/>
  <c r="R399" i="155" s="1"/>
  <c r="R158" i="155" a="1"/>
  <c r="R158" i="155" s="1"/>
  <c r="S158" i="155" s="1"/>
  <c r="R350" i="155" a="1"/>
  <c r="R350" i="155" s="1"/>
  <c r="R183" i="155" a="1"/>
  <c r="R183" i="155" s="1"/>
  <c r="S183" i="155" s="1"/>
  <c r="R341" i="155" a="1"/>
  <c r="R341" i="155" s="1"/>
  <c r="R388" i="155" a="1"/>
  <c r="R388" i="155" s="1"/>
  <c r="R243" i="155" a="1"/>
  <c r="R243" i="155" s="1"/>
  <c r="R275" i="155" a="1"/>
  <c r="R275" i="155" s="1"/>
  <c r="S275" i="155" s="1"/>
  <c r="R337" i="155" a="1"/>
  <c r="R337" i="155" s="1"/>
  <c r="R106" i="155" a="1"/>
  <c r="R106" i="155" s="1"/>
  <c r="S106" i="155" s="1"/>
  <c r="R163" i="155" a="1"/>
  <c r="R163" i="155" s="1"/>
  <c r="R356" i="155" a="1"/>
  <c r="R356" i="155" s="1"/>
  <c r="R112" i="155" a="1"/>
  <c r="R112" i="155" s="1"/>
  <c r="R238" i="155" a="1"/>
  <c r="R238" i="155" s="1"/>
  <c r="R148" i="155" a="1"/>
  <c r="R148" i="155" s="1"/>
  <c r="R179" i="155" a="1"/>
  <c r="R179" i="155" s="1"/>
  <c r="R308" i="155" a="1"/>
  <c r="R308" i="155" s="1"/>
  <c r="R385" i="155" a="1"/>
  <c r="R385" i="155" s="1"/>
  <c r="S385" i="155" s="1"/>
  <c r="T385" i="155" s="1"/>
  <c r="R122" i="155" a="1"/>
  <c r="R122" i="155" s="1"/>
  <c r="S122" i="155" s="1"/>
  <c r="R251" i="155" a="1"/>
  <c r="R251" i="155" s="1"/>
  <c r="R288" i="155" a="1"/>
  <c r="R288" i="155" s="1"/>
  <c r="R296" i="155" a="1"/>
  <c r="R296" i="155" s="1"/>
  <c r="R298" i="155" a="1"/>
  <c r="R298" i="155" s="1"/>
  <c r="R295" i="155" a="1"/>
  <c r="R295" i="155" s="1"/>
  <c r="R171" i="155" a="1"/>
  <c r="R171" i="155" s="1"/>
  <c r="R146" i="155" a="1"/>
  <c r="R146" i="155" s="1"/>
  <c r="S146" i="155" s="1"/>
  <c r="R120" i="155" a="1"/>
  <c r="R120" i="155" s="1"/>
  <c r="G120" i="155"/>
  <c r="R187" i="155" a="1"/>
  <c r="R187" i="155" s="1"/>
  <c r="R278" i="155" a="1"/>
  <c r="R278" i="155" s="1"/>
  <c r="S278" i="155" s="1"/>
  <c r="I120" i="154"/>
  <c r="R174" i="155" a="1"/>
  <c r="R174" i="155" s="1"/>
  <c r="R232" i="155" a="1"/>
  <c r="R232" i="155" s="1"/>
  <c r="S232" i="155" s="1"/>
  <c r="R115" i="155" a="1"/>
  <c r="R115" i="155" s="1"/>
  <c r="S115" i="155" s="1"/>
  <c r="R205" i="155" a="1"/>
  <c r="R205" i="155" s="1"/>
  <c r="R170" i="155" a="1"/>
  <c r="R170" i="155" s="1"/>
  <c r="G170" i="155"/>
  <c r="R379" i="155" a="1"/>
  <c r="R379" i="155" s="1"/>
  <c r="G400" i="155"/>
  <c r="R400" i="155" a="1"/>
  <c r="R400" i="155" s="1"/>
  <c r="R257" i="155" a="1"/>
  <c r="R257" i="155" s="1"/>
  <c r="S257" i="155" s="1"/>
  <c r="R162" i="155" a="1"/>
  <c r="R162" i="155" s="1"/>
  <c r="S162" i="155" s="1"/>
  <c r="R191" i="155" a="1"/>
  <c r="R191" i="155" s="1"/>
  <c r="R320" i="155" a="1"/>
  <c r="R320" i="155" s="1"/>
  <c r="I130" i="155"/>
  <c r="R133" i="155" a="1"/>
  <c r="R133" i="155" s="1"/>
  <c r="R310" i="155" a="1"/>
  <c r="R310" i="155" s="1"/>
  <c r="R242" i="155" a="1"/>
  <c r="R242" i="155" s="1"/>
  <c r="R177" i="155" a="1"/>
  <c r="R177" i="155" s="1"/>
  <c r="R124" i="155" a="1"/>
  <c r="R124" i="155" s="1"/>
  <c r="R207" i="155" a="1"/>
  <c r="R207" i="155" s="1"/>
  <c r="R186" i="155" a="1"/>
  <c r="R186" i="155" s="1"/>
  <c r="R287" i="155" a="1"/>
  <c r="R287" i="155" s="1"/>
  <c r="R204" i="155" a="1"/>
  <c r="R204" i="155" s="1"/>
  <c r="R383" i="155" a="1"/>
  <c r="R383" i="155" s="1"/>
  <c r="R271" i="155" a="1"/>
  <c r="R271" i="155" s="1"/>
  <c r="S271" i="155" s="1"/>
  <c r="R255" i="155" a="1"/>
  <c r="R255" i="155" s="1"/>
  <c r="S255" i="155" s="1"/>
  <c r="R103" i="155" a="1"/>
  <c r="R103" i="155" s="1"/>
  <c r="R330" i="155" a="1"/>
  <c r="R330" i="155" s="1"/>
  <c r="R249" i="155" a="1"/>
  <c r="R249" i="155" s="1"/>
  <c r="R215" i="155" a="1"/>
  <c r="R215" i="155" s="1"/>
  <c r="R254" i="155" a="1"/>
  <c r="R254" i="155" s="1"/>
  <c r="R266" i="155" a="1"/>
  <c r="R266" i="155" s="1"/>
  <c r="R168" i="155" a="1"/>
  <c r="R168" i="155" s="1"/>
  <c r="R258" i="155" a="1"/>
  <c r="R258" i="155" s="1"/>
  <c r="R324" i="155" a="1"/>
  <c r="R324" i="155" s="1"/>
  <c r="S324" i="155" s="1"/>
  <c r="R375" i="155" a="1"/>
  <c r="R375" i="155" s="1"/>
  <c r="R195" i="155" a="1"/>
  <c r="R195" i="155" s="1"/>
  <c r="R358" i="155" a="1"/>
  <c r="R358" i="155" s="1"/>
  <c r="R184" i="155" a="1"/>
  <c r="R184" i="155" s="1"/>
  <c r="I140" i="155"/>
  <c r="R156" i="155" a="1"/>
  <c r="R156" i="155" s="1"/>
  <c r="R252" i="155" a="1"/>
  <c r="R252" i="155" s="1"/>
  <c r="R302" i="155" a="1"/>
  <c r="R302" i="155" s="1"/>
  <c r="S302" i="155" s="1"/>
  <c r="R241" i="155" a="1"/>
  <c r="R241" i="155" s="1"/>
  <c r="R219" i="155" a="1"/>
  <c r="R219" i="155" s="1"/>
  <c r="R217" i="155" a="1"/>
  <c r="R217" i="155" s="1"/>
  <c r="R159" i="155" a="1"/>
  <c r="R159" i="155" s="1"/>
  <c r="R335" i="155" a="1"/>
  <c r="R335" i="155" s="1"/>
  <c r="R377" i="155" a="1"/>
  <c r="R377" i="155" s="1"/>
  <c r="R307" i="155" a="1"/>
  <c r="R307" i="155" s="1"/>
  <c r="R284" i="155" a="1"/>
  <c r="R284" i="155" s="1"/>
  <c r="R123" i="155" a="1"/>
  <c r="R123" i="155" s="1"/>
  <c r="S123" i="155" s="1"/>
  <c r="T123" i="155" s="1"/>
  <c r="R365" i="155" a="1"/>
  <c r="R365" i="155" s="1"/>
  <c r="G140" i="154"/>
  <c r="R234" i="155" a="1"/>
  <c r="R234" i="155" s="1"/>
  <c r="R286" i="155" a="1"/>
  <c r="R286" i="155" s="1"/>
  <c r="S286" i="155" s="1"/>
  <c r="R354" i="155" a="1"/>
  <c r="R354" i="155" s="1"/>
  <c r="S354" i="155" s="1"/>
  <c r="R201" i="155" a="1"/>
  <c r="R201" i="155" s="1"/>
  <c r="R181" i="155" a="1"/>
  <c r="R181" i="155" s="1"/>
  <c r="S181" i="155" s="1"/>
  <c r="R218" i="155" a="1"/>
  <c r="R218" i="155" s="1"/>
  <c r="S218" i="155" s="1"/>
  <c r="R322" i="155" a="1"/>
  <c r="R322" i="155" s="1"/>
  <c r="S322" i="155" s="1"/>
  <c r="R395" i="155" a="1"/>
  <c r="R395" i="155" s="1"/>
  <c r="R314" i="155" a="1"/>
  <c r="R314" i="155" s="1"/>
  <c r="R381" i="155" a="1"/>
  <c r="R381" i="155" s="1"/>
  <c r="S381" i="155" s="1"/>
  <c r="R128" i="155" a="1"/>
  <c r="R128" i="155" s="1"/>
  <c r="S128" i="155" s="1"/>
  <c r="R397" i="155" a="1"/>
  <c r="R397" i="155" s="1"/>
  <c r="S397" i="155" s="1"/>
  <c r="R235" i="155" a="1"/>
  <c r="R235" i="155" s="1"/>
  <c r="S235" i="155" s="1"/>
  <c r="R154" i="155" a="1"/>
  <c r="R154" i="155" s="1"/>
  <c r="R228" i="155" a="1"/>
  <c r="R228" i="155" s="1"/>
  <c r="S228" i="155" s="1"/>
  <c r="R292" i="155" a="1"/>
  <c r="R292" i="155" s="1"/>
  <c r="R231" i="155" a="1"/>
  <c r="R231" i="155" s="1"/>
  <c r="R196" i="155" a="1"/>
  <c r="R196" i="155" s="1"/>
  <c r="R223" i="155" a="1"/>
  <c r="R223" i="155" s="1"/>
  <c r="G170" i="154"/>
  <c r="R340" i="155" a="1"/>
  <c r="R340" i="155" s="1"/>
  <c r="S340" i="155" s="1"/>
  <c r="T340" i="155" s="1"/>
  <c r="R315" i="155" a="1"/>
  <c r="R315" i="155" s="1"/>
  <c r="S315" i="155" s="1"/>
  <c r="R190" i="155" a="1"/>
  <c r="R190" i="155" s="1"/>
  <c r="R233" i="155" a="1"/>
  <c r="R233" i="155" s="1"/>
  <c r="R143" i="155" a="1"/>
  <c r="R143" i="155" s="1"/>
  <c r="R126" i="155" a="1"/>
  <c r="R126" i="155" s="1"/>
  <c r="R319" i="155" a="1"/>
  <c r="R319" i="155" s="1"/>
  <c r="R164" i="155" a="1"/>
  <c r="R164" i="155" s="1"/>
  <c r="R200" i="155" a="1"/>
  <c r="R200" i="155" s="1"/>
  <c r="S200" i="155" s="1"/>
  <c r="G200" i="155"/>
  <c r="R160" i="155" a="1"/>
  <c r="R160" i="155" s="1"/>
  <c r="S160" i="155" s="1"/>
  <c r="R387" i="155" a="1"/>
  <c r="R387" i="155" s="1"/>
  <c r="R180" i="155" a="1"/>
  <c r="R180" i="155" s="1"/>
  <c r="R214" i="155" a="1"/>
  <c r="R214" i="155" s="1"/>
  <c r="R281" i="155" a="1"/>
  <c r="R281" i="155" s="1"/>
  <c r="S281" i="155" s="1"/>
  <c r="R311" i="155" a="1"/>
  <c r="R311" i="155" s="1"/>
  <c r="S311" i="155" s="1"/>
  <c r="R213" i="155" a="1"/>
  <c r="R213" i="155" s="1"/>
  <c r="S213" i="155" s="1"/>
  <c r="R393" i="155" a="1"/>
  <c r="R393" i="155" s="1"/>
  <c r="S393" i="155" s="1"/>
  <c r="R272" i="155" a="1"/>
  <c r="R272" i="155" s="1"/>
  <c r="R105" i="155" a="1"/>
  <c r="R105" i="155" s="1"/>
  <c r="R344" i="155" a="1"/>
  <c r="R344" i="155" s="1"/>
  <c r="R290" i="155" a="1"/>
  <c r="R290" i="155" s="1"/>
  <c r="S290" i="155" s="1"/>
  <c r="R297" i="155" a="1"/>
  <c r="R297" i="155" s="1"/>
  <c r="S297" i="155" s="1"/>
  <c r="R361" i="155" a="1"/>
  <c r="R361" i="155" s="1"/>
  <c r="S361" i="155" s="1"/>
  <c r="R236" i="155" a="1"/>
  <c r="R236" i="155" s="1"/>
  <c r="S236" i="155" s="1"/>
  <c r="G120" i="154"/>
  <c r="R367" i="155" a="1"/>
  <c r="R367" i="155" s="1"/>
  <c r="S367" i="155" s="1"/>
  <c r="R237" i="155" a="1"/>
  <c r="R237" i="155" s="1"/>
  <c r="R127" i="155" a="1"/>
  <c r="R127" i="155" s="1"/>
  <c r="R338" i="155" a="1"/>
  <c r="R338" i="155" s="1"/>
  <c r="R198" i="155" a="1"/>
  <c r="R198" i="155" s="1"/>
  <c r="R359" i="155" a="1"/>
  <c r="R359" i="155" s="1"/>
  <c r="S359" i="155" s="1"/>
  <c r="R102" i="155" a="1"/>
  <c r="R102" i="155" s="1"/>
  <c r="S102" i="155" s="1"/>
  <c r="R167" i="155" a="1"/>
  <c r="R167" i="155" s="1"/>
  <c r="R372" i="155" a="1"/>
  <c r="R372" i="155" s="1"/>
  <c r="R206" i="155" a="1"/>
  <c r="R206" i="155" s="1"/>
  <c r="R108" i="155" a="1"/>
  <c r="R108" i="155" s="1"/>
  <c r="R256" i="155" a="1"/>
  <c r="R256" i="155" s="1"/>
  <c r="R394" i="155" a="1"/>
  <c r="R394" i="155" s="1"/>
  <c r="R317" i="155" a="1"/>
  <c r="R317" i="155" s="1"/>
  <c r="S317" i="155" s="1"/>
  <c r="R312" i="155" a="1"/>
  <c r="R312" i="155" s="1"/>
  <c r="S312" i="155" s="1"/>
  <c r="T312" i="155" s="1"/>
  <c r="I170" i="154"/>
  <c r="R347" i="155" a="1"/>
  <c r="R347" i="155" s="1"/>
  <c r="R245" i="155" a="1"/>
  <c r="R245" i="155" s="1"/>
  <c r="R132" i="155" a="1"/>
  <c r="R132" i="155" s="1"/>
  <c r="R342" i="155" a="1"/>
  <c r="R342" i="155" s="1"/>
  <c r="S342" i="155" s="1"/>
  <c r="R202" i="155" a="1"/>
  <c r="R202" i="155" s="1"/>
  <c r="R111" i="155" a="1"/>
  <c r="R111" i="155" s="1"/>
  <c r="S111" i="155" s="1"/>
  <c r="G140" i="155"/>
  <c r="R140" i="155" a="1"/>
  <c r="R140" i="155" s="1"/>
  <c r="R313" i="155" a="1"/>
  <c r="R313" i="155" s="1"/>
  <c r="R378" i="155" a="1"/>
  <c r="R378" i="155" s="1"/>
  <c r="R137" i="155" a="1"/>
  <c r="R137" i="155" s="1"/>
  <c r="R346" i="155" a="1"/>
  <c r="R346" i="155" s="1"/>
  <c r="G400" i="154"/>
  <c r="R229" i="155" a="1"/>
  <c r="R229" i="155" s="1"/>
  <c r="R374" i="155" a="1"/>
  <c r="R374" i="155" s="1"/>
  <c r="R345" i="155" a="1"/>
  <c r="R345" i="155" s="1"/>
  <c r="S345" i="155" s="1"/>
  <c r="R240" i="155" a="1"/>
  <c r="R240" i="155" s="1"/>
  <c r="S240" i="155" s="1"/>
  <c r="R274" i="155" a="1"/>
  <c r="R274" i="155" s="1"/>
  <c r="R113" i="155" a="1"/>
  <c r="R113" i="155" s="1"/>
  <c r="S113" i="155" s="1"/>
  <c r="R262" i="155" a="1"/>
  <c r="R262" i="155" s="1"/>
  <c r="R325" i="155" a="1"/>
  <c r="R325" i="155" s="1"/>
  <c r="R364" i="155" a="1"/>
  <c r="R364" i="155" s="1"/>
  <c r="S364" i="155" s="1"/>
  <c r="T364" i="155" s="1"/>
  <c r="R329" i="155" a="1"/>
  <c r="R329" i="155" s="1"/>
  <c r="S329" i="155" s="1"/>
  <c r="I130" i="154"/>
  <c r="R173" i="155" a="1"/>
  <c r="R173" i="155" s="1"/>
  <c r="R247" i="155" a="1"/>
  <c r="R247" i="155" s="1"/>
  <c r="R265" i="155" a="1"/>
  <c r="R265" i="155" s="1"/>
  <c r="S265" i="155" s="1"/>
  <c r="R269" i="155" a="1"/>
  <c r="R269" i="155" s="1"/>
  <c r="R131" i="155" a="1"/>
  <c r="R131" i="155" s="1"/>
  <c r="R268" i="155" a="1"/>
  <c r="R268" i="155" s="1"/>
  <c r="S268" i="155" s="1"/>
  <c r="R246" i="155" a="1"/>
  <c r="R246" i="155" s="1"/>
  <c r="S246" i="155" s="1"/>
  <c r="R175" i="155" a="1"/>
  <c r="R175" i="155" s="1"/>
  <c r="R189" i="155" a="1"/>
  <c r="R189" i="155" s="1"/>
  <c r="R368" i="155" a="1"/>
  <c r="R368" i="155" s="1"/>
  <c r="R305" i="155" a="1"/>
  <c r="R305" i="155" s="1"/>
  <c r="R188" i="155" a="1"/>
  <c r="R188" i="155" s="1"/>
  <c r="S188" i="155" s="1"/>
  <c r="R212" i="155" a="1"/>
  <c r="R212" i="155" s="1"/>
  <c r="R300" i="155" a="1"/>
  <c r="R300" i="155" s="1"/>
  <c r="R318" i="155" a="1"/>
  <c r="R318" i="155" s="1"/>
  <c r="S318" i="155" s="1"/>
  <c r="T318" i="155" s="1"/>
  <c r="R211" i="155" a="1"/>
  <c r="R211" i="155" s="1"/>
  <c r="R178" i="155" a="1"/>
  <c r="R178" i="155" s="1"/>
  <c r="I170" i="155"/>
  <c r="R225" i="155" a="1"/>
  <c r="R225" i="155" s="1"/>
  <c r="R355" i="155" a="1"/>
  <c r="R355" i="155" s="1"/>
  <c r="R197" i="155" a="1"/>
  <c r="R197" i="155" s="1"/>
  <c r="S197" i="155" s="1"/>
  <c r="R203" i="155" a="1"/>
  <c r="R203" i="155" s="1"/>
  <c r="S203" i="155" s="1"/>
  <c r="R279" i="155" a="1"/>
  <c r="R279" i="155" s="1"/>
  <c r="S279" i="155" s="1"/>
  <c r="T279" i="155" s="1"/>
  <c r="R118" i="155" a="1"/>
  <c r="R118" i="155" s="1"/>
  <c r="S118" i="155" s="1"/>
  <c r="R390" i="155" a="1"/>
  <c r="R390" i="155" s="1"/>
  <c r="R153" i="155" a="1"/>
  <c r="R153" i="155" s="1"/>
  <c r="I200" i="155"/>
  <c r="R382" i="155" a="1"/>
  <c r="R382" i="155" s="1"/>
  <c r="S382" i="155" s="1"/>
  <c r="T382" i="155" s="1"/>
  <c r="R363" i="155" a="1"/>
  <c r="R363" i="155" s="1"/>
  <c r="S363" i="155" s="1"/>
  <c r="R144" i="155" a="1"/>
  <c r="R144" i="155" s="1"/>
  <c r="S144" i="155" s="1"/>
  <c r="R192" i="155" a="1"/>
  <c r="R192" i="155" s="1"/>
  <c r="R261" i="155" a="1"/>
  <c r="R261" i="155" s="1"/>
  <c r="S261" i="155" s="1"/>
  <c r="R155" i="155" a="1"/>
  <c r="R155" i="155" s="1"/>
  <c r="R117" i="155" a="1"/>
  <c r="R117" i="155" s="1"/>
  <c r="I140" i="154"/>
  <c r="R348" i="155" a="1"/>
  <c r="R348" i="155" s="1"/>
  <c r="R194" i="155" a="1"/>
  <c r="R194" i="155" s="1"/>
  <c r="R169" i="155" a="1"/>
  <c r="R169" i="155" s="1"/>
  <c r="S169" i="155" s="1"/>
  <c r="R185" i="155" a="1"/>
  <c r="R185" i="155" s="1"/>
  <c r="S185" i="155" s="1"/>
  <c r="R210" i="155" a="1"/>
  <c r="R210" i="155" s="1"/>
  <c r="S210" i="155" s="1"/>
  <c r="R253" i="155" a="1"/>
  <c r="R253" i="155" s="1"/>
  <c r="G110" i="154"/>
  <c r="R326" i="155" a="1"/>
  <c r="R326" i="155" s="1"/>
  <c r="R309" i="155" a="1"/>
  <c r="R309" i="155" s="1"/>
  <c r="R343" i="155" a="1"/>
  <c r="R343" i="155" s="1"/>
  <c r="S343" i="155" s="1"/>
  <c r="R149" i="155" a="1"/>
  <c r="R149" i="155" s="1"/>
  <c r="S149" i="155" s="1"/>
  <c r="R276" i="155" a="1"/>
  <c r="R276" i="155" s="1"/>
  <c r="S276" i="155" s="1"/>
  <c r="T276" i="155" s="1"/>
  <c r="R139" i="155" a="1"/>
  <c r="R139" i="155" s="1"/>
  <c r="I150" i="155"/>
  <c r="R270" i="155" a="1"/>
  <c r="R270" i="155" s="1"/>
  <c r="G150" i="154"/>
  <c r="R129" i="155" a="1"/>
  <c r="R129" i="155" s="1"/>
  <c r="G130" i="155"/>
  <c r="R130" i="155" a="1"/>
  <c r="R130" i="155" s="1"/>
  <c r="S130" i="155" s="1"/>
  <c r="G100" i="155"/>
  <c r="R100" i="155" a="1"/>
  <c r="R100" i="155" s="1"/>
  <c r="R172" i="155" a="1"/>
  <c r="R172" i="155" s="1"/>
  <c r="R360" i="155" a="1"/>
  <c r="R360" i="155" s="1"/>
  <c r="G150" i="155"/>
  <c r="R150" i="155" a="1"/>
  <c r="R150" i="155" s="1"/>
  <c r="R389" i="155" a="1"/>
  <c r="R389" i="155" s="1"/>
  <c r="S389" i="155" s="1"/>
  <c r="R398" i="155" a="1"/>
  <c r="R398" i="155" s="1"/>
  <c r="S398" i="155" s="1"/>
  <c r="T398" i="155" s="1"/>
  <c r="S205" i="155" l="1"/>
  <c r="S299" i="155"/>
  <c r="T333" i="155"/>
  <c r="S294" i="155"/>
  <c r="S175" i="155"/>
  <c r="S154" i="155"/>
  <c r="S375" i="155"/>
  <c r="S330" i="155"/>
  <c r="T330" i="155" s="1"/>
  <c r="S207" i="155"/>
  <c r="S120" i="155"/>
  <c r="S163" i="155"/>
  <c r="T163" i="155" s="1"/>
  <c r="S350" i="155"/>
  <c r="T350" i="155" s="1"/>
  <c r="S209" i="155"/>
  <c r="T210" i="155" s="1"/>
  <c r="S370" i="155"/>
  <c r="T370" i="155" s="1"/>
  <c r="S304" i="155"/>
  <c r="S283" i="155"/>
  <c r="S258" i="155"/>
  <c r="T258" i="155" s="1"/>
  <c r="S189" i="155"/>
  <c r="T189" i="155" s="1"/>
  <c r="S347" i="155"/>
  <c r="S138" i="155"/>
  <c r="S142" i="155"/>
  <c r="S135" i="155"/>
  <c r="T135" i="155" s="1"/>
  <c r="S266" i="155"/>
  <c r="T266" i="155" s="1"/>
  <c r="S114" i="155"/>
  <c r="T114" i="155" s="1"/>
  <c r="S289" i="155"/>
  <c r="T290" i="155" s="1"/>
  <c r="S139" i="155"/>
  <c r="S167" i="155"/>
  <c r="S374" i="155"/>
  <c r="S174" i="155"/>
  <c r="T175" i="155" s="1"/>
  <c r="S273" i="155"/>
  <c r="S161" i="155"/>
  <c r="T161" i="155" s="1"/>
  <c r="S307" i="155"/>
  <c r="S284" i="155"/>
  <c r="S171" i="155"/>
  <c r="S301" i="155"/>
  <c r="T302" i="155" s="1"/>
  <c r="S250" i="155"/>
  <c r="S241" i="155"/>
  <c r="T241" i="155" s="1"/>
  <c r="S191" i="155"/>
  <c r="S229" i="155"/>
  <c r="T229" i="155" s="1"/>
  <c r="S252" i="155"/>
  <c r="S110" i="155"/>
  <c r="T110" i="155" s="1"/>
  <c r="S391" i="155"/>
  <c r="S156" i="155"/>
  <c r="S179" i="155"/>
  <c r="S323" i="155"/>
  <c r="T324" i="155" s="1"/>
  <c r="S220" i="155"/>
  <c r="S196" i="155"/>
  <c r="T197" i="155" s="1"/>
  <c r="S335" i="155"/>
  <c r="T336" i="155" s="1"/>
  <c r="S328" i="155"/>
  <c r="T329" i="155" s="1"/>
  <c r="S117" i="155"/>
  <c r="T118" i="155" s="1"/>
  <c r="S153" i="155"/>
  <c r="S105" i="155"/>
  <c r="T106" i="155" s="1"/>
  <c r="S217" i="155"/>
  <c r="S358" i="155"/>
  <c r="T359" i="155" s="1"/>
  <c r="S239" i="155"/>
  <c r="T240" i="155" s="1"/>
  <c r="S192" i="155"/>
  <c r="S300" i="155"/>
  <c r="S177" i="155"/>
  <c r="S212" i="155"/>
  <c r="T213" i="155" s="1"/>
  <c r="S198" i="155"/>
  <c r="T198" i="155" s="1"/>
  <c r="S168" i="155"/>
  <c r="S172" i="155"/>
  <c r="S253" i="155"/>
  <c r="S155" i="155"/>
  <c r="S390" i="155"/>
  <c r="T390" i="155" s="1"/>
  <c r="S178" i="155"/>
  <c r="S173" i="155"/>
  <c r="S313" i="155"/>
  <c r="T313" i="155" s="1"/>
  <c r="S372" i="155"/>
  <c r="S272" i="155"/>
  <c r="T272" i="155" s="1"/>
  <c r="S190" i="155"/>
  <c r="S365" i="155"/>
  <c r="T365" i="155" s="1"/>
  <c r="S219" i="155"/>
  <c r="T219" i="155" s="1"/>
  <c r="S195" i="155"/>
  <c r="S249" i="155"/>
  <c r="T249" i="155" s="1"/>
  <c r="S186" i="155"/>
  <c r="T186" i="155" s="1"/>
  <c r="S320" i="155"/>
  <c r="S170" i="155"/>
  <c r="T170" i="155" s="1"/>
  <c r="S251" i="155"/>
  <c r="S356" i="155"/>
  <c r="S373" i="155"/>
  <c r="M101" i="155"/>
  <c r="S166" i="155"/>
  <c r="S227" i="155"/>
  <c r="T227" i="155" s="1"/>
  <c r="S306" i="155"/>
  <c r="S259" i="155"/>
  <c r="S334" i="155"/>
  <c r="T334" i="155" s="1"/>
  <c r="S152" i="155"/>
  <c r="T152" i="155" s="1"/>
  <c r="S327" i="155"/>
  <c r="S376" i="155"/>
  <c r="T376" i="155" s="1"/>
  <c r="S124" i="155"/>
  <c r="T124" i="155" s="1"/>
  <c r="S308" i="155"/>
  <c r="S202" i="155"/>
  <c r="T203" i="155" s="1"/>
  <c r="S394" i="155"/>
  <c r="T394" i="155" s="1"/>
  <c r="S319" i="155"/>
  <c r="T319" i="155" s="1"/>
  <c r="S377" i="155"/>
  <c r="K101" i="154"/>
  <c r="T291" i="155"/>
  <c r="S136" i="155"/>
  <c r="S129" i="155"/>
  <c r="T129" i="155" s="1"/>
  <c r="S355" i="155"/>
  <c r="T355" i="155" s="1"/>
  <c r="S269" i="155"/>
  <c r="T269" i="155" s="1"/>
  <c r="S346" i="155"/>
  <c r="T346" i="155" s="1"/>
  <c r="S256" i="155"/>
  <c r="T256" i="155" s="1"/>
  <c r="S338" i="155"/>
  <c r="T339" i="155" s="1"/>
  <c r="S214" i="155"/>
  <c r="S383" i="155"/>
  <c r="T383" i="155" s="1"/>
  <c r="S310" i="155"/>
  <c r="S298" i="155"/>
  <c r="T298" i="155" s="1"/>
  <c r="S148" i="155"/>
  <c r="S243" i="155"/>
  <c r="S107" i="155"/>
  <c r="T107" i="155" s="1"/>
  <c r="S392" i="155"/>
  <c r="S221" i="155"/>
  <c r="S104" i="155"/>
  <c r="S331" i="155"/>
  <c r="S263" i="155"/>
  <c r="S121" i="155"/>
  <c r="S351" i="155"/>
  <c r="S260" i="155"/>
  <c r="S371" i="155"/>
  <c r="K101" i="155"/>
  <c r="T236" i="155"/>
  <c r="S164" i="155"/>
  <c r="T164" i="155" s="1"/>
  <c r="S337" i="155"/>
  <c r="S147" i="155"/>
  <c r="T147" i="155" s="1"/>
  <c r="S208" i="155"/>
  <c r="T208" i="155" s="1"/>
  <c r="S325" i="155"/>
  <c r="T325" i="155" s="1"/>
  <c r="S223" i="155"/>
  <c r="T223" i="155" s="1"/>
  <c r="S242" i="155"/>
  <c r="S295" i="155"/>
  <c r="S119" i="155"/>
  <c r="T119" i="155" s="1"/>
  <c r="S230" i="155"/>
  <c r="S150" i="155"/>
  <c r="T150" i="155" s="1"/>
  <c r="S309" i="155"/>
  <c r="S348" i="155"/>
  <c r="T348" i="155" s="1"/>
  <c r="S262" i="155"/>
  <c r="T262" i="155" s="1"/>
  <c r="T343" i="155"/>
  <c r="S126" i="155"/>
  <c r="S326" i="155"/>
  <c r="S225" i="155"/>
  <c r="S305" i="155"/>
  <c r="T305" i="155" s="1"/>
  <c r="S137" i="155"/>
  <c r="S132" i="155"/>
  <c r="S108" i="155"/>
  <c r="S127" i="155"/>
  <c r="S344" i="155"/>
  <c r="T344" i="155" s="1"/>
  <c r="S180" i="155"/>
  <c r="S143" i="155"/>
  <c r="S231" i="155"/>
  <c r="T232" i="155" s="1"/>
  <c r="S314" i="155"/>
  <c r="S234" i="155"/>
  <c r="T235" i="155" s="1"/>
  <c r="S159" i="155"/>
  <c r="T159" i="155" s="1"/>
  <c r="S184" i="155"/>
  <c r="T184" i="155" s="1"/>
  <c r="S254" i="155"/>
  <c r="S204" i="155"/>
  <c r="T204" i="155" s="1"/>
  <c r="S133" i="155"/>
  <c r="S379" i="155"/>
  <c r="S296" i="155"/>
  <c r="T297" i="155" s="1"/>
  <c r="S238" i="155"/>
  <c r="S388" i="155"/>
  <c r="T389" i="155" s="1"/>
  <c r="S362" i="155"/>
  <c r="T362" i="155" s="1"/>
  <c r="S282" i="155"/>
  <c r="S145" i="155"/>
  <c r="S293" i="155"/>
  <c r="T294" i="155" s="1"/>
  <c r="S116" i="155"/>
  <c r="T116" i="155" s="1"/>
  <c r="S366" i="155"/>
  <c r="T367" i="155" s="1"/>
  <c r="S357" i="155"/>
  <c r="S267" i="155"/>
  <c r="S182" i="155"/>
  <c r="T182" i="155" s="1"/>
  <c r="S316" i="155"/>
  <c r="T316" i="155" s="1"/>
  <c r="S216" i="155"/>
  <c r="S380" i="155"/>
  <c r="S353" i="155"/>
  <c r="T353" i="155" s="1"/>
  <c r="S211" i="155"/>
  <c r="T211" i="155" s="1"/>
  <c r="S140" i="155"/>
  <c r="T140" i="155" s="1"/>
  <c r="S176" i="155"/>
  <c r="S103" i="155"/>
  <c r="T103" i="155" s="1"/>
  <c r="S386" i="155"/>
  <c r="T386" i="155" s="1"/>
  <c r="S201" i="155"/>
  <c r="T201" i="155" s="1"/>
  <c r="S399" i="155"/>
  <c r="T399" i="155" s="1"/>
  <c r="S165" i="155"/>
  <c r="S193" i="155"/>
  <c r="S194" i="155"/>
  <c r="S131" i="155"/>
  <c r="T131" i="155" s="1"/>
  <c r="S400" i="155"/>
  <c r="S303" i="155"/>
  <c r="T303" i="155" s="1"/>
  <c r="S125" i="155"/>
  <c r="S360" i="155"/>
  <c r="T360" i="155" s="1"/>
  <c r="S270" i="155"/>
  <c r="T271" i="155" s="1"/>
  <c r="S368" i="155"/>
  <c r="T368" i="155" s="1"/>
  <c r="S247" i="155"/>
  <c r="T247" i="155" s="1"/>
  <c r="S274" i="155"/>
  <c r="S378" i="155"/>
  <c r="S245" i="155"/>
  <c r="S206" i="155"/>
  <c r="T206" i="155" s="1"/>
  <c r="S237" i="155"/>
  <c r="T237" i="155" s="1"/>
  <c r="S387" i="155"/>
  <c r="S233" i="155"/>
  <c r="T233" i="155" s="1"/>
  <c r="S292" i="155"/>
  <c r="T292" i="155" s="1"/>
  <c r="S395" i="155"/>
  <c r="S215" i="155"/>
  <c r="S287" i="155"/>
  <c r="T287" i="155" s="1"/>
  <c r="S187" i="155"/>
  <c r="S288" i="155"/>
  <c r="S112" i="155"/>
  <c r="T112" i="155" s="1"/>
  <c r="S341" i="155"/>
  <c r="T341" i="155" s="1"/>
  <c r="S280" i="155"/>
  <c r="T280" i="155" s="1"/>
  <c r="S264" i="155"/>
  <c r="S199" i="155"/>
  <c r="T200" i="155" s="1"/>
  <c r="S396" i="155"/>
  <c r="S141" i="155"/>
  <c r="S101" i="155"/>
  <c r="T102" i="155" s="1"/>
  <c r="S321" i="155"/>
  <c r="S277" i="155"/>
  <c r="T277" i="155" s="1"/>
  <c r="S157" i="155"/>
  <c r="M101" i="154"/>
  <c r="S285" i="155"/>
  <c r="T351" i="155" l="1"/>
  <c r="T295" i="155"/>
  <c r="T176" i="155"/>
  <c r="T371" i="155"/>
  <c r="T300" i="155"/>
  <c r="T115" i="155"/>
  <c r="T284" i="155"/>
  <c r="T331" i="155"/>
  <c r="T307" i="155"/>
  <c r="T121" i="155"/>
  <c r="T259" i="155"/>
  <c r="T167" i="155"/>
  <c r="T153" i="155"/>
  <c r="T375" i="155"/>
  <c r="T288" i="155"/>
  <c r="T273" i="155"/>
  <c r="T242" i="155"/>
  <c r="T190" i="155"/>
  <c r="T253" i="155"/>
  <c r="T274" i="155"/>
  <c r="T137" i="155"/>
  <c r="T377" i="155"/>
  <c r="T373" i="155"/>
  <c r="T171" i="155"/>
  <c r="T148" i="155"/>
  <c r="T185" i="155"/>
  <c r="T217" i="155"/>
  <c r="T251" i="155"/>
  <c r="T154" i="155"/>
  <c r="T142" i="155"/>
  <c r="T139" i="155"/>
  <c r="T168" i="155"/>
  <c r="T250" i="155"/>
  <c r="T267" i="155"/>
  <c r="T108" i="155"/>
  <c r="T285" i="155"/>
  <c r="T180" i="155"/>
  <c r="T326" i="155"/>
  <c r="T192" i="155"/>
  <c r="T199" i="155"/>
  <c r="T358" i="155"/>
  <c r="T264" i="155"/>
  <c r="T332" i="155"/>
  <c r="T356" i="155"/>
  <c r="T187" i="155"/>
  <c r="T179" i="155"/>
  <c r="T218" i="155"/>
  <c r="T221" i="155"/>
  <c r="T369" i="155"/>
  <c r="T391" i="155"/>
  <c r="T127" i="155"/>
  <c r="T133" i="155"/>
  <c r="T143" i="155"/>
  <c r="T230" i="155"/>
  <c r="T136" i="155"/>
  <c r="T172" i="155"/>
  <c r="T165" i="155"/>
  <c r="T188" i="155"/>
  <c r="T174" i="155"/>
  <c r="T177" i="155"/>
  <c r="T310" i="155"/>
  <c r="T260" i="155"/>
  <c r="T380" i="155"/>
  <c r="T144" i="155"/>
  <c r="T354" i="155"/>
  <c r="T216" i="155"/>
  <c r="T301" i="155"/>
  <c r="T378" i="155"/>
  <c r="T381" i="155"/>
  <c r="T286" i="155"/>
  <c r="T151" i="155"/>
  <c r="T111" i="155"/>
  <c r="T157" i="155"/>
  <c r="T395" i="155"/>
  <c r="T191" i="155"/>
  <c r="T392" i="155"/>
  <c r="T372" i="155"/>
  <c r="T323" i="155"/>
  <c r="T248" i="155"/>
  <c r="T220" i="155"/>
  <c r="T109" i="155"/>
  <c r="T321" i="155"/>
  <c r="T238" i="155"/>
  <c r="T275" i="155"/>
  <c r="O101" i="155"/>
  <c r="O103" i="155" s="1"/>
  <c r="O101" i="154"/>
  <c r="T308" i="155"/>
  <c r="T138" i="155"/>
  <c r="T196" i="155"/>
  <c r="T162" i="155"/>
  <c r="T283" i="155"/>
  <c r="T282" i="155"/>
  <c r="T125" i="155"/>
  <c r="T374" i="155"/>
  <c r="T309" i="155"/>
  <c r="T270" i="155"/>
  <c r="T400" i="155"/>
  <c r="T349" i="155"/>
  <c r="T149" i="155"/>
  <c r="T146" i="155"/>
  <c r="T145" i="155"/>
  <c r="T265" i="155"/>
  <c r="T363" i="155"/>
  <c r="T268" i="155"/>
  <c r="T207" i="155"/>
  <c r="T104" i="155"/>
  <c r="T243" i="155"/>
  <c r="T224" i="155"/>
  <c r="T261" i="155"/>
  <c r="T156" i="155"/>
  <c r="T155" i="155"/>
  <c r="T222" i="155"/>
  <c r="T158" i="155"/>
  <c r="T246" i="155"/>
  <c r="T245" i="155"/>
  <c r="T254" i="155"/>
  <c r="T183" i="155"/>
  <c r="T347" i="155"/>
  <c r="T352" i="155"/>
  <c r="T122" i="155"/>
  <c r="T306" i="155"/>
  <c r="T311" i="155"/>
  <c r="T239" i="155"/>
  <c r="T366" i="155"/>
  <c r="T132" i="155"/>
  <c r="T289" i="155"/>
  <c r="T252" i="155"/>
  <c r="T205" i="155"/>
  <c r="T228" i="155"/>
  <c r="T173" i="155"/>
  <c r="T128" i="155"/>
  <c r="T299" i="155"/>
  <c r="T181" i="155"/>
  <c r="T296" i="155"/>
  <c r="T396" i="155"/>
  <c r="T105" i="155"/>
  <c r="T278" i="155"/>
  <c r="T314" i="155"/>
  <c r="T126" i="155"/>
  <c r="T281" i="155"/>
  <c r="T263" i="155"/>
  <c r="T397" i="155"/>
  <c r="T393" i="155"/>
  <c r="T209" i="155"/>
  <c r="T166" i="155"/>
  <c r="T320" i="155"/>
  <c r="T178" i="155"/>
  <c r="T130" i="155"/>
  <c r="T120" i="155"/>
  <c r="T226" i="155"/>
  <c r="T225" i="155"/>
  <c r="T255" i="155"/>
  <c r="T141" i="155"/>
  <c r="T357" i="155"/>
  <c r="T335" i="155"/>
  <c r="T338" i="155"/>
  <c r="T337" i="155"/>
  <c r="T257" i="155"/>
  <c r="T304" i="155"/>
  <c r="T322" i="155"/>
  <c r="T388" i="155"/>
  <c r="T387" i="155"/>
  <c r="T195" i="155"/>
  <c r="T194" i="155"/>
  <c r="T361" i="155"/>
  <c r="T234" i="155"/>
  <c r="T193" i="155"/>
  <c r="T117" i="155"/>
  <c r="T293" i="155"/>
  <c r="T379" i="155"/>
  <c r="T231" i="155"/>
  <c r="T113" i="155"/>
  <c r="T342" i="155"/>
  <c r="T244" i="155"/>
  <c r="T317" i="155"/>
  <c r="T215" i="155"/>
  <c r="T214" i="155"/>
  <c r="T384" i="155"/>
  <c r="T202" i="155"/>
  <c r="T169" i="155"/>
  <c r="T345" i="155"/>
  <c r="T328" i="155"/>
  <c r="T327" i="155"/>
  <c r="T160" i="155"/>
  <c r="T212" i="155"/>
  <c r="T134" i="155"/>
  <c r="T315" i="155"/>
  <c r="X101" i="155" l="1"/>
  <c r="AA101" i="155" s="1"/>
  <c r="AF101" i="15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<sst xmlns="http://schemas.openxmlformats.org/spreadsheetml/2006/main" count="2318" uniqueCount="563">
  <si>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</si>
  <si>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</si>
  <si>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</si>
  <si>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</si>
  <si>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</si>
  <si>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</si>
  <si>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</si>
  <si>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</si>
  <si>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</si>
  <si>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</si>
  <si>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</si>
  <si>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</si>
  <si>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</si>
  <si>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</si>
  <si>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</si>
  <si>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</si>
  <si>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</si>
  <si>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</si>
  <si>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</si>
  <si>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</si>
  <si>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</si>
  <si>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</si>
  <si>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</si>
  <si>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</si>
  <si>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</si>
  <si>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</si>
  <si>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</si>
  <si>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</si>
  <si>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</si>
  <si>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</si>
  <si>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</si>
  <si>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</si>
  <si>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</si>
  <si>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</si>
  <si>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</si>
  <si>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</si>
  <si>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</si>
  <si>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</si>
  <si>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</si>
  <si>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</si>
  <si>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</si>
  <si>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</si>
  <si>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</si>
  <si>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</si>
  <si>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</si>
  <si>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</si>
  <si>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</si>
  <si>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</si>
  <si>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</si>
  <si>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</si>
  <si>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</si>
  <si>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</si>
  <si>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</si>
  <si>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</si>
  <si>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</si>
  <si>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</si>
  <si>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</si>
  <si>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</si>
  <si>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</si>
  <si>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</si>
  <si>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</si>
  <si>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</si>
  <si>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</si>
  <si>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</si>
  <si>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</si>
  <si>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</si>
  <si>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</si>
  <si>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</si>
  <si>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</si>
  <si>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</si>
  <si>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</si>
  <si>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</si>
  <si>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</si>
  <si>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</si>
  <si>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</si>
  <si>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</si>
  <si>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</si>
  <si>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</si>
  <si>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</si>
  <si>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</si>
  <si>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</si>
  <si>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</si>
  <si>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</si>
  <si>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</si>
  <si>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</si>
  <si>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</si>
  <si>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</si>
  <si>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</si>
  <si>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</si>
  <si>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</si>
  <si>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</si>
  <si>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</si>
  <si>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</si>
  <si>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</si>
  <si>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</si>
  <si>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</si>
  <si>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</si>
  <si>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</si>
  <si>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</si>
  <si>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</si>
  <si>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</si>
  <si>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</si>
  <si>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</si>
  <si>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</si>
  <si>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</si>
  <si>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</si>
  <si>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</si>
  <si>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</si>
  <si>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</si>
  <si>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</si>
  <si>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</si>
  <si>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</si>
  <si>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</si>
  <si>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</si>
  <si>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</si>
  <si>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</si>
  <si>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</si>
  <si>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</si>
  <si>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</si>
  <si>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</si>
  <si>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</si>
  <si>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</si>
  <si>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</si>
  <si>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</si>
  <si>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</si>
  <si>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</si>
  <si>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</si>
  <si>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</si>
  <si>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</si>
  <si>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</si>
  <si>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</si>
  <si>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</si>
  <si>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</si>
  <si>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</si>
  <si>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</si>
  <si>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</si>
  <si>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</si>
  <si>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</si>
  <si>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</si>
  <si>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</si>
  <si>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</si>
  <si>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</si>
  <si>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</si>
  <si>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</si>
  <si>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</si>
  <si>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</si>
  <si>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</si>
  <si>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</si>
  <si>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</si>
  <si>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</si>
  <si>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</si>
  <si>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</si>
  <si>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</si>
  <si>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</si>
  <si>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</si>
  <si>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</si>
  <si>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</si>
  <si>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</si>
  <si>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</si>
  <si>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</si>
  <si>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</si>
  <si>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</si>
  <si>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</si>
  <si>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</si>
  <si>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</si>
  <si>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</si>
  <si>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</si>
  <si>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</si>
  <si>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</si>
  <si>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</si>
  <si>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</si>
  <si>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</si>
  <si>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</si>
  <si>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</si>
  <si>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</si>
  <si>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</si>
  <si>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</si>
  <si>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</si>
  <si>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</si>
  <si>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</si>
  <si>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</si>
  <si>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</si>
  <si>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</si>
  <si>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</si>
  <si>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</si>
  <si>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</si>
  <si>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</si>
  <si>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</si>
  <si>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</si>
  <si>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</si>
  <si>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</si>
  <si>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</si>
  <si>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</si>
  <si>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</si>
  <si>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</si>
  <si>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</si>
  <si>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</si>
  <si>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</si>
  <si>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</si>
  <si>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</si>
  <si>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</si>
  <si>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</si>
  <si>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</si>
  <si>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</si>
  <si>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</si>
  <si>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</si>
  <si>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</si>
  <si>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</si>
  <si>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</si>
  <si>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</si>
  <si>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</si>
  <si>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</si>
  <si>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</si>
  <si>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</si>
  <si>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</si>
  <si>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</si>
  <si>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</si>
  <si>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</si>
  <si>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</si>
  <si>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</si>
  <si>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</si>
  <si>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</si>
  <si>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</si>
  <si>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</si>
  <si>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</si>
  <si>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</si>
  <si>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</si>
  <si>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</si>
  <si>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</si>
  <si>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</si>
  <si>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</si>
  <si>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</si>
  <si>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</si>
  <si>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</si>
  <si>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</si>
  <si>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</si>
  <si>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</si>
  <si>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</si>
  <si>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</si>
  <si>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</si>
  <si>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</si>
  <si>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</si>
  <si>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</si>
  <si>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</si>
  <si>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</si>
  <si>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</si>
  <si>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</si>
  <si>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</si>
  <si>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</si>
  <si>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</si>
  <si>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</si>
  <si>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</si>
  <si>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</si>
  <si>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</si>
  <si>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</si>
  <si>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</si>
  <si>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</si>
  <si>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</si>
  <si>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</si>
  <si>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</si>
  <si>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</si>
  <si>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</si>
  <si>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</si>
  <si>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</si>
  <si>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</si>
  <si>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</si>
  <si>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</si>
  <si>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</si>
  <si>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</si>
  <si>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</si>
  <si>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</si>
  <si>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</si>
  <si>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</si>
  <si>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</si>
  <si>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</si>
  <si>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</si>
  <si>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</si>
  <si>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</si>
  <si>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</si>
  <si>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</si>
  <si>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</si>
  <si>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</si>
  <si>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</si>
  <si>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</si>
  <si>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f(1,2,3)</t>
  </si>
  <si>
    <t>f(2,3)</t>
  </si>
  <si>
    <t>E[y]</t>
  </si>
  <si>
    <t>f(1,3)</t>
  </si>
  <si>
    <t>f(1,2)</t>
  </si>
  <si>
    <t>f(3)</t>
  </si>
  <si>
    <t>f(2)</t>
  </si>
  <si>
    <t>f(1)</t>
  </si>
  <si>
    <t>a</t>
  </si>
  <si>
    <t>Additive_2Player</t>
  </si>
  <si>
    <t>Additive_2P_Cases</t>
  </si>
  <si>
    <t>Additive_2P_Expectation</t>
  </si>
  <si>
    <t>Website</t>
  </si>
  <si>
    <t>Additive_3Player</t>
  </si>
  <si>
    <t>https://en.wikipedia.org/wiki/Multinomial_logistic_regression</t>
  </si>
  <si>
    <t>https://en.wikipedia.org/wiki/Silhouette_(clustering)</t>
  </si>
  <si>
    <t>Gini Impurity</t>
  </si>
  <si>
    <t>Next class</t>
  </si>
  <si>
    <t>PCA</t>
  </si>
  <si>
    <t>GAMs</t>
  </si>
  <si>
    <t>Naïve Bayes: Text Data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</si>
  <si>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</si>
  <si>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</si>
  <si>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</si>
  <si>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</si>
  <si>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</si>
  <si>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</si>
  <si>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</si>
  <si>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</si>
  <si>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</si>
  <si>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</si>
  <si>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</si>
  <si>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</si>
  <si>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</si>
  <si>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</si>
  <si>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</si>
  <si>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</si>
  <si>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</si>
  <si>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</si>
  <si>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</si>
  <si>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</si>
  <si>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</si>
  <si>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</si>
  <si>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</si>
  <si>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</si>
  <si>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</si>
  <si>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</si>
  <si>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</si>
  <si>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train</t>
  </si>
  <si>
    <t>test</t>
  </si>
  <si>
    <t>fit_forecast</t>
  </si>
  <si>
    <t>Rcode</t>
  </si>
  <si>
    <t>Shapley: Model Interpretation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</si>
  <si>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</si>
  <si>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</si>
  <si>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</si>
  <si>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</si>
  <si>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</si>
  <si>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</si>
  <si>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</si>
  <si>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</si>
  <si>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</si>
  <si>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</si>
  <si>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>100 - 3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- 5</t>
    </r>
    <r>
      <rPr>
        <vertAlign val="superscript"/>
        <sz val="20"/>
        <color theme="1"/>
        <rFont val="Calibri (Body)"/>
      </rPr>
      <t>2</t>
    </r>
  </si>
  <si>
    <r>
      <t>100 - 1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* 10</t>
    </r>
  </si>
  <si>
    <r>
      <t>100 - 10</t>
    </r>
    <r>
      <rPr>
        <vertAlign val="superscript"/>
        <sz val="20"/>
        <color theme="1"/>
        <rFont val="Calibri (Body)"/>
      </rPr>
      <t>2</t>
    </r>
  </si>
  <si>
    <t>PAM</t>
  </si>
  <si>
    <t>Partitioning Around Mediods</t>
  </si>
  <si>
    <t>Benefits</t>
  </si>
  <si>
    <t>Costs</t>
  </si>
  <si>
    <t>More robust and possibly quicker to converge</t>
  </si>
  <si>
    <t>Memory Intensive</t>
  </si>
  <si>
    <t>https://en.wikipedia.org/wiki/K-medoids</t>
  </si>
  <si>
    <t>MultLogReg_RCode</t>
  </si>
  <si>
    <t>Multinomial Logistic Regression</t>
  </si>
  <si>
    <t>Silhouette Code</t>
  </si>
  <si>
    <t>Motivation</t>
  </si>
  <si>
    <t>Mechanics</t>
  </si>
  <si>
    <t>Constraints 2</t>
  </si>
  <si>
    <t>Constraints 1</t>
  </si>
  <si>
    <t>Cubic Splint 1</t>
  </si>
  <si>
    <t>Cubic Spline 2</t>
  </si>
  <si>
    <t>Silhouette 1</t>
  </si>
  <si>
    <t>Silhouette 2</t>
  </si>
  <si>
    <t>https://en.wikipedia.org/wiki/Ordered_logit</t>
  </si>
  <si>
    <t>type</t>
  </si>
  <si>
    <t>text</t>
  </si>
  <si>
    <t>Ham</t>
  </si>
  <si>
    <t>see this</t>
  </si>
  <si>
    <t>see here</t>
  </si>
  <si>
    <t>buy me a hat</t>
  </si>
  <si>
    <t>cat in the hat</t>
  </si>
  <si>
    <t>fat cat</t>
  </si>
  <si>
    <t>Spam</t>
  </si>
  <si>
    <t>buy this</t>
  </si>
  <si>
    <t>see this buy</t>
  </si>
  <si>
    <t>buy that</t>
  </si>
  <si>
    <t>sell your cat</t>
  </si>
  <si>
    <t>buy me a cat</t>
  </si>
  <si>
    <t>buy</t>
  </si>
  <si>
    <t>sell</t>
  </si>
  <si>
    <t>see</t>
  </si>
  <si>
    <t>ham</t>
  </si>
  <si>
    <t>buy a hat</t>
  </si>
  <si>
    <t>see the cat</t>
  </si>
  <si>
    <t>see the hat</t>
  </si>
  <si>
    <t>cat</t>
  </si>
  <si>
    <t>fat</t>
  </si>
  <si>
    <t>hat</t>
  </si>
  <si>
    <t>this</t>
  </si>
  <si>
    <t>here</t>
  </si>
  <si>
    <t>me</t>
  </si>
  <si>
    <t>in</t>
  </si>
  <si>
    <t>the</t>
  </si>
  <si>
    <t>that</t>
  </si>
  <si>
    <t>your</t>
  </si>
  <si>
    <t>P(Ham)</t>
  </si>
  <si>
    <t>P(Spam)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</si>
  <si>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|Ham)</t>
    </r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</si>
  <si>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|Spam)</t>
    </r>
  </si>
  <si>
    <t>P(c|Ham)</t>
  </si>
  <si>
    <t>P(c|Spam)</t>
  </si>
  <si>
    <r>
      <t>P(Ham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</si>
  <si>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>P(Spam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</si>
  <si>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Extra</t>
  </si>
  <si>
    <t>PCA_RCode</t>
  </si>
  <si>
    <t>Calculation</t>
  </si>
  <si>
    <t>Boxers4</t>
  </si>
  <si>
    <t>LimePaint</t>
  </si>
  <si>
    <t>GreenPaint2</t>
  </si>
  <si>
    <t>GreenPaint1</t>
  </si>
  <si>
    <t>Dimensions</t>
  </si>
  <si>
    <t>Boxers3</t>
  </si>
  <si>
    <t>Boxers2</t>
  </si>
  <si>
    <t>Boxers1</t>
  </si>
  <si>
    <t>Terminology</t>
  </si>
  <si>
    <t>ax + by + cz</t>
  </si>
  <si>
    <t>A linear combination of x, y, and z:</t>
  </si>
  <si>
    <t>Linear Combination</t>
  </si>
  <si>
    <t>Unhappy</t>
  </si>
  <si>
    <t>Mad</t>
  </si>
  <si>
    <t>Poor</t>
  </si>
  <si>
    <t>Reflexes</t>
  </si>
  <si>
    <t>Reach</t>
  </si>
  <si>
    <t>Tall</t>
  </si>
  <si>
    <t>Fast</t>
  </si>
  <si>
    <t>Strong</t>
  </si>
  <si>
    <t>Brutish</t>
  </si>
  <si>
    <t>10110001</t>
  </si>
  <si>
    <t>Aggressive</t>
  </si>
  <si>
    <t>01110111</t>
  </si>
  <si>
    <t>Athletic</t>
  </si>
  <si>
    <t>11111000</t>
  </si>
  <si>
    <t>Yellow</t>
  </si>
  <si>
    <t>Blue</t>
  </si>
  <si>
    <t>PC2</t>
  </si>
  <si>
    <t>PC1</t>
  </si>
  <si>
    <t>PC3</t>
  </si>
  <si>
    <t>White</t>
  </si>
  <si>
    <t xml:space="preserve">  </t>
  </si>
  <si>
    <t>Eigenvectors are the loadings.</t>
  </si>
  <si>
    <t>Eigenvalues are explained variance.</t>
  </si>
  <si>
    <t>Calculated eigenvalues of covariance matrix.</t>
  </si>
  <si>
    <t>Calculate the covariance matrix of the data.</t>
  </si>
  <si>
    <t>Scale and center your data if appropriate.</t>
  </si>
  <si>
    <t>https://www.youtube.com/watch?v=iib_imkZ5fk</t>
  </si>
  <si>
    <t>Youtube video about paint mixing.</t>
  </si>
  <si>
    <t>train_text</t>
  </si>
  <si>
    <t>test_text</t>
  </si>
  <si>
    <t>fit_forecast_text</t>
  </si>
  <si>
    <t>RCode_text</t>
  </si>
  <si>
    <t>HClust</t>
  </si>
  <si>
    <t>HClust_Rcode</t>
  </si>
  <si>
    <t>Ordinal_LogisticRegress</t>
  </si>
  <si>
    <t>OrdLogReg_RCode</t>
  </si>
  <si>
    <t>Flowers,Get_Well_Card,Soda</t>
  </si>
  <si>
    <t>Flowers,Stuffed_Animal,Balloons,Candy_Bar</t>
  </si>
  <si>
    <t>Flowers,Get_Well_Card,Candy_Bar</t>
  </si>
  <si>
    <t>Soda,Stuffed_Animal,Balloons</t>
  </si>
  <si>
    <t>Support</t>
  </si>
  <si>
    <t>Transaction</t>
  </si>
  <si>
    <t>Flowers</t>
  </si>
  <si>
    <t>Get_Well_Card</t>
  </si>
  <si>
    <t>Soda</t>
  </si>
  <si>
    <t>Stuffed_Animal</t>
  </si>
  <si>
    <t>Balloons</t>
  </si>
  <si>
    <t>Candy_Bar</t>
  </si>
  <si>
    <t>#1</t>
  </si>
  <si>
    <t>#2</t>
  </si>
  <si>
    <t>#3</t>
  </si>
  <si>
    <t>#4</t>
  </si>
  <si>
    <t>#5</t>
  </si>
  <si>
    <t>Count</t>
  </si>
  <si>
    <t>Confidence</t>
  </si>
  <si>
    <t>Lift</t>
  </si>
  <si>
    <t>TransactionID</t>
  </si>
  <si>
    <t>Item</t>
  </si>
  <si>
    <t>Transaction_101</t>
  </si>
  <si>
    <t>Transaction_102</t>
  </si>
  <si>
    <t>Transaction_103</t>
  </si>
  <si>
    <t>Transaction_104</t>
  </si>
  <si>
    <t>Transaction_105</t>
  </si>
  <si>
    <t>TransactionsData_v1</t>
  </si>
  <si>
    <t>TransactionsData_v2</t>
  </si>
  <si>
    <t>TransactionsData_v3</t>
  </si>
  <si>
    <t>BasketAnalysis</t>
  </si>
  <si>
    <t>AprioriAlgo_RCode1</t>
  </si>
  <si>
    <t>AprioriAlgo_RCode2</t>
  </si>
  <si>
    <t>Case</t>
  </si>
  <si>
    <t>Condition</t>
  </si>
  <si>
    <t>Alternative</t>
  </si>
  <si>
    <t>P{(Condition)</t>
  </si>
  <si>
    <t>P(Alternative)</t>
  </si>
  <si>
    <t>LogOdds</t>
  </si>
  <si>
    <t>Less than Level1</t>
  </si>
  <si>
    <t>&lt;= Level1</t>
  </si>
  <si>
    <t>&gt;Level1</t>
  </si>
  <si>
    <t>p1</t>
  </si>
  <si>
    <t>p2 + p3 + p4 + p5</t>
  </si>
  <si>
    <t>Less than Level2</t>
  </si>
  <si>
    <t>&lt;= Level2</t>
  </si>
  <si>
    <t>&gt;Level2</t>
  </si>
  <si>
    <t>p1 + p2</t>
  </si>
  <si>
    <t>p3 + p4 + p5</t>
  </si>
  <si>
    <t>Less than Level3</t>
  </si>
  <si>
    <t>&lt;= Level3</t>
  </si>
  <si>
    <t>&gt;Level3</t>
  </si>
  <si>
    <t>p1 + p2 + p3</t>
  </si>
  <si>
    <t>p4 + p5</t>
  </si>
  <si>
    <t>Less than Level4</t>
  </si>
  <si>
    <t>&lt;= Level4</t>
  </si>
  <si>
    <t>&gt;Level4</t>
  </si>
  <si>
    <t>p1 + p2 + p3 + p4</t>
  </si>
  <si>
    <t>p5</t>
  </si>
  <si>
    <t>P2</t>
  </si>
  <si>
    <t>P1</t>
  </si>
  <si>
    <t>P3</t>
  </si>
  <si>
    <t>P4</t>
  </si>
  <si>
    <t>p4</t>
  </si>
  <si>
    <t>p3</t>
  </si>
  <si>
    <t>p2</t>
  </si>
  <si>
    <t>P4-P3</t>
  </si>
  <si>
    <t>P2-P1</t>
  </si>
  <si>
    <t>P3-P2</t>
  </si>
  <si>
    <t xml:space="preserve"> 1 -P4</t>
  </si>
  <si>
    <t>Perform an ordinal logistic regression.</t>
  </si>
  <si>
    <t>With a data set of your choice with a categorical target …</t>
  </si>
  <si>
    <t>Perform a hierarchical cluster analysis.</t>
  </si>
  <si>
    <t>Download historical data of treasury yield curves.</t>
  </si>
  <si>
    <t>Calculated changes in yield by differencing the yields between perciods.</t>
  </si>
  <si>
    <t>Do not use percent returns.  Just different the yields.</t>
  </si>
  <si>
    <t>Perform a PCA analysis on the data set.</t>
  </si>
  <si>
    <t>Plot the first three loading vectors and interpret them.</t>
  </si>
  <si>
    <t>Ordinal Regression</t>
  </si>
  <si>
    <t>HCluster Analysis</t>
  </si>
  <si>
    <t>f(x1,E[x2],E[x3])</t>
  </si>
  <si>
    <t>f(E[x1],x2,E[x3])</t>
  </si>
  <si>
    <t>f(E[x1],E[x2],x3)</t>
  </si>
  <si>
    <t>f(x1,x2,E[x3])</t>
  </si>
  <si>
    <t>f(x1,E[x2],x3)</t>
  </si>
  <si>
    <t>f(E[x1],x2,x3)</t>
  </si>
  <si>
    <t>f(x1,x2,x3)</t>
  </si>
  <si>
    <t>f([x1],E[x2],E[x3])</t>
  </si>
  <si>
    <t>bhat</t>
  </si>
  <si>
    <t>E[x2]</t>
  </si>
  <si>
    <t>E[x3]</t>
  </si>
  <si>
    <t>E[x1]</t>
  </si>
  <si>
    <t>Theory2Models1</t>
  </si>
  <si>
    <t>Theory2Models2</t>
  </si>
  <si>
    <t>Theory2Models3</t>
  </si>
  <si>
    <t>Example1_Notation</t>
  </si>
  <si>
    <t>Example1_Indicator</t>
  </si>
  <si>
    <t>Example1_Values</t>
  </si>
  <si>
    <t>Additive_3Variable</t>
  </si>
  <si>
    <t>Additive_3Variable_Waterfall</t>
  </si>
  <si>
    <t>RCode_Shapley</t>
  </si>
  <si>
    <t>Optimization</t>
  </si>
  <si>
    <t>Take the derivative of the sigmoid function wrt z where z = Xb</t>
  </si>
  <si>
    <t>Insert a picture of your derivation.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</si>
</sst>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0.000000000000000000%"/>
    <numFmt numFmtId="166" formatCode="0.000"/>
    <numFmt numFmtId="167" formatCode="0.00000000000000%"/>
    <numFmt numFmtId="168" formatCode="0.0000"/>
    <numFmt numFmtId="169" formatCode="0.000000"/>
    <numFmt numFmtId="170" formatCode="0.0"/>
  </numFmts>
  <fonts count="3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7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2"/>
      <color rgb="FF000000"/>
      <name val="Arial"/>
      <family val="2"/>
    </font>
    <font>
      <sz val="20"/>
      <color theme="0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D07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089DA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7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1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0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2" borderId="0" xfId="1" applyFill="1" applyAlignment="1">
      <alignment horizontal="left"/>
    </xf>
    <xf numFmtId="0" fontId="3" fillId="5" borderId="0" xfId="1" applyFill="1"/>
    <xf numFmtId="0" fontId="1" fillId="2" borderId="0" xfId="0" applyFont="1" applyFill="1" applyAlignment="1">
      <alignment horizontal="center"/>
    </xf>
    <xf numFmtId="169" fontId="1" fillId="2" borderId="0" xfId="0" applyNumberFormat="1" applyFont="1" applyFill="1" applyAlignment="1">
      <alignment horizontal="center"/>
    </xf>
    <xf numFmtId="0" fontId="31" fillId="2" borderId="0" xfId="0" applyFont="1" applyFill="1"/>
    <xf numFmtId="170" fontId="1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9" xfId="0" applyFill="1" applyBorder="1"/>
    <xf numFmtId="0" fontId="0" fillId="11" borderId="0" xfId="0" applyFill="1"/>
    <xf numFmtId="0" fontId="0" fillId="12" borderId="0" xfId="0" applyFill="1"/>
    <xf numFmtId="0" fontId="0" fillId="2" borderId="4" xfId="0" applyFill="1" applyBorder="1"/>
    <xf numFmtId="0" fontId="0" fillId="2" borderId="2" xfId="0" applyFill="1" applyBorder="1"/>
    <xf numFmtId="170" fontId="1" fillId="2" borderId="0" xfId="0" applyNumberFormat="1" applyFont="1" applyFill="1" applyAlignment="1">
      <alignment horizontal="left"/>
    </xf>
    <xf numFmtId="0" fontId="1" fillId="5" borderId="0" xfId="0" applyFont="1" applyFill="1"/>
    <xf numFmtId="0" fontId="32" fillId="13" borderId="15" xfId="0" applyFont="1" applyFill="1" applyBorder="1" applyAlignment="1">
      <alignment horizontal="center" vertical="center" wrapText="1" readingOrder="1"/>
    </xf>
    <xf numFmtId="0" fontId="33" fillId="0" borderId="15" xfId="0" applyFont="1" applyBorder="1" applyAlignment="1">
      <alignment horizontal="center" vertical="center" wrapText="1" readingOrder="1"/>
    </xf>
    <xf numFmtId="0" fontId="1" fillId="5" borderId="0" xfId="0" applyFont="1" applyFill="1" applyAlignment="1">
      <alignment horizontal="center"/>
    </xf>
    <xf numFmtId="2" fontId="1" fillId="5" borderId="0" xfId="0" applyNumberFormat="1" applyFont="1" applyFill="1"/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quotePrefix="1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2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34" fillId="2" borderId="2" xfId="0" applyFont="1" applyFill="1" applyBorder="1" applyAlignment="1">
      <alignment horizontal="right"/>
    </xf>
    <xf numFmtId="0" fontId="34" fillId="2" borderId="3" xfId="0" applyFont="1" applyFill="1" applyBorder="1" applyAlignment="1">
      <alignment horizontal="right"/>
    </xf>
    <xf numFmtId="0" fontId="34" fillId="2" borderId="4" xfId="0" applyFont="1" applyFill="1" applyBorder="1" applyAlignment="1">
      <alignment horizontal="right"/>
    </xf>
    <xf numFmtId="2" fontId="34" fillId="2" borderId="9" xfId="0" applyNumberFormat="1" applyFont="1" applyFill="1" applyBorder="1"/>
    <xf numFmtId="2" fontId="34" fillId="2" borderId="1" xfId="0" applyNumberFormat="1" applyFont="1" applyFill="1" applyBorder="1"/>
    <xf numFmtId="2" fontId="34" fillId="2" borderId="10" xfId="0" applyNumberFormat="1" applyFont="1" applyFill="1" applyBorder="1"/>
    <xf numFmtId="0" fontId="1" fillId="2" borderId="0" xfId="0" applyFont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calcChain" Target="calcChain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externalLink" Target="externalLinks/externalLink21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externalLink" Target="externalLinks/externalLink1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externalLink" Target="externalLinks/externalLink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theme" Target="theme/theme1.xml"/><Relationship Id="rId118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12.xml"/><Relationship Id="rId108" Type="http://schemas.openxmlformats.org/officeDocument/2006/relationships/externalLink" Target="externalLinks/externalLink17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externalLink" Target="externalLinks/externalLink3.xml"/><Relationship Id="rId99" Type="http://schemas.openxmlformats.org/officeDocument/2006/relationships/externalLink" Target="externalLinks/externalLink8.xml"/><Relationship Id="rId101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18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6.xml"/><Relationship Id="rId104" Type="http://schemas.openxmlformats.org/officeDocument/2006/relationships/externalLink" Target="externalLinks/externalLink13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externalLink" Target="externalLinks/externalLink19.xml"/><Relationship Id="rId115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9.xml"/><Relationship Id="rId105" Type="http://schemas.openxmlformats.org/officeDocument/2006/relationships/externalLink" Target="externalLinks/externalLink1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2.xml"/><Relationship Id="rId9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externalLink" Target="externalLinks/externalLink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4.0568558414470255</c:v>
                </c:pt>
                <c:pt idx="1">
                  <c:v>4.2263643195487717</c:v>
                </c:pt>
                <c:pt idx="2">
                  <c:v>4.55309452778513</c:v>
                </c:pt>
                <c:pt idx="3">
                  <c:v>3.3267380178769104</c:v>
                </c:pt>
                <c:pt idx="4">
                  <c:v>3.3633756390072596</c:v>
                </c:pt>
                <c:pt idx="5">
                  <c:v>4.234582164476449</c:v>
                </c:pt>
                <c:pt idx="6">
                  <c:v>4.508374292423369</c:v>
                </c:pt>
                <c:pt idx="7">
                  <c:v>3.9222509636327065</c:v>
                </c:pt>
                <c:pt idx="8">
                  <c:v>4.7600186224491097</c:v>
                </c:pt>
                <c:pt idx="9">
                  <c:v>4.6105597669606855</c:v>
                </c:pt>
                <c:pt idx="10">
                  <c:v>2.0310665149247633</c:v>
                </c:pt>
                <c:pt idx="11">
                  <c:v>2.1234032445914286</c:v>
                </c:pt>
                <c:pt idx="12">
                  <c:v>2.2449486964697662</c:v>
                </c:pt>
                <c:pt idx="13">
                  <c:v>2.1951742396752079</c:v>
                </c:pt>
                <c:pt idx="14">
                  <c:v>1.6570417129746908</c:v>
                </c:pt>
                <c:pt idx="15">
                  <c:v>1.6479896550423792</c:v>
                </c:pt>
                <c:pt idx="16">
                  <c:v>1.9630940705899609</c:v>
                </c:pt>
                <c:pt idx="17">
                  <c:v>1.5005774615399994</c:v>
                </c:pt>
                <c:pt idx="18">
                  <c:v>2.2876839707304568</c:v>
                </c:pt>
                <c:pt idx="19">
                  <c:v>1.9740763701643436</c:v>
                </c:pt>
                <c:pt idx="20">
                  <c:v>2.0575349613327885</c:v>
                </c:pt>
                <c:pt idx="21">
                  <c:v>1.8794818657323216</c:v>
                </c:pt>
                <c:pt idx="22">
                  <c:v>2.2596275586682384</c:v>
                </c:pt>
                <c:pt idx="23">
                  <c:v>2.1164363947692237</c:v>
                </c:pt>
                <c:pt idx="24">
                  <c:v>2.0892823105230889</c:v>
                </c:pt>
                <c:pt idx="25">
                  <c:v>1.6067162318365424</c:v>
                </c:pt>
                <c:pt idx="26">
                  <c:v>2.2054728794536116</c:v>
                </c:pt>
                <c:pt idx="27">
                  <c:v>1.9823841996268545</c:v>
                </c:pt>
                <c:pt idx="28">
                  <c:v>1.6898492997221359</c:v>
                </c:pt>
                <c:pt idx="29">
                  <c:v>1.5724450348370169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5.8432096036136025</c:v>
                </c:pt>
                <c:pt idx="1">
                  <c:v>6.293230818017979</c:v>
                </c:pt>
                <c:pt idx="2">
                  <c:v>5.7664188903326332</c:v>
                </c:pt>
                <c:pt idx="3">
                  <c:v>5.7336665285724839</c:v>
                </c:pt>
                <c:pt idx="4">
                  <c:v>5.7743718575821932</c:v>
                </c:pt>
                <c:pt idx="5">
                  <c:v>5.8041723409821104</c:v>
                </c:pt>
                <c:pt idx="6">
                  <c:v>5.8517583556839625</c:v>
                </c:pt>
                <c:pt idx="7">
                  <c:v>5.98438154672011</c:v>
                </c:pt>
                <c:pt idx="8">
                  <c:v>6.0547714031077735</c:v>
                </c:pt>
                <c:pt idx="9">
                  <c:v>6.2345743147922335</c:v>
                </c:pt>
                <c:pt idx="10">
                  <c:v>1.9661962480627677</c:v>
                </c:pt>
                <c:pt idx="11">
                  <c:v>1.8383616994286529</c:v>
                </c:pt>
                <c:pt idx="12">
                  <c:v>1.7018130379305068</c:v>
                </c:pt>
                <c:pt idx="13">
                  <c:v>2.0649581867851343</c:v>
                </c:pt>
                <c:pt idx="14">
                  <c:v>1.7443911745218235</c:v>
                </c:pt>
                <c:pt idx="15">
                  <c:v>2.1922315304076405</c:v>
                </c:pt>
                <c:pt idx="16">
                  <c:v>2.1537240093421151</c:v>
                </c:pt>
                <c:pt idx="17">
                  <c:v>1.5464398188378625</c:v>
                </c:pt>
                <c:pt idx="18">
                  <c:v>1.6497650745227734</c:v>
                </c:pt>
                <c:pt idx="19">
                  <c:v>1.8711463730701334</c:v>
                </c:pt>
                <c:pt idx="20">
                  <c:v>6.9029836836661387</c:v>
                </c:pt>
                <c:pt idx="21">
                  <c:v>6.9812927445454394</c:v>
                </c:pt>
                <c:pt idx="22">
                  <c:v>7.6271057572074508</c:v>
                </c:pt>
                <c:pt idx="23">
                  <c:v>7.484834413676916</c:v>
                </c:pt>
                <c:pt idx="24">
                  <c:v>6.6823238302424404</c:v>
                </c:pt>
                <c:pt idx="25">
                  <c:v>6.4948201172211339</c:v>
                </c:pt>
                <c:pt idx="26">
                  <c:v>6.4460802617565935</c:v>
                </c:pt>
                <c:pt idx="27">
                  <c:v>6.5302798612866004</c:v>
                </c:pt>
                <c:pt idx="28">
                  <c:v>6.6243848860385555</c:v>
                </c:pt>
                <c:pt idx="29">
                  <c:v>7.7697074074884807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4.0568558414470255</c:v>
                </c:pt>
                <c:pt idx="1">
                  <c:v>4.2263643195487717</c:v>
                </c:pt>
                <c:pt idx="2">
                  <c:v>4.55309452778513</c:v>
                </c:pt>
                <c:pt idx="3">
                  <c:v>3.3267380178769104</c:v>
                </c:pt>
                <c:pt idx="4">
                  <c:v>3.3633756390072596</c:v>
                </c:pt>
                <c:pt idx="5">
                  <c:v>4.234582164476449</c:v>
                </c:pt>
                <c:pt idx="6">
                  <c:v>4.508374292423369</c:v>
                </c:pt>
                <c:pt idx="7">
                  <c:v>3.9222509636327065</c:v>
                </c:pt>
                <c:pt idx="8">
                  <c:v>4.7600186224491097</c:v>
                </c:pt>
                <c:pt idx="9">
                  <c:v>4.6105597669606855</c:v>
                </c:pt>
                <c:pt idx="10">
                  <c:v>2.0310665149247633</c:v>
                </c:pt>
                <c:pt idx="11">
                  <c:v>2.1234032445914286</c:v>
                </c:pt>
                <c:pt idx="12">
                  <c:v>2.2449486964697662</c:v>
                </c:pt>
                <c:pt idx="13">
                  <c:v>2.1951742396752079</c:v>
                </c:pt>
                <c:pt idx="14">
                  <c:v>1.6570417129746908</c:v>
                </c:pt>
                <c:pt idx="15">
                  <c:v>1.6479896550423792</c:v>
                </c:pt>
                <c:pt idx="16">
                  <c:v>1.9630940705899609</c:v>
                </c:pt>
                <c:pt idx="17">
                  <c:v>1.5005774615399994</c:v>
                </c:pt>
                <c:pt idx="18">
                  <c:v>2.2876839707304568</c:v>
                </c:pt>
                <c:pt idx="19">
                  <c:v>1.9740763701643436</c:v>
                </c:pt>
                <c:pt idx="20">
                  <c:v>2.0575349613327885</c:v>
                </c:pt>
                <c:pt idx="21">
                  <c:v>1.8794818657323216</c:v>
                </c:pt>
                <c:pt idx="22">
                  <c:v>2.2596275586682384</c:v>
                </c:pt>
                <c:pt idx="23">
                  <c:v>2.1164363947692237</c:v>
                </c:pt>
                <c:pt idx="24">
                  <c:v>2.0892823105230889</c:v>
                </c:pt>
                <c:pt idx="25">
                  <c:v>1.6067162318365424</c:v>
                </c:pt>
                <c:pt idx="26">
                  <c:v>2.2054728794536116</c:v>
                </c:pt>
                <c:pt idx="27">
                  <c:v>1.9823841996268545</c:v>
                </c:pt>
                <c:pt idx="28">
                  <c:v>1.6898492997221359</c:v>
                </c:pt>
                <c:pt idx="29">
                  <c:v>1.5724450348370169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5.8432096036136025</c:v>
                </c:pt>
                <c:pt idx="1">
                  <c:v>6.293230818017979</c:v>
                </c:pt>
                <c:pt idx="2">
                  <c:v>5.7664188903326332</c:v>
                </c:pt>
                <c:pt idx="3">
                  <c:v>5.7336665285724839</c:v>
                </c:pt>
                <c:pt idx="4">
                  <c:v>5.7743718575821932</c:v>
                </c:pt>
                <c:pt idx="5">
                  <c:v>5.8041723409821104</c:v>
                </c:pt>
                <c:pt idx="6">
                  <c:v>5.8517583556839625</c:v>
                </c:pt>
                <c:pt idx="7">
                  <c:v>5.98438154672011</c:v>
                </c:pt>
                <c:pt idx="8">
                  <c:v>6.0547714031077735</c:v>
                </c:pt>
                <c:pt idx="9">
                  <c:v>6.2345743147922335</c:v>
                </c:pt>
                <c:pt idx="10">
                  <c:v>1.9661962480627677</c:v>
                </c:pt>
                <c:pt idx="11">
                  <c:v>1.8383616994286529</c:v>
                </c:pt>
                <c:pt idx="12">
                  <c:v>1.7018130379305068</c:v>
                </c:pt>
                <c:pt idx="13">
                  <c:v>2.0649581867851343</c:v>
                </c:pt>
                <c:pt idx="14">
                  <c:v>1.7443911745218235</c:v>
                </c:pt>
                <c:pt idx="15">
                  <c:v>2.1922315304076405</c:v>
                </c:pt>
                <c:pt idx="16">
                  <c:v>2.1537240093421151</c:v>
                </c:pt>
                <c:pt idx="17">
                  <c:v>1.5464398188378625</c:v>
                </c:pt>
                <c:pt idx="18">
                  <c:v>1.6497650745227734</c:v>
                </c:pt>
                <c:pt idx="19">
                  <c:v>1.8711463730701334</c:v>
                </c:pt>
                <c:pt idx="20">
                  <c:v>6.9029836836661387</c:v>
                </c:pt>
                <c:pt idx="21">
                  <c:v>6.9812927445454394</c:v>
                </c:pt>
                <c:pt idx="22">
                  <c:v>7.6271057572074508</c:v>
                </c:pt>
                <c:pt idx="23">
                  <c:v>7.484834413676916</c:v>
                </c:pt>
                <c:pt idx="24">
                  <c:v>6.6823238302424404</c:v>
                </c:pt>
                <c:pt idx="25">
                  <c:v>6.4948201172211339</c:v>
                </c:pt>
                <c:pt idx="26">
                  <c:v>6.4460802617565935</c:v>
                </c:pt>
                <c:pt idx="27">
                  <c:v>6.5302798612866004</c:v>
                </c:pt>
                <c:pt idx="28">
                  <c:v>6.6243848860385555</c:v>
                </c:pt>
                <c:pt idx="29">
                  <c:v>7.7697074074884807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4.0568558414470255</c:v>
                </c:pt>
                <c:pt idx="1">
                  <c:v>4.2263643195487717</c:v>
                </c:pt>
                <c:pt idx="2">
                  <c:v>4.55309452778513</c:v>
                </c:pt>
                <c:pt idx="3">
                  <c:v>3.3267380178769104</c:v>
                </c:pt>
                <c:pt idx="4">
                  <c:v>3.3633756390072596</c:v>
                </c:pt>
                <c:pt idx="5">
                  <c:v>4.234582164476449</c:v>
                </c:pt>
                <c:pt idx="6">
                  <c:v>4.508374292423369</c:v>
                </c:pt>
                <c:pt idx="7">
                  <c:v>3.9222509636327065</c:v>
                </c:pt>
                <c:pt idx="8">
                  <c:v>4.7600186224491097</c:v>
                </c:pt>
                <c:pt idx="9">
                  <c:v>4.6105597669606855</c:v>
                </c:pt>
                <c:pt idx="10">
                  <c:v>2.0310665149247633</c:v>
                </c:pt>
                <c:pt idx="11">
                  <c:v>2.1234032445914286</c:v>
                </c:pt>
                <c:pt idx="12">
                  <c:v>2.2449486964697662</c:v>
                </c:pt>
                <c:pt idx="13">
                  <c:v>2.1951742396752079</c:v>
                </c:pt>
                <c:pt idx="14">
                  <c:v>1.6570417129746908</c:v>
                </c:pt>
                <c:pt idx="15">
                  <c:v>1.6479896550423792</c:v>
                </c:pt>
                <c:pt idx="16">
                  <c:v>1.9630940705899609</c:v>
                </c:pt>
                <c:pt idx="17">
                  <c:v>1.5005774615399994</c:v>
                </c:pt>
                <c:pt idx="18">
                  <c:v>2.2876839707304568</c:v>
                </c:pt>
                <c:pt idx="19">
                  <c:v>1.9740763701643436</c:v>
                </c:pt>
                <c:pt idx="20">
                  <c:v>2.0575349613327885</c:v>
                </c:pt>
                <c:pt idx="21">
                  <c:v>1.8794818657323216</c:v>
                </c:pt>
                <c:pt idx="22">
                  <c:v>2.2596275586682384</c:v>
                </c:pt>
                <c:pt idx="23">
                  <c:v>2.1164363947692237</c:v>
                </c:pt>
                <c:pt idx="24">
                  <c:v>2.0892823105230889</c:v>
                </c:pt>
                <c:pt idx="25">
                  <c:v>1.6067162318365424</c:v>
                </c:pt>
                <c:pt idx="26">
                  <c:v>2.2054728794536116</c:v>
                </c:pt>
                <c:pt idx="27">
                  <c:v>1.9823841996268545</c:v>
                </c:pt>
                <c:pt idx="28">
                  <c:v>1.6898492997221359</c:v>
                </c:pt>
                <c:pt idx="29">
                  <c:v>1.5724450348370169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5.8432096036136025</c:v>
                </c:pt>
                <c:pt idx="1">
                  <c:v>6.293230818017979</c:v>
                </c:pt>
                <c:pt idx="2">
                  <c:v>5.7664188903326332</c:v>
                </c:pt>
                <c:pt idx="3">
                  <c:v>5.7336665285724839</c:v>
                </c:pt>
                <c:pt idx="4">
                  <c:v>5.7743718575821932</c:v>
                </c:pt>
                <c:pt idx="5">
                  <c:v>5.8041723409821104</c:v>
                </c:pt>
                <c:pt idx="6">
                  <c:v>5.8517583556839625</c:v>
                </c:pt>
                <c:pt idx="7">
                  <c:v>5.98438154672011</c:v>
                </c:pt>
                <c:pt idx="8">
                  <c:v>6.0547714031077735</c:v>
                </c:pt>
                <c:pt idx="9">
                  <c:v>6.2345743147922335</c:v>
                </c:pt>
                <c:pt idx="10">
                  <c:v>1.9661962480627677</c:v>
                </c:pt>
                <c:pt idx="11">
                  <c:v>1.8383616994286529</c:v>
                </c:pt>
                <c:pt idx="12">
                  <c:v>1.7018130379305068</c:v>
                </c:pt>
                <c:pt idx="13">
                  <c:v>2.0649581867851343</c:v>
                </c:pt>
                <c:pt idx="14">
                  <c:v>1.7443911745218235</c:v>
                </c:pt>
                <c:pt idx="15">
                  <c:v>2.1922315304076405</c:v>
                </c:pt>
                <c:pt idx="16">
                  <c:v>2.1537240093421151</c:v>
                </c:pt>
                <c:pt idx="17">
                  <c:v>1.5464398188378625</c:v>
                </c:pt>
                <c:pt idx="18">
                  <c:v>1.6497650745227734</c:v>
                </c:pt>
                <c:pt idx="19">
                  <c:v>1.8711463730701334</c:v>
                </c:pt>
                <c:pt idx="20">
                  <c:v>6.9029836836661387</c:v>
                </c:pt>
                <c:pt idx="21">
                  <c:v>6.9812927445454394</c:v>
                </c:pt>
                <c:pt idx="22">
                  <c:v>7.6271057572074508</c:v>
                </c:pt>
                <c:pt idx="23">
                  <c:v>7.484834413676916</c:v>
                </c:pt>
                <c:pt idx="24">
                  <c:v>6.6823238302424404</c:v>
                </c:pt>
                <c:pt idx="25">
                  <c:v>6.4948201172211339</c:v>
                </c:pt>
                <c:pt idx="26">
                  <c:v>6.4460802617565935</c:v>
                </c:pt>
                <c:pt idx="27">
                  <c:v>6.5302798612866004</c:v>
                </c:pt>
                <c:pt idx="28">
                  <c:v>6.6243848860385555</c:v>
                </c:pt>
                <c:pt idx="29">
                  <c:v>7.7697074074884807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4.0568558414470255</c:v>
                </c:pt>
                <c:pt idx="1">
                  <c:v>4.2263643195487717</c:v>
                </c:pt>
                <c:pt idx="2">
                  <c:v>4.55309452778513</c:v>
                </c:pt>
                <c:pt idx="3">
                  <c:v>3.3267380178769104</c:v>
                </c:pt>
                <c:pt idx="4">
                  <c:v>3.3633756390072596</c:v>
                </c:pt>
                <c:pt idx="5">
                  <c:v>4.234582164476449</c:v>
                </c:pt>
                <c:pt idx="6">
                  <c:v>4.508374292423369</c:v>
                </c:pt>
                <c:pt idx="7">
                  <c:v>3.9222509636327065</c:v>
                </c:pt>
                <c:pt idx="8">
                  <c:v>4.7600186224491097</c:v>
                </c:pt>
                <c:pt idx="9">
                  <c:v>4.6105597669606855</c:v>
                </c:pt>
                <c:pt idx="10">
                  <c:v>2.0310665149247633</c:v>
                </c:pt>
                <c:pt idx="11">
                  <c:v>2.1234032445914286</c:v>
                </c:pt>
                <c:pt idx="12">
                  <c:v>2.2449486964697662</c:v>
                </c:pt>
                <c:pt idx="13">
                  <c:v>2.1951742396752079</c:v>
                </c:pt>
                <c:pt idx="14">
                  <c:v>1.6570417129746908</c:v>
                </c:pt>
                <c:pt idx="15">
                  <c:v>1.6479896550423792</c:v>
                </c:pt>
                <c:pt idx="16">
                  <c:v>1.9630940705899609</c:v>
                </c:pt>
                <c:pt idx="17">
                  <c:v>1.5005774615399994</c:v>
                </c:pt>
                <c:pt idx="18">
                  <c:v>2.2876839707304568</c:v>
                </c:pt>
                <c:pt idx="19">
                  <c:v>1.9740763701643436</c:v>
                </c:pt>
                <c:pt idx="20">
                  <c:v>2.0575349613327885</c:v>
                </c:pt>
                <c:pt idx="21">
                  <c:v>1.8794818657323216</c:v>
                </c:pt>
                <c:pt idx="22">
                  <c:v>2.2596275586682384</c:v>
                </c:pt>
                <c:pt idx="23">
                  <c:v>2.1164363947692237</c:v>
                </c:pt>
                <c:pt idx="24">
                  <c:v>2.0892823105230889</c:v>
                </c:pt>
                <c:pt idx="25">
                  <c:v>1.6067162318365424</c:v>
                </c:pt>
                <c:pt idx="26">
                  <c:v>2.2054728794536116</c:v>
                </c:pt>
                <c:pt idx="27">
                  <c:v>1.9823841996268545</c:v>
                </c:pt>
                <c:pt idx="28">
                  <c:v>1.6898492997221359</c:v>
                </c:pt>
                <c:pt idx="29">
                  <c:v>1.5724450348370169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5.8432096036136025</c:v>
                </c:pt>
                <c:pt idx="1">
                  <c:v>6.293230818017979</c:v>
                </c:pt>
                <c:pt idx="2">
                  <c:v>5.7664188903326332</c:v>
                </c:pt>
                <c:pt idx="3">
                  <c:v>5.7336665285724839</c:v>
                </c:pt>
                <c:pt idx="4">
                  <c:v>5.7743718575821932</c:v>
                </c:pt>
                <c:pt idx="5">
                  <c:v>5.8041723409821104</c:v>
                </c:pt>
                <c:pt idx="6">
                  <c:v>5.8517583556839625</c:v>
                </c:pt>
                <c:pt idx="7">
                  <c:v>5.98438154672011</c:v>
                </c:pt>
                <c:pt idx="8">
                  <c:v>6.0547714031077735</c:v>
                </c:pt>
                <c:pt idx="9">
                  <c:v>6.2345743147922335</c:v>
                </c:pt>
                <c:pt idx="10">
                  <c:v>1.9661962480627677</c:v>
                </c:pt>
                <c:pt idx="11">
                  <c:v>1.8383616994286529</c:v>
                </c:pt>
                <c:pt idx="12">
                  <c:v>1.7018130379305068</c:v>
                </c:pt>
                <c:pt idx="13">
                  <c:v>2.0649581867851343</c:v>
                </c:pt>
                <c:pt idx="14">
                  <c:v>1.7443911745218235</c:v>
                </c:pt>
                <c:pt idx="15">
                  <c:v>2.1922315304076405</c:v>
                </c:pt>
                <c:pt idx="16">
                  <c:v>2.1537240093421151</c:v>
                </c:pt>
                <c:pt idx="17">
                  <c:v>1.5464398188378625</c:v>
                </c:pt>
                <c:pt idx="18">
                  <c:v>1.6497650745227734</c:v>
                </c:pt>
                <c:pt idx="19">
                  <c:v>1.8711463730701334</c:v>
                </c:pt>
                <c:pt idx="20">
                  <c:v>6.9029836836661387</c:v>
                </c:pt>
                <c:pt idx="21">
                  <c:v>6.9812927445454394</c:v>
                </c:pt>
                <c:pt idx="22">
                  <c:v>7.6271057572074508</c:v>
                </c:pt>
                <c:pt idx="23">
                  <c:v>7.484834413676916</c:v>
                </c:pt>
                <c:pt idx="24">
                  <c:v>6.6823238302424404</c:v>
                </c:pt>
                <c:pt idx="25">
                  <c:v>6.4948201172211339</c:v>
                </c:pt>
                <c:pt idx="26">
                  <c:v>6.4460802617565935</c:v>
                </c:pt>
                <c:pt idx="27">
                  <c:v>6.5302798612866004</c:v>
                </c:pt>
                <c:pt idx="28">
                  <c:v>6.6243848860385555</c:v>
                </c:pt>
                <c:pt idx="29">
                  <c:v>7.7697074074884807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4.0568558414470255</c:v>
                </c:pt>
                <c:pt idx="1">
                  <c:v>4.2263643195487717</c:v>
                </c:pt>
                <c:pt idx="2">
                  <c:v>4.55309452778513</c:v>
                </c:pt>
                <c:pt idx="3">
                  <c:v>3.3267380178769104</c:v>
                </c:pt>
                <c:pt idx="4">
                  <c:v>3.3633756390072596</c:v>
                </c:pt>
                <c:pt idx="5">
                  <c:v>4.234582164476449</c:v>
                </c:pt>
                <c:pt idx="6">
                  <c:v>4.508374292423369</c:v>
                </c:pt>
                <c:pt idx="7">
                  <c:v>3.9222509636327065</c:v>
                </c:pt>
                <c:pt idx="8">
                  <c:v>4.7600186224491097</c:v>
                </c:pt>
                <c:pt idx="9">
                  <c:v>4.6105597669606855</c:v>
                </c:pt>
                <c:pt idx="10">
                  <c:v>2.0310665149247633</c:v>
                </c:pt>
                <c:pt idx="11">
                  <c:v>2.1234032445914286</c:v>
                </c:pt>
                <c:pt idx="12">
                  <c:v>2.2449486964697662</c:v>
                </c:pt>
                <c:pt idx="13">
                  <c:v>2.1951742396752079</c:v>
                </c:pt>
                <c:pt idx="14">
                  <c:v>1.6570417129746908</c:v>
                </c:pt>
                <c:pt idx="15">
                  <c:v>1.6479896550423792</c:v>
                </c:pt>
                <c:pt idx="16">
                  <c:v>1.9630940705899609</c:v>
                </c:pt>
                <c:pt idx="17">
                  <c:v>1.5005774615399994</c:v>
                </c:pt>
                <c:pt idx="18">
                  <c:v>2.2876839707304568</c:v>
                </c:pt>
                <c:pt idx="19">
                  <c:v>1.9740763701643436</c:v>
                </c:pt>
                <c:pt idx="20">
                  <c:v>2.0575349613327885</c:v>
                </c:pt>
                <c:pt idx="21">
                  <c:v>1.8794818657323216</c:v>
                </c:pt>
                <c:pt idx="22">
                  <c:v>2.2596275586682384</c:v>
                </c:pt>
                <c:pt idx="23">
                  <c:v>2.1164363947692237</c:v>
                </c:pt>
                <c:pt idx="24">
                  <c:v>2.0892823105230889</c:v>
                </c:pt>
                <c:pt idx="25">
                  <c:v>1.6067162318365424</c:v>
                </c:pt>
                <c:pt idx="26">
                  <c:v>2.2054728794536116</c:v>
                </c:pt>
                <c:pt idx="27">
                  <c:v>1.9823841996268545</c:v>
                </c:pt>
                <c:pt idx="28">
                  <c:v>1.6898492997221359</c:v>
                </c:pt>
                <c:pt idx="29">
                  <c:v>1.5724450348370169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5.8432096036136025</c:v>
                </c:pt>
                <c:pt idx="1">
                  <c:v>6.293230818017979</c:v>
                </c:pt>
                <c:pt idx="2">
                  <c:v>5.7664188903326332</c:v>
                </c:pt>
                <c:pt idx="3">
                  <c:v>5.7336665285724839</c:v>
                </c:pt>
                <c:pt idx="4">
                  <c:v>5.7743718575821932</c:v>
                </c:pt>
                <c:pt idx="5">
                  <c:v>5.8041723409821104</c:v>
                </c:pt>
                <c:pt idx="6">
                  <c:v>5.8517583556839625</c:v>
                </c:pt>
                <c:pt idx="7">
                  <c:v>5.98438154672011</c:v>
                </c:pt>
                <c:pt idx="8">
                  <c:v>6.0547714031077735</c:v>
                </c:pt>
                <c:pt idx="9">
                  <c:v>6.2345743147922335</c:v>
                </c:pt>
                <c:pt idx="10">
                  <c:v>1.9661962480627677</c:v>
                </c:pt>
                <c:pt idx="11">
                  <c:v>1.8383616994286529</c:v>
                </c:pt>
                <c:pt idx="12">
                  <c:v>1.7018130379305068</c:v>
                </c:pt>
                <c:pt idx="13">
                  <c:v>2.0649581867851343</c:v>
                </c:pt>
                <c:pt idx="14">
                  <c:v>1.7443911745218235</c:v>
                </c:pt>
                <c:pt idx="15">
                  <c:v>2.1922315304076405</c:v>
                </c:pt>
                <c:pt idx="16">
                  <c:v>2.1537240093421151</c:v>
                </c:pt>
                <c:pt idx="17">
                  <c:v>1.5464398188378625</c:v>
                </c:pt>
                <c:pt idx="18">
                  <c:v>1.6497650745227734</c:v>
                </c:pt>
                <c:pt idx="19">
                  <c:v>1.8711463730701334</c:v>
                </c:pt>
                <c:pt idx="20">
                  <c:v>6.9029836836661387</c:v>
                </c:pt>
                <c:pt idx="21">
                  <c:v>6.9812927445454394</c:v>
                </c:pt>
                <c:pt idx="22">
                  <c:v>7.6271057572074508</c:v>
                </c:pt>
                <c:pt idx="23">
                  <c:v>7.484834413676916</c:v>
                </c:pt>
                <c:pt idx="24">
                  <c:v>6.6823238302424404</c:v>
                </c:pt>
                <c:pt idx="25">
                  <c:v>6.4948201172211339</c:v>
                </c:pt>
                <c:pt idx="26">
                  <c:v>6.4460802617565935</c:v>
                </c:pt>
                <c:pt idx="27">
                  <c:v>6.5302798612866004</c:v>
                </c:pt>
                <c:pt idx="28">
                  <c:v>6.6243848860385555</c:v>
                </c:pt>
                <c:pt idx="29">
                  <c:v>7.7697074074884807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0.18750415633702433</c:v>
                </c:pt>
                <c:pt idx="1">
                  <c:v>0.470792641826971</c:v>
                </c:pt>
                <c:pt idx="2">
                  <c:v>2.2460765377831979</c:v>
                </c:pt>
                <c:pt idx="3">
                  <c:v>2.8279127864458715</c:v>
                </c:pt>
                <c:pt idx="4">
                  <c:v>3.0691692281419418</c:v>
                </c:pt>
                <c:pt idx="5">
                  <c:v>1.7180091033768732</c:v>
                </c:pt>
                <c:pt idx="6">
                  <c:v>7.9697428857995538</c:v>
                </c:pt>
                <c:pt idx="7">
                  <c:v>8.8898991698902172</c:v>
                </c:pt>
                <c:pt idx="8">
                  <c:v>8.4154923828114043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2.089504700514468</c:v>
                </c:pt>
                <c:pt idx="1">
                  <c:v>2.6314769008617085</c:v>
                </c:pt>
                <c:pt idx="2">
                  <c:v>1.89381297664947</c:v>
                </c:pt>
                <c:pt idx="3">
                  <c:v>5.2826338850294539</c:v>
                </c:pt>
                <c:pt idx="4">
                  <c:v>4.6364299566276852</c:v>
                </c:pt>
                <c:pt idx="5">
                  <c:v>3.4958804911998671</c:v>
                </c:pt>
                <c:pt idx="6">
                  <c:v>8.5265820396673693</c:v>
                </c:pt>
                <c:pt idx="7">
                  <c:v>6.1331530984987097</c:v>
                </c:pt>
                <c:pt idx="8">
                  <c:v>7.4759628062844321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1.1555956098310167</c:v>
                </c:pt>
                <c:pt idx="1">
                  <c:v>2.9485410072939064</c:v>
                </c:pt>
                <c:pt idx="2">
                  <c:v>8.4250448128337254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2.5276687673063787</c:v>
                </c:pt>
                <c:pt idx="1">
                  <c:v>4.9595319208285691</c:v>
                </c:pt>
                <c:pt idx="2">
                  <c:v>7.3785659814835043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{CFED3D1E-6954-0247-A28D-7737AA3E0559}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{4E65484F-040D-4E46-8B91-85F232764ACB}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{C83F4DD9-7FD5-3542-A966-CFDAC9730667}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{0AB940F8-E934-0443-8536-9C102E886E3D}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{60F00707-4A83-2E4E-97CE-64FA05C1C4C2}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{5AC6A9BA-DC1B-A043-BB77-2E5D06F67B4B}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{A46B1D12-70CC-8D49-B174-A4884E54C71C}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{58A94109-74DE-3E41-AD75-2A6978F191F6}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{E5713D7F-12F2-1844-AA2B-8A19716702C0}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{7C08B401-0047-7541-BA69-565C110C3ACB}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{6ED55557-A6FD-F042-8FC7-4C0BA6C24C7A}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{8190FDDB-0444-6248-9AB3-808DB18FEE73}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GreenPaint1!$C$2</c:f>
              <c:strCache>
                <c:ptCount val="1"/>
                <c:pt idx="0">
                  <c:v>Yellow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GreenPaint1!$B$3:$B$24</c:f>
              <c:numCache>
                <c:formatCode>General</c:formatCode>
                <c:ptCount val="22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xVal>
          <c:yVal>
            <c:numRef>
              <c:f>GreenPaint1!$C$3:$C$24</c:f>
              <c:numCache>
                <c:formatCode>General</c:formatCode>
                <c:ptCount val="22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E-E04A-9F2E-096180ED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932112"/>
        <c:axId val="1403933472"/>
      </c:scatterChart>
      <c:valAx>
        <c:axId val="14039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3472"/>
        <c:crosses val="autoZero"/>
        <c:crossBetween val="midCat"/>
      </c:valAx>
      <c:valAx>
        <c:axId val="14039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GreenPaint2!$E$2</c:f>
              <c:strCache>
                <c:ptCount val="1"/>
                <c:pt idx="0">
                  <c:v>PC1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GreenPaint2!$E$3:$E$24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4</c:v>
                </c:pt>
              </c:numCache>
            </c:numRef>
          </c:xVal>
          <c:yVal>
            <c:numRef>
              <c:f>GreenPaint2!$F$3:$F$24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B-6C48-9C38-78E1EC1B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858320"/>
        <c:axId val="1408720416"/>
      </c:scatterChart>
      <c:valAx>
        <c:axId val="140885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20416"/>
        <c:crosses val="autoZero"/>
        <c:crossBetween val="midCat"/>
      </c:valAx>
      <c:valAx>
        <c:axId val="14087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85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_xlchart.v5.0</cx:f>
      </cx:strDim>
      <cx:numDim type="val">
        <cx:f dir="row">_xlchart.v5.1</cx:f>
      </cx:numDim>
    </cx:data>
  </cx:chartData>
  <cx:chart>
    <cx:title pos="t" align="ctr" overlay="0">
      <cx:tx>
        <cx:txData>
          <cx:v>Waterfall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Waterfall</a:t>
          </a:r>
        </a:p>
      </cx:txPr>
    </cx:title>
    <cx:plotArea>
      <cx:plotAreaRegion>
        <cx:series layoutId="waterfall" uniqueId="{59085E14-B1F6-AB42-A988-59B3E404527E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FF0000"/>
              </a:solidFill>
            </cx:spPr>
          </cx:dataPt>
          <cx:dataLabels/>
          <cx:dataId val="0"/>
          <cx:layoutPr>
            <cx:visibility connectorLines="1"/>
            <cx:subtotals/>
          </cx:layoutPr>
        </cx:series>
      </cx:plotAreaRegion>
      <cx:axis id="0">
        <cx:catScaling gapWidth="0.5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TickMarks type="out"/>
        <cx:tickLabels/>
      </cx:axis>
    </cx:plotArea>
    <cx:legend pos="b" align="ctr" overlay="0">
      <cx:spPr>
        <a:noFill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11</xdr:col>
      <xdr:colOff>381000</xdr:colOff>
      <xdr:row>5</xdr:row>
      <xdr:rowOff>177800</xdr:rowOff>
    </xdr:to>
    <xdr:pic>
      <xdr:nvPicPr>
        <xdr:cNvPr id="2" name="Picture 1" descr="What is Gini Impurity? How is it used to construct decision trees?">
          <a:extLst>
            <a:ext uri="{FF2B5EF4-FFF2-40B4-BE49-F238E27FC236}">
              <a16:creationId xmlns:a16="http://schemas.microsoft.com/office/drawing/2014/main" id="{DC772BEF-F144-B49A-8E83-EB4390CF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330200"/>
          <a:ext cx="392430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342900</xdr:colOff>
      <xdr:row>19</xdr:row>
      <xdr:rowOff>214630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B3AFB-4FCD-8845-1311-6B503D8D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2819400" cy="5497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0A804-93C6-2883-54F7-6578865BD344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library(stats4)</a:t>
          </a:r>
        </a:p>
        <a:p>
          <a:r>
            <a:rPr lang="en-US" sz="2000"/>
            <a:t>library(splines)</a:t>
          </a:r>
        </a:p>
        <a:p>
          <a:r>
            <a:rPr lang="en-US" sz="2000"/>
            <a:t>library(VGAM) </a:t>
          </a:r>
        </a:p>
        <a:p>
          <a:endParaRPr lang="en-US" sz="2000"/>
        </a:p>
        <a:p>
          <a:r>
            <a:rPr lang="en-US" sz="2000"/>
            <a:t>data('iris',package = 'datasets')</a:t>
          </a:r>
        </a:p>
        <a:p>
          <a:r>
            <a:rPr lang="en-US" sz="2000"/>
            <a:t>d = iris</a:t>
          </a:r>
        </a:p>
        <a:p>
          <a:r>
            <a:rPr lang="en-US" sz="2000"/>
            <a:t>y_name = 'Species'</a:t>
          </a:r>
        </a:p>
        <a:p>
          <a:r>
            <a:rPr lang="en-US" sz="2000"/>
            <a:t>ind_iss = c(1:25,76:100,101:125)</a:t>
          </a:r>
        </a:p>
        <a:p>
          <a:r>
            <a:rPr lang="en-US" sz="2000"/>
            <a:t>ind_oos = setdiff(1:150,ind_iss)</a:t>
          </a:r>
        </a:p>
        <a:p>
          <a:r>
            <a:rPr lang="en-US" sz="2000"/>
            <a:t>d_iss = d[ind_iss,]</a:t>
          </a:r>
        </a:p>
        <a:p>
          <a:r>
            <a:rPr lang="en-US" sz="2000"/>
            <a:t>d_oos = d[ind_oos,]</a:t>
          </a:r>
        </a:p>
        <a:p>
          <a:r>
            <a:rPr lang="en-US" sz="2000"/>
            <a:t>fstring = paste(y_name,'~ .')</a:t>
          </a:r>
        </a:p>
        <a:p>
          <a:r>
            <a:rPr lang="en-US" sz="2000"/>
            <a:t>myformula = formula(fstring)</a:t>
          </a:r>
        </a:p>
        <a:p>
          <a:endParaRPr lang="en-US" sz="2000"/>
        </a:p>
        <a:p>
          <a:r>
            <a:rPr lang="en-US" sz="2000"/>
            <a:t>fit_mLogReg &lt;- vglm(myformula, family=multinomial,data = d_iss)</a:t>
          </a:r>
        </a:p>
        <a:p>
          <a:r>
            <a:rPr lang="en-US" sz="2000"/>
            <a:t>phat = predict(object = fit_mLogReg,newdata = d_oos, type="response")</a:t>
          </a:r>
        </a:p>
        <a:p>
          <a:r>
            <a:rPr lang="en-US" sz="2000"/>
            <a:t>chat &lt;- apply(phat, 1, which.max)</a:t>
          </a:r>
        </a:p>
        <a:p>
          <a:r>
            <a:rPr lang="en-US" sz="2000"/>
            <a:t>barplot(chat)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816296</xdr:colOff>
      <xdr:row>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EA6C96-424F-FDF1-4F33-A836F8BD6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3292796" cy="16891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4</xdr:col>
      <xdr:colOff>816296</xdr:colOff>
      <xdr:row>15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FDBAF8-E85F-4C41-844C-C21AB2C8A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3302000"/>
          <a:ext cx="3292796" cy="16891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EA0D241-2320-664F-AB42-32444CA49EAB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Setup ####</a:t>
          </a:r>
        </a:p>
        <a:p>
          <a:r>
            <a:rPr lang="en-US" sz="1400"/>
            <a:t>library(carData)</a:t>
          </a:r>
        </a:p>
        <a:p>
          <a:r>
            <a:rPr lang="en-US" sz="1400"/>
            <a:t>library(MASS)</a:t>
          </a:r>
        </a:p>
        <a:p>
          <a:r>
            <a:rPr lang="en-US" sz="1400"/>
            <a:t>data(WVS)</a:t>
          </a:r>
        </a:p>
        <a:p>
          <a:endParaRPr lang="en-US" sz="1400"/>
        </a:p>
        <a:p>
          <a:r>
            <a:rPr lang="en-US" sz="1400"/>
            <a:t># Inputs ####</a:t>
          </a:r>
        </a:p>
        <a:p>
          <a:r>
            <a:rPr lang="en-US" sz="1400"/>
            <a:t>d = WVS</a:t>
          </a:r>
        </a:p>
        <a:p>
          <a:r>
            <a:rPr lang="en-US" sz="1400"/>
            <a:t>INSAMPLE_FRACTION  = .5</a:t>
          </a:r>
        </a:p>
        <a:p>
          <a:r>
            <a:rPr lang="en-US" sz="1400"/>
            <a:t>SEED = 1</a:t>
          </a:r>
        </a:p>
        <a:p>
          <a:r>
            <a:rPr lang="en-US" sz="1400"/>
            <a:t>set.seed(SEED)</a:t>
          </a:r>
        </a:p>
        <a:p>
          <a:r>
            <a:rPr lang="en-US" sz="1400"/>
            <a:t>TARGET_FIELD = 'poverty'</a:t>
          </a:r>
        </a:p>
        <a:p>
          <a:endParaRPr lang="en-US" sz="1400"/>
        </a:p>
        <a:p>
          <a:r>
            <a:rPr lang="en-US" sz="1400"/>
            <a:t># Construction  ####</a:t>
          </a:r>
        </a:p>
        <a:p>
          <a:r>
            <a:rPr lang="en-US" sz="1400"/>
            <a:t>preds_names = setdiff(names(d),TARGET_FIELD)</a:t>
          </a:r>
        </a:p>
        <a:p>
          <a:r>
            <a:rPr lang="en-US" sz="1400"/>
            <a:t>n = dim(d)[1]</a:t>
          </a:r>
        </a:p>
        <a:p>
          <a:r>
            <a:rPr lang="en-US" sz="1400"/>
            <a:t>idx_iss = sample(n,n*INSAMPLE_FRACTION)</a:t>
          </a:r>
        </a:p>
        <a:p>
          <a:r>
            <a:rPr lang="en-US" sz="1400"/>
            <a:t>idx_oos = setdiff(1:n,idx_iss)</a:t>
          </a:r>
        </a:p>
        <a:p>
          <a:r>
            <a:rPr lang="en-US" sz="1400"/>
            <a:t>d_iss = d[idx_iss,]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X_iss = as.matrix(d[idx_iss,preds_names])</a:t>
          </a:r>
        </a:p>
        <a:p>
          <a:r>
            <a:rPr lang="en-US" sz="1400"/>
            <a:t>y_iss = d[idx_iss,TARGET_FIELD]</a:t>
          </a:r>
        </a:p>
        <a:p>
          <a:r>
            <a:rPr lang="en-US" sz="1400"/>
            <a:t>X_oos = as.matrix(d[idx_oos,preds_names])</a:t>
          </a:r>
        </a:p>
        <a:p>
          <a:r>
            <a:rPr lang="en-US" sz="1400"/>
            <a:t>y_oos = d[idx_oos,TARGET_FIELD]</a:t>
          </a:r>
        </a:p>
        <a:p>
          <a:r>
            <a:rPr lang="en-US" sz="1400"/>
            <a:t>p = dim(X_iss)[2]</a:t>
          </a:r>
        </a:p>
        <a:p>
          <a:r>
            <a:rPr lang="en-US" sz="1400"/>
            <a:t>fstring = paste(TARGET_FIELD,'~ .')</a:t>
          </a:r>
        </a:p>
        <a:p>
          <a:r>
            <a:rPr lang="en-US" sz="1400"/>
            <a:t>myformula = formula(fstring)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19</xdr:col>
      <xdr:colOff>787400</xdr:colOff>
      <xdr:row>19</xdr:row>
      <xdr:rowOff>266700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BCFCF66-BA88-F243-8FA9-E574A1FAA6CB}"/>
            </a:ext>
          </a:extLst>
        </xdr:cNvPr>
        <xdr:cNvSpPr txBox="1"/>
      </xdr:nvSpPr>
      <xdr:spPr>
        <a:xfrm>
          <a:off x="9080500" y="3302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fit_OrgLogReg &lt;- polr(myformula, data = d_iss, Hess = TRUE)</a:t>
          </a:r>
        </a:p>
        <a:p>
          <a:r>
            <a:rPr lang="en-US" sz="1400"/>
            <a:t>summary(fit_OrgLogReg)</a:t>
          </a:r>
        </a:p>
        <a:p>
          <a:endParaRPr lang="en-US" sz="1400"/>
        </a:p>
        <a:p>
          <a:r>
            <a:rPr lang="en-US" sz="1400"/>
            <a:t># Forecast ####</a:t>
          </a:r>
        </a:p>
        <a:p>
          <a:r>
            <a:rPr lang="en-US" sz="1400"/>
            <a:t>phat = predict(fit_OrgLogReg,new_data=d_oos,type = "p")</a:t>
          </a:r>
        </a:p>
        <a:p>
          <a:r>
            <a:rPr lang="en-US" sz="1400"/>
            <a:t>chat = predict(fit_OrgLogReg,new_data=d_oos,type = "class")</a:t>
          </a:r>
        </a:p>
        <a:p>
          <a:endParaRPr lang="en-US" sz="1400"/>
        </a:p>
        <a:p>
          <a:r>
            <a:rPr lang="en-US" sz="1400"/>
            <a:t># Interpret ####</a:t>
          </a:r>
        </a:p>
        <a:p>
          <a:r>
            <a:rPr lang="en-US" sz="1400"/>
            <a:t>level_list = lapply(X = d[,preds_names],levels)</a:t>
          </a:r>
        </a:p>
        <a:p>
          <a:r>
            <a:rPr lang="en-US" sz="1400"/>
            <a:t>ind_non0 = unlist(lapply(level_list,length)) != 0</a:t>
          </a:r>
        </a:p>
        <a:p>
          <a:r>
            <a:rPr lang="en-US" sz="1400"/>
            <a:t>df_combinations = expand.grid(level_list[ind_non0])</a:t>
          </a:r>
        </a:p>
        <a:p>
          <a:r>
            <a:rPr lang="en-US" sz="1400"/>
            <a:t>phat_combinations = predict(fit_OrgLogReg, new_data=df_combinations, type = "p")</a:t>
          </a:r>
        </a:p>
        <a:p>
          <a:r>
            <a:rPr lang="en-US" sz="1400"/>
            <a:t>chat_combinations = predict(fit_OrgLogReg, new_data=df_combinations, type = "class")</a:t>
          </a:r>
        </a:p>
        <a:p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25400</xdr:rowOff>
    </xdr:from>
    <xdr:to>
      <xdr:col>11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12</xdr:col>
      <xdr:colOff>660400</xdr:colOff>
      <xdr:row>19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44263C-5EEE-1E4A-2A34-6F21D0D4BDD1}"/>
            </a:ext>
          </a:extLst>
        </xdr:cNvPr>
        <xdr:cNvSpPr txBox="1"/>
      </xdr:nvSpPr>
      <xdr:spPr>
        <a:xfrm>
          <a:off x="838200" y="330200"/>
          <a:ext cx="9728200" cy="601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fit_hclust &lt;- hclust(dist(iris[, 3:4]), method = 'average')</a:t>
          </a:r>
        </a:p>
        <a:p>
          <a:endParaRPr lang="en-US" sz="2000"/>
        </a:p>
        <a:p>
          <a:r>
            <a:rPr lang="en-US" sz="2000"/>
            <a:t>plot(fit_hclust)</a:t>
          </a:r>
        </a:p>
        <a:p>
          <a:endParaRPr lang="en-US" sz="2000"/>
        </a:p>
        <a:p>
          <a:r>
            <a:rPr lang="en-US" sz="2000"/>
            <a:t>fit_hclust_cuts &lt;- cutree(fit_hclust, 3)</a:t>
          </a:r>
        </a:p>
        <a:p>
          <a:endParaRPr lang="en-US" sz="2000"/>
        </a:p>
        <a:p>
          <a:r>
            <a:rPr lang="en-US" sz="2000"/>
            <a:t>table(fit_hclust_cuts, iris$Species)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127000</xdr:rowOff>
    </xdr:from>
    <xdr:to>
      <xdr:col>19</xdr:col>
      <xdr:colOff>38100</xdr:colOff>
      <xdr:row>9</xdr:row>
      <xdr:rowOff>279400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0171EE6-FB4E-F4A8-67AA-CDBC5715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5950" y="457200"/>
              <a:ext cx="6635750" cy="279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812800</xdr:colOff>
      <xdr:row>20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14230E-5C7A-8E0E-4E10-8F303218CE74}"/>
            </a:ext>
          </a:extLst>
        </xdr:cNvPr>
        <xdr:cNvSpPr txBox="1"/>
      </xdr:nvSpPr>
      <xdr:spPr>
        <a:xfrm>
          <a:off x="850900" y="355600"/>
          <a:ext cx="8216900" cy="652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df_X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"c3:e23")</a:t>
          </a:r>
        </a:p>
        <a:p>
          <a:endParaRPr lang="en-US" sz="1400"/>
        </a:p>
        <a:p>
          <a:r>
            <a:rPr lang="en-US" sz="1400"/>
            <a:t>df_y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"g3:g23")</a:t>
          </a:r>
        </a:p>
        <a:p>
          <a:endParaRPr lang="en-US" sz="1400"/>
        </a:p>
        <a:p>
          <a:r>
            <a:rPr lang="en-US" sz="1400"/>
            <a:t>d = cbind(df_X,df_y)</a:t>
          </a:r>
        </a:p>
        <a:p>
          <a:endParaRPr lang="en-US" sz="1400"/>
        </a:p>
        <a:p>
          <a:r>
            <a:rPr lang="en-US" sz="1400"/>
            <a:t>fit_lm = lm(formula = y ~ x1 + x2 + x3 -1,data = d)</a:t>
          </a:r>
        </a:p>
        <a:p>
          <a:endParaRPr lang="en-US" sz="1400"/>
        </a:p>
        <a:p>
          <a:r>
            <a:rPr lang="en-US" sz="1400"/>
            <a:t>explainer = shapr::shapr(x = X,fit_lm)</a:t>
          </a:r>
        </a:p>
        <a:p>
          <a:endParaRPr lang="en-US" sz="1400"/>
        </a:p>
        <a:p>
          <a:r>
            <a:rPr lang="en-US" sz="1400"/>
            <a:t>Ey &lt;- mean(d$y)</a:t>
          </a:r>
        </a:p>
        <a:p>
          <a:endParaRPr lang="en-US" sz="1400"/>
        </a:p>
        <a:p>
          <a:r>
            <a:rPr lang="en-US" sz="1400"/>
            <a:t>explanation &lt;- explain(</a:t>
          </a:r>
        </a:p>
        <a:p>
          <a:r>
            <a:rPr lang="en-US" sz="1400"/>
            <a:t>  X,</a:t>
          </a:r>
        </a:p>
        <a:p>
          <a:r>
            <a:rPr lang="en-US" sz="1400"/>
            <a:t>  explainer = explainer,</a:t>
          </a:r>
        </a:p>
        <a:p>
          <a:r>
            <a:rPr lang="en-US" sz="1400"/>
            <a:t>  approach = "gaussian",</a:t>
          </a:r>
        </a:p>
        <a:p>
          <a:r>
            <a:rPr lang="en-US" sz="1400"/>
            <a:t>  prediction_zero = Ey</a:t>
          </a:r>
        </a:p>
        <a:p>
          <a:r>
            <a:rPr lang="en-US" sz="1400"/>
            <a:t>)</a:t>
          </a:r>
        </a:p>
        <a:p>
          <a:endParaRPr lang="en-US" sz="1400"/>
        </a:p>
        <a:p>
          <a:r>
            <a:rPr lang="en-US" sz="1400"/>
            <a:t>print(explanation$dt)</a:t>
          </a:r>
        </a:p>
        <a:p>
          <a:r>
            <a:rPr lang="en-US" sz="1400"/>
            <a:t>rowSums(explanation$dt)</a:t>
          </a:r>
        </a:p>
        <a:p>
          <a:endParaRPr lang="en-US" sz="1400"/>
        </a:p>
        <a:p>
          <a:r>
            <a:rPr lang="en-US" sz="1400"/>
            <a:t>plot(explanation, plot_phi0 = T, index_x_test = c(13))</a:t>
          </a:r>
        </a:p>
        <a:p>
          <a:endParaRPr lang="en-US" sz="14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317499</xdr:rowOff>
    </xdr:from>
    <xdr:to>
      <xdr:col>8</xdr:col>
      <xdr:colOff>381000</xdr:colOff>
      <xdr:row>29</xdr:row>
      <xdr:rowOff>111124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764FDC-A732-B240-902C-68A2C9F86BA5}"/>
            </a:ext>
          </a:extLst>
        </xdr:cNvPr>
        <xdr:cNvSpPr txBox="1"/>
      </xdr:nvSpPr>
      <xdr:spPr>
        <a:xfrm>
          <a:off x="127000" y="650874"/>
          <a:ext cx="5905500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Get Data ####</a:t>
          </a:r>
        </a:p>
        <a:p>
          <a:r>
            <a:rPr lang="en-US" sz="1600"/>
            <a:t>library(readxl)</a:t>
          </a:r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"train_text")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dtrain = d</a:t>
          </a:r>
        </a:p>
        <a:p>
          <a:endParaRPr lang="en-US" sz="1600"/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"test_text")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d_test = d</a:t>
          </a:r>
        </a:p>
      </xdr:txBody>
    </xdr:sp>
    <xdr:clientData/>
  </xdr:twoCellAnchor>
  <xdr:twoCellAnchor>
    <xdr:from>
      <xdr:col>17</xdr:col>
      <xdr:colOff>47624</xdr:colOff>
      <xdr:row>1</xdr:row>
      <xdr:rowOff>317500</xdr:rowOff>
    </xdr:from>
    <xdr:to>
      <xdr:col>24</xdr:col>
      <xdr:colOff>698500</xdr:colOff>
      <xdr:row>29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A552204-2749-834B-89F4-F67E73BA6FED}"/>
            </a:ext>
          </a:extLst>
        </xdr:cNvPr>
        <xdr:cNvSpPr txBox="1"/>
      </xdr:nvSpPr>
      <xdr:spPr>
        <a:xfrm>
          <a:off x="13255624" y="650875"/>
          <a:ext cx="6429376" cy="917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Fit ####</a:t>
          </a:r>
        </a:p>
        <a:p>
          <a:r>
            <a:rPr lang="en-US" sz="1600"/>
            <a:t>library(e1071)</a:t>
          </a:r>
        </a:p>
        <a:p>
          <a:r>
            <a:rPr lang="en-US" sz="1600"/>
            <a:t>sms_classifier = naiveBayes(x = sms_mat_train,y =  dtrain$type)</a:t>
          </a:r>
        </a:p>
        <a:p>
          <a:r>
            <a:rPr lang="en-US" sz="1600"/>
            <a:t>sms_classifier</a:t>
          </a:r>
        </a:p>
        <a:p>
          <a:endParaRPr lang="en-US" sz="1600"/>
        </a:p>
        <a:p>
          <a:r>
            <a:rPr lang="en-US" sz="1600"/>
            <a:t># Forecast ####</a:t>
          </a:r>
        </a:p>
        <a:p>
          <a:r>
            <a:rPr lang="en-US" sz="1600"/>
            <a:t>predict(object = sms_classifier,newdata = sms_mat_test_,type = 'raw')</a:t>
          </a:r>
        </a:p>
        <a:p>
          <a:r>
            <a:rPr lang="en-US" sz="1600"/>
            <a:t>predict(object = sms_classifier,newdata = sms_mat_test_)</a:t>
          </a:r>
        </a:p>
        <a:p>
          <a:endParaRPr lang="en-US" sz="1600"/>
        </a:p>
        <a:p>
          <a:endParaRPr lang="en-US" sz="1600"/>
        </a:p>
      </xdr:txBody>
    </xdr:sp>
    <xdr:clientData/>
  </xdr:twoCellAnchor>
  <xdr:twoCellAnchor>
    <xdr:from>
      <xdr:col>8</xdr:col>
      <xdr:colOff>755649</xdr:colOff>
      <xdr:row>1</xdr:row>
      <xdr:rowOff>327024</xdr:rowOff>
    </xdr:from>
    <xdr:to>
      <xdr:col>16</xdr:col>
      <xdr:colOff>428625</xdr:colOff>
      <xdr:row>29</xdr:row>
      <xdr:rowOff>120649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D4E25F3-815C-0443-B187-ACE49952E664}"/>
            </a:ext>
          </a:extLst>
        </xdr:cNvPr>
        <xdr:cNvSpPr txBox="1"/>
      </xdr:nvSpPr>
      <xdr:spPr>
        <a:xfrm>
          <a:off x="6534149" y="660399"/>
          <a:ext cx="6276976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Create Document Term Matrix ####</a:t>
          </a:r>
        </a:p>
        <a:p>
          <a:r>
            <a:rPr lang="en-US" sz="1600"/>
            <a:t>library(tm)</a:t>
          </a:r>
        </a:p>
        <a:p>
          <a:r>
            <a:rPr lang="en-US" sz="1600"/>
            <a:t>sms_corpus_train = Corpus(VectorSource(dtrain$text))</a:t>
          </a:r>
        </a:p>
        <a:p>
          <a:r>
            <a:rPr lang="en-US" sz="1600"/>
            <a:t>sms_dtm_train = DocumentTermMatrix(sms_corpus_train,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sms_corpus_test_ = Corpus(VectorSource(d_test$text))</a:t>
          </a:r>
        </a:p>
        <a:p>
          <a:r>
            <a:rPr lang="en-US" sz="1600"/>
            <a:t>sms_dtm_test_ = DocumentTermMatrix(sms_corpus_test_,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sms_mat_train = as.matrix(sms_dtm_train)</a:t>
          </a:r>
        </a:p>
        <a:p>
          <a:r>
            <a:rPr lang="en-US" sz="1600"/>
            <a:t>sms_mat_test_ = as.matrix(sms_dtm_test_)</a:t>
          </a:r>
        </a:p>
        <a:p>
          <a:endParaRPr lang="en-US" sz="1600"/>
        </a:p>
        <a:p>
          <a:r>
            <a:rPr lang="en-US" sz="1600"/>
            <a:t>sms_mat_train = apply(as.data.frame(sms_mat_train), 2, factor)</a:t>
          </a:r>
        </a:p>
        <a:p>
          <a:r>
            <a:rPr lang="en-US" sz="1600"/>
            <a:t>sms_mat_test_ = apply(as.data.frame(sms_mat_test_), 2, factor</a:t>
          </a:r>
          <a:r>
            <a:rPr lang="en-US" sz="1400"/>
            <a:t>)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4470400" cy="4425696"/>
    <xdr:pic>
      <xdr:nvPicPr>
        <xdr:cNvPr id="2" name="Picture 1">
          <a:extLst>
            <a:ext uri="{FF2B5EF4-FFF2-40B4-BE49-F238E27FC236}">
              <a16:creationId xmlns:a16="http://schemas.microsoft.com/office/drawing/2014/main" id="{821E781F-A352-AE4B-9F04-5BF4CF265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09600"/>
          <a:ext cx="4470400" cy="442569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6111478" cy="4419600"/>
    <xdr:pic>
      <xdr:nvPicPr>
        <xdr:cNvPr id="3" name="Picture 2">
          <a:extLst>
            <a:ext uri="{FF2B5EF4-FFF2-40B4-BE49-F238E27FC236}">
              <a16:creationId xmlns:a16="http://schemas.microsoft.com/office/drawing/2014/main" id="{035F32EF-18EE-8045-B1EA-885DFAED5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609600"/>
          <a:ext cx="6111478" cy="4419600"/>
        </a:xfrm>
        <a:prstGeom prst="rect">
          <a:avLst/>
        </a:prstGeom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</xdr:row>
      <xdr:rowOff>196850</xdr:rowOff>
    </xdr:from>
    <xdr:to>
      <xdr:col>9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DC7AE-7D1C-1142-B3FA-63D7FB22D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0</xdr:colOff>
      <xdr:row>2</xdr:row>
      <xdr:rowOff>0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26D1357B-DC0F-254F-9CD8-9B7C5FF4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406400"/>
          <a:ext cx="4470400" cy="4425696"/>
        </a:xfrm>
        <a:prstGeom prst="rect">
          <a:avLst/>
        </a:prstGeom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196850</xdr:rowOff>
    </xdr:from>
    <xdr:to>
      <xdr:col>12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2CEA2-8998-D34E-B9D6-E9EC228CC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660399</xdr:colOff>
      <xdr:row>3</xdr:row>
      <xdr:rowOff>176302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73C10D30-AA28-814B-8F58-B71E980A5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80283">
          <a:off x="11391899" y="785902"/>
          <a:ext cx="4470400" cy="4425696"/>
        </a:xfrm>
        <a:prstGeom prst="rect">
          <a:avLst/>
        </a:prstGeom>
      </xdr:spPr>
    </xdr:pic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372972</xdr:colOff>
      <xdr:row>13</xdr:row>
      <xdr:rowOff>25400</xdr:rowOff>
    </xdr:from>
    <xdr:ext cx="2802028" cy="2197100"/>
    <xdr:pic>
      <xdr:nvPicPr>
        <xdr:cNvPr id="2" name="Picture 1">
          <a:extLst>
            <a:ext uri="{FF2B5EF4-FFF2-40B4-BE49-F238E27FC236}">
              <a16:creationId xmlns:a16="http://schemas.microsoft.com/office/drawing/2014/main" id="{1222DC98-6A9E-F242-887A-137135B0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7972" y="2667000"/>
          <a:ext cx="2802028" cy="219710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</xdr:row>
      <xdr:rowOff>162412</xdr:rowOff>
    </xdr:from>
    <xdr:ext cx="2806700" cy="2161855"/>
    <xdr:pic>
      <xdr:nvPicPr>
        <xdr:cNvPr id="3" name="Picture 2">
          <a:extLst>
            <a:ext uri="{FF2B5EF4-FFF2-40B4-BE49-F238E27FC236}">
              <a16:creationId xmlns:a16="http://schemas.microsoft.com/office/drawing/2014/main" id="{7DD9ADE1-CF4D-354C-B977-394FFF142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900" y="365612"/>
          <a:ext cx="2806700" cy="2161855"/>
        </a:xfrm>
        <a:prstGeom prst="rect">
          <a:avLst/>
        </a:prstGeom>
      </xdr:spPr>
    </xdr:pic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279400</xdr:rowOff>
    </xdr:from>
    <xdr:to>
      <xdr:col>9</xdr:col>
      <xdr:colOff>152400</xdr:colOff>
      <xdr:row>15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A709F7-BD56-4A4A-A9FF-64CF46BA29FF}"/>
            </a:ext>
          </a:extLst>
        </xdr:cNvPr>
        <xdr:cNvSpPr txBox="1"/>
      </xdr:nvSpPr>
      <xdr:spPr>
        <a:xfrm>
          <a:off x="863600" y="203200"/>
          <a:ext cx="6718300" cy="304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aseline="0"/>
            <a:t>d = &lt; Some data set &gt;</a:t>
          </a:r>
        </a:p>
        <a:p>
          <a:endParaRPr lang="en-US" sz="2000" baseline="0"/>
        </a:p>
        <a:p>
          <a:r>
            <a:rPr lang="en-US" sz="2000" baseline="0"/>
            <a:t>d_centered = scale(d, center=TRUE, scale=FALSE)</a:t>
          </a:r>
        </a:p>
        <a:p>
          <a:endParaRPr lang="en-US" sz="2000" baseline="0"/>
        </a:p>
        <a:p>
          <a:r>
            <a:rPr lang="en-US" sz="2000" baseline="0"/>
            <a:t>covmat = cov(d_centered)</a:t>
          </a:r>
        </a:p>
        <a:p>
          <a:endParaRPr lang="en-US" sz="2000" baseline="0"/>
        </a:p>
        <a:p>
          <a:r>
            <a:rPr lang="en-US" sz="2000" baseline="0"/>
            <a:t>e = eigen(covmat)</a:t>
          </a:r>
        </a:p>
        <a:p>
          <a:endParaRPr lang="en-US" sz="2000" baseline="0"/>
        </a:p>
        <a:p>
          <a:r>
            <a:rPr lang="en-US" sz="2000" baseline="0"/>
            <a:t>loadings = e$vectors</a:t>
          </a:r>
        </a:p>
        <a:p>
          <a:endParaRPr lang="en-US" sz="2000" baseline="0"/>
        </a:p>
        <a:p>
          <a:r>
            <a:rPr lang="en-US" sz="2000" baseline="0"/>
            <a:t>values = e$values</a:t>
          </a:r>
        </a:p>
        <a:p>
          <a:endParaRPr lang="en-US" sz="2000" baseline="0"/>
        </a:p>
        <a:p>
          <a:r>
            <a:rPr lang="en-US" sz="2000" baseline="0"/>
            <a:t>k = &lt; selected number of components &gt;</a:t>
          </a:r>
        </a:p>
        <a:p>
          <a:endParaRPr lang="en-US" sz="2000" baseline="0"/>
        </a:p>
        <a:p>
          <a:r>
            <a:rPr lang="en-US" sz="2000" baseline="0"/>
            <a:t>pc = as.matrix(d) %*% loadings[,1:k]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7</xdr:col>
      <xdr:colOff>444500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510090-B534-AC4F-AD5A-B2CB13FFDF18}"/>
            </a:ext>
          </a:extLst>
        </xdr:cNvPr>
        <xdr:cNvSpPr txBox="1"/>
      </xdr:nvSpPr>
      <xdr:spPr>
        <a:xfrm>
          <a:off x="673100" y="3556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Single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"TransactionsData_v1")</a:t>
          </a:r>
        </a:p>
        <a:p>
          <a:r>
            <a:rPr lang="en-US" sz="1400"/>
            <a:t>cnames = colnames(d)</a:t>
          </a:r>
        </a:p>
        <a:p>
          <a:endParaRPr lang="en-US" sz="1400"/>
        </a:p>
        <a:p>
          <a:r>
            <a:rPr lang="en-US" sz="1400"/>
            <a:t>write.csv(d,'d_single_temp.csv',row.names = F)</a:t>
          </a:r>
        </a:p>
        <a:p>
          <a:r>
            <a:rPr lang="en-US" sz="1400"/>
            <a:t>transactions_data = read.transactions(file = 'd_single_temp.csv',</a:t>
          </a:r>
        </a:p>
        <a:p>
          <a:r>
            <a:rPr lang="en-US" sz="1400"/>
            <a:t>                                      format = 'single',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T,</a:t>
          </a:r>
        </a:p>
        <a:p>
          <a:r>
            <a:rPr lang="en-US" sz="1400"/>
            <a:t>                                      cols = cnames)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14</xdr:col>
      <xdr:colOff>228600</xdr:colOff>
      <xdr:row>21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541F92-26F7-8B49-8110-B16662A8A235}"/>
            </a:ext>
          </a:extLst>
        </xdr:cNvPr>
        <xdr:cNvSpPr txBox="1"/>
      </xdr:nvSpPr>
      <xdr:spPr>
        <a:xfrm>
          <a:off x="62357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Basket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"TransactionsData_v2",col_names = F)</a:t>
          </a:r>
        </a:p>
        <a:p>
          <a:endParaRPr lang="en-US" sz="1400"/>
        </a:p>
        <a:p>
          <a:r>
            <a:rPr lang="en-US" sz="1400"/>
            <a:t>write.csv(d,'d_basket_temp.csv',row.names = F)</a:t>
          </a:r>
        </a:p>
        <a:p>
          <a:r>
            <a:rPr lang="en-US" sz="1400"/>
            <a:t>transactions_data = read.transactions(file = 'd_basket_temp.csv',</a:t>
          </a:r>
        </a:p>
        <a:p>
          <a:r>
            <a:rPr lang="en-US" sz="1400"/>
            <a:t>                                      format = 'basket',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14</xdr:col>
      <xdr:colOff>457200</xdr:colOff>
      <xdr:row>1</xdr:row>
      <xdr:rowOff>0</xdr:rowOff>
    </xdr:from>
    <xdr:to>
      <xdr:col>20</xdr:col>
      <xdr:colOff>685800</xdr:colOff>
      <xdr:row>21</xdr:row>
      <xdr:rowOff>177800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CA837E-CE88-2F45-82A0-F39E11C9510A}"/>
            </a:ext>
          </a:extLst>
        </xdr:cNvPr>
        <xdr:cNvSpPr txBox="1"/>
      </xdr:nvSpPr>
      <xdr:spPr>
        <a:xfrm>
          <a:off x="116459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fit_aa &lt;- apriori(transactions_data,</a:t>
          </a:r>
        </a:p>
        <a:p>
          <a:r>
            <a:rPr lang="en-US" sz="1400"/>
            <a:t>                  parameter = list(support = 0.001,</a:t>
          </a:r>
        </a:p>
        <a:p>
          <a:r>
            <a:rPr lang="en-US" sz="1400"/>
            <a:t>                                   confidence = 0.001))</a:t>
          </a:r>
        </a:p>
        <a:p>
          <a:r>
            <a:rPr lang="en-US" sz="1400"/>
            <a:t>inspect(fit_aa)</a:t>
          </a:r>
        </a:p>
        <a:p>
          <a:r>
            <a:rPr lang="en-US" sz="1400"/>
            <a:t>inspect(sort(fit_aa, by = "confidence"))</a:t>
          </a:r>
        </a:p>
        <a:p>
          <a:endParaRPr lang="en-US" sz="14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10</xdr:col>
      <xdr:colOff>25400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1321D3-6673-DCB4-0320-B143EDAD2716}"/>
            </a:ext>
          </a:extLst>
        </xdr:cNvPr>
        <xdr:cNvSpPr txBox="1"/>
      </xdr:nvSpPr>
      <xdr:spPr>
        <a:xfrm>
          <a:off x="673100" y="355600"/>
          <a:ext cx="72390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# install.packages("arules")</a:t>
          </a:r>
        </a:p>
        <a:p>
          <a:r>
            <a:rPr lang="en-US" sz="2000"/>
            <a:t># install.packages("arulesViz")</a:t>
          </a:r>
        </a:p>
        <a:p>
          <a:endParaRPr lang="en-US" sz="2000"/>
        </a:p>
        <a:p>
          <a:r>
            <a:rPr lang="en-US" sz="2000"/>
            <a:t>library(arules)</a:t>
          </a:r>
        </a:p>
        <a:p>
          <a:r>
            <a:rPr lang="en-US" sz="2000"/>
            <a:t>data('Groceries',package = 'arules')</a:t>
          </a:r>
        </a:p>
        <a:p>
          <a:r>
            <a:rPr lang="en-US" sz="2000"/>
            <a:t>class(Groceries)</a:t>
          </a:r>
        </a:p>
        <a:p>
          <a:r>
            <a:rPr lang="en-US" sz="2000"/>
            <a:t>inspect(head(Groceries))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fit_aa &lt;- apriori(Groceries,</a:t>
          </a:r>
        </a:p>
        <a:p>
          <a:r>
            <a:rPr lang="en-US" sz="2000"/>
            <a:t>                  parameter = list(support = 0.01,</a:t>
          </a:r>
        </a:p>
        <a:p>
          <a:r>
            <a:rPr lang="en-US" sz="2000"/>
            <a:t>                                   confidence = 0.5))</a:t>
          </a:r>
        </a:p>
        <a:p>
          <a:endParaRPr lang="en-US" sz="2000"/>
        </a:p>
        <a:p>
          <a:r>
            <a:rPr lang="en-US" sz="2000"/>
            <a:t>inspect(head(sort(fit_aa, by = "confidence"), 15))</a:t>
          </a:r>
        </a:p>
        <a:p>
          <a:endParaRPr lang="en-US" sz="2000"/>
        </a:p>
        <a:p>
          <a:r>
            <a:rPr lang="en-US" sz="2000"/>
            <a:t>fit_aa_butter &lt;- apriori(data=Groceries, </a:t>
          </a:r>
        </a:p>
        <a:p>
          <a:r>
            <a:rPr lang="en-US" sz="2000"/>
            <a:t>                           parameter=list(supp = 0.001,</a:t>
          </a:r>
        </a:p>
        <a:p>
          <a:r>
            <a:rPr lang="en-US" sz="2000"/>
            <a:t>                                          conf = 0.08), </a:t>
          </a:r>
        </a:p>
        <a:p>
          <a:r>
            <a:rPr lang="en-US" sz="2000"/>
            <a:t>                           appearance = list(rhs="butter"))</a:t>
          </a:r>
        </a:p>
        <a:p>
          <a:endParaRPr lang="en-US" sz="2000"/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Zpmwl3eANQZfoJp1KNWAC9vVHdVixHm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RciSUmER40HYycOiLrulrVU0OFjLvDKF&amp;authuser=davethemovie%40gmail.com&amp;usp=drive_fs" TargetMode="External"/><Relationship Id="rId1" Type="http://schemas.openxmlformats.org/officeDocument/2006/relationships/hyperlink" Target="https://en.wikipedia.org/wiki/Multinomial_logistic_regressio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en.wikipedia.org/wiki/Ordered_logit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RSp88UKs3JVsuwxkpvn2NPGzTJma-f5F&amp;authuser=davethemovie%40gmail.com&amp;usp=drive_fs" TargetMode="External"/><Relationship Id="rId1" Type="http://schemas.openxmlformats.org/officeDocument/2006/relationships/hyperlink" Target="https://en.wikipedia.org/wiki/K-medoids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Rt9qH8sNpj7_UmZX8Cej2UEdTivXEoCe&amp;authuser=davethemovie%40gmail.com&amp;usp=drive_fs" TargetMode="External"/><Relationship Id="rId2" Type="http://schemas.openxmlformats.org/officeDocument/2006/relationships/hyperlink" Target="https://drive.google.com/open?id=1RZu4DJ1nTrNkFLy02epsKL0UDFvoEusQ&amp;authuser=davethemovie%40gmail.com&amp;usp=drive_fs" TargetMode="External"/><Relationship Id="rId1" Type="http://schemas.openxmlformats.org/officeDocument/2006/relationships/hyperlink" Target="https://en.wikipedia.org/wiki/Silhouette_(clustering)" TargetMode="External"/><Relationship Id="rId5" Type="http://schemas.openxmlformats.org/officeDocument/2006/relationships/drawing" Target="../drawings/drawing9.xml"/><Relationship Id="rId4" Type="http://schemas.openxmlformats.org/officeDocument/2006/relationships/hyperlink" Target="https://drive.google.com/open?id=1Ro6Xp8Hdy2TlpuqM1e7Bn9gt9Iq67vf0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iib_imkZ5fk" TargetMode="Externa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305</v>
      </c>
    </row>
    <row r="4" spans="2:2" x14ac:dyDescent="0.3">
      <c r="B4" s="1" t="s">
        <v>306</v>
      </c>
    </row>
    <row r="6" spans="2:2" x14ac:dyDescent="0.3">
      <c r="B6" s="1" t="s">
        <v>307</v>
      </c>
    </row>
    <row r="8" spans="2:2" x14ac:dyDescent="0.3">
      <c r="B8" s="1" t="s">
        <v>257</v>
      </c>
    </row>
    <row r="10" spans="2:2" x14ac:dyDescent="0.3">
      <c r="B10" s="1" t="s">
        <v>256</v>
      </c>
    </row>
    <row r="12" spans="2:2" x14ac:dyDescent="0.3">
      <c r="B12" s="1" t="s">
        <v>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255</v>
      </c>
    </row>
    <row r="2" spans="1:1" x14ac:dyDescent="0.25">
      <c r="A2" s="2" t="s">
        <v>258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64</v>
      </c>
    </row>
    <row r="4" spans="2:4" x14ac:dyDescent="0.3">
      <c r="B4" s="1" t="s">
        <v>65</v>
      </c>
    </row>
    <row r="6" spans="2:4" x14ac:dyDescent="0.3">
      <c r="C6" s="15" t="s">
        <v>66</v>
      </c>
      <c r="D6" s="15" t="s">
        <v>67</v>
      </c>
    </row>
    <row r="7" spans="2:4" x14ac:dyDescent="0.3">
      <c r="C7" s="19">
        <v>1</v>
      </c>
      <c r="D7" s="19" t="s">
        <v>68</v>
      </c>
    </row>
    <row r="8" spans="2:4" x14ac:dyDescent="0.3">
      <c r="C8" s="19">
        <v>0</v>
      </c>
      <c r="D8" s="19" t="s">
        <v>69</v>
      </c>
    </row>
    <row r="11" spans="2:4" x14ac:dyDescent="0.3">
      <c r="B11" s="1" t="s">
        <v>70</v>
      </c>
      <c r="C11" s="20" t="s">
        <v>71</v>
      </c>
    </row>
    <row r="12" spans="2:4" ht="29" x14ac:dyDescent="0.3">
      <c r="B12" s="1" t="s">
        <v>72</v>
      </c>
      <c r="C12" s="20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 codeName="Sheet3">
    <tabColor rgb="FFFF0000"/>
  </sheetPr>
  <dimension ref="A1:AK20"/>
  <sheetViews>
    <sheetView workbookViewId="0">
      <selection activeCell="A3" sqref="A3"/>
    </sheetView>
  </sheetViews>
  <sheetFormatPr baseColWidth="10" defaultColWidth="5.1640625" defaultRowHeight="26" x14ac:dyDescent="0.3"/>
  <cols>
    <col min="1" max="16384" width="5.1640625" style="15"/>
  </cols>
  <sheetData>
    <row r="1" spans="1:36" x14ac:dyDescent="0.3">
      <c r="A1" s="133" t="s">
        <v>300</v>
      </c>
    </row>
    <row r="2" spans="1:36" x14ac:dyDescent="0.3">
      <c r="C2"/>
    </row>
    <row r="8" spans="1:36" x14ac:dyDescent="0.3">
      <c r="C8" s="15" t="s">
        <v>337</v>
      </c>
      <c r="D8" s="15" t="s">
        <v>337</v>
      </c>
      <c r="E8" s="15" t="s">
        <v>337</v>
      </c>
      <c r="F8" s="15" t="s">
        <v>338</v>
      </c>
      <c r="G8" s="15" t="s">
        <v>338</v>
      </c>
      <c r="H8" s="15" t="s">
        <v>339</v>
      </c>
      <c r="I8" s="15" t="s">
        <v>339</v>
      </c>
      <c r="J8" s="15" t="s">
        <v>339</v>
      </c>
      <c r="K8" s="15" t="s">
        <v>339</v>
      </c>
      <c r="L8" s="15" t="s">
        <v>339</v>
      </c>
      <c r="O8" s="127" t="s">
        <v>337</v>
      </c>
      <c r="P8" s="127" t="s">
        <v>338</v>
      </c>
      <c r="Q8" s="127" t="s">
        <v>339</v>
      </c>
      <c r="R8" s="127" t="s">
        <v>340</v>
      </c>
      <c r="S8" s="127" t="s">
        <v>341</v>
      </c>
      <c r="T8" s="127" t="s">
        <v>342</v>
      </c>
      <c r="U8" s="127" t="s">
        <v>343</v>
      </c>
      <c r="V8" s="127" t="s">
        <v>344</v>
      </c>
      <c r="W8" s="127" t="s">
        <v>345</v>
      </c>
      <c r="X8" s="127" t="s">
        <v>346</v>
      </c>
      <c r="AA8" s="127" t="s">
        <v>337</v>
      </c>
      <c r="AB8" s="127" t="s">
        <v>337</v>
      </c>
      <c r="AC8" s="127" t="s">
        <v>337</v>
      </c>
      <c r="AD8" s="127" t="s">
        <v>337</v>
      </c>
      <c r="AE8" s="127" t="s">
        <v>337</v>
      </c>
      <c r="AF8" s="127" t="s">
        <v>337</v>
      </c>
      <c r="AG8" s="127" t="s">
        <v>337</v>
      </c>
      <c r="AH8" s="127" t="s">
        <v>337</v>
      </c>
      <c r="AI8" s="127" t="s">
        <v>337</v>
      </c>
      <c r="AJ8" s="127" t="s">
        <v>337</v>
      </c>
    </row>
    <row r="9" spans="1:36" x14ac:dyDescent="0.3">
      <c r="B9" s="15" t="s">
        <v>337</v>
      </c>
      <c r="C9" s="125"/>
      <c r="D9" s="125"/>
      <c r="E9" s="125"/>
      <c r="F9" s="124"/>
      <c r="G9" s="124"/>
      <c r="H9" s="124"/>
      <c r="I9" s="124"/>
      <c r="J9" s="124"/>
      <c r="K9" s="124"/>
      <c r="L9" s="124"/>
      <c r="N9" s="15" t="s">
        <v>337</v>
      </c>
      <c r="O9" s="125"/>
      <c r="P9" s="124"/>
      <c r="Q9" s="124"/>
      <c r="R9" s="124"/>
      <c r="S9" s="124"/>
      <c r="T9" s="124"/>
      <c r="U9" s="124"/>
      <c r="V9" s="124"/>
      <c r="W9" s="124"/>
      <c r="X9" s="124"/>
      <c r="Z9" s="15" t="s">
        <v>337</v>
      </c>
      <c r="AA9" s="125"/>
      <c r="AB9" s="125"/>
      <c r="AC9" s="125"/>
      <c r="AD9" s="125"/>
      <c r="AE9" s="125"/>
      <c r="AF9" s="125"/>
      <c r="AG9" s="125"/>
      <c r="AH9" s="125"/>
      <c r="AI9" s="125"/>
      <c r="AJ9" s="125"/>
    </row>
    <row r="10" spans="1:36" x14ac:dyDescent="0.3">
      <c r="B10" s="15" t="s">
        <v>337</v>
      </c>
      <c r="C10" s="125"/>
      <c r="D10" s="125"/>
      <c r="E10" s="125"/>
      <c r="F10" s="124"/>
      <c r="G10" s="124"/>
      <c r="H10" s="124"/>
      <c r="I10" s="124"/>
      <c r="J10" s="124"/>
      <c r="K10" s="124"/>
      <c r="L10" s="124"/>
      <c r="N10" s="15" t="s">
        <v>338</v>
      </c>
      <c r="O10" s="124"/>
      <c r="P10" s="125"/>
      <c r="Q10" s="124"/>
      <c r="R10" s="124"/>
      <c r="S10" s="124"/>
      <c r="T10" s="124"/>
      <c r="U10" s="124"/>
      <c r="V10" s="124"/>
      <c r="W10" s="124"/>
      <c r="X10" s="124"/>
      <c r="Z10" s="127" t="s">
        <v>337</v>
      </c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</row>
    <row r="11" spans="1:36" x14ac:dyDescent="0.3">
      <c r="B11" s="15" t="s">
        <v>337</v>
      </c>
      <c r="C11" s="125"/>
      <c r="D11" s="125"/>
      <c r="E11" s="125"/>
      <c r="F11" s="124"/>
      <c r="G11" s="124"/>
      <c r="H11" s="124"/>
      <c r="I11" s="124"/>
      <c r="J11" s="124"/>
      <c r="K11" s="124"/>
      <c r="L11" s="124"/>
      <c r="N11" s="15" t="s">
        <v>339</v>
      </c>
      <c r="O11" s="124"/>
      <c r="P11" s="124"/>
      <c r="Q11" s="125"/>
      <c r="R11" s="124"/>
      <c r="S11" s="124"/>
      <c r="T11" s="124"/>
      <c r="U11" s="124"/>
      <c r="V11" s="124"/>
      <c r="W11" s="124"/>
      <c r="X11" s="124"/>
      <c r="Z11" s="127" t="s">
        <v>337</v>
      </c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</row>
    <row r="12" spans="1:36" x14ac:dyDescent="0.3">
      <c r="B12" s="15" t="s">
        <v>338</v>
      </c>
      <c r="C12" s="124"/>
      <c r="D12" s="124"/>
      <c r="E12" s="124"/>
      <c r="F12" s="125"/>
      <c r="G12" s="125"/>
      <c r="H12" s="124"/>
      <c r="I12" s="124"/>
      <c r="J12" s="124"/>
      <c r="K12" s="124"/>
      <c r="L12" s="124"/>
      <c r="N12" s="15" t="s">
        <v>340</v>
      </c>
      <c r="O12" s="124"/>
      <c r="P12" s="124"/>
      <c r="Q12" s="124"/>
      <c r="R12" s="125"/>
      <c r="S12" s="124"/>
      <c r="T12" s="124"/>
      <c r="U12" s="124"/>
      <c r="V12" s="124"/>
      <c r="W12" s="124"/>
      <c r="X12" s="124"/>
      <c r="Z12" s="127" t="s">
        <v>337</v>
      </c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</row>
    <row r="13" spans="1:36" x14ac:dyDescent="0.3">
      <c r="B13" s="15" t="s">
        <v>338</v>
      </c>
      <c r="C13" s="124"/>
      <c r="D13" s="124"/>
      <c r="E13" s="124"/>
      <c r="F13" s="125"/>
      <c r="G13" s="125"/>
      <c r="H13" s="124"/>
      <c r="I13" s="124"/>
      <c r="J13" s="124"/>
      <c r="K13" s="124"/>
      <c r="L13" s="124"/>
      <c r="N13" s="15" t="s">
        <v>341</v>
      </c>
      <c r="O13" s="124"/>
      <c r="P13" s="124"/>
      <c r="Q13" s="124"/>
      <c r="R13" s="124"/>
      <c r="S13" s="125"/>
      <c r="T13" s="124"/>
      <c r="U13" s="124"/>
      <c r="V13" s="124"/>
      <c r="W13" s="124"/>
      <c r="X13" s="124"/>
      <c r="Z13" s="127" t="s">
        <v>337</v>
      </c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</row>
    <row r="14" spans="1:36" x14ac:dyDescent="0.3">
      <c r="B14" s="15" t="s">
        <v>339</v>
      </c>
      <c r="C14" s="124"/>
      <c r="D14" s="124"/>
      <c r="E14" s="124"/>
      <c r="F14" s="124"/>
      <c r="G14" s="124"/>
      <c r="H14" s="125"/>
      <c r="I14" s="125"/>
      <c r="J14" s="125"/>
      <c r="K14" s="125"/>
      <c r="L14" s="125"/>
      <c r="N14" s="15" t="s">
        <v>342</v>
      </c>
      <c r="O14" s="124"/>
      <c r="P14" s="124"/>
      <c r="Q14" s="124"/>
      <c r="R14" s="124"/>
      <c r="S14" s="124"/>
      <c r="T14" s="125"/>
      <c r="U14" s="124"/>
      <c r="V14" s="124"/>
      <c r="W14" s="124"/>
      <c r="X14" s="124"/>
      <c r="Z14" s="127" t="s">
        <v>337</v>
      </c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</row>
    <row r="15" spans="1:36" x14ac:dyDescent="0.3">
      <c r="B15" s="15" t="s">
        <v>339</v>
      </c>
      <c r="C15" s="124"/>
      <c r="D15" s="124"/>
      <c r="E15" s="124"/>
      <c r="F15" s="124"/>
      <c r="G15" s="124"/>
      <c r="H15" s="125"/>
      <c r="I15" s="125"/>
      <c r="J15" s="125"/>
      <c r="K15" s="125"/>
      <c r="L15" s="125"/>
      <c r="N15" s="15" t="s">
        <v>343</v>
      </c>
      <c r="O15" s="124"/>
      <c r="P15" s="124"/>
      <c r="Q15" s="124"/>
      <c r="R15" s="124"/>
      <c r="S15" s="124"/>
      <c r="T15" s="124"/>
      <c r="U15" s="125"/>
      <c r="V15" s="124"/>
      <c r="W15" s="124"/>
      <c r="X15" s="124"/>
      <c r="Z15" s="127" t="s">
        <v>337</v>
      </c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</row>
    <row r="16" spans="1:36" x14ac:dyDescent="0.3">
      <c r="B16" s="15" t="s">
        <v>339</v>
      </c>
      <c r="C16" s="124"/>
      <c r="D16" s="124"/>
      <c r="E16" s="124"/>
      <c r="F16" s="124"/>
      <c r="G16" s="124"/>
      <c r="H16" s="125"/>
      <c r="I16" s="125"/>
      <c r="J16" s="125"/>
      <c r="K16" s="125"/>
      <c r="L16" s="125"/>
      <c r="N16" s="15" t="s">
        <v>344</v>
      </c>
      <c r="O16" s="124"/>
      <c r="P16" s="124"/>
      <c r="Q16" s="124"/>
      <c r="R16" s="124"/>
      <c r="S16" s="124"/>
      <c r="T16" s="124"/>
      <c r="U16" s="124"/>
      <c r="V16" s="125"/>
      <c r="W16" s="124"/>
      <c r="X16" s="124"/>
      <c r="Z16" s="127" t="s">
        <v>337</v>
      </c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</row>
    <row r="17" spans="2:37" x14ac:dyDescent="0.3">
      <c r="B17" s="15" t="s">
        <v>339</v>
      </c>
      <c r="C17" s="124"/>
      <c r="D17" s="124"/>
      <c r="E17" s="124"/>
      <c r="F17" s="124"/>
      <c r="G17" s="124"/>
      <c r="H17" s="125"/>
      <c r="I17" s="125"/>
      <c r="J17" s="125"/>
      <c r="K17" s="125"/>
      <c r="L17" s="125"/>
      <c r="N17" s="15" t="s">
        <v>345</v>
      </c>
      <c r="O17" s="124"/>
      <c r="P17" s="124"/>
      <c r="Q17" s="124"/>
      <c r="R17" s="124"/>
      <c r="S17" s="124"/>
      <c r="T17" s="124"/>
      <c r="U17" s="124"/>
      <c r="V17" s="124"/>
      <c r="W17" s="125"/>
      <c r="X17" s="124"/>
      <c r="Z17" s="127" t="s">
        <v>337</v>
      </c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</row>
    <row r="18" spans="2:37" x14ac:dyDescent="0.3">
      <c r="B18" s="15" t="s">
        <v>339</v>
      </c>
      <c r="C18" s="124"/>
      <c r="D18" s="124"/>
      <c r="E18" s="124"/>
      <c r="F18" s="124"/>
      <c r="G18" s="124"/>
      <c r="H18" s="125"/>
      <c r="I18" s="125"/>
      <c r="J18" s="125"/>
      <c r="K18" s="125"/>
      <c r="L18" s="125"/>
      <c r="N18" s="15" t="s">
        <v>346</v>
      </c>
      <c r="O18" s="124"/>
      <c r="P18" s="124"/>
      <c r="Q18" s="124"/>
      <c r="R18" s="124"/>
      <c r="S18" s="124"/>
      <c r="T18" s="124"/>
      <c r="U18" s="124"/>
      <c r="V18" s="124"/>
      <c r="W18" s="124"/>
      <c r="X18" s="125"/>
      <c r="Z18" s="127" t="s">
        <v>337</v>
      </c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</row>
    <row r="20" spans="2:37" ht="29" x14ac:dyDescent="0.3">
      <c r="C20" s="170" t="s">
        <v>347</v>
      </c>
      <c r="D20" s="170"/>
      <c r="E20" s="170"/>
      <c r="F20" s="170"/>
      <c r="G20" s="170"/>
      <c r="H20" s="170"/>
      <c r="I20" s="170"/>
      <c r="J20" s="170"/>
      <c r="K20" s="170"/>
      <c r="L20" s="170"/>
      <c r="O20" s="170" t="s">
        <v>348</v>
      </c>
      <c r="P20" s="170"/>
      <c r="Q20" s="170"/>
      <c r="R20" s="170"/>
      <c r="S20" s="170"/>
      <c r="T20" s="170"/>
      <c r="U20" s="170"/>
      <c r="V20" s="170"/>
      <c r="W20" s="170"/>
      <c r="X20" s="170"/>
      <c r="AB20" s="170" t="s">
        <v>349</v>
      </c>
      <c r="AC20" s="170"/>
      <c r="AD20" s="170"/>
      <c r="AE20" s="170"/>
      <c r="AF20" s="170"/>
      <c r="AG20" s="170"/>
      <c r="AH20" s="170"/>
      <c r="AI20" s="170"/>
      <c r="AJ20" s="170"/>
      <c r="AK20" s="170"/>
    </row>
  </sheetData>
  <mergeCells count="3">
    <mergeCell ref="C20:L20"/>
    <mergeCell ref="O20:X20"/>
    <mergeCell ref="AB20:AK20"/>
  </mergeCells>
  <hyperlinks>
    <hyperlink ref="A1" r:id="rId1" xr:uid="{37B7D74A-4A8C-4141-B219-2344BB3ED9E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9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</v>
      </c>
    </row>
    <row r="2" spans="1:4" x14ac:dyDescent="0.25">
      <c r="A2" s="2" t="s">
        <v>5</v>
      </c>
      <c r="B2" s="3"/>
    </row>
    <row r="3" spans="1:4" x14ac:dyDescent="0.25">
      <c r="A3" s="2" t="s">
        <v>6</v>
      </c>
    </row>
    <row r="4" spans="1:4" x14ac:dyDescent="0.25">
      <c r="A4" s="2" t="s">
        <v>7</v>
      </c>
    </row>
    <row r="5" spans="1:4" x14ac:dyDescent="0.25">
      <c r="A5" s="2" t="s">
        <v>8</v>
      </c>
    </row>
    <row r="6" spans="1:4" x14ac:dyDescent="0.25">
      <c r="A6" s="2" t="s">
        <v>259</v>
      </c>
      <c r="B6" s="4"/>
      <c r="D6" s="4"/>
    </row>
    <row r="7" spans="1:4" x14ac:dyDescent="0.25">
      <c r="A7" s="2" t="s">
        <v>357</v>
      </c>
    </row>
    <row r="8" spans="1:4" x14ac:dyDescent="0.25">
      <c r="A8" s="2" t="s">
        <v>457</v>
      </c>
    </row>
    <row r="9" spans="1:4" x14ac:dyDescent="0.25">
      <c r="A9" s="2" t="s">
        <v>458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/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9</v>
      </c>
    </row>
    <row r="4" spans="2:4" x14ac:dyDescent="0.3">
      <c r="C4" s="5" t="s">
        <v>10</v>
      </c>
    </row>
    <row r="5" spans="2:4" x14ac:dyDescent="0.3">
      <c r="D5" s="6" t="s">
        <v>11</v>
      </c>
    </row>
    <row r="6" spans="2:4" x14ac:dyDescent="0.3">
      <c r="D6" s="6" t="s">
        <v>12</v>
      </c>
    </row>
    <row r="7" spans="2:4" x14ac:dyDescent="0.3">
      <c r="D7" s="6" t="s">
        <v>13</v>
      </c>
    </row>
    <row r="8" spans="2:4" x14ac:dyDescent="0.3">
      <c r="C8" s="5" t="s">
        <v>14</v>
      </c>
    </row>
    <row r="9" spans="2:4" x14ac:dyDescent="0.3">
      <c r="D9" s="6" t="s">
        <v>15</v>
      </c>
    </row>
    <row r="10" spans="2:4" x14ac:dyDescent="0.3">
      <c r="D10" s="6" t="s">
        <v>16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22</v>
      </c>
      <c r="C1" s="7" t="s">
        <v>23</v>
      </c>
      <c r="D1" s="7" t="s">
        <v>24</v>
      </c>
      <c r="E1" s="7" t="s">
        <v>25</v>
      </c>
      <c r="F1" s="7" t="s">
        <v>26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27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27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27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27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27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27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27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27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27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27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27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27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27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27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27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27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27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27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27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27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27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27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27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27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27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27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27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27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27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27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27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27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27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27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27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27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27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27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27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27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27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27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27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27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27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27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27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27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27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27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28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28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28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28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28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28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28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28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28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28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28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28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28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28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28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28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28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28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28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28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28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28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28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28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28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28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28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28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28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28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28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28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28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28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28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28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28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28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28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28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28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28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28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28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28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28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28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28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28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28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29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29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29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29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29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29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29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29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29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29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29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29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29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29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29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29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29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29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29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29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29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29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29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29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29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29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29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29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29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29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29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29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29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29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29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29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29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29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29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29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29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29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29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29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29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29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29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29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29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29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30</v>
      </c>
      <c r="K3" s="8" t="s">
        <v>21</v>
      </c>
    </row>
    <row r="4" spans="2:12" x14ac:dyDescent="0.3">
      <c r="G4" s="9" t="s">
        <v>31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17</v>
      </c>
      <c r="H5" s="9">
        <v>0</v>
      </c>
    </row>
    <row r="6" spans="2:12" x14ac:dyDescent="0.3">
      <c r="G6" s="9" t="s">
        <v>18</v>
      </c>
      <c r="H6" s="9">
        <v>0</v>
      </c>
    </row>
    <row r="7" spans="2:12" x14ac:dyDescent="0.3">
      <c r="G7" s="9" t="s">
        <v>32</v>
      </c>
      <c r="H7" s="9">
        <v>0</v>
      </c>
    </row>
    <row r="8" spans="2:12" x14ac:dyDescent="0.3">
      <c r="G8" s="9" t="s">
        <v>33</v>
      </c>
      <c r="H8" s="9">
        <v>1.5482559354478314</v>
      </c>
    </row>
    <row r="11" spans="2:12" s="8" customFormat="1" x14ac:dyDescent="0.3">
      <c r="B11" s="8" t="s">
        <v>19</v>
      </c>
      <c r="C11" s="8" t="s">
        <v>20</v>
      </c>
      <c r="D11" s="8" t="s">
        <v>1</v>
      </c>
      <c r="E11" s="8" t="s">
        <v>3</v>
      </c>
      <c r="F11" s="8" t="s">
        <v>34</v>
      </c>
      <c r="G11" s="8" t="s">
        <v>35</v>
      </c>
      <c r="H11" s="8" t="s">
        <v>2</v>
      </c>
      <c r="I11" s="8" t="s">
        <v>36</v>
      </c>
      <c r="J11" s="8" t="s">
        <v>37</v>
      </c>
      <c r="K11" s="8" t="s">
        <v>38</v>
      </c>
      <c r="L11" s="8" t="s">
        <v>0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30</v>
      </c>
      <c r="K3" s="9"/>
    </row>
    <row r="4" spans="2:12" x14ac:dyDescent="0.3">
      <c r="G4" s="9" t="s">
        <v>31</v>
      </c>
      <c r="H4" s="9" cm="1">
        <f t="array" ref="H4:H8">Iris_Fit!H4:H8</f>
        <v>0</v>
      </c>
    </row>
    <row r="5" spans="2:12" x14ac:dyDescent="0.3">
      <c r="G5" s="9" t="s">
        <v>17</v>
      </c>
      <c r="H5" s="9">
        <v>0</v>
      </c>
    </row>
    <row r="6" spans="2:12" x14ac:dyDescent="0.3">
      <c r="G6" s="9" t="s">
        <v>18</v>
      </c>
      <c r="H6" s="9">
        <v>0</v>
      </c>
    </row>
    <row r="7" spans="2:12" x14ac:dyDescent="0.3">
      <c r="G7" s="9" t="s">
        <v>32</v>
      </c>
      <c r="H7" s="9">
        <v>0</v>
      </c>
    </row>
    <row r="8" spans="2:12" x14ac:dyDescent="0.3">
      <c r="G8" s="9" t="s">
        <v>33</v>
      </c>
      <c r="H8" s="9">
        <v>1.5482559354478314</v>
      </c>
    </row>
    <row r="11" spans="2:12" s="8" customFormat="1" x14ac:dyDescent="0.3">
      <c r="B11" s="8" t="s">
        <v>19</v>
      </c>
      <c r="C11" s="8" t="s">
        <v>20</v>
      </c>
      <c r="D11" s="8" t="s">
        <v>1</v>
      </c>
      <c r="E11" s="8" t="s">
        <v>3</v>
      </c>
      <c r="F11" s="8" t="s">
        <v>34</v>
      </c>
      <c r="G11" s="8" t="s">
        <v>35</v>
      </c>
      <c r="H11" s="8" t="s">
        <v>2</v>
      </c>
      <c r="I11" s="8" t="s">
        <v>36</v>
      </c>
      <c r="J11" s="8" t="s">
        <v>37</v>
      </c>
      <c r="K11" s="8" t="s">
        <v>38</v>
      </c>
      <c r="L11" s="8" t="s">
        <v>0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 codeName="Sheet4">
    <tabColor rgb="FFC00000"/>
  </sheetPr>
  <dimension ref="A1:B2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358</v>
      </c>
    </row>
    <row r="2" spans="1:2" x14ac:dyDescent="0.3">
      <c r="B2" s="3" t="s">
        <v>298</v>
      </c>
    </row>
  </sheetData>
  <hyperlinks>
    <hyperlink ref="B2" r:id="rId1" xr:uid="{C5CE373A-C05A-1E48-85EE-08E75386BE77}"/>
    <hyperlink ref="A1" r:id="rId2" xr:uid="{78197409-3DCF-004E-9F1A-299E4C736317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9FB0-15EC-4649-81F1-D258DB02E66C}">
  <sheetPr codeName="Sheet5"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8A655-BC1F-9449-8AFB-2D5B39F2781D}">
  <sheetPr codeName="Sheet7">
    <tabColor rgb="FFFF0000"/>
  </sheetPr>
  <dimension ref="A1:S21"/>
  <sheetViews>
    <sheetView workbookViewId="0"/>
  </sheetViews>
  <sheetFormatPr baseColWidth="10" defaultRowHeight="26" x14ac:dyDescent="0.3"/>
  <cols>
    <col min="1" max="7" width="10.83203125" style="1"/>
    <col min="8" max="8" width="19" style="1" bestFit="1" customWidth="1"/>
    <col min="9" max="9" width="2.83203125" style="1" customWidth="1"/>
    <col min="10" max="10" width="11.5" style="1" bestFit="1" customWidth="1"/>
    <col min="11" max="11" width="13.1640625" style="1" bestFit="1" customWidth="1"/>
    <col min="12" max="12" width="2.83203125" style="1" customWidth="1"/>
    <col min="13" max="14" width="20" style="1" bestFit="1" customWidth="1"/>
    <col min="15" max="15" width="2.83203125" style="1" customWidth="1"/>
    <col min="16" max="16" width="34.6640625" style="1" bestFit="1" customWidth="1"/>
    <col min="17" max="16384" width="10.83203125" style="1"/>
  </cols>
  <sheetData>
    <row r="1" spans="1:19" x14ac:dyDescent="0.3">
      <c r="A1" s="3"/>
    </row>
    <row r="2" spans="1:19" x14ac:dyDescent="0.3">
      <c r="B2" s="3" t="s">
        <v>368</v>
      </c>
    </row>
    <row r="4" spans="1:19" x14ac:dyDescent="0.3">
      <c r="H4" s="158" t="s">
        <v>492</v>
      </c>
      <c r="I4" s="157"/>
      <c r="J4" s="158" t="s">
        <v>493</v>
      </c>
      <c r="K4" s="158" t="s">
        <v>494</v>
      </c>
      <c r="L4" s="157"/>
      <c r="M4" s="160" t="s">
        <v>495</v>
      </c>
      <c r="N4" s="160" t="s">
        <v>496</v>
      </c>
      <c r="O4" s="157"/>
      <c r="P4" s="161" t="s">
        <v>497</v>
      </c>
      <c r="Q4" s="2"/>
      <c r="R4" s="2"/>
      <c r="S4" s="2"/>
    </row>
    <row r="5" spans="1:19" x14ac:dyDescent="0.3">
      <c r="H5" s="158" t="s">
        <v>498</v>
      </c>
      <c r="I5" s="2"/>
      <c r="J5" s="159" t="s">
        <v>499</v>
      </c>
      <c r="K5" s="159" t="s">
        <v>500</v>
      </c>
      <c r="L5" s="2"/>
      <c r="M5" s="161" t="s">
        <v>501</v>
      </c>
      <c r="N5" s="161" t="s">
        <v>502</v>
      </c>
      <c r="O5" s="2"/>
      <c r="P5" s="161" t="str">
        <f>"log(("&amp;M5&amp;") / ("&amp;N5&amp;")))"</f>
        <v>log((p1) / (p2 + p3 + p4 + p5)))</v>
      </c>
      <c r="Q5" s="2"/>
      <c r="R5" s="2"/>
      <c r="S5" s="2"/>
    </row>
    <row r="6" spans="1:19" x14ac:dyDescent="0.3">
      <c r="H6" s="158" t="s">
        <v>503</v>
      </c>
      <c r="I6" s="2"/>
      <c r="J6" s="159" t="s">
        <v>504</v>
      </c>
      <c r="K6" s="159" t="s">
        <v>505</v>
      </c>
      <c r="L6" s="2"/>
      <c r="M6" s="161" t="s">
        <v>506</v>
      </c>
      <c r="N6" s="161" t="s">
        <v>507</v>
      </c>
      <c r="O6" s="2"/>
      <c r="P6" s="161" t="str">
        <f>"log(("&amp;M6&amp;") / ("&amp;N6&amp;")))"</f>
        <v>log((p1 + p2) / (p3 + p4 + p5)))</v>
      </c>
      <c r="Q6" s="2"/>
      <c r="R6" s="2"/>
      <c r="S6" s="2"/>
    </row>
    <row r="7" spans="1:19" x14ac:dyDescent="0.3">
      <c r="H7" s="158" t="s">
        <v>508</v>
      </c>
      <c r="I7" s="2"/>
      <c r="J7" s="159" t="s">
        <v>509</v>
      </c>
      <c r="K7" s="159" t="s">
        <v>510</v>
      </c>
      <c r="L7" s="2"/>
      <c r="M7" s="161" t="s">
        <v>511</v>
      </c>
      <c r="N7" s="161" t="s">
        <v>512</v>
      </c>
      <c r="O7" s="2"/>
      <c r="P7" s="161" t="str">
        <f>"log(("&amp;M7&amp;") / ("&amp;N7&amp;")))"</f>
        <v>log((p1 + p2 + p3) / (p4 + p5)))</v>
      </c>
      <c r="Q7" s="2"/>
      <c r="R7" s="2"/>
      <c r="S7" s="2"/>
    </row>
    <row r="8" spans="1:19" x14ac:dyDescent="0.3">
      <c r="H8" s="158" t="s">
        <v>513</v>
      </c>
      <c r="I8" s="2"/>
      <c r="J8" s="159" t="s">
        <v>514</v>
      </c>
      <c r="K8" s="159" t="s">
        <v>515</v>
      </c>
      <c r="L8" s="2"/>
      <c r="M8" s="161" t="s">
        <v>516</v>
      </c>
      <c r="N8" s="161" t="s">
        <v>517</v>
      </c>
      <c r="O8" s="2"/>
      <c r="P8" s="161" t="str">
        <f>"log(("&amp;M8&amp;") / ("&amp;N8&amp;")))"</f>
        <v>log((p1 + p2 + p3 + p4) / (p5)))</v>
      </c>
      <c r="Q8" s="2"/>
      <c r="R8" s="2"/>
      <c r="S8" s="2"/>
    </row>
    <row r="11" spans="1:19" x14ac:dyDescent="0.3">
      <c r="H11" s="158" t="s">
        <v>492</v>
      </c>
      <c r="I11" s="157"/>
      <c r="J11" s="158" t="s">
        <v>493</v>
      </c>
      <c r="K11" s="158" t="s">
        <v>494</v>
      </c>
      <c r="L11" s="157"/>
      <c r="M11" s="160" t="s">
        <v>495</v>
      </c>
      <c r="N11" s="160" t="s">
        <v>496</v>
      </c>
      <c r="O11" s="157"/>
      <c r="P11" s="161" t="s">
        <v>497</v>
      </c>
      <c r="Q11" s="2"/>
      <c r="R11" s="2"/>
      <c r="S11" s="2"/>
    </row>
    <row r="12" spans="1:19" x14ac:dyDescent="0.3">
      <c r="H12" s="158" t="s">
        <v>498</v>
      </c>
      <c r="I12" s="2"/>
      <c r="J12" s="159" t="s">
        <v>499</v>
      </c>
      <c r="K12" s="159" t="s">
        <v>500</v>
      </c>
      <c r="L12" s="2"/>
      <c r="M12" s="161" t="s">
        <v>519</v>
      </c>
      <c r="N12" s="161" t="str">
        <f>"1 - "&amp;M12</f>
        <v>1 - P1</v>
      </c>
      <c r="O12" s="2"/>
      <c r="P12" s="161" t="str">
        <f>"log(("&amp;M12&amp;") / ("&amp;N12&amp;")))"</f>
        <v>log((P1) / (1 - P1)))</v>
      </c>
      <c r="Q12" s="2"/>
      <c r="R12" s="2"/>
      <c r="S12" s="2"/>
    </row>
    <row r="13" spans="1:19" x14ac:dyDescent="0.3">
      <c r="H13" s="158" t="s">
        <v>503</v>
      </c>
      <c r="I13" s="2"/>
      <c r="J13" s="159" t="s">
        <v>504</v>
      </c>
      <c r="K13" s="159" t="s">
        <v>505</v>
      </c>
      <c r="L13" s="2"/>
      <c r="M13" s="161" t="s">
        <v>518</v>
      </c>
      <c r="N13" s="161" t="str">
        <f t="shared" ref="N13:N15" si="0">"1 - "&amp;M13</f>
        <v>1 - P2</v>
      </c>
      <c r="O13" s="2"/>
      <c r="P13" s="161" t="str">
        <f>"log(("&amp;M13&amp;") / ("&amp;N13&amp;")))"</f>
        <v>log((P2) / (1 - P2)))</v>
      </c>
      <c r="Q13" s="2"/>
      <c r="R13" s="2"/>
      <c r="S13" s="2"/>
    </row>
    <row r="14" spans="1:19" x14ac:dyDescent="0.3">
      <c r="H14" s="158" t="s">
        <v>508</v>
      </c>
      <c r="I14" s="2"/>
      <c r="J14" s="159" t="s">
        <v>509</v>
      </c>
      <c r="K14" s="159" t="s">
        <v>510</v>
      </c>
      <c r="L14" s="2"/>
      <c r="M14" s="161" t="s">
        <v>520</v>
      </c>
      <c r="N14" s="161" t="str">
        <f t="shared" si="0"/>
        <v>1 - P3</v>
      </c>
      <c r="O14" s="2"/>
      <c r="P14" s="161" t="str">
        <f>"log(("&amp;M14&amp;") / ("&amp;N14&amp;")))"</f>
        <v>log((P3) / (1 - P3)))</v>
      </c>
      <c r="Q14" s="2"/>
      <c r="R14" s="2"/>
      <c r="S14" s="2"/>
    </row>
    <row r="15" spans="1:19" x14ac:dyDescent="0.3">
      <c r="H15" s="158" t="s">
        <v>513</v>
      </c>
      <c r="I15" s="2"/>
      <c r="J15" s="159" t="s">
        <v>514</v>
      </c>
      <c r="K15" s="159" t="s">
        <v>515</v>
      </c>
      <c r="L15" s="2"/>
      <c r="M15" s="161" t="s">
        <v>521</v>
      </c>
      <c r="N15" s="161" t="str">
        <f t="shared" si="0"/>
        <v>1 - P4</v>
      </c>
      <c r="O15" s="2"/>
      <c r="P15" s="161" t="str">
        <f>"log(("&amp;M15&amp;") / ("&amp;N15&amp;")))"</f>
        <v>log((P4) / (1 - P4)))</v>
      </c>
      <c r="Q15" s="2"/>
      <c r="R15" s="2"/>
      <c r="S15" s="2"/>
    </row>
    <row r="17" spans="8:10" x14ac:dyDescent="0.3">
      <c r="H17" s="162" t="s">
        <v>517</v>
      </c>
      <c r="I17" s="2" t="s">
        <v>107</v>
      </c>
      <c r="J17" s="2" t="s">
        <v>528</v>
      </c>
    </row>
    <row r="18" spans="8:10" x14ac:dyDescent="0.3">
      <c r="H18" s="162" t="s">
        <v>522</v>
      </c>
      <c r="I18" s="2" t="s">
        <v>107</v>
      </c>
      <c r="J18" s="2" t="s">
        <v>525</v>
      </c>
    </row>
    <row r="19" spans="8:10" x14ac:dyDescent="0.3">
      <c r="H19" s="162" t="s">
        <v>523</v>
      </c>
      <c r="I19" s="2" t="s">
        <v>107</v>
      </c>
      <c r="J19" s="2" t="s">
        <v>527</v>
      </c>
    </row>
    <row r="20" spans="8:10" x14ac:dyDescent="0.3">
      <c r="H20" s="162" t="s">
        <v>524</v>
      </c>
      <c r="I20" s="2" t="s">
        <v>107</v>
      </c>
      <c r="J20" s="2" t="s">
        <v>526</v>
      </c>
    </row>
    <row r="21" spans="8:10" x14ac:dyDescent="0.3">
      <c r="H21" s="162" t="s">
        <v>501</v>
      </c>
      <c r="I21" s="2" t="s">
        <v>107</v>
      </c>
      <c r="J21" s="2" t="s">
        <v>519</v>
      </c>
    </row>
  </sheetData>
  <phoneticPr fontId="7" type="noConversion"/>
  <hyperlinks>
    <hyperlink ref="B2" r:id="rId1" xr:uid="{B839BBAB-EA4A-424F-A011-4BA3D4C0BFC0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3DF3E-2756-8040-A09F-7D91136F3E96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61</v>
      </c>
    </row>
    <row r="2" spans="1:1" x14ac:dyDescent="0.3">
      <c r="A2" s="1" t="s">
        <v>62</v>
      </c>
    </row>
    <row r="3" spans="1:1" x14ac:dyDescent="0.3">
      <c r="A3" s="1" t="s">
        <v>63</v>
      </c>
    </row>
    <row r="4" spans="1:1" x14ac:dyDescent="0.3">
      <c r="A4" s="1" t="s">
        <v>350</v>
      </c>
    </row>
    <row r="5" spans="1:1" x14ac:dyDescent="0.3">
      <c r="A5" s="1" t="s">
        <v>260</v>
      </c>
    </row>
    <row r="6" spans="1:1" x14ac:dyDescent="0.3">
      <c r="A6" s="1" t="s">
        <v>455</v>
      </c>
    </row>
    <row r="7" spans="1:1" x14ac:dyDescent="0.3">
      <c r="A7" s="1" t="s">
        <v>456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41</v>
      </c>
    </row>
    <row r="3" spans="1:8" x14ac:dyDescent="0.3">
      <c r="B3" s="13" t="s">
        <v>19</v>
      </c>
      <c r="C3" s="13" t="s">
        <v>42</v>
      </c>
      <c r="D3" s="13" t="s">
        <v>43</v>
      </c>
      <c r="E3" s="13" t="s">
        <v>44</v>
      </c>
      <c r="F3" s="13" t="s">
        <v>45</v>
      </c>
      <c r="G3" s="13" t="s">
        <v>46</v>
      </c>
      <c r="H3" s="13" t="s">
        <v>47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4.0568558414470255</v>
      </c>
      <c r="H4" s="1">
        <f ca="1">_xlfn.NORM.INV(RAND(),E4,F4)</f>
        <v>5.8432096036136025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4.2263643195487717</v>
      </c>
      <c r="H5" s="1">
        <f t="shared" ref="H5:H33" ca="1" si="1">_xlfn.NORM.INV(RAND(),E5,F5)</f>
        <v>6.293230818017979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4.55309452778513</v>
      </c>
      <c r="H6" s="1">
        <f t="shared" ca="1" si="1"/>
        <v>5.7664188903326332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3.3267380178769104</v>
      </c>
      <c r="H7" s="1">
        <f t="shared" ca="1" si="1"/>
        <v>5.7336665285724839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3.3633756390072596</v>
      </c>
      <c r="H8" s="1">
        <f t="shared" ca="1" si="1"/>
        <v>5.7743718575821932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4.234582164476449</v>
      </c>
      <c r="H9" s="1">
        <f t="shared" ca="1" si="1"/>
        <v>5.8041723409821104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4.508374292423369</v>
      </c>
      <c r="H10" s="1">
        <f t="shared" ca="1" si="1"/>
        <v>5.8517583556839625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3.9222509636327065</v>
      </c>
      <c r="H11" s="1">
        <f t="shared" ca="1" si="1"/>
        <v>5.98438154672011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4.7600186224491097</v>
      </c>
      <c r="H12" s="1">
        <f t="shared" ca="1" si="1"/>
        <v>6.0547714031077735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4.6105597669606855</v>
      </c>
      <c r="H13" s="1">
        <f t="shared" ca="1" si="1"/>
        <v>6.2345743147922335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2.0310665149247633</v>
      </c>
      <c r="H14" s="1">
        <f t="shared" ca="1" si="1"/>
        <v>1.9661962480627677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2.1234032445914286</v>
      </c>
      <c r="H15" s="1">
        <f t="shared" ca="1" si="1"/>
        <v>1.8383616994286529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2.2449486964697662</v>
      </c>
      <c r="H16" s="1">
        <f t="shared" ca="1" si="1"/>
        <v>1.7018130379305068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2.1951742396752079</v>
      </c>
      <c r="H17" s="1">
        <f t="shared" ca="1" si="1"/>
        <v>2.0649581867851343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1.6570417129746908</v>
      </c>
      <c r="H18" s="1">
        <f t="shared" ca="1" si="1"/>
        <v>1.7443911745218235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1.6479896550423792</v>
      </c>
      <c r="H19" s="1">
        <f t="shared" ca="1" si="1"/>
        <v>2.1922315304076405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1.9630940705899609</v>
      </c>
      <c r="H20" s="1">
        <f t="shared" ca="1" si="1"/>
        <v>2.1537240093421151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1.5005774615399994</v>
      </c>
      <c r="H21" s="1">
        <f t="shared" ca="1" si="1"/>
        <v>1.5464398188378625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2.2876839707304568</v>
      </c>
      <c r="H22" s="1">
        <f t="shared" ca="1" si="1"/>
        <v>1.6497650745227734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1.9740763701643436</v>
      </c>
      <c r="H23" s="1">
        <f t="shared" ca="1" si="1"/>
        <v>1.8711463730701334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2.0575349613327885</v>
      </c>
      <c r="H24" s="1">
        <f t="shared" ca="1" si="1"/>
        <v>6.9029836836661387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1.8794818657323216</v>
      </c>
      <c r="H25" s="1">
        <f t="shared" ca="1" si="1"/>
        <v>6.9812927445454394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2.2596275586682384</v>
      </c>
      <c r="H26" s="1">
        <f t="shared" ca="1" si="1"/>
        <v>7.6271057572074508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2.1164363947692237</v>
      </c>
      <c r="H27" s="1">
        <f t="shared" ca="1" si="1"/>
        <v>7.484834413676916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2.0892823105230889</v>
      </c>
      <c r="H28" s="1">
        <f t="shared" ca="1" si="1"/>
        <v>6.6823238302424404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1.6067162318365424</v>
      </c>
      <c r="H29" s="1">
        <f t="shared" ca="1" si="1"/>
        <v>6.4948201172211339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2.2054728794536116</v>
      </c>
      <c r="H30" s="1">
        <f t="shared" ca="1" si="1"/>
        <v>6.4460802617565935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1.9823841996268545</v>
      </c>
      <c r="H31" s="1">
        <f t="shared" ca="1" si="1"/>
        <v>6.5302798612866004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1.6898492997221359</v>
      </c>
      <c r="H32" s="1">
        <f t="shared" ca="1" si="1"/>
        <v>6.6243848860385555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1.5724450348370169</v>
      </c>
      <c r="H33" s="1">
        <f t="shared" ca="1" si="1"/>
        <v>7.7697074074884807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48</v>
      </c>
    </row>
    <row r="5" spans="2:8" x14ac:dyDescent="0.3">
      <c r="B5" s="16" t="s">
        <v>49</v>
      </c>
      <c r="C5" s="15">
        <v>1</v>
      </c>
      <c r="D5" s="15">
        <v>1</v>
      </c>
    </row>
    <row r="6" spans="2:8" x14ac:dyDescent="0.3">
      <c r="B6" s="16" t="s">
        <v>50</v>
      </c>
      <c r="C6" s="15">
        <v>5</v>
      </c>
      <c r="D6" s="15">
        <v>5</v>
      </c>
    </row>
    <row r="7" spans="2:8" x14ac:dyDescent="0.3">
      <c r="B7" s="16" t="s">
        <v>51</v>
      </c>
      <c r="C7" s="15">
        <v>10</v>
      </c>
      <c r="D7" s="15">
        <v>10</v>
      </c>
    </row>
    <row r="9" spans="2:8" x14ac:dyDescent="0.3">
      <c r="B9" s="15" t="s">
        <v>52</v>
      </c>
      <c r="C9" s="15">
        <f ca="1">_xlfn.NORM.INV(RAND(),2,1)</f>
        <v>0.18750415633702433</v>
      </c>
      <c r="D9" s="15">
        <f ca="1">_xlfn.NORM.INV(RAND(),2,1)</f>
        <v>2.089504700514468</v>
      </c>
      <c r="E9" s="15" cm="1">
        <f t="array" aca="1" ref="E9" ca="1">SUMSQ(C9:D9-C$5:D$5)</f>
        <v>1.8471699884127313</v>
      </c>
      <c r="F9" s="15" cm="1">
        <f t="array" aca="1" ref="F9" ca="1">SUMSQ(C9:D9-C$6:D$6)</f>
        <v>31.631099133600799</v>
      </c>
      <c r="G9" s="15" cm="1">
        <f t="array" aca="1" ref="G9" ca="1">SUMSQ(C9:D9-C$7:D$7)</f>
        <v>158.86101056508588</v>
      </c>
      <c r="H9" s="15">
        <f ca="1">MATCH(MIN(E9:G9),E9:G9,0)</f>
        <v>1</v>
      </c>
    </row>
    <row r="10" spans="2:8" x14ac:dyDescent="0.3">
      <c r="B10" s="15" t="s">
        <v>53</v>
      </c>
      <c r="C10" s="15">
        <f t="shared" ref="C10:D11" ca="1" si="0">_xlfn.NORM.INV(RAND(),2,1)</f>
        <v>0.470792641826971</v>
      </c>
      <c r="D10" s="15">
        <f t="shared" ca="1" si="0"/>
        <v>2.6314769008617085</v>
      </c>
      <c r="E10" s="15" cm="1">
        <f t="array" aca="1" ref="E10" ca="1">SUMSQ(C10:D10-C$5:D$5)</f>
        <v>2.9417773059898016</v>
      </c>
      <c r="F10" s="15" cm="1">
        <f t="array" aca="1" ref="F10" ca="1">SUMSQ(C10:D10-C$6:D$6)</f>
        <v>26.123620964480363</v>
      </c>
      <c r="G10" s="15" cm="1">
        <f t="array" aca="1" ref="G10" ca="1">SUMSQ(C10:D10-C$7:D$7)</f>
        <v>145.10092553759355</v>
      </c>
      <c r="H10" s="15">
        <f t="shared" ref="H10:H17" ca="1" si="1">MATCH(MIN(E10:G10),E10:G10,0)</f>
        <v>1</v>
      </c>
    </row>
    <row r="11" spans="2:8" x14ac:dyDescent="0.3">
      <c r="B11" s="15" t="s">
        <v>54</v>
      </c>
      <c r="C11" s="15">
        <f t="shared" ca="1" si="0"/>
        <v>2.2460765377831979</v>
      </c>
      <c r="D11" s="15">
        <f t="shared" ca="1" si="0"/>
        <v>1.89381297664947</v>
      </c>
      <c r="E11" s="15" cm="1">
        <f t="array" aca="1" ref="E11" ca="1">SUMSQ(C11:D11-C$5:D$5)</f>
        <v>2.3516083752407475</v>
      </c>
      <c r="F11" s="15" cm="1">
        <f t="array" aca="1" ref="F11" ca="1">SUMSQ(C11:D11-C$6:D$6)</f>
        <v>17.232492259779402</v>
      </c>
      <c r="G11" s="15" cm="1">
        <f t="array" aca="1" ref="G11" ca="1">SUMSQ(C11:D11-C$7:D$7)</f>
        <v>125.83359711545273</v>
      </c>
      <c r="H11" s="15">
        <f t="shared" ca="1" si="1"/>
        <v>1</v>
      </c>
    </row>
    <row r="12" spans="2:8" x14ac:dyDescent="0.3">
      <c r="B12" s="15" t="s">
        <v>55</v>
      </c>
      <c r="C12" s="15">
        <f ca="1">_xlfn.NORM.INV(RAND(),4,1)</f>
        <v>2.8279127864458715</v>
      </c>
      <c r="D12" s="15">
        <f ca="1">_xlfn.NORM.INV(RAND(),4,1)</f>
        <v>5.2826338850294539</v>
      </c>
      <c r="E12" s="15" cm="1">
        <f t="array" aca="1" ref="E12" ca="1">SUMSQ(C12:D12-C$5:D$5)</f>
        <v>21.682218148054787</v>
      </c>
      <c r="F12" s="15" cm="1">
        <f t="array" aca="1" ref="F12" ca="1">SUMSQ(C12:D12-C$6:D$6)</f>
        <v>4.7978447762521812</v>
      </c>
      <c r="G12" s="15" cm="1">
        <f t="array" aca="1" ref="G12" ca="1">SUMSQ(C12:D12-C$7:D$7)</f>
        <v>73.692378061498928</v>
      </c>
      <c r="H12" s="15">
        <f t="shared" ca="1" si="1"/>
        <v>2</v>
      </c>
    </row>
    <row r="13" spans="2:8" x14ac:dyDescent="0.3">
      <c r="B13" s="15" t="s">
        <v>56</v>
      </c>
      <c r="C13" s="15">
        <f t="shared" ref="C13:D14" ca="1" si="2">_xlfn.NORM.INV(RAND(),4,1)</f>
        <v>3.0691692281419418</v>
      </c>
      <c r="D13" s="15">
        <f t="shared" ca="1" si="2"/>
        <v>4.6364299566276852</v>
      </c>
      <c r="E13" s="15" cm="1">
        <f t="array" aca="1" ref="E13" ca="1">SUMSQ(C13:D13-C$5:D$5)</f>
        <v>17.505084124148748</v>
      </c>
      <c r="F13" s="15" cm="1">
        <f t="array" aca="1" ref="F13" ca="1">SUMSQ(C13:D13-C$6:D$6)</f>
        <v>3.8602906459917317</v>
      </c>
      <c r="G13" s="15" cm="1">
        <f t="array" aca="1" ref="G13" ca="1">SUMSQ(C13:D13-C$7:D$7)</f>
        <v>76.804298798295463</v>
      </c>
      <c r="H13" s="15">
        <f t="shared" ca="1" si="1"/>
        <v>2</v>
      </c>
    </row>
    <row r="14" spans="2:8" x14ac:dyDescent="0.3">
      <c r="B14" s="15" t="s">
        <v>57</v>
      </c>
      <c r="C14" s="15">
        <f t="shared" ca="1" si="2"/>
        <v>1.7180091033768732</v>
      </c>
      <c r="D14" s="15">
        <f t="shared" ca="1" si="2"/>
        <v>3.4958804911998671</v>
      </c>
      <c r="E14" s="15" cm="1">
        <f t="array" aca="1" ref="E14" ca="1">SUMSQ(C14:D14-C$5:D$5)</f>
        <v>6.7449564988841511</v>
      </c>
      <c r="F14" s="15" cm="1">
        <f t="array" aca="1" ref="F14" ca="1">SUMSQ(C14:D14-C$6:D$6)</f>
        <v>13.033839742270228</v>
      </c>
      <c r="G14" s="15" cm="1">
        <f t="array" aca="1" ref="G14" ca="1">SUMSQ(C14:D14-C$7:D$7)</f>
        <v>110.89494379650282</v>
      </c>
      <c r="H14" s="15">
        <f t="shared" ca="1" si="1"/>
        <v>1</v>
      </c>
    </row>
    <row r="15" spans="2:8" x14ac:dyDescent="0.3">
      <c r="B15" s="15" t="s">
        <v>58</v>
      </c>
      <c r="C15" s="15">
        <f ca="1">_xlfn.NORM.INV(RAND(),8,1)</f>
        <v>7.9697428857995538</v>
      </c>
      <c r="D15" s="15">
        <f ca="1">_xlfn.NORM.INV(RAND(),8,1)</f>
        <v>8.5265820396673693</v>
      </c>
      <c r="E15" s="15" cm="1">
        <f t="array" aca="1" ref="E15" ca="1">SUMSQ(C15:D15-C$5:D$5)</f>
        <v>105.2267530939969</v>
      </c>
      <c r="F15" s="15" cm="1">
        <f t="array" aca="1" ref="F15" ca="1">SUMSQ(C15:D15-C$6:D$6)</f>
        <v>21.256153690261527</v>
      </c>
      <c r="G15" s="15" cm="1">
        <f t="array" aca="1" ref="G15" ca="1">SUMSQ(C15:D15-C$7:D$7)</f>
        <v>6.292904435592293</v>
      </c>
      <c r="H15" s="15">
        <f t="shared" ca="1" si="1"/>
        <v>3</v>
      </c>
    </row>
    <row r="16" spans="2:8" x14ac:dyDescent="0.3">
      <c r="B16" s="15" t="s">
        <v>59</v>
      </c>
      <c r="C16" s="15">
        <f t="shared" ref="C16:D17" ca="1" si="3">_xlfn.NORM.INV(RAND(),8,1)</f>
        <v>8.8898991698902172</v>
      </c>
      <c r="D16" s="15">
        <f t="shared" ca="1" si="3"/>
        <v>6.1331530984987097</v>
      </c>
      <c r="E16" s="15" cm="1">
        <f t="array" aca="1" ref="E16" ca="1">SUMSQ(C16:D16-C$5:D$5)</f>
        <v>88.599769643661247</v>
      </c>
      <c r="F16" s="15" cm="1">
        <f t="array" aca="1" ref="F16" ca="1">SUMSQ(C16:D16-C$6:D$6)</f>
        <v>16.415351496549828</v>
      </c>
      <c r="G16" s="15" cm="1">
        <f t="array" aca="1" ref="G16" ca="1">SUMSQ(C16:D16-C$7:D$7)</f>
        <v>16.184828812660559</v>
      </c>
      <c r="H16" s="15">
        <f t="shared" ca="1" si="1"/>
        <v>3</v>
      </c>
    </row>
    <row r="17" spans="1:8" x14ac:dyDescent="0.3">
      <c r="B17" s="15" t="s">
        <v>60</v>
      </c>
      <c r="C17" s="15">
        <f t="shared" ca="1" si="3"/>
        <v>8.4154923828114043</v>
      </c>
      <c r="D17" s="15">
        <f t="shared" ca="1" si="3"/>
        <v>7.4759628062844321</v>
      </c>
      <c r="E17" s="15" cm="1">
        <f t="array" aca="1" ref="E17" ca="1">SUMSQ(C17:D17-C$5:D$5)</f>
        <v>96.927621547913304</v>
      </c>
      <c r="F17" s="15" cm="1">
        <f t="array" aca="1" ref="F17" ca="1">SUMSQ(C17:D17-C$6:D$6)</f>
        <v>17.795980035146606</v>
      </c>
      <c r="G17" s="15" cm="1">
        <f t="array" aca="1" ref="G17" ca="1">SUMSQ(C17:D17-C$7:D$7)</f>
        <v>8.8814281441882397</v>
      </c>
      <c r="H17" s="15">
        <f t="shared" ca="1" si="1"/>
        <v>3</v>
      </c>
    </row>
    <row r="19" spans="1:8" x14ac:dyDescent="0.3">
      <c r="A19" s="15">
        <v>1</v>
      </c>
      <c r="B19" s="17" t="s">
        <v>49</v>
      </c>
      <c r="C19" s="15">
        <f ca="1">AVERAGEIF($H$9:$H$17,A19,$C$9:$C$17)</f>
        <v>1.1555956098310167</v>
      </c>
      <c r="D19" s="15">
        <f ca="1">AVERAGEIF($H$9:$H$17,A19,$D$9:$D$17)</f>
        <v>2.5276687673063787</v>
      </c>
    </row>
    <row r="20" spans="1:8" x14ac:dyDescent="0.3">
      <c r="A20" s="15">
        <v>2</v>
      </c>
      <c r="B20" s="17" t="s">
        <v>50</v>
      </c>
      <c r="C20" s="15">
        <f ca="1">AVERAGEIF($H$9:$H$17,A20,$C$9:$C$17)</f>
        <v>2.9485410072939064</v>
      </c>
      <c r="D20" s="15">
        <f ca="1">AVERAGEIF($H$9:$H$17,A20,$D$9:$D$17)</f>
        <v>4.9595319208285691</v>
      </c>
    </row>
    <row r="21" spans="1:8" x14ac:dyDescent="0.3">
      <c r="A21" s="15">
        <v>3</v>
      </c>
      <c r="B21" s="17" t="s">
        <v>51</v>
      </c>
      <c r="C21" s="15">
        <f ca="1">AVERAGEIF($H$9:$H$17,A21,$C$9:$C$17)</f>
        <v>8.4250448128337254</v>
      </c>
      <c r="D21" s="15">
        <f ca="1">AVERAGEIF($H$9:$H$17,A21,$D$9:$D$17)</f>
        <v>7.3785659814835043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3B6D-E405-6340-B8D9-21A205AD0F6E}">
  <sheetPr codeName="Sheet13">
    <tabColor rgb="FFC00000"/>
  </sheetPr>
  <dimension ref="A1:B11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350</v>
      </c>
    </row>
    <row r="2" spans="1:2" x14ac:dyDescent="0.3">
      <c r="B2" s="3" t="s">
        <v>356</v>
      </c>
    </row>
    <row r="4" spans="1:2" ht="92" x14ac:dyDescent="1">
      <c r="B4" s="126" t="s">
        <v>350</v>
      </c>
    </row>
    <row r="5" spans="1:2" ht="92" x14ac:dyDescent="1">
      <c r="B5" s="126" t="s">
        <v>351</v>
      </c>
    </row>
    <row r="7" spans="1:2" x14ac:dyDescent="0.3">
      <c r="B7" s="1" t="s">
        <v>352</v>
      </c>
    </row>
    <row r="8" spans="1:2" x14ac:dyDescent="0.3">
      <c r="B8" s="1" t="s">
        <v>354</v>
      </c>
    </row>
    <row r="10" spans="1:2" x14ac:dyDescent="0.3">
      <c r="B10" s="1" t="s">
        <v>353</v>
      </c>
    </row>
    <row r="11" spans="1:2" x14ac:dyDescent="0.3">
      <c r="B11" s="1" t="s">
        <v>355</v>
      </c>
    </row>
  </sheetData>
  <hyperlinks>
    <hyperlink ref="B2" r:id="rId1" xr:uid="{E95CE5E8-0245-9043-9D78-9C1E14A081E3}"/>
    <hyperlink ref="A1" r:id="rId2" xr:uid="{A28809E6-BE11-BF4D-A199-2150DA29758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 codeName="Sheet14">
    <tabColor rgb="FFC00000"/>
  </sheetPr>
  <dimension ref="A1:C3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3" x14ac:dyDescent="0.3">
      <c r="A1" s="3" t="s">
        <v>366</v>
      </c>
    </row>
    <row r="2" spans="1:3" x14ac:dyDescent="0.3">
      <c r="A2" s="3" t="s">
        <v>367</v>
      </c>
    </row>
    <row r="3" spans="1:3" x14ac:dyDescent="0.3">
      <c r="A3" s="3" t="s">
        <v>359</v>
      </c>
      <c r="B3" s="3"/>
      <c r="C3" s="3" t="s">
        <v>299</v>
      </c>
    </row>
  </sheetData>
  <phoneticPr fontId="7" type="noConversion"/>
  <hyperlinks>
    <hyperlink ref="C3" r:id="rId1" xr:uid="{29F8E9BE-885B-A244-A630-EA3440AAEEA4}"/>
    <hyperlink ref="A3" r:id="rId2" display="Silhouette" xr:uid="{8707149D-A1D6-4145-B650-DD6B7B2C0618}"/>
    <hyperlink ref="A1" r:id="rId3" xr:uid="{3231AEE9-FA24-6242-82B9-D69E8B04CFAC}"/>
    <hyperlink ref="A2" r:id="rId4" xr:uid="{57A00E82-BB37-E24D-ADE2-FECF3F8E313E}"/>
  </hyperlinks>
  <pageMargins left="0.7" right="0.7" top="0.75" bottom="0.75" header="0.3" footer="0.3"/>
  <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79E3D-BCC3-E846-A15C-D67BB40F5680}">
  <sheetPr codeName="Sheet15">
    <tabColor rgb="FFFF0000"/>
  </sheetPr>
  <dimension ref="A1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F7421-8773-A340-A93E-94EB2BB3834D}">
  <sheetPr codeName="Sheet3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239</v>
      </c>
    </row>
    <row r="2" spans="1:1" x14ac:dyDescent="0.3">
      <c r="A2" s="95" t="s">
        <v>240</v>
      </c>
    </row>
    <row r="3" spans="1:1" x14ac:dyDescent="0.3">
      <c r="A3" s="95" t="s">
        <v>241</v>
      </c>
    </row>
    <row r="4" spans="1:1" x14ac:dyDescent="0.3">
      <c r="A4" s="95" t="s">
        <v>242</v>
      </c>
    </row>
    <row r="5" spans="1:1" x14ac:dyDescent="0.3">
      <c r="A5" s="95" t="s">
        <v>243</v>
      </c>
    </row>
    <row r="6" spans="1:1" x14ac:dyDescent="0.3">
      <c r="A6" s="95" t="s">
        <v>244</v>
      </c>
    </row>
    <row r="7" spans="1:1" x14ac:dyDescent="0.3">
      <c r="A7" s="95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21"/>
  </cols>
  <sheetData>
    <row r="1" spans="1:3" x14ac:dyDescent="0.25">
      <c r="A1" s="3" t="s">
        <v>257</v>
      </c>
    </row>
    <row r="2" spans="1:3" x14ac:dyDescent="0.25">
      <c r="B2" s="21" t="s">
        <v>74</v>
      </c>
      <c r="C2" s="21" t="s">
        <v>2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74</v>
      </c>
      <c r="C2" s="21" t="s">
        <v>1</v>
      </c>
      <c r="D2" s="21" t="s">
        <v>3</v>
      </c>
      <c r="E2" s="21" t="s">
        <v>2</v>
      </c>
      <c r="F2" s="21" t="s">
        <v>0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2</v>
      </c>
      <c r="G2" s="22" t="s">
        <v>0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80</v>
      </c>
      <c r="G2" s="22" t="s">
        <v>79</v>
      </c>
      <c r="H2" s="22" t="s">
        <v>78</v>
      </c>
      <c r="I2" s="22" t="s">
        <v>2</v>
      </c>
      <c r="J2" s="22" t="s">
        <v>0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80</v>
      </c>
      <c r="G2" s="22" t="s">
        <v>79</v>
      </c>
      <c r="H2" s="22" t="s">
        <v>78</v>
      </c>
      <c r="I2" s="22" t="s">
        <v>2</v>
      </c>
      <c r="J2" s="22" t="s">
        <v>0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86</v>
      </c>
      <c r="G2" s="22" t="s">
        <v>85</v>
      </c>
      <c r="H2" s="22" t="s">
        <v>84</v>
      </c>
      <c r="I2" s="22" t="s">
        <v>80</v>
      </c>
      <c r="J2" s="22" t="s">
        <v>79</v>
      </c>
      <c r="K2" s="22" t="s">
        <v>78</v>
      </c>
      <c r="L2" s="22" t="s">
        <v>83</v>
      </c>
      <c r="M2" s="22" t="s">
        <v>82</v>
      </c>
      <c r="N2" s="22" t="s">
        <v>81</v>
      </c>
      <c r="O2" s="22" t="s">
        <v>2</v>
      </c>
      <c r="P2" s="22" t="s">
        <v>0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74</v>
      </c>
      <c r="C2" s="22" t="s">
        <v>77</v>
      </c>
      <c r="D2" s="22" t="s">
        <v>76</v>
      </c>
      <c r="E2" s="22" t="s">
        <v>80</v>
      </c>
      <c r="F2" s="22" t="s">
        <v>79</v>
      </c>
      <c r="G2" s="22" t="s">
        <v>88</v>
      </c>
      <c r="H2" s="22" t="s">
        <v>87</v>
      </c>
      <c r="I2" s="22" t="s">
        <v>2</v>
      </c>
      <c r="J2" s="22" t="s">
        <v>0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246</v>
      </c>
    </row>
    <row r="2" spans="1:1" x14ac:dyDescent="0.3">
      <c r="A2" s="95" t="s">
        <v>247</v>
      </c>
    </row>
    <row r="3" spans="1:1" x14ac:dyDescent="0.3">
      <c r="A3" s="95" t="s">
        <v>248</v>
      </c>
    </row>
    <row r="4" spans="1:1" x14ac:dyDescent="0.3">
      <c r="A4" s="95" t="s">
        <v>249</v>
      </c>
    </row>
    <row r="5" spans="1:1" x14ac:dyDescent="0.3">
      <c r="A5" s="95" t="s">
        <v>250</v>
      </c>
    </row>
    <row r="6" spans="1:1" x14ac:dyDescent="0.3">
      <c r="A6" s="95" t="s">
        <v>251</v>
      </c>
    </row>
    <row r="7" spans="1:1" x14ac:dyDescent="0.3">
      <c r="A7" s="95" t="s">
        <v>252</v>
      </c>
    </row>
    <row r="8" spans="1:1" x14ac:dyDescent="0.3">
      <c r="A8" s="95" t="s">
        <v>253</v>
      </c>
    </row>
    <row r="9" spans="1:1" x14ac:dyDescent="0.3">
      <c r="A9" s="95" t="s">
        <v>254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4" t="s">
        <v>360</v>
      </c>
    </row>
    <row r="2" spans="1:6" x14ac:dyDescent="0.2">
      <c r="A2" s="134" t="s">
        <v>361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5.0000000000000018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95</v>
      </c>
    </row>
    <row r="31" spans="3:20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20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104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106</v>
      </c>
      <c r="N33" s="24" t="s">
        <v>107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108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109</v>
      </c>
      <c r="O34" s="35">
        <v>6</v>
      </c>
    </row>
    <row r="35" spans="3:20" ht="18" x14ac:dyDescent="0.25">
      <c r="C35" s="24" t="s">
        <v>108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9</v>
      </c>
    </row>
    <row r="39" spans="3:20" x14ac:dyDescent="0.2">
      <c r="L39" s="23" t="s">
        <v>102</v>
      </c>
      <c r="O39" s="23" t="s">
        <v>102</v>
      </c>
    </row>
    <row r="40" spans="3:20" ht="18" x14ac:dyDescent="0.25">
      <c r="I40" s="23"/>
      <c r="L40" s="30" t="s">
        <v>105</v>
      </c>
      <c r="O40" s="31">
        <f t="array" ref="O40:O43">MMULT(MINVERSE(G32:J35),O32:O35)</f>
        <v>1.0000000000000009</v>
      </c>
    </row>
    <row r="41" spans="3:20" ht="18" x14ac:dyDescent="0.25">
      <c r="L41" s="34" t="s">
        <v>106</v>
      </c>
      <c r="N41" s="24" t="s">
        <v>107</v>
      </c>
      <c r="O41" s="35">
        <v>3</v>
      </c>
    </row>
    <row r="42" spans="3:20" ht="18" x14ac:dyDescent="0.25">
      <c r="L42" s="34" t="s">
        <v>109</v>
      </c>
      <c r="O42" s="35">
        <v>3</v>
      </c>
    </row>
    <row r="43" spans="3:20" ht="18" x14ac:dyDescent="0.25">
      <c r="L43" s="39" t="s">
        <v>110</v>
      </c>
      <c r="O43" s="40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4" t="s">
        <v>363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5.0000000000000018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95</v>
      </c>
    </row>
    <row r="31" spans="3:15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15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</row>
    <row r="33" spans="3:15" ht="18" x14ac:dyDescent="0.25">
      <c r="C33" s="24" t="s">
        <v>104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106</v>
      </c>
      <c r="N33" s="24" t="s">
        <v>107</v>
      </c>
      <c r="O33" s="35">
        <v>6</v>
      </c>
    </row>
    <row r="34" spans="3:15" ht="18" x14ac:dyDescent="0.25">
      <c r="C34" s="24" t="s">
        <v>108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109</v>
      </c>
      <c r="O34" s="35">
        <v>6</v>
      </c>
    </row>
    <row r="35" spans="3:15" ht="18" x14ac:dyDescent="0.25">
      <c r="C35" s="24" t="s">
        <v>108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7</v>
      </c>
    </row>
    <row r="39" spans="3:15" x14ac:dyDescent="0.2">
      <c r="L39" s="23" t="s">
        <v>102</v>
      </c>
      <c r="O39" s="23" t="s">
        <v>102</v>
      </c>
    </row>
    <row r="40" spans="3:15" ht="18" x14ac:dyDescent="0.25">
      <c r="I40" s="23"/>
      <c r="L40" s="30" t="s">
        <v>105</v>
      </c>
      <c r="O40" s="31">
        <f t="array" ref="O40:O43">MMULT(MINVERSE(G32:J35),O32:O35)</f>
        <v>1.0000000000000009</v>
      </c>
    </row>
    <row r="41" spans="3:15" ht="18" x14ac:dyDescent="0.25">
      <c r="L41" s="34" t="s">
        <v>106</v>
      </c>
      <c r="N41" s="24" t="s">
        <v>107</v>
      </c>
      <c r="O41" s="35">
        <v>3</v>
      </c>
    </row>
    <row r="42" spans="3:15" ht="18" x14ac:dyDescent="0.25">
      <c r="L42" s="34" t="s">
        <v>109</v>
      </c>
      <c r="O42" s="35">
        <v>1</v>
      </c>
    </row>
    <row r="43" spans="3:15" ht="18" x14ac:dyDescent="0.25">
      <c r="L43" s="39" t="s">
        <v>110</v>
      </c>
      <c r="O43" s="40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4" t="s">
        <v>362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5.0999999999999996</v>
      </c>
    </row>
    <row r="7" spans="1:6" x14ac:dyDescent="0.2">
      <c r="C7" s="25">
        <v>2.2000000000000002</v>
      </c>
      <c r="D7" s="24">
        <f t="shared" si="0"/>
        <v>5.2</v>
      </c>
    </row>
    <row r="8" spans="1:6" x14ac:dyDescent="0.2">
      <c r="C8" s="25">
        <v>2.2999999999999998</v>
      </c>
      <c r="D8" s="24">
        <f t="shared" si="0"/>
        <v>5.3</v>
      </c>
    </row>
    <row r="9" spans="1:6" x14ac:dyDescent="0.2">
      <c r="C9" s="25">
        <v>2.4</v>
      </c>
      <c r="D9" s="24">
        <f t="shared" si="0"/>
        <v>5.4</v>
      </c>
    </row>
    <row r="10" spans="1:6" x14ac:dyDescent="0.2">
      <c r="C10" s="25">
        <v>2.5</v>
      </c>
      <c r="D10" s="24">
        <f t="shared" si="0"/>
        <v>5.5</v>
      </c>
    </row>
    <row r="11" spans="1:6" x14ac:dyDescent="0.2">
      <c r="C11" s="25">
        <v>2.6</v>
      </c>
      <c r="D11" s="24">
        <f t="shared" si="0"/>
        <v>5.6</v>
      </c>
    </row>
    <row r="12" spans="1:6" x14ac:dyDescent="0.2">
      <c r="C12" s="25">
        <v>2.7</v>
      </c>
      <c r="D12" s="24">
        <f t="shared" si="0"/>
        <v>5.7</v>
      </c>
    </row>
    <row r="13" spans="1:6" x14ac:dyDescent="0.2">
      <c r="C13" s="25">
        <v>2.8</v>
      </c>
      <c r="D13" s="24">
        <f t="shared" si="0"/>
        <v>5.8</v>
      </c>
    </row>
    <row r="14" spans="1:6" x14ac:dyDescent="0.2">
      <c r="C14" s="25">
        <v>2.9</v>
      </c>
      <c r="D14" s="24">
        <f t="shared" si="0"/>
        <v>5.9</v>
      </c>
    </row>
    <row r="15" spans="1:6" ht="18" x14ac:dyDescent="0.25">
      <c r="C15" s="24">
        <v>3</v>
      </c>
      <c r="D15" s="24">
        <f t="shared" si="0"/>
        <v>6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95</v>
      </c>
    </row>
    <row r="31" spans="3:15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15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</row>
    <row r="33" spans="3:15" ht="18" x14ac:dyDescent="0.25">
      <c r="C33" s="24" t="s">
        <v>104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106</v>
      </c>
      <c r="N33" s="24" t="s">
        <v>107</v>
      </c>
      <c r="O33" s="35">
        <v>0</v>
      </c>
    </row>
    <row r="34" spans="3:15" ht="18" x14ac:dyDescent="0.25">
      <c r="C34" s="24" t="s">
        <v>108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109</v>
      </c>
      <c r="O34" s="35">
        <v>6</v>
      </c>
    </row>
    <row r="35" spans="3:15" ht="18" x14ac:dyDescent="0.25">
      <c r="C35" s="24" t="s">
        <v>108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7</v>
      </c>
    </row>
    <row r="39" spans="3:15" x14ac:dyDescent="0.2">
      <c r="L39" s="23" t="s">
        <v>102</v>
      </c>
      <c r="O39" s="23" t="s">
        <v>102</v>
      </c>
    </row>
    <row r="40" spans="3:15" ht="18" x14ac:dyDescent="0.25">
      <c r="I40" s="23"/>
      <c r="L40" s="30" t="s">
        <v>105</v>
      </c>
      <c r="O40" s="31">
        <f t="array" ref="O40:O43">MMULT(MINVERSE(G32:J35),O32:O35)</f>
        <v>1</v>
      </c>
    </row>
    <row r="41" spans="3:15" ht="18" x14ac:dyDescent="0.25">
      <c r="L41" s="34" t="s">
        <v>106</v>
      </c>
      <c r="N41" s="24" t="s">
        <v>107</v>
      </c>
      <c r="O41" s="35">
        <v>3</v>
      </c>
    </row>
    <row r="42" spans="3:15" ht="18" x14ac:dyDescent="0.25">
      <c r="L42" s="34" t="s">
        <v>109</v>
      </c>
      <c r="O42" s="35">
        <v>1</v>
      </c>
    </row>
    <row r="43" spans="3:15" ht="18" x14ac:dyDescent="0.25">
      <c r="L43" s="39" t="s">
        <v>110</v>
      </c>
      <c r="O43" s="40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4" t="s">
        <v>364</v>
      </c>
    </row>
    <row r="2" spans="1:3" s="44" customFormat="1" ht="26" x14ac:dyDescent="0.3"/>
    <row r="3" spans="1:3" ht="29" x14ac:dyDescent="0.3">
      <c r="C3" s="44" t="s">
        <v>111</v>
      </c>
    </row>
    <row r="4" spans="1:3" ht="26" x14ac:dyDescent="0.3">
      <c r="C4" s="44"/>
    </row>
    <row r="5" spans="1:3" ht="29" x14ac:dyDescent="0.3">
      <c r="C5" s="44" t="s">
        <v>112</v>
      </c>
    </row>
    <row r="6" spans="1:3" ht="26" x14ac:dyDescent="0.3">
      <c r="C6" s="44"/>
    </row>
    <row r="7" spans="1:3" ht="26" x14ac:dyDescent="0.3">
      <c r="C7" s="44" t="s">
        <v>113</v>
      </c>
    </row>
    <row r="11" spans="1:3" x14ac:dyDescent="0.2">
      <c r="B11" s="26" t="s">
        <v>89</v>
      </c>
      <c r="C11" s="26" t="s">
        <v>90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3" spans="2:25" s="26" customFormat="1" ht="20" x14ac:dyDescent="0.25">
      <c r="B23" s="26" t="s">
        <v>114</v>
      </c>
      <c r="C23" s="26" t="s">
        <v>115</v>
      </c>
      <c r="D23" s="26" t="s">
        <v>97</v>
      </c>
      <c r="F23" s="23" t="s">
        <v>116</v>
      </c>
      <c r="G23" s="23" t="s">
        <v>117</v>
      </c>
      <c r="H23" s="23" t="s">
        <v>98</v>
      </c>
      <c r="I23" s="23" t="s">
        <v>99</v>
      </c>
      <c r="J23" s="23" t="s">
        <v>118</v>
      </c>
      <c r="K23" s="23" t="s">
        <v>119</v>
      </c>
      <c r="L23" s="23" t="s">
        <v>100</v>
      </c>
      <c r="M23" s="23" t="s">
        <v>101</v>
      </c>
      <c r="N23" s="23" t="s">
        <v>120</v>
      </c>
      <c r="O23" s="23" t="s">
        <v>121</v>
      </c>
      <c r="P23" s="23" t="s">
        <v>122</v>
      </c>
      <c r="Q23" s="23" t="s">
        <v>123</v>
      </c>
      <c r="R23" s="23" t="s">
        <v>124</v>
      </c>
      <c r="S23" s="23" t="s">
        <v>125</v>
      </c>
      <c r="T23" s="23" t="s">
        <v>126</v>
      </c>
      <c r="U23" s="23" t="s">
        <v>127</v>
      </c>
      <c r="V23" s="23" t="s">
        <v>128</v>
      </c>
      <c r="W23" s="23" t="s">
        <v>129</v>
      </c>
      <c r="X23" s="23" t="s">
        <v>130</v>
      </c>
      <c r="Y23" s="23" t="s">
        <v>131</v>
      </c>
    </row>
    <row r="24" spans="2:25" x14ac:dyDescent="0.2">
      <c r="B24" s="26" t="s">
        <v>132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132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133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134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4" t="s">
        <v>365</v>
      </c>
    </row>
    <row r="2" spans="1:3" s="44" customFormat="1" ht="26" x14ac:dyDescent="0.3"/>
    <row r="3" spans="1:3" ht="29" x14ac:dyDescent="0.3">
      <c r="C3" s="44" t="s">
        <v>111</v>
      </c>
    </row>
    <row r="4" spans="1:3" ht="26" x14ac:dyDescent="0.3">
      <c r="C4" s="44"/>
    </row>
    <row r="5" spans="1:3" ht="29" x14ac:dyDescent="0.3">
      <c r="C5" s="44" t="s">
        <v>112</v>
      </c>
    </row>
    <row r="6" spans="1:3" ht="26" x14ac:dyDescent="0.3">
      <c r="C6" s="44"/>
    </row>
    <row r="7" spans="1:3" ht="26" x14ac:dyDescent="0.3">
      <c r="C7" s="44" t="s">
        <v>113</v>
      </c>
    </row>
    <row r="11" spans="1:3" x14ac:dyDescent="0.2">
      <c r="B11" s="26" t="s">
        <v>89</v>
      </c>
      <c r="C11" s="26" t="s">
        <v>90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4" spans="2:25" s="54" customFormat="1" ht="20" x14ac:dyDescent="0.25">
      <c r="B24" s="54" t="s">
        <v>114</v>
      </c>
      <c r="C24" s="54" t="s">
        <v>115</v>
      </c>
      <c r="D24" s="54" t="s">
        <v>97</v>
      </c>
      <c r="F24" s="55" t="s">
        <v>135</v>
      </c>
      <c r="G24" s="55" t="s">
        <v>136</v>
      </c>
      <c r="H24" s="55" t="s">
        <v>137</v>
      </c>
      <c r="I24" s="55" t="s">
        <v>138</v>
      </c>
      <c r="J24" s="55" t="s">
        <v>139</v>
      </c>
      <c r="K24" s="55" t="s">
        <v>140</v>
      </c>
      <c r="L24" s="55" t="s">
        <v>141</v>
      </c>
      <c r="M24" s="55" t="s">
        <v>142</v>
      </c>
      <c r="N24" s="55" t="s">
        <v>143</v>
      </c>
      <c r="O24" s="55" t="s">
        <v>144</v>
      </c>
      <c r="P24" s="55" t="s">
        <v>145</v>
      </c>
      <c r="Q24" s="55" t="s">
        <v>146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132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147</v>
      </c>
      <c r="T25" s="45">
        <f t="array" ref="T25:T36">MMULT(MINVERSE(F25:Q36),C25:C36)</f>
        <v>0.86666666666666714</v>
      </c>
    </row>
    <row r="26" spans="2:25" ht="18" x14ac:dyDescent="0.25">
      <c r="B26" s="26" t="s">
        <v>132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148</v>
      </c>
      <c r="T26" s="45">
        <v>-5.1999999999999922</v>
      </c>
    </row>
    <row r="27" spans="2:25" ht="18" x14ac:dyDescent="0.25">
      <c r="B27" s="26" t="s">
        <v>133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105</v>
      </c>
      <c r="T27" s="45">
        <v>10.533333333333299</v>
      </c>
    </row>
    <row r="28" spans="2:25" ht="18" x14ac:dyDescent="0.25">
      <c r="B28" s="26" t="s">
        <v>134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106</v>
      </c>
      <c r="T28" s="45">
        <v>-6.1999999999999789</v>
      </c>
    </row>
    <row r="29" spans="2:25" ht="18" x14ac:dyDescent="0.25">
      <c r="B29" s="26" t="s">
        <v>149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150</v>
      </c>
      <c r="T29" s="45">
        <v>-1.3333333333333339</v>
      </c>
    </row>
    <row r="30" spans="2:25" ht="18" x14ac:dyDescent="0.25">
      <c r="B30" s="26" t="s">
        <v>149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151</v>
      </c>
      <c r="T30" s="45">
        <v>14.600000000000019</v>
      </c>
    </row>
    <row r="31" spans="2:25" ht="18" x14ac:dyDescent="0.25">
      <c r="B31" s="26" t="s">
        <v>152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109</v>
      </c>
      <c r="T31" s="45">
        <v>-48.86666666666676</v>
      </c>
    </row>
    <row r="32" spans="2:25" ht="18" x14ac:dyDescent="0.25">
      <c r="B32" s="26" t="s">
        <v>153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110</v>
      </c>
      <c r="T32" s="45">
        <v>53.200000000000088</v>
      </c>
    </row>
    <row r="33" spans="2:20" ht="18" x14ac:dyDescent="0.25">
      <c r="B33" s="26" t="s">
        <v>154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155</v>
      </c>
      <c r="T33" s="45">
        <v>0.4666666666666659</v>
      </c>
    </row>
    <row r="34" spans="2:20" ht="18" x14ac:dyDescent="0.25">
      <c r="B34" s="26" t="s">
        <v>156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157</v>
      </c>
      <c r="T34" s="45">
        <v>-6.9999999999999929</v>
      </c>
    </row>
    <row r="35" spans="2:20" ht="18" x14ac:dyDescent="0.25">
      <c r="B35" s="26" t="s">
        <v>158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159</v>
      </c>
      <c r="T35" s="45">
        <v>37.533333333333303</v>
      </c>
    </row>
    <row r="36" spans="2:20" ht="18" x14ac:dyDescent="0.25">
      <c r="B36" s="26" t="s">
        <v>160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161</v>
      </c>
      <c r="T36" s="45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162</v>
      </c>
    </row>
    <row r="2" spans="1:29" s="44" customFormat="1" ht="26" x14ac:dyDescent="0.3"/>
    <row r="3" spans="1:29" ht="29" x14ac:dyDescent="0.3">
      <c r="C3" s="44" t="s">
        <v>111</v>
      </c>
    </row>
    <row r="4" spans="1:29" ht="26" x14ac:dyDescent="0.3">
      <c r="C4" s="44"/>
    </row>
    <row r="5" spans="1:29" ht="29" x14ac:dyDescent="0.3">
      <c r="C5" s="44" t="s">
        <v>112</v>
      </c>
    </row>
    <row r="6" spans="1:29" ht="26" x14ac:dyDescent="0.3">
      <c r="C6" s="44"/>
    </row>
    <row r="7" spans="1:29" ht="26" x14ac:dyDescent="0.3">
      <c r="C7" s="44" t="s">
        <v>113</v>
      </c>
      <c r="AA7" s="26" t="s">
        <v>163</v>
      </c>
      <c r="AB7" s="26" t="s">
        <v>89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89</v>
      </c>
      <c r="C11" s="26" t="s">
        <v>90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114</v>
      </c>
      <c r="C24" s="54" t="s">
        <v>115</v>
      </c>
      <c r="D24" s="54" t="s">
        <v>97</v>
      </c>
      <c r="F24" s="55" t="s">
        <v>135</v>
      </c>
      <c r="G24" s="55" t="s">
        <v>136</v>
      </c>
      <c r="H24" s="55" t="s">
        <v>137</v>
      </c>
      <c r="I24" s="55" t="s">
        <v>138</v>
      </c>
      <c r="J24" s="55" t="s">
        <v>139</v>
      </c>
      <c r="K24" s="55" t="s">
        <v>140</v>
      </c>
      <c r="L24" s="55" t="s">
        <v>141</v>
      </c>
      <c r="M24" s="55" t="s">
        <v>142</v>
      </c>
      <c r="N24" s="55" t="s">
        <v>143</v>
      </c>
      <c r="O24" s="55" t="s">
        <v>144</v>
      </c>
      <c r="P24" s="55" t="s">
        <v>145</v>
      </c>
      <c r="Q24" s="55" t="s">
        <v>146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132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147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132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148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133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105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134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106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149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150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149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151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152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109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153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110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154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155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156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157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158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159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160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161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63" t="s">
        <v>164</v>
      </c>
      <c r="G27" s="63" t="s">
        <v>165</v>
      </c>
      <c r="H27" s="63" t="s">
        <v>166</v>
      </c>
      <c r="I27" s="63" t="s">
        <v>167</v>
      </c>
      <c r="J27" s="63" t="s">
        <v>168</v>
      </c>
      <c r="K27" s="63" t="s">
        <v>169</v>
      </c>
      <c r="L27" s="63" t="s">
        <v>170</v>
      </c>
      <c r="M27" s="63" t="s">
        <v>171</v>
      </c>
      <c r="N27" s="63" t="s">
        <v>172</v>
      </c>
      <c r="O27" s="63" t="s">
        <v>173</v>
      </c>
      <c r="P27" s="63" t="s">
        <v>174</v>
      </c>
      <c r="Q27" s="63" t="s">
        <v>175</v>
      </c>
      <c r="R27" s="63" t="s">
        <v>176</v>
      </c>
      <c r="S27" s="63" t="s">
        <v>177</v>
      </c>
      <c r="T27" s="63" t="s">
        <v>178</v>
      </c>
      <c r="U27" s="63" t="s">
        <v>179</v>
      </c>
      <c r="V27" s="63" t="s">
        <v>180</v>
      </c>
      <c r="W27" s="63" t="s">
        <v>181</v>
      </c>
      <c r="X27" s="63" t="s">
        <v>182</v>
      </c>
      <c r="Y27" s="63" t="s">
        <v>183</v>
      </c>
      <c r="Z27" s="63" t="s">
        <v>184</v>
      </c>
      <c r="AA27" s="63" t="s">
        <v>185</v>
      </c>
      <c r="AB27" s="63" t="s">
        <v>186</v>
      </c>
      <c r="AC27" s="63" t="s">
        <v>187</v>
      </c>
      <c r="AD27" s="63" t="s">
        <v>188</v>
      </c>
      <c r="AE27" s="63" t="s">
        <v>189</v>
      </c>
      <c r="AF27" s="63" t="s">
        <v>190</v>
      </c>
      <c r="AG27" s="63" t="s">
        <v>191</v>
      </c>
      <c r="AH27" s="63" t="s">
        <v>192</v>
      </c>
      <c r="AI27" s="63" t="s">
        <v>193</v>
      </c>
      <c r="AJ27" s="63" t="s">
        <v>194</v>
      </c>
      <c r="AK27" s="63" t="s">
        <v>195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163</v>
      </c>
      <c r="D99" s="26" t="s">
        <v>199</v>
      </c>
      <c r="E99" s="26" t="s">
        <v>200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87" t="s">
        <v>201</v>
      </c>
      <c r="G27" s="87" t="s">
        <v>202</v>
      </c>
      <c r="H27" s="87" t="s">
        <v>203</v>
      </c>
      <c r="I27" s="87" t="s">
        <v>204</v>
      </c>
      <c r="J27" s="87" t="s">
        <v>205</v>
      </c>
      <c r="K27" s="87" t="s">
        <v>206</v>
      </c>
      <c r="L27" s="87" t="s">
        <v>207</v>
      </c>
      <c r="M27" s="87" t="s">
        <v>208</v>
      </c>
      <c r="N27" s="87" t="s">
        <v>209</v>
      </c>
      <c r="O27" s="87" t="s">
        <v>210</v>
      </c>
      <c r="P27" s="87" t="s">
        <v>211</v>
      </c>
      <c r="Q27" s="87" t="s">
        <v>212</v>
      </c>
      <c r="R27" s="64" t="s">
        <v>213</v>
      </c>
      <c r="S27" s="64" t="s">
        <v>214</v>
      </c>
      <c r="T27" s="64" t="s">
        <v>215</v>
      </c>
      <c r="U27" s="64" t="s">
        <v>216</v>
      </c>
      <c r="V27" s="64" t="s">
        <v>217</v>
      </c>
      <c r="W27" s="64" t="s">
        <v>218</v>
      </c>
      <c r="X27" s="64" t="s">
        <v>219</v>
      </c>
      <c r="Y27" s="64" t="s">
        <v>220</v>
      </c>
      <c r="Z27" s="64" t="s">
        <v>221</v>
      </c>
      <c r="AA27" s="64" t="s">
        <v>222</v>
      </c>
      <c r="AB27" s="64" t="s">
        <v>223</v>
      </c>
      <c r="AC27" s="64" t="s">
        <v>224</v>
      </c>
      <c r="AD27" s="64" t="s">
        <v>225</v>
      </c>
      <c r="AE27" s="64" t="s">
        <v>226</v>
      </c>
      <c r="AF27" s="64" t="s">
        <v>227</v>
      </c>
      <c r="AG27" s="64" t="s">
        <v>228</v>
      </c>
      <c r="AH27" s="64" t="s">
        <v>197</v>
      </c>
      <c r="AI27" s="64" t="s">
        <v>198</v>
      </c>
      <c r="AJ27" s="64" t="s">
        <v>229</v>
      </c>
      <c r="AK27" s="64" t="s">
        <v>230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231</v>
      </c>
      <c r="C99" s="26" t="s">
        <v>163</v>
      </c>
      <c r="D99" s="26" t="s">
        <v>199</v>
      </c>
      <c r="E99" s="26" t="s">
        <v>200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232</v>
      </c>
      <c r="L100" s="89"/>
      <c r="M100" s="45" t="s">
        <v>232</v>
      </c>
      <c r="O100" s="45" t="s">
        <v>232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233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233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233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233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233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233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233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233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233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233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233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233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233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233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233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233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233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233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233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233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233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233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233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233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233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233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233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233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233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233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233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233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233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233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233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233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233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233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233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233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233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233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233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233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233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233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233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233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233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233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233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233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233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233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233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233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233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233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233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233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233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233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233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233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233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233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233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233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233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233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233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233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233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233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233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233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233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233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233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233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233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233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233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233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233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233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233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233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233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233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233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233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233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233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233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233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233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233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233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233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233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233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233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233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233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233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233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233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233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233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233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233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233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233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233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233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233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233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233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233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233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233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233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233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233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233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233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233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233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233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233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233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233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233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233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233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233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233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233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233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233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233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233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233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233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233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233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233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233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233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233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233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233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233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233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233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233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233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233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233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233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233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233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233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233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233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233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233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233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233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233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233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233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233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233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233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233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233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233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233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233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233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233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233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233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233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233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233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233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233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233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233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233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233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233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233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233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233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233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233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233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233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233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233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233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233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233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233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233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233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233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233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233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233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233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233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233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233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233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233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233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233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233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233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233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233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233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233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233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233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233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233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233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233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233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233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233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233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233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233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233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233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233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233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233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233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233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233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233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233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233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233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233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233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233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233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233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233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233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233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233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233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233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233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233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233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233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233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233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233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233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233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233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233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233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233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233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233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233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233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233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233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233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233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233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233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233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233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233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233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233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233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87" t="s">
        <v>201</v>
      </c>
      <c r="G27" s="87" t="s">
        <v>202</v>
      </c>
      <c r="H27" s="87" t="s">
        <v>203</v>
      </c>
      <c r="I27" s="87" t="s">
        <v>204</v>
      </c>
      <c r="J27" s="87" t="s">
        <v>205</v>
      </c>
      <c r="K27" s="87" t="s">
        <v>206</v>
      </c>
      <c r="L27" s="87" t="s">
        <v>207</v>
      </c>
      <c r="M27" s="87" t="s">
        <v>208</v>
      </c>
      <c r="N27" s="87" t="s">
        <v>209</v>
      </c>
      <c r="O27" s="87" t="s">
        <v>210</v>
      </c>
      <c r="P27" s="87" t="s">
        <v>211</v>
      </c>
      <c r="Q27" s="87" t="s">
        <v>212</v>
      </c>
      <c r="R27" s="64" t="s">
        <v>213</v>
      </c>
      <c r="S27" s="64" t="s">
        <v>214</v>
      </c>
      <c r="T27" s="64" t="s">
        <v>215</v>
      </c>
      <c r="U27" s="64" t="s">
        <v>216</v>
      </c>
      <c r="V27" s="64" t="s">
        <v>217</v>
      </c>
      <c r="W27" s="64" t="s">
        <v>218</v>
      </c>
      <c r="X27" s="64" t="s">
        <v>219</v>
      </c>
      <c r="Y27" s="64" t="s">
        <v>220</v>
      </c>
      <c r="Z27" s="64" t="s">
        <v>221</v>
      </c>
      <c r="AA27" s="64" t="s">
        <v>222</v>
      </c>
      <c r="AB27" s="64" t="s">
        <v>223</v>
      </c>
      <c r="AC27" s="64" t="s">
        <v>224</v>
      </c>
      <c r="AD27" s="64" t="s">
        <v>225</v>
      </c>
      <c r="AE27" s="64" t="s">
        <v>226</v>
      </c>
      <c r="AF27" s="64" t="s">
        <v>227</v>
      </c>
      <c r="AG27" s="64" t="s">
        <v>228</v>
      </c>
      <c r="AH27" s="64" t="s">
        <v>197</v>
      </c>
      <c r="AI27" s="64" t="s">
        <v>198</v>
      </c>
      <c r="AJ27" s="64" t="s">
        <v>229</v>
      </c>
      <c r="AK27" s="64" t="s">
        <v>230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231</v>
      </c>
      <c r="C99" s="26" t="s">
        <v>163</v>
      </c>
      <c r="D99" s="26" t="s">
        <v>199</v>
      </c>
      <c r="E99" s="26" t="s">
        <v>200</v>
      </c>
      <c r="R99" s="26" t="s">
        <v>200</v>
      </c>
      <c r="S99" s="26" t="s">
        <v>234</v>
      </c>
      <c r="T99" s="26" t="s">
        <v>235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232</v>
      </c>
      <c r="L100" s="89"/>
      <c r="M100" s="45" t="s">
        <v>232</v>
      </c>
      <c r="O100" s="45" t="s">
        <v>232</v>
      </c>
      <c r="Q100" s="90"/>
      <c r="R100" s="91">
        <f t="array" aca="1" ref="R100" ca="1">E100:E400</f>
        <v>9.0339808310368851E-5</v>
      </c>
      <c r="X100" s="45" t="s">
        <v>232</v>
      </c>
      <c r="Y100" s="26"/>
      <c r="AA100" s="45" t="s">
        <v>236</v>
      </c>
      <c r="AD100" s="45" t="s">
        <v>237</v>
      </c>
      <c r="AF100" s="45" t="s">
        <v>238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233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233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233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233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233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233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233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233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233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233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233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233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233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233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233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233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233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233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233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233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233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233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233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233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233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233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233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233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233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233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233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233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233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233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233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233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233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233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233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233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233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233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233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233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233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233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233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233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233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233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233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233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233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233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233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233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233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233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233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233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233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233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233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233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233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233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233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233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233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233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233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233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233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233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233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233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233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233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233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233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233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233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233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233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233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233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233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233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233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233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233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233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233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233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233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233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233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233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233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233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233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233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233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233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233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233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233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233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233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233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233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233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233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233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233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233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233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233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233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233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233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233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233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233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233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233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233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233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233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233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233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233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233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233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233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233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233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233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233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233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233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233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233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233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233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233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233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233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233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233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233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233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233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233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233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233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233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233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233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233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233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233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233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233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233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233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233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233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233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233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233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233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233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233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233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233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233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233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233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233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233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233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233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233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233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233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233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233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233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233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233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233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233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233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233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233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233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233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233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233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233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233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233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233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233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233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233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233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233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233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233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233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233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233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233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233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233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233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233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233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233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233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233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233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233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233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233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233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233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233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233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233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233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233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233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233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233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233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233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233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233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233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233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233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233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233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233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233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233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233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233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233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233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233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233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233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233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233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233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233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233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233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233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233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233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233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233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233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233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233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233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233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233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233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233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233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233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233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233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233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233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233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233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233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233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233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233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233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233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233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233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233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14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293</v>
      </c>
    </row>
    <row r="2" spans="1:1" x14ac:dyDescent="0.3">
      <c r="A2" s="95" t="s">
        <v>294</v>
      </c>
    </row>
    <row r="3" spans="1:1" x14ac:dyDescent="0.3">
      <c r="A3" s="95" t="s">
        <v>295</v>
      </c>
    </row>
    <row r="4" spans="1:1" x14ac:dyDescent="0.3">
      <c r="A4" s="95" t="s">
        <v>296</v>
      </c>
    </row>
    <row r="5" spans="1:1" x14ac:dyDescent="0.3">
      <c r="A5" s="95" t="s">
        <v>297</v>
      </c>
    </row>
    <row r="6" spans="1:1" x14ac:dyDescent="0.3">
      <c r="A6" s="95" t="s">
        <v>551</v>
      </c>
    </row>
    <row r="7" spans="1:1" x14ac:dyDescent="0.3">
      <c r="A7" s="95" t="s">
        <v>552</v>
      </c>
    </row>
    <row r="8" spans="1:1" x14ac:dyDescent="0.3">
      <c r="A8" s="95" t="s">
        <v>553</v>
      </c>
    </row>
    <row r="9" spans="1:1" x14ac:dyDescent="0.3">
      <c r="A9" s="95" t="s">
        <v>554</v>
      </c>
    </row>
    <row r="10" spans="1:1" x14ac:dyDescent="0.3">
      <c r="A10" s="95" t="s">
        <v>555</v>
      </c>
    </row>
    <row r="11" spans="1:1" x14ac:dyDescent="0.3">
      <c r="A11" s="95" t="s">
        <v>556</v>
      </c>
    </row>
    <row r="12" spans="1:1" x14ac:dyDescent="0.3">
      <c r="A12" s="95" t="s">
        <v>557</v>
      </c>
    </row>
    <row r="13" spans="1:1" x14ac:dyDescent="0.3">
      <c r="A13" s="95" t="s">
        <v>558</v>
      </c>
    </row>
    <row r="14" spans="1:1" x14ac:dyDescent="0.3">
      <c r="A14" s="95" t="s">
        <v>559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 codeName="Sheet41">
    <tabColor rgb="FFC0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50</v>
      </c>
    </row>
    <row r="6" spans="2:9" x14ac:dyDescent="0.3">
      <c r="B6" s="96" t="s">
        <v>266</v>
      </c>
      <c r="C6" s="1">
        <f>C2</f>
        <v>20</v>
      </c>
      <c r="E6" s="96" t="s">
        <v>265</v>
      </c>
      <c r="F6" s="1">
        <f>C3</f>
        <v>30</v>
      </c>
    </row>
    <row r="7" spans="2:9" x14ac:dyDescent="0.3">
      <c r="B7" s="1" t="s">
        <v>264</v>
      </c>
      <c r="C7" s="1">
        <f>C4-C3</f>
        <v>20</v>
      </c>
      <c r="E7" s="1" t="s">
        <v>263</v>
      </c>
      <c r="F7" s="1">
        <f>C4-C2</f>
        <v>30</v>
      </c>
    </row>
    <row r="9" spans="2:9" x14ac:dyDescent="0.3">
      <c r="B9" s="1" t="s">
        <v>262</v>
      </c>
      <c r="C9" s="1">
        <f>AVERAGE(C6:C7)</f>
        <v>20</v>
      </c>
      <c r="E9" s="1" t="s">
        <v>262</v>
      </c>
      <c r="F9" s="1">
        <f>AVERAGE(F6:F7)</f>
        <v>30</v>
      </c>
      <c r="H9" s="1" t="s">
        <v>261</v>
      </c>
      <c r="I9" s="1">
        <f>C9+F9</f>
        <v>50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 codeName="Sheet42">
    <tabColor rgb="FFC0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264</v>
      </c>
      <c r="C7" s="1">
        <f>C4-C3</f>
        <v>20</v>
      </c>
      <c r="E7" s="1" t="s">
        <v>263</v>
      </c>
      <c r="F7" s="1">
        <f>C4-C2</f>
        <v>30</v>
      </c>
    </row>
    <row r="9" spans="2:9" x14ac:dyDescent="0.3">
      <c r="B9" s="1" t="s">
        <v>262</v>
      </c>
      <c r="C9" s="1">
        <f>AVERAGE(C6:C7)</f>
        <v>20</v>
      </c>
      <c r="E9" s="1" t="s">
        <v>262</v>
      </c>
      <c r="F9" s="1">
        <f>AVERAGE(F6:F7)</f>
        <v>30</v>
      </c>
      <c r="H9" s="1" t="s">
        <v>261</v>
      </c>
      <c r="I9" s="1">
        <f>C9+F9</f>
        <v>50</v>
      </c>
    </row>
    <row r="12" spans="2:9" x14ac:dyDescent="0.3">
      <c r="B12" s="1" t="s">
        <v>269</v>
      </c>
      <c r="C12" s="97">
        <v>20</v>
      </c>
    </row>
    <row r="13" spans="2:9" x14ac:dyDescent="0.3">
      <c r="B13" s="1" t="s">
        <v>268</v>
      </c>
      <c r="C13" s="97">
        <v>30</v>
      </c>
    </row>
    <row r="14" spans="2:9" x14ac:dyDescent="0.3">
      <c r="B14" s="1" t="s">
        <v>267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264</v>
      </c>
      <c r="C17" s="1">
        <f>C14-C13</f>
        <v>50</v>
      </c>
      <c r="E17" s="1" t="s">
        <v>263</v>
      </c>
      <c r="F17" s="1">
        <f>C14-C12</f>
        <v>60</v>
      </c>
    </row>
    <row r="19" spans="2:9" x14ac:dyDescent="0.3">
      <c r="B19" s="1" t="s">
        <v>262</v>
      </c>
      <c r="C19" s="1">
        <f>AVERAGE(C16:C17)</f>
        <v>35</v>
      </c>
      <c r="E19" s="1" t="s">
        <v>262</v>
      </c>
      <c r="F19" s="1">
        <f>AVERAGE(F16:F17)</f>
        <v>45</v>
      </c>
      <c r="H19" s="1" t="s">
        <v>261</v>
      </c>
      <c r="I19" s="1">
        <f>C19+F19</f>
        <v>80</v>
      </c>
    </row>
    <row r="22" spans="2:9" x14ac:dyDescent="0.3">
      <c r="B22" s="1" t="s">
        <v>269</v>
      </c>
      <c r="C22" s="97">
        <v>20</v>
      </c>
    </row>
    <row r="23" spans="2:9" x14ac:dyDescent="0.3">
      <c r="B23" s="1" t="s">
        <v>268</v>
      </c>
      <c r="C23" s="97">
        <v>30</v>
      </c>
    </row>
    <row r="24" spans="2:9" x14ac:dyDescent="0.3">
      <c r="B24" s="1" t="s">
        <v>267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264</v>
      </c>
      <c r="C27" s="1">
        <f>C24-C23</f>
        <v>10</v>
      </c>
      <c r="E27" s="1" t="s">
        <v>263</v>
      </c>
      <c r="F27" s="1">
        <f>C24-C22</f>
        <v>20</v>
      </c>
    </row>
    <row r="29" spans="2:9" x14ac:dyDescent="0.3">
      <c r="B29" s="1" t="s">
        <v>262</v>
      </c>
      <c r="C29" s="1">
        <f>AVERAGE(C26:C27)</f>
        <v>15</v>
      </c>
      <c r="E29" s="1" t="s">
        <v>262</v>
      </c>
      <c r="F29" s="1">
        <f>AVERAGE(F26:F27)</f>
        <v>25</v>
      </c>
      <c r="H29" s="1" t="s">
        <v>261</v>
      </c>
      <c r="I29" s="1">
        <f>C29+F29</f>
        <v>40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 codeName="Sheet44">
    <tabColor rgb="FFC0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40</v>
      </c>
    </row>
    <row r="5" spans="2:9" x14ac:dyDescent="0.3">
      <c r="B5" s="1" t="s">
        <v>270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264</v>
      </c>
      <c r="C10" s="1">
        <f>C4-C3</f>
        <v>10</v>
      </c>
      <c r="E10" s="1" t="s">
        <v>263</v>
      </c>
      <c r="F10" s="1">
        <f>C4-C2</f>
        <v>20</v>
      </c>
    </row>
    <row r="12" spans="2:9" x14ac:dyDescent="0.3">
      <c r="B12" s="1" t="s">
        <v>262</v>
      </c>
      <c r="C12" s="1">
        <f>AVERAGE(C9:C10)</f>
        <v>10</v>
      </c>
      <c r="E12" s="1" t="s">
        <v>262</v>
      </c>
      <c r="F12" s="1">
        <f>AVERAGE(F9:F10)</f>
        <v>20</v>
      </c>
      <c r="H12" s="1" t="s">
        <v>261</v>
      </c>
      <c r="I12" s="1">
        <f>C12+F12</f>
        <v>30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 codeName="Sheet57">
    <tabColor rgb="FFC0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271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 codeName="Sheet58">
    <tabColor rgb="FFC0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283</v>
      </c>
      <c r="D2" s="97">
        <v>1</v>
      </c>
    </row>
    <row r="3" spans="1:10" x14ac:dyDescent="0.3">
      <c r="C3" s="1" t="s">
        <v>269</v>
      </c>
      <c r="D3" s="97">
        <v>3</v>
      </c>
    </row>
    <row r="4" spans="1:10" x14ac:dyDescent="0.3">
      <c r="C4" s="1" t="s">
        <v>268</v>
      </c>
      <c r="D4" s="97">
        <v>9</v>
      </c>
    </row>
    <row r="5" spans="1:10" x14ac:dyDescent="0.3">
      <c r="C5" s="1" t="s">
        <v>282</v>
      </c>
      <c r="D5" s="97">
        <v>17</v>
      </c>
    </row>
    <row r="6" spans="1:10" x14ac:dyDescent="0.3">
      <c r="C6" s="1" t="s">
        <v>281</v>
      </c>
      <c r="D6" s="97">
        <v>45</v>
      </c>
    </row>
    <row r="7" spans="1:10" x14ac:dyDescent="0.3">
      <c r="C7" s="1" t="s">
        <v>280</v>
      </c>
      <c r="D7" s="97">
        <v>55</v>
      </c>
    </row>
    <row r="8" spans="1:10" x14ac:dyDescent="0.3">
      <c r="C8" s="1" t="s">
        <v>279</v>
      </c>
      <c r="D8" s="97">
        <v>77</v>
      </c>
    </row>
    <row r="9" spans="1:10" x14ac:dyDescent="0.3">
      <c r="C9" s="1" t="s">
        <v>278</v>
      </c>
      <c r="D9" s="97">
        <v>100</v>
      </c>
    </row>
    <row r="11" spans="1:10" x14ac:dyDescent="0.3">
      <c r="A11" s="99" t="s">
        <v>277</v>
      </c>
      <c r="C11" s="18" t="s">
        <v>276</v>
      </c>
      <c r="D11" s="18" t="s">
        <v>275</v>
      </c>
      <c r="F11" s="18" t="s">
        <v>276</v>
      </c>
      <c r="G11" s="18" t="s">
        <v>275</v>
      </c>
      <c r="I11" s="18" t="s">
        <v>276</v>
      </c>
      <c r="J11" s="18" t="s">
        <v>275</v>
      </c>
    </row>
    <row r="12" spans="1:10" x14ac:dyDescent="0.3">
      <c r="A12" s="1">
        <v>1</v>
      </c>
      <c r="C12" s="98" t="s">
        <v>266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f>1/2</f>
        <v>0.5</v>
      </c>
      <c r="C13" s="98" t="s">
        <v>274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f>1/2</f>
        <v>0.5</v>
      </c>
      <c r="C14" s="98" t="s">
        <v>273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1</v>
      </c>
      <c r="C15" s="98" t="s">
        <v>272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262</v>
      </c>
      <c r="D17" s="1">
        <f>SUMPRODUCT(D12:D15,$A$12:$A$15)/SUM($A$12:$A$15)</f>
        <v>20.666666666666668</v>
      </c>
      <c r="F17" s="1" t="s">
        <v>262</v>
      </c>
      <c r="G17" s="1">
        <f>SUMPRODUCT(G12:G15,$A$12:$A$15)/SUM($A$12:$A$15)</f>
        <v>34.666666666666664</v>
      </c>
      <c r="I17" s="1" t="s">
        <v>262</v>
      </c>
      <c r="J17" s="1">
        <f>SUMPRODUCT(J12:J15,$A$12:$A$15)/SUM($A$12:$A$15)</f>
        <v>43.666666666666664</v>
      </c>
      <c r="M17" s="1" t="s">
        <v>261</v>
      </c>
      <c r="N17" s="1">
        <f>D17+G17+J17</f>
        <v>99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6DBA-86BA-0246-A3B9-C54473199A10}">
  <sheetPr codeName="Sheet81">
    <tabColor rgb="FFFF0000"/>
  </sheetPr>
  <dimension ref="C2:E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5" x14ac:dyDescent="0.3">
      <c r="C2" s="1" t="s">
        <v>283</v>
      </c>
      <c r="E2" s="1" t="s">
        <v>286</v>
      </c>
    </row>
    <row r="3" spans="3:5" x14ac:dyDescent="0.3">
      <c r="C3" s="1" t="s">
        <v>269</v>
      </c>
      <c r="E3" s="1" t="s">
        <v>291</v>
      </c>
    </row>
    <row r="4" spans="3:5" x14ac:dyDescent="0.3">
      <c r="C4" s="1" t="s">
        <v>268</v>
      </c>
      <c r="E4" s="1" t="s">
        <v>290</v>
      </c>
    </row>
    <row r="5" spans="3:5" x14ac:dyDescent="0.3">
      <c r="C5" s="1" t="s">
        <v>282</v>
      </c>
      <c r="E5" s="1" t="s">
        <v>289</v>
      </c>
    </row>
    <row r="6" spans="3:5" x14ac:dyDescent="0.3">
      <c r="C6" s="1" t="s">
        <v>281</v>
      </c>
      <c r="E6" s="1" t="s">
        <v>288</v>
      </c>
    </row>
    <row r="7" spans="3:5" x14ac:dyDescent="0.3">
      <c r="C7" s="1" t="s">
        <v>280</v>
      </c>
      <c r="E7" s="1" t="s">
        <v>287</v>
      </c>
    </row>
    <row r="8" spans="3:5" x14ac:dyDescent="0.3">
      <c r="C8" s="1" t="s">
        <v>279</v>
      </c>
      <c r="E8" s="1" t="s">
        <v>285</v>
      </c>
    </row>
    <row r="9" spans="3:5" x14ac:dyDescent="0.3">
      <c r="C9" s="1" t="s">
        <v>278</v>
      </c>
      <c r="E9" s="1" t="s">
        <v>284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B6DC6-9A9A-B14B-91E1-6D4B1A18A41A}">
  <sheetPr codeName="Sheet82">
    <tabColor rgb="FFFF0000"/>
  </sheetPr>
  <dimension ref="C2:G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7" x14ac:dyDescent="0.3">
      <c r="C2" s="1" t="s">
        <v>283</v>
      </c>
      <c r="E2" s="1" t="s">
        <v>286</v>
      </c>
      <c r="G2" s="1" t="s">
        <v>546</v>
      </c>
    </row>
    <row r="3" spans="3:7" x14ac:dyDescent="0.3">
      <c r="C3" s="1" t="s">
        <v>269</v>
      </c>
      <c r="E3" s="1" t="s">
        <v>291</v>
      </c>
      <c r="G3" s="1" t="s">
        <v>539</v>
      </c>
    </row>
    <row r="4" spans="3:7" x14ac:dyDescent="0.3">
      <c r="C4" s="1" t="s">
        <v>268</v>
      </c>
      <c r="E4" s="1" t="s">
        <v>290</v>
      </c>
      <c r="G4" s="1" t="s">
        <v>540</v>
      </c>
    </row>
    <row r="5" spans="3:7" x14ac:dyDescent="0.3">
      <c r="C5" s="1" t="s">
        <v>282</v>
      </c>
      <c r="E5" s="1" t="s">
        <v>289</v>
      </c>
      <c r="G5" s="1" t="s">
        <v>541</v>
      </c>
    </row>
    <row r="6" spans="3:7" x14ac:dyDescent="0.3">
      <c r="C6" s="1" t="s">
        <v>281</v>
      </c>
      <c r="E6" s="1" t="s">
        <v>288</v>
      </c>
      <c r="G6" s="1" t="s">
        <v>542</v>
      </c>
    </row>
    <row r="7" spans="3:7" x14ac:dyDescent="0.3">
      <c r="C7" s="1" t="s">
        <v>280</v>
      </c>
      <c r="E7" s="1" t="s">
        <v>287</v>
      </c>
      <c r="G7" s="1" t="s">
        <v>543</v>
      </c>
    </row>
    <row r="8" spans="3:7" x14ac:dyDescent="0.3">
      <c r="C8" s="1" t="s">
        <v>279</v>
      </c>
      <c r="E8" s="1" t="s">
        <v>285</v>
      </c>
      <c r="G8" s="1" t="s">
        <v>544</v>
      </c>
    </row>
    <row r="9" spans="3:7" x14ac:dyDescent="0.3">
      <c r="C9" s="1" t="s">
        <v>278</v>
      </c>
      <c r="E9" s="1" t="s">
        <v>284</v>
      </c>
      <c r="G9" s="1" t="s">
        <v>545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ED5B-2893-2A42-B7BD-81A1A4A0C4AF}">
  <sheetPr codeName="Sheet84">
    <tabColor rgb="FFFF0000"/>
  </sheetPr>
  <dimension ref="C2:K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6" width="10.83203125" style="1"/>
    <col min="7" max="7" width="25.33203125" style="1" bestFit="1" customWidth="1"/>
    <col min="8" max="8" width="10.83203125" style="1"/>
    <col min="9" max="11" width="3.1640625" style="1" bestFit="1" customWidth="1"/>
    <col min="12" max="16384" width="10.83203125" style="1"/>
  </cols>
  <sheetData>
    <row r="2" spans="3:11" x14ac:dyDescent="0.3">
      <c r="C2" s="1" t="s">
        <v>283</v>
      </c>
      <c r="E2" s="1" t="s">
        <v>286</v>
      </c>
      <c r="G2" s="1" t="s">
        <v>546</v>
      </c>
      <c r="I2" s="1">
        <v>0</v>
      </c>
      <c r="J2" s="1">
        <v>0</v>
      </c>
      <c r="K2" s="1">
        <v>0</v>
      </c>
    </row>
    <row r="3" spans="3:11" x14ac:dyDescent="0.3">
      <c r="C3" s="1" t="s">
        <v>269</v>
      </c>
      <c r="E3" s="1" t="s">
        <v>291</v>
      </c>
      <c r="G3" s="1" t="s">
        <v>539</v>
      </c>
      <c r="I3" s="1">
        <v>1</v>
      </c>
      <c r="J3" s="1">
        <v>0</v>
      </c>
      <c r="K3" s="1">
        <v>0</v>
      </c>
    </row>
    <row r="4" spans="3:11" x14ac:dyDescent="0.3">
      <c r="C4" s="1" t="s">
        <v>268</v>
      </c>
      <c r="E4" s="1" t="s">
        <v>290</v>
      </c>
      <c r="G4" s="1" t="s">
        <v>540</v>
      </c>
      <c r="I4" s="1">
        <v>0</v>
      </c>
      <c r="J4" s="1">
        <v>1</v>
      </c>
      <c r="K4" s="1">
        <v>0</v>
      </c>
    </row>
    <row r="5" spans="3:11" x14ac:dyDescent="0.3">
      <c r="C5" s="1" t="s">
        <v>282</v>
      </c>
      <c r="E5" s="1" t="s">
        <v>289</v>
      </c>
      <c r="G5" s="1" t="s">
        <v>541</v>
      </c>
      <c r="I5" s="1">
        <v>0</v>
      </c>
      <c r="J5" s="1">
        <v>0</v>
      </c>
      <c r="K5" s="1">
        <v>1</v>
      </c>
    </row>
    <row r="6" spans="3:11" x14ac:dyDescent="0.3">
      <c r="C6" s="1" t="s">
        <v>281</v>
      </c>
      <c r="E6" s="1" t="s">
        <v>288</v>
      </c>
      <c r="G6" s="1" t="s">
        <v>542</v>
      </c>
      <c r="I6" s="1">
        <v>1</v>
      </c>
      <c r="J6" s="1">
        <v>1</v>
      </c>
      <c r="K6" s="1">
        <v>0</v>
      </c>
    </row>
    <row r="7" spans="3:11" x14ac:dyDescent="0.3">
      <c r="C7" s="1" t="s">
        <v>280</v>
      </c>
      <c r="E7" s="1" t="s">
        <v>287</v>
      </c>
      <c r="G7" s="1" t="s">
        <v>543</v>
      </c>
      <c r="I7" s="1">
        <v>1</v>
      </c>
      <c r="J7" s="1">
        <v>0</v>
      </c>
      <c r="K7" s="1">
        <v>1</v>
      </c>
    </row>
    <row r="8" spans="3:11" x14ac:dyDescent="0.3">
      <c r="C8" s="1" t="s">
        <v>279</v>
      </c>
      <c r="E8" s="1" t="s">
        <v>285</v>
      </c>
      <c r="G8" s="1" t="s">
        <v>544</v>
      </c>
      <c r="I8" s="1">
        <v>0</v>
      </c>
      <c r="J8" s="1">
        <v>1</v>
      </c>
      <c r="K8" s="1">
        <v>1</v>
      </c>
    </row>
    <row r="9" spans="3:11" x14ac:dyDescent="0.3">
      <c r="C9" s="1" t="s">
        <v>278</v>
      </c>
      <c r="E9" s="1" t="s">
        <v>284</v>
      </c>
      <c r="G9" s="1" t="s">
        <v>545</v>
      </c>
      <c r="I9" s="1">
        <v>1</v>
      </c>
      <c r="J9" s="1">
        <v>1</v>
      </c>
      <c r="K9" s="1">
        <v>1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8D7C-22E2-874B-A014-EBDCF9875A86}">
  <sheetPr codeName="Sheet17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13" t="s">
        <v>20</v>
      </c>
      <c r="D3" s="13" t="s">
        <v>1</v>
      </c>
      <c r="E3" s="13" t="s">
        <v>3</v>
      </c>
      <c r="F3" s="13" t="s">
        <v>30</v>
      </c>
      <c r="G3" s="13" t="s">
        <v>2</v>
      </c>
      <c r="H3" s="13" t="s">
        <v>547</v>
      </c>
      <c r="K3" s="13" t="s">
        <v>20</v>
      </c>
      <c r="L3" s="13" t="s">
        <v>1</v>
      </c>
      <c r="M3" s="13" t="s">
        <v>3</v>
      </c>
      <c r="N3" s="11"/>
      <c r="O3" s="163" t="s">
        <v>0</v>
      </c>
    </row>
    <row r="4" spans="2:15" x14ac:dyDescent="0.3">
      <c r="B4" s="1">
        <v>1</v>
      </c>
      <c r="C4" s="1"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13" t="s">
        <v>550</v>
      </c>
      <c r="L4" s="13" t="s">
        <v>548</v>
      </c>
      <c r="M4" s="13" t="s">
        <v>549</v>
      </c>
      <c r="O4" s="1" t="s">
        <v>546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13" t="s">
        <v>20</v>
      </c>
      <c r="L5" s="13" t="s">
        <v>548</v>
      </c>
      <c r="M5" s="13" t="s">
        <v>549</v>
      </c>
      <c r="O5" s="1" t="s">
        <v>539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13" t="s">
        <v>550</v>
      </c>
      <c r="L6" s="13" t="s">
        <v>1</v>
      </c>
      <c r="M6" s="13" t="s">
        <v>549</v>
      </c>
      <c r="O6" s="1" t="s">
        <v>540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13" t="s">
        <v>550</v>
      </c>
      <c r="L7" s="13" t="s">
        <v>548</v>
      </c>
      <c r="M7" s="13" t="s">
        <v>3</v>
      </c>
      <c r="O7" s="1" t="s">
        <v>541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13" t="s">
        <v>20</v>
      </c>
      <c r="L8" s="13" t="s">
        <v>1</v>
      </c>
      <c r="M8" s="13" t="s">
        <v>549</v>
      </c>
      <c r="O8" s="1" t="s">
        <v>542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13" t="s">
        <v>20</v>
      </c>
      <c r="L9" s="13" t="s">
        <v>548</v>
      </c>
      <c r="M9" s="13" t="s">
        <v>3</v>
      </c>
      <c r="O9" s="1" t="s">
        <v>543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13" t="s">
        <v>550</v>
      </c>
      <c r="L10" s="13" t="s">
        <v>1</v>
      </c>
      <c r="M10" s="13" t="s">
        <v>3</v>
      </c>
      <c r="O10" s="1" t="s">
        <v>544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13" t="s">
        <v>20</v>
      </c>
      <c r="L11" s="13" t="s">
        <v>1</v>
      </c>
      <c r="M11" s="13" t="s">
        <v>3</v>
      </c>
      <c r="O11" s="1" t="s">
        <v>545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</row>
    <row r="17" spans="2:7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</row>
    <row r="18" spans="2:7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</row>
    <row r="19" spans="2:7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</row>
    <row r="20" spans="2:7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</row>
    <row r="21" spans="2:7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</row>
    <row r="22" spans="2:7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7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7" x14ac:dyDescent="0.3">
      <c r="C25" s="13" t="s">
        <v>550</v>
      </c>
      <c r="D25" s="13" t="s">
        <v>548</v>
      </c>
      <c r="E25" s="13" t="s">
        <v>549</v>
      </c>
      <c r="F25" s="13"/>
    </row>
    <row r="26" spans="2:7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B7D7-6606-A54A-8A11-9AA4EFDCBB74}">
  <sheetPr codeName="Sheet28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13" t="s">
        <v>20</v>
      </c>
      <c r="D3" s="13" t="s">
        <v>1</v>
      </c>
      <c r="E3" s="13" t="s">
        <v>3</v>
      </c>
      <c r="F3" s="13" t="s">
        <v>30</v>
      </c>
      <c r="G3" s="13" t="s">
        <v>2</v>
      </c>
      <c r="H3" s="13" t="s">
        <v>547</v>
      </c>
      <c r="K3" s="13" t="s">
        <v>20</v>
      </c>
      <c r="L3" s="13" t="s">
        <v>1</v>
      </c>
      <c r="M3" s="13" t="s">
        <v>3</v>
      </c>
      <c r="N3" s="11"/>
      <c r="O3" s="163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13" t="s">
        <v>550</v>
      </c>
      <c r="L4" s="13" t="s">
        <v>548</v>
      </c>
      <c r="M4" s="13" t="s">
        <v>549</v>
      </c>
      <c r="O4" s="1" t="s">
        <v>546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13" t="s">
        <v>20</v>
      </c>
      <c r="L5" s="13" t="s">
        <v>548</v>
      </c>
      <c r="M5" s="13" t="s">
        <v>549</v>
      </c>
      <c r="O5" s="1" t="s">
        <v>539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13" t="s">
        <v>550</v>
      </c>
      <c r="L6" s="13" t="s">
        <v>1</v>
      </c>
      <c r="M6" s="13" t="s">
        <v>549</v>
      </c>
      <c r="O6" s="1" t="s">
        <v>540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13" t="s">
        <v>550</v>
      </c>
      <c r="L7" s="13" t="s">
        <v>548</v>
      </c>
      <c r="M7" s="13" t="s">
        <v>3</v>
      </c>
      <c r="O7" s="1" t="s">
        <v>541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13" t="s">
        <v>20</v>
      </c>
      <c r="L8" s="13" t="s">
        <v>1</v>
      </c>
      <c r="M8" s="13" t="s">
        <v>549</v>
      </c>
      <c r="O8" s="1" t="s">
        <v>542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13" t="s">
        <v>20</v>
      </c>
      <c r="L9" s="13" t="s">
        <v>548</v>
      </c>
      <c r="M9" s="13" t="s">
        <v>3</v>
      </c>
      <c r="O9" s="1" t="s">
        <v>543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13" t="s">
        <v>550</v>
      </c>
      <c r="L10" s="13" t="s">
        <v>1</v>
      </c>
      <c r="M10" s="13" t="s">
        <v>3</v>
      </c>
      <c r="O10" s="1" t="s">
        <v>544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13" t="s">
        <v>20</v>
      </c>
      <c r="L11" s="13" t="s">
        <v>1</v>
      </c>
      <c r="M11" s="13" t="s">
        <v>3</v>
      </c>
      <c r="O11" s="1" t="s">
        <v>545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13" t="s">
        <v>20</v>
      </c>
      <c r="L13" s="13" t="s">
        <v>1</v>
      </c>
      <c r="M13" s="13" t="s">
        <v>3</v>
      </c>
      <c r="N13" s="11"/>
      <c r="O13" s="163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13">
        <v>0</v>
      </c>
      <c r="L14" s="13">
        <v>0</v>
      </c>
      <c r="M14" s="13">
        <v>0</v>
      </c>
      <c r="O14" s="1" t="s">
        <v>546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539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540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541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542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543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544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545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15" x14ac:dyDescent="0.3">
      <c r="C25" s="13" t="s">
        <v>550</v>
      </c>
      <c r="D25" s="13" t="s">
        <v>548</v>
      </c>
      <c r="E25" s="13" t="s">
        <v>549</v>
      </c>
      <c r="F25" s="13"/>
    </row>
    <row r="26" spans="2:15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D1B7-897B-D74D-AFB5-18B94D388B68}">
  <sheetPr codeName="Sheet30">
    <tabColor rgb="FFFF0000"/>
  </sheetPr>
  <dimension ref="B3:O31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13" t="s">
        <v>20</v>
      </c>
      <c r="D3" s="13" t="s">
        <v>1</v>
      </c>
      <c r="E3" s="13" t="s">
        <v>3</v>
      </c>
      <c r="F3" s="13" t="s">
        <v>30</v>
      </c>
      <c r="G3" s="13" t="s">
        <v>2</v>
      </c>
      <c r="H3" s="13" t="s">
        <v>547</v>
      </c>
      <c r="K3" s="13" t="s">
        <v>20</v>
      </c>
      <c r="L3" s="13" t="s">
        <v>1</v>
      </c>
      <c r="M3" s="13" t="s">
        <v>3</v>
      </c>
      <c r="N3" s="11"/>
      <c r="O3" s="163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13" t="s">
        <v>550</v>
      </c>
      <c r="L4" s="13" t="s">
        <v>548</v>
      </c>
      <c r="M4" s="13" t="s">
        <v>549</v>
      </c>
      <c r="O4" s="1" t="s">
        <v>546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13" t="s">
        <v>20</v>
      </c>
      <c r="L5" s="13" t="s">
        <v>548</v>
      </c>
      <c r="M5" s="13" t="s">
        <v>549</v>
      </c>
      <c r="O5" s="1" t="s">
        <v>539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13" t="s">
        <v>550</v>
      </c>
      <c r="L6" s="13" t="s">
        <v>1</v>
      </c>
      <c r="M6" s="13" t="s">
        <v>549</v>
      </c>
      <c r="O6" s="1" t="s">
        <v>540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13" t="s">
        <v>550</v>
      </c>
      <c r="L7" s="13" t="s">
        <v>548</v>
      </c>
      <c r="M7" s="13" t="s">
        <v>3</v>
      </c>
      <c r="O7" s="1" t="s">
        <v>541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13" t="s">
        <v>20</v>
      </c>
      <c r="L8" s="13" t="s">
        <v>1</v>
      </c>
      <c r="M8" s="13" t="s">
        <v>549</v>
      </c>
      <c r="O8" s="1" t="s">
        <v>542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13" t="s">
        <v>20</v>
      </c>
      <c r="L9" s="13" t="s">
        <v>548</v>
      </c>
      <c r="M9" s="13" t="s">
        <v>3</v>
      </c>
      <c r="O9" s="1" t="s">
        <v>543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13" t="s">
        <v>550</v>
      </c>
      <c r="L10" s="13" t="s">
        <v>1</v>
      </c>
      <c r="M10" s="13" t="s">
        <v>3</v>
      </c>
      <c r="O10" s="1" t="s">
        <v>544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13" t="s">
        <v>20</v>
      </c>
      <c r="L11" s="13" t="s">
        <v>1</v>
      </c>
      <c r="M11" s="13" t="s">
        <v>3</v>
      </c>
      <c r="O11" s="1" t="s">
        <v>545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13" t="s">
        <v>20</v>
      </c>
      <c r="L13" s="13" t="s">
        <v>1</v>
      </c>
      <c r="M13" s="13" t="s">
        <v>3</v>
      </c>
      <c r="N13" s="11"/>
      <c r="O13" s="163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13">
        <v>0</v>
      </c>
      <c r="L14" s="13">
        <v>0</v>
      </c>
      <c r="M14" s="13">
        <v>0</v>
      </c>
      <c r="O14" s="1" t="s">
        <v>546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539</v>
      </c>
    </row>
    <row r="16" spans="2:15" x14ac:dyDescent="0.3">
      <c r="B16" s="1">
        <v>13</v>
      </c>
      <c r="C16" s="97">
        <v>0.37317636041366276</v>
      </c>
      <c r="D16" s="97">
        <v>0.90976865733306223</v>
      </c>
      <c r="E16" s="97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540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541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542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543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544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545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  <c r="K23" s="13" t="s">
        <v>20</v>
      </c>
      <c r="L23" s="13" t="s">
        <v>1</v>
      </c>
      <c r="M23" s="13" t="s">
        <v>3</v>
      </c>
      <c r="N23" s="11"/>
      <c r="O23" s="163" t="s">
        <v>0</v>
      </c>
    </row>
    <row r="24" spans="2:15" x14ac:dyDescent="0.3">
      <c r="K24" s="13" cm="1">
        <f t="array" ref="K24:M24">IF(K14:M14,C$16:E$16,C$26:E$26)</f>
        <v>0.4521504966602567</v>
      </c>
      <c r="L24" s="13">
        <v>0.54833849239578614</v>
      </c>
      <c r="M24" s="13">
        <v>0.54774315416232866</v>
      </c>
      <c r="O24" s="1" cm="1">
        <f t="array" ref="O24">MMULT(_xlfn.ANCHORARRAY(K24),$H$4:$H$6)</f>
        <v>31.920569439388153</v>
      </c>
    </row>
    <row r="25" spans="2:15" x14ac:dyDescent="0.3">
      <c r="C25" s="13" t="s">
        <v>550</v>
      </c>
      <c r="D25" s="13" t="s">
        <v>548</v>
      </c>
      <c r="E25" s="13" t="s">
        <v>549</v>
      </c>
      <c r="F25" s="13"/>
      <c r="K25" s="13" cm="1">
        <f t="array" ref="K25:M25">IF(K15:M15,C$16:E$16,C$26:E$26)</f>
        <v>0.37317636041366276</v>
      </c>
      <c r="L25" s="13">
        <v>0.54833849239578614</v>
      </c>
      <c r="M25" s="13">
        <v>0.54774315416232866</v>
      </c>
      <c r="O25" s="1" cm="1">
        <f t="array" ref="O25">MMULT(_xlfn.ANCHORARRAY(K25),$H$4:$H$6)</f>
        <v>31.130828076922214</v>
      </c>
    </row>
    <row r="26" spans="2:15" x14ac:dyDescent="0.3">
      <c r="C26" s="97">
        <f>AVERAGE(C4:C23)</f>
        <v>0.4521504966602567</v>
      </c>
      <c r="D26" s="97">
        <f t="shared" ref="D26:E26" si="0">AVERAGE(D4:D23)</f>
        <v>0.54833849239578614</v>
      </c>
      <c r="E26" s="97">
        <f t="shared" si="0"/>
        <v>0.54774315416232866</v>
      </c>
      <c r="K26" s="13" cm="1">
        <f t="array" ref="K26:M26">IF(K16:M16,C$16:E$16,C$26:E$26)</f>
        <v>0.4521504966602567</v>
      </c>
      <c r="L26" s="13">
        <v>0.90976865733306223</v>
      </c>
      <c r="M26" s="13">
        <v>0.54774315416232866</v>
      </c>
      <c r="O26" s="1" cm="1">
        <f t="array" ref="O26">MMULT(_xlfn.ANCHORARRAY(K26),$H$4:$H$6)</f>
        <v>39.149172738133672</v>
      </c>
    </row>
    <row r="27" spans="2:15" x14ac:dyDescent="0.3">
      <c r="K27" s="13" cm="1">
        <f t="array" ref="K27:M27">IF(K17:M17,C$16:E$16,C$26:E$26)</f>
        <v>0.4521504966602567</v>
      </c>
      <c r="L27" s="13">
        <v>0.54833849239578614</v>
      </c>
      <c r="M27" s="13">
        <v>0.21187726816612384</v>
      </c>
      <c r="O27" s="1" cm="1">
        <f t="array" ref="O27">MMULT(_xlfn.ANCHORARRAY(K27),$H$4:$H$6)</f>
        <v>21.844592859502004</v>
      </c>
    </row>
    <row r="28" spans="2:15" x14ac:dyDescent="0.3">
      <c r="K28" s="13" cm="1">
        <f t="array" ref="K28:M28">IF(K18:M18,C$16:E$16,C$26:E$26)</f>
        <v>0.37317636041366276</v>
      </c>
      <c r="L28" s="13">
        <v>0.90976865733306223</v>
      </c>
      <c r="M28" s="13">
        <v>0.54774315416232866</v>
      </c>
      <c r="O28" s="1" cm="1">
        <f t="array" ref="O28">MMULT(_xlfn.ANCHORARRAY(K28),$H$4:$H$6)</f>
        <v>38.359431375667732</v>
      </c>
    </row>
    <row r="29" spans="2:15" x14ac:dyDescent="0.3">
      <c r="K29" s="13" cm="1">
        <f t="array" ref="K29:M29">IF(K19:M19,C$16:E$16,C$26:E$26)</f>
        <v>0.37317636041366276</v>
      </c>
      <c r="L29" s="13">
        <v>0.54833849239578614</v>
      </c>
      <c r="M29" s="13">
        <v>0.21187726816612384</v>
      </c>
      <c r="O29" s="1" cm="1">
        <f t="array" ref="O29">MMULT(_xlfn.ANCHORARRAY(K29),$H$4:$H$6)</f>
        <v>21.054851497036065</v>
      </c>
    </row>
    <row r="30" spans="2:15" x14ac:dyDescent="0.3">
      <c r="K30" s="13" cm="1">
        <f t="array" ref="K30:M30">IF(K20:M20,C$16:E$16,C$26:E$26)</f>
        <v>0.4521504966602567</v>
      </c>
      <c r="L30" s="13">
        <v>0.90976865733306223</v>
      </c>
      <c r="M30" s="13">
        <v>0.21187726816612384</v>
      </c>
      <c r="O30" s="1" cm="1">
        <f t="array" ref="O30">MMULT(_xlfn.ANCHORARRAY(K30),$H$4:$H$6)</f>
        <v>29.073196158247526</v>
      </c>
    </row>
    <row r="31" spans="2:15" x14ac:dyDescent="0.3">
      <c r="K31" s="13" cm="1">
        <f t="array" ref="K31:M31">IF(K21:M21,C$16:E$16,C$26:E$26)</f>
        <v>0.37317636041366276</v>
      </c>
      <c r="L31" s="13">
        <v>0.90976865733306223</v>
      </c>
      <c r="M31" s="13">
        <v>0.21187726816612384</v>
      </c>
      <c r="O31" s="1" cm="1">
        <f t="array" ref="O31">MMULT(_xlfn.ANCHORARRAY(K31),$H$4:$H$6)</f>
        <v>28.283454795781587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3723-C081-4A4F-9284-D6DC8C1DCEFA}">
  <sheetPr codeName="Sheet83"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283</v>
      </c>
      <c r="D2" s="97" cm="1">
        <f t="array" ref="D2:D9">Example1_Values!O24:O31</f>
        <v>31.920569439388153</v>
      </c>
    </row>
    <row r="3" spans="1:10" x14ac:dyDescent="0.3">
      <c r="C3" s="1" t="s">
        <v>269</v>
      </c>
      <c r="D3" s="97">
        <v>31.130828076922214</v>
      </c>
    </row>
    <row r="4" spans="1:10" x14ac:dyDescent="0.3">
      <c r="C4" s="1" t="s">
        <v>268</v>
      </c>
      <c r="D4" s="97">
        <v>39.149172738133672</v>
      </c>
    </row>
    <row r="5" spans="1:10" x14ac:dyDescent="0.3">
      <c r="C5" s="1" t="s">
        <v>282</v>
      </c>
      <c r="D5" s="97">
        <v>21.844592859502004</v>
      </c>
    </row>
    <row r="6" spans="1:10" x14ac:dyDescent="0.3">
      <c r="C6" s="1" t="s">
        <v>281</v>
      </c>
      <c r="D6" s="97">
        <v>38.359431375667732</v>
      </c>
    </row>
    <row r="7" spans="1:10" x14ac:dyDescent="0.3">
      <c r="C7" s="1" t="s">
        <v>280</v>
      </c>
      <c r="D7" s="97">
        <v>21.054851497036065</v>
      </c>
    </row>
    <row r="8" spans="1:10" x14ac:dyDescent="0.3">
      <c r="C8" s="1" t="s">
        <v>279</v>
      </c>
      <c r="D8" s="97">
        <v>29.073196158247526</v>
      </c>
    </row>
    <row r="9" spans="1:10" x14ac:dyDescent="0.3">
      <c r="C9" s="1" t="s">
        <v>278</v>
      </c>
      <c r="D9" s="97">
        <v>28.283454795781587</v>
      </c>
    </row>
    <row r="11" spans="1:10" x14ac:dyDescent="0.3">
      <c r="A11" s="99" t="s">
        <v>277</v>
      </c>
      <c r="C11" s="18" t="s">
        <v>276</v>
      </c>
      <c r="D11" s="18" t="s">
        <v>275</v>
      </c>
      <c r="F11" s="18" t="s">
        <v>276</v>
      </c>
      <c r="G11" s="18" t="s">
        <v>275</v>
      </c>
      <c r="I11" s="18" t="s">
        <v>276</v>
      </c>
      <c r="J11" s="18" t="s">
        <v>275</v>
      </c>
    </row>
    <row r="12" spans="1:10" x14ac:dyDescent="0.3">
      <c r="A12" s="1">
        <v>1</v>
      </c>
      <c r="C12" s="98" t="s">
        <v>266</v>
      </c>
      <c r="D12" s="95">
        <f>D3-D2</f>
        <v>-0.78974136246593929</v>
      </c>
      <c r="F12" s="98">
        <v>2</v>
      </c>
      <c r="G12" s="95">
        <f>D4-D2</f>
        <v>7.2286032987455187</v>
      </c>
      <c r="I12" s="95">
        <v>3</v>
      </c>
      <c r="J12" s="95">
        <f>D5-D2</f>
        <v>-10.075976579886149</v>
      </c>
    </row>
    <row r="13" spans="1:10" x14ac:dyDescent="0.3">
      <c r="A13" s="1">
        <f>1/2</f>
        <v>0.5</v>
      </c>
      <c r="C13" s="98" t="s">
        <v>274</v>
      </c>
      <c r="D13" s="95">
        <f>D6-D4</f>
        <v>-0.78974136246593929</v>
      </c>
      <c r="F13" s="98">
        <v>21</v>
      </c>
      <c r="G13" s="95">
        <f>D6-D3</f>
        <v>7.2286032987455187</v>
      </c>
      <c r="I13" s="95">
        <v>31</v>
      </c>
      <c r="J13" s="95">
        <f>D7-D3</f>
        <v>-10.075976579886149</v>
      </c>
    </row>
    <row r="14" spans="1:10" x14ac:dyDescent="0.3">
      <c r="A14" s="1">
        <f>1/2</f>
        <v>0.5</v>
      </c>
      <c r="C14" s="98" t="s">
        <v>273</v>
      </c>
      <c r="D14" s="95">
        <f>D7-D5</f>
        <v>-0.78974136246593929</v>
      </c>
      <c r="F14" s="98">
        <v>23</v>
      </c>
      <c r="G14" s="95">
        <f>D8-D5</f>
        <v>7.2286032987455222</v>
      </c>
      <c r="I14" s="95">
        <v>32</v>
      </c>
      <c r="J14" s="95">
        <f>D8-D4</f>
        <v>-10.075976579886145</v>
      </c>
    </row>
    <row r="15" spans="1:10" x14ac:dyDescent="0.3">
      <c r="A15" s="1">
        <v>1</v>
      </c>
      <c r="C15" s="98" t="s">
        <v>272</v>
      </c>
      <c r="D15" s="95">
        <f>D9-D8</f>
        <v>-0.78974136246593929</v>
      </c>
      <c r="F15" s="98">
        <v>213</v>
      </c>
      <c r="G15" s="95">
        <f>D9-D7</f>
        <v>7.2286032987455222</v>
      </c>
      <c r="I15" s="95">
        <v>312</v>
      </c>
      <c r="J15" s="95">
        <f>D9-D6</f>
        <v>-10.075976579886145</v>
      </c>
    </row>
    <row r="17" spans="3:14" x14ac:dyDescent="0.3">
      <c r="C17" s="1" t="s">
        <v>262</v>
      </c>
      <c r="D17" s="1">
        <f>SUMPRODUCT(D12:D15,$A$12:$A$15)/SUM($A$12:$A$15)</f>
        <v>-0.78974136246593929</v>
      </c>
      <c r="F17" s="1" t="s">
        <v>262</v>
      </c>
      <c r="G17" s="1">
        <f>SUMPRODUCT(G12:G15,$A$12:$A$15)/SUM($A$12:$A$15)</f>
        <v>7.2286032987455213</v>
      </c>
      <c r="I17" s="1" t="s">
        <v>262</v>
      </c>
      <c r="J17" s="1">
        <f>SUMPRODUCT(J12:J15,$A$12:$A$15)/SUM($A$12:$A$15)</f>
        <v>-10.075976579886147</v>
      </c>
      <c r="M17" s="1" t="s">
        <v>261</v>
      </c>
      <c r="N17" s="1">
        <f>D17+G17+J17</f>
        <v>-3.6371146436065649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0A2-5659-4A48-8AA7-1E20BAF3248B}">
  <sheetPr codeName="Sheet85">
    <tabColor rgb="FFFF0000"/>
  </sheetPr>
  <dimension ref="A2:Q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7" x14ac:dyDescent="0.3">
      <c r="C2" s="1" t="s">
        <v>283</v>
      </c>
      <c r="D2" s="97" cm="1">
        <f t="array" ref="D2:D9">Example1_Values!O24:O31</f>
        <v>31.920569439388153</v>
      </c>
    </row>
    <row r="3" spans="1:17" x14ac:dyDescent="0.3">
      <c r="C3" s="1" t="s">
        <v>269</v>
      </c>
      <c r="D3" s="97">
        <v>31.130828076922214</v>
      </c>
    </row>
    <row r="4" spans="1:17" x14ac:dyDescent="0.3">
      <c r="C4" s="1" t="s">
        <v>268</v>
      </c>
      <c r="D4" s="97">
        <v>39.149172738133672</v>
      </c>
    </row>
    <row r="5" spans="1:17" x14ac:dyDescent="0.3">
      <c r="C5" s="1" t="s">
        <v>282</v>
      </c>
      <c r="D5" s="97">
        <v>21.844592859502004</v>
      </c>
    </row>
    <row r="6" spans="1:17" x14ac:dyDescent="0.3">
      <c r="C6" s="1" t="s">
        <v>281</v>
      </c>
      <c r="D6" s="97">
        <v>38.359431375667732</v>
      </c>
    </row>
    <row r="7" spans="1:17" x14ac:dyDescent="0.3">
      <c r="C7" s="1" t="s">
        <v>280</v>
      </c>
      <c r="D7" s="97">
        <v>21.054851497036065</v>
      </c>
    </row>
    <row r="8" spans="1:17" x14ac:dyDescent="0.3">
      <c r="C8" s="1" t="s">
        <v>279</v>
      </c>
      <c r="D8" s="97">
        <v>29.073196158247526</v>
      </c>
    </row>
    <row r="9" spans="1:17" x14ac:dyDescent="0.3">
      <c r="C9" s="1" t="s">
        <v>278</v>
      </c>
      <c r="D9" s="97">
        <v>28.283454795781587</v>
      </c>
    </row>
    <row r="11" spans="1:17" x14ac:dyDescent="0.3">
      <c r="A11" s="99" t="s">
        <v>277</v>
      </c>
      <c r="C11" s="18" t="s">
        <v>276</v>
      </c>
      <c r="D11" s="18" t="s">
        <v>275</v>
      </c>
      <c r="F11" s="18" t="s">
        <v>276</v>
      </c>
      <c r="G11" s="18" t="s">
        <v>275</v>
      </c>
      <c r="I11" s="18" t="s">
        <v>276</v>
      </c>
      <c r="J11" s="18" t="s">
        <v>275</v>
      </c>
    </row>
    <row r="12" spans="1:17" x14ac:dyDescent="0.3">
      <c r="A12" s="1">
        <v>1</v>
      </c>
      <c r="C12" s="98" t="s">
        <v>266</v>
      </c>
      <c r="D12" s="95">
        <f>D3-D2</f>
        <v>-0.78974136246593929</v>
      </c>
      <c r="F12" s="98">
        <v>2</v>
      </c>
      <c r="G12" s="95">
        <f>D4-D2</f>
        <v>7.2286032987455187</v>
      </c>
      <c r="I12" s="95">
        <v>3</v>
      </c>
      <c r="J12" s="95">
        <f>D5-D2</f>
        <v>-10.075976579886149</v>
      </c>
      <c r="N12" s="164" t="s">
        <v>286</v>
      </c>
      <c r="O12" s="165" t="s">
        <v>20</v>
      </c>
      <c r="P12" s="165" t="s">
        <v>1</v>
      </c>
      <c r="Q12" s="166" t="s">
        <v>3</v>
      </c>
    </row>
    <row r="13" spans="1:17" x14ac:dyDescent="0.3">
      <c r="A13" s="1">
        <f>1/2</f>
        <v>0.5</v>
      </c>
      <c r="C13" s="98" t="s">
        <v>274</v>
      </c>
      <c r="D13" s="95">
        <f>D6-D4</f>
        <v>-0.78974136246593929</v>
      </c>
      <c r="F13" s="98">
        <v>21</v>
      </c>
      <c r="G13" s="95">
        <f>D6-D3</f>
        <v>7.2286032987455187</v>
      </c>
      <c r="I13" s="95">
        <v>31</v>
      </c>
      <c r="J13" s="95">
        <f>D7-D3</f>
        <v>-10.075976579886149</v>
      </c>
      <c r="N13" s="167">
        <f>D2</f>
        <v>31.920569439388153</v>
      </c>
      <c r="O13" s="168">
        <f>D17</f>
        <v>-0.78974136246593929</v>
      </c>
      <c r="P13" s="168">
        <f>G17</f>
        <v>7.2286032987455213</v>
      </c>
      <c r="Q13" s="169">
        <f>J17</f>
        <v>-10.075976579886147</v>
      </c>
    </row>
    <row r="14" spans="1:17" x14ac:dyDescent="0.3">
      <c r="A14" s="1">
        <f>1/2</f>
        <v>0.5</v>
      </c>
      <c r="C14" s="98" t="s">
        <v>273</v>
      </c>
      <c r="D14" s="95">
        <f>D7-D5</f>
        <v>-0.78974136246593929</v>
      </c>
      <c r="F14" s="98">
        <v>23</v>
      </c>
      <c r="G14" s="95">
        <f>D8-D5</f>
        <v>7.2286032987455222</v>
      </c>
      <c r="I14" s="95">
        <v>32</v>
      </c>
      <c r="J14" s="95">
        <f>D8-D4</f>
        <v>-10.075976579886145</v>
      </c>
    </row>
    <row r="15" spans="1:17" x14ac:dyDescent="0.3">
      <c r="A15" s="1">
        <v>1</v>
      </c>
      <c r="C15" s="98" t="s">
        <v>272</v>
      </c>
      <c r="D15" s="95">
        <f>D9-D8</f>
        <v>-0.78974136246593929</v>
      </c>
      <c r="F15" s="98">
        <v>213</v>
      </c>
      <c r="G15" s="95">
        <f>D9-D7</f>
        <v>7.2286032987455222</v>
      </c>
      <c r="I15" s="95">
        <v>312</v>
      </c>
      <c r="J15" s="95">
        <f>D9-D6</f>
        <v>-10.075976579886145</v>
      </c>
    </row>
    <row r="17" spans="3:14" x14ac:dyDescent="0.3">
      <c r="C17" s="1" t="s">
        <v>262</v>
      </c>
      <c r="D17" s="1">
        <f>SUMPRODUCT(D12:D15,$A$12:$A$15)/SUM($A$12:$A$15)</f>
        <v>-0.78974136246593929</v>
      </c>
      <c r="F17" s="1" t="s">
        <v>262</v>
      </c>
      <c r="G17" s="1">
        <f>SUMPRODUCT(G12:G15,$A$12:$A$15)/SUM($A$12:$A$15)</f>
        <v>7.2286032987455213</v>
      </c>
      <c r="I17" s="1" t="s">
        <v>262</v>
      </c>
      <c r="J17" s="1">
        <f>SUMPRODUCT(J12:J15,$A$12:$A$15)/SUM($A$12:$A$15)</f>
        <v>-10.075976579886147</v>
      </c>
      <c r="M17" s="1" t="s">
        <v>261</v>
      </c>
      <c r="N17" s="1">
        <f>D17+G17+J17</f>
        <v>-3.6371146436065649</v>
      </c>
    </row>
  </sheetData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5AEA-E24D-7C47-B397-2F9176B28E07}">
  <sheetPr codeName="Sheet8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8"/>
  <sheetViews>
    <sheetView workbookViewId="0">
      <selection activeCell="A9" sqref="A9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332</v>
      </c>
    </row>
    <row r="2" spans="1:1" x14ac:dyDescent="0.3">
      <c r="A2" s="95" t="s">
        <v>333</v>
      </c>
    </row>
    <row r="3" spans="1:1" x14ac:dyDescent="0.3">
      <c r="A3" s="95" t="s">
        <v>334</v>
      </c>
    </row>
    <row r="4" spans="1:1" x14ac:dyDescent="0.3">
      <c r="A4" s="95" t="s">
        <v>335</v>
      </c>
    </row>
    <row r="5" spans="1:1" x14ac:dyDescent="0.3">
      <c r="A5" s="95" t="s">
        <v>451</v>
      </c>
    </row>
    <row r="6" spans="1:1" x14ac:dyDescent="0.3">
      <c r="A6" s="95" t="s">
        <v>452</v>
      </c>
    </row>
    <row r="7" spans="1:1" x14ac:dyDescent="0.3">
      <c r="A7" s="95" t="s">
        <v>453</v>
      </c>
    </row>
    <row r="8" spans="1:1" x14ac:dyDescent="0.3">
      <c r="A8" s="95" t="s">
        <v>454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 codeName="Sheet61"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28" bestFit="1" customWidth="1"/>
    <col min="2" max="2" width="14.33203125" style="128" bestFit="1" customWidth="1"/>
    <col min="3" max="3" width="21.5" style="128" bestFit="1" customWidth="1"/>
    <col min="4" max="16384" width="10.83203125" style="128"/>
  </cols>
  <sheetData>
    <row r="1" spans="1:3" x14ac:dyDescent="0.3">
      <c r="A1" s="128" t="s">
        <v>313</v>
      </c>
      <c r="B1" s="128" t="s">
        <v>314</v>
      </c>
      <c r="C1" s="128" t="s">
        <v>315</v>
      </c>
    </row>
    <row r="2" spans="1:3" x14ac:dyDescent="0.3">
      <c r="A2" s="129" t="s">
        <v>316</v>
      </c>
      <c r="B2" s="130" t="s">
        <v>317</v>
      </c>
      <c r="C2" s="130" t="s">
        <v>318</v>
      </c>
    </row>
    <row r="3" spans="1:3" x14ac:dyDescent="0.3">
      <c r="A3" s="129" t="s">
        <v>316</v>
      </c>
      <c r="B3" s="130" t="s">
        <v>317</v>
      </c>
      <c r="C3" s="130" t="s">
        <v>318</v>
      </c>
    </row>
    <row r="4" spans="1:3" x14ac:dyDescent="0.3">
      <c r="A4" s="129" t="s">
        <v>316</v>
      </c>
      <c r="B4" s="130" t="s">
        <v>317</v>
      </c>
      <c r="C4" s="130" t="s">
        <v>318</v>
      </c>
    </row>
    <row r="5" spans="1:3" x14ac:dyDescent="0.3">
      <c r="A5" s="129" t="s">
        <v>316</v>
      </c>
      <c r="B5" s="130" t="s">
        <v>317</v>
      </c>
      <c r="C5" s="130" t="s">
        <v>319</v>
      </c>
    </row>
    <row r="6" spans="1:3" x14ac:dyDescent="0.3">
      <c r="A6" s="129" t="s">
        <v>316</v>
      </c>
      <c r="B6" s="130" t="s">
        <v>320</v>
      </c>
      <c r="C6" s="130" t="s">
        <v>319</v>
      </c>
    </row>
    <row r="7" spans="1:3" x14ac:dyDescent="0.3">
      <c r="A7" s="129" t="s">
        <v>321</v>
      </c>
      <c r="B7" s="130" t="s">
        <v>320</v>
      </c>
      <c r="C7" s="130" t="s">
        <v>318</v>
      </c>
    </row>
    <row r="8" spans="1:3" x14ac:dyDescent="0.3">
      <c r="A8" s="129" t="s">
        <v>321</v>
      </c>
      <c r="B8" s="130" t="s">
        <v>320</v>
      </c>
      <c r="C8" s="130" t="s">
        <v>319</v>
      </c>
    </row>
    <row r="9" spans="1:3" x14ac:dyDescent="0.3">
      <c r="A9" s="129" t="s">
        <v>321</v>
      </c>
      <c r="B9" s="130" t="s">
        <v>320</v>
      </c>
      <c r="C9" s="130" t="s">
        <v>319</v>
      </c>
    </row>
    <row r="10" spans="1:3" x14ac:dyDescent="0.3">
      <c r="A10" s="129" t="s">
        <v>321</v>
      </c>
      <c r="B10" s="130" t="s">
        <v>317</v>
      </c>
      <c r="C10" s="130" t="s">
        <v>319</v>
      </c>
    </row>
    <row r="11" spans="1:3" x14ac:dyDescent="0.3">
      <c r="A11" s="129" t="s">
        <v>321</v>
      </c>
      <c r="B11" s="130" t="s">
        <v>317</v>
      </c>
      <c r="C11" s="130" t="s">
        <v>319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 codeName="Sheet62"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31" bestFit="1" customWidth="1"/>
    <col min="2" max="2" width="21.5" style="131" bestFit="1" customWidth="1"/>
    <col min="3" max="16384" width="10.83203125" style="131"/>
  </cols>
  <sheetData>
    <row r="1" spans="1:2" x14ac:dyDescent="0.3">
      <c r="A1" s="128" t="s">
        <v>314</v>
      </c>
      <c r="B1" s="128" t="s">
        <v>315</v>
      </c>
    </row>
    <row r="2" spans="1:2" x14ac:dyDescent="0.3">
      <c r="A2" s="132" t="s">
        <v>317</v>
      </c>
      <c r="B2" s="132" t="s">
        <v>318</v>
      </c>
    </row>
    <row r="3" spans="1:2" x14ac:dyDescent="0.3">
      <c r="A3" s="132" t="s">
        <v>317</v>
      </c>
      <c r="B3" s="132" t="s">
        <v>319</v>
      </c>
    </row>
    <row r="4" spans="1:2" x14ac:dyDescent="0.3">
      <c r="A4" s="132" t="s">
        <v>320</v>
      </c>
      <c r="B4" s="132" t="s">
        <v>318</v>
      </c>
    </row>
    <row r="5" spans="1:2" x14ac:dyDescent="0.3">
      <c r="A5" s="132" t="s">
        <v>320</v>
      </c>
      <c r="B5" s="132" t="s">
        <v>319</v>
      </c>
    </row>
    <row r="6" spans="1:2" x14ac:dyDescent="0.3">
      <c r="A6" s="128"/>
      <c r="B6" s="128"/>
    </row>
    <row r="7" spans="1:2" x14ac:dyDescent="0.3">
      <c r="A7" s="128"/>
      <c r="B7" s="128"/>
    </row>
    <row r="8" spans="1:2" x14ac:dyDescent="0.3">
      <c r="A8" s="128"/>
      <c r="B8" s="128"/>
    </row>
    <row r="9" spans="1:2" x14ac:dyDescent="0.3">
      <c r="A9" s="128"/>
      <c r="B9" s="128"/>
    </row>
    <row r="10" spans="1:2" x14ac:dyDescent="0.3">
      <c r="A10" s="128"/>
      <c r="B10" s="128"/>
    </row>
    <row r="11" spans="1:2" x14ac:dyDescent="0.3">
      <c r="A11" s="128"/>
      <c r="B11" s="128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 codeName="Sheet63">
    <tabColor rgb="FFFF0000"/>
  </sheetPr>
  <dimension ref="A1:P29"/>
  <sheetViews>
    <sheetView zoomScale="80" zoomScaleNormal="80" workbookViewId="0">
      <selection activeCell="P20" sqref="P20"/>
    </sheetView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322</v>
      </c>
      <c r="I1" s="15" t="s">
        <v>323</v>
      </c>
    </row>
    <row r="2" spans="1:9" x14ac:dyDescent="0.3">
      <c r="A2" s="101" t="s">
        <v>316</v>
      </c>
      <c r="B2" s="102"/>
      <c r="D2" s="103" t="s">
        <v>317</v>
      </c>
      <c r="E2" s="104" t="s">
        <v>318</v>
      </c>
      <c r="F2" s="104"/>
      <c r="G2" s="105"/>
      <c r="H2" s="1">
        <v>1</v>
      </c>
      <c r="I2" s="1">
        <v>1</v>
      </c>
    </row>
    <row r="3" spans="1:9" x14ac:dyDescent="0.3">
      <c r="A3" s="101" t="s">
        <v>316</v>
      </c>
      <c r="B3" s="102"/>
      <c r="D3" s="106" t="s">
        <v>317</v>
      </c>
      <c r="E3" s="102" t="s">
        <v>318</v>
      </c>
      <c r="F3" s="102"/>
      <c r="G3" s="107"/>
      <c r="H3" s="1">
        <v>1</v>
      </c>
      <c r="I3" s="1">
        <v>1</v>
      </c>
    </row>
    <row r="4" spans="1:9" x14ac:dyDescent="0.3">
      <c r="A4" s="101" t="s">
        <v>316</v>
      </c>
      <c r="B4" s="102"/>
      <c r="D4" s="106" t="s">
        <v>317</v>
      </c>
      <c r="E4" s="102" t="s">
        <v>318</v>
      </c>
      <c r="F4" s="102"/>
      <c r="G4" s="107"/>
      <c r="H4" s="1">
        <v>1</v>
      </c>
      <c r="I4" s="1">
        <v>1</v>
      </c>
    </row>
    <row r="5" spans="1:9" x14ac:dyDescent="0.3">
      <c r="A5" s="101" t="s">
        <v>316</v>
      </c>
      <c r="B5" s="102"/>
      <c r="D5" s="106" t="s">
        <v>317</v>
      </c>
      <c r="E5" s="102" t="s">
        <v>319</v>
      </c>
      <c r="F5" s="102"/>
      <c r="G5" s="107"/>
      <c r="H5" s="1">
        <v>1</v>
      </c>
      <c r="I5" s="1">
        <f t="shared" ref="I5:I11" si="0">COUNTIF($D5:$G5,I$1)</f>
        <v>0</v>
      </c>
    </row>
    <row r="6" spans="1:9" x14ac:dyDescent="0.3">
      <c r="A6" s="101" t="s">
        <v>316</v>
      </c>
      <c r="B6" s="102"/>
      <c r="D6" s="106" t="s">
        <v>320</v>
      </c>
      <c r="E6" s="102" t="s">
        <v>319</v>
      </c>
      <c r="F6" s="102"/>
      <c r="G6" s="107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1" t="s">
        <v>321</v>
      </c>
      <c r="B7" s="102"/>
      <c r="D7" s="106" t="s">
        <v>320</v>
      </c>
      <c r="E7" s="102" t="s">
        <v>318</v>
      </c>
      <c r="F7" s="102"/>
      <c r="G7" s="107"/>
      <c r="H7" s="1">
        <f t="shared" si="1"/>
        <v>0</v>
      </c>
      <c r="I7" s="1">
        <v>1</v>
      </c>
    </row>
    <row r="8" spans="1:9" x14ac:dyDescent="0.3">
      <c r="A8" s="101" t="s">
        <v>321</v>
      </c>
      <c r="B8" s="102"/>
      <c r="D8" s="106" t="s">
        <v>320</v>
      </c>
      <c r="E8" s="102" t="s">
        <v>319</v>
      </c>
      <c r="F8" s="102"/>
      <c r="G8" s="107"/>
      <c r="H8" s="1">
        <f t="shared" si="1"/>
        <v>0</v>
      </c>
      <c r="I8" s="1">
        <f t="shared" si="0"/>
        <v>0</v>
      </c>
    </row>
    <row r="9" spans="1:9" x14ac:dyDescent="0.3">
      <c r="A9" s="101" t="s">
        <v>321</v>
      </c>
      <c r="B9" s="102"/>
      <c r="D9" s="106" t="s">
        <v>320</v>
      </c>
      <c r="E9" s="102" t="s">
        <v>319</v>
      </c>
      <c r="F9" s="102"/>
      <c r="G9" s="107"/>
      <c r="H9" s="1">
        <f t="shared" si="1"/>
        <v>0</v>
      </c>
      <c r="I9" s="1">
        <f t="shared" si="0"/>
        <v>0</v>
      </c>
    </row>
    <row r="10" spans="1:9" x14ac:dyDescent="0.3">
      <c r="A10" s="101" t="s">
        <v>321</v>
      </c>
      <c r="B10" s="102"/>
      <c r="D10" s="106" t="s">
        <v>317</v>
      </c>
      <c r="E10" s="102" t="s">
        <v>319</v>
      </c>
      <c r="F10" s="102"/>
      <c r="G10" s="107"/>
      <c r="H10" s="1">
        <v>1</v>
      </c>
      <c r="I10" s="1">
        <f t="shared" si="0"/>
        <v>0</v>
      </c>
    </row>
    <row r="11" spans="1:9" x14ac:dyDescent="0.3">
      <c r="A11" s="101" t="s">
        <v>321</v>
      </c>
      <c r="B11" s="102"/>
      <c r="D11" s="108" t="s">
        <v>317</v>
      </c>
      <c r="E11" s="109" t="s">
        <v>319</v>
      </c>
      <c r="F11" s="109"/>
      <c r="G11" s="110"/>
      <c r="H11" s="1">
        <v>1</v>
      </c>
      <c r="I11" s="1">
        <f t="shared" si="0"/>
        <v>0</v>
      </c>
    </row>
    <row r="13" spans="1:9" ht="30" x14ac:dyDescent="0.4">
      <c r="G13" s="100" t="s">
        <v>324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325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326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327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328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1"/>
      <c r="I18" s="111"/>
    </row>
    <row r="19" spans="1:16" x14ac:dyDescent="0.3">
      <c r="H19" s="15" t="s">
        <v>322</v>
      </c>
      <c r="I19" s="15" t="s">
        <v>323</v>
      </c>
      <c r="K19" s="15" t="s">
        <v>329</v>
      </c>
      <c r="L19" s="15" t="s">
        <v>330</v>
      </c>
      <c r="M19" s="15" t="s">
        <v>331</v>
      </c>
      <c r="N19" s="15"/>
      <c r="O19" s="15" t="s">
        <v>325</v>
      </c>
      <c r="P19" s="15" t="s">
        <v>326</v>
      </c>
    </row>
    <row r="20" spans="1:16" x14ac:dyDescent="0.3">
      <c r="A20" s="112"/>
      <c r="B20" s="113"/>
      <c r="D20" s="114" t="s">
        <v>317</v>
      </c>
      <c r="E20" s="115" t="s">
        <v>318</v>
      </c>
      <c r="F20" s="115"/>
      <c r="G20" s="116"/>
      <c r="H20" s="1">
        <v>1</v>
      </c>
      <c r="I20" s="1">
        <v>1</v>
      </c>
      <c r="K20" s="117" cm="1">
        <f t="array" ref="K20">PRODUCT(IF(H20:I20,$H$16:$I$16,1-$H$16:$I$16))</f>
        <v>0.48</v>
      </c>
      <c r="L20" s="117" cm="1">
        <f t="array" ref="L20">PRODUCT(IF(H20:I20,$H$17:$I$17,1-$H$17:$I$17))</f>
        <v>8.0000000000000016E-2</v>
      </c>
      <c r="M20" s="117">
        <f>K20*$H$14+L20*$H$15</f>
        <v>0.28000000000000003</v>
      </c>
      <c r="N20" s="117"/>
      <c r="O20" s="118">
        <f>K20*$H$14/M20</f>
        <v>0.85714285714285698</v>
      </c>
      <c r="P20" s="118">
        <f>L20*$H$14/M20</f>
        <v>0.14285714285714288</v>
      </c>
    </row>
    <row r="21" spans="1:16" x14ac:dyDescent="0.3">
      <c r="A21" s="112"/>
      <c r="B21" s="113"/>
      <c r="D21" s="119" t="s">
        <v>317</v>
      </c>
      <c r="E21" s="113" t="s">
        <v>319</v>
      </c>
      <c r="F21" s="113"/>
      <c r="G21" s="120"/>
      <c r="H21" s="1">
        <v>1</v>
      </c>
      <c r="I21" s="1">
        <v>0</v>
      </c>
      <c r="K21" s="117" cm="1">
        <f t="array" ref="K21">PRODUCT(IF(H21:I21,$H$16:$I$16,1-$H$16:$I$16))</f>
        <v>0.32000000000000006</v>
      </c>
      <c r="L21" s="117" cm="1">
        <f t="array" ref="L21">PRODUCT(IF(H21:I21,$H$17:$I$17,1-$H$17:$I$17))</f>
        <v>0.32000000000000006</v>
      </c>
      <c r="M21" s="117">
        <f t="shared" ref="M21:M23" si="2">K21*$H$14+L21*$H$15</f>
        <v>0.32000000000000006</v>
      </c>
      <c r="N21" s="117"/>
      <c r="O21" s="118">
        <f t="shared" ref="O21:O23" si="3">K21*$H$14/M21</f>
        <v>0.5</v>
      </c>
      <c r="P21" s="118">
        <f>L21*$H$14/M21</f>
        <v>0.5</v>
      </c>
    </row>
    <row r="22" spans="1:16" x14ac:dyDescent="0.3">
      <c r="A22" s="112"/>
      <c r="B22" s="113"/>
      <c r="D22" s="119" t="s">
        <v>320</v>
      </c>
      <c r="E22" s="113" t="s">
        <v>318</v>
      </c>
      <c r="F22" s="113"/>
      <c r="G22" s="120"/>
      <c r="H22" s="1">
        <v>0</v>
      </c>
      <c r="I22" s="1">
        <v>1</v>
      </c>
      <c r="K22" s="117" cm="1">
        <f t="array" ref="K22">PRODUCT(IF(H22:I22,$H$16:$I$16,1-$H$16:$I$16))</f>
        <v>0.11999999999999997</v>
      </c>
      <c r="L22" s="117" cm="1">
        <f t="array" ref="L22">PRODUCT(IF(H22:I22,$H$17:$I$17,1-$H$17:$I$17))</f>
        <v>0.12</v>
      </c>
      <c r="M22" s="117">
        <f t="shared" si="2"/>
        <v>0.11999999999999998</v>
      </c>
      <c r="N22" s="117"/>
      <c r="O22" s="118">
        <f t="shared" si="3"/>
        <v>0.49999999999999994</v>
      </c>
      <c r="P22" s="118">
        <f>L22*$H$14/M22</f>
        <v>0.50000000000000011</v>
      </c>
    </row>
    <row r="23" spans="1:16" x14ac:dyDescent="0.3">
      <c r="A23" s="112"/>
      <c r="B23" s="113"/>
      <c r="D23" s="119" t="s">
        <v>320</v>
      </c>
      <c r="E23" s="113" t="s">
        <v>319</v>
      </c>
      <c r="F23" s="113"/>
      <c r="G23" s="120"/>
      <c r="H23" s="1">
        <v>0</v>
      </c>
      <c r="I23" s="1">
        <v>0</v>
      </c>
      <c r="K23" s="117" cm="1">
        <f t="array" ref="K23">PRODUCT(IF(H23:I23,$H$16:$I$16,1-$H$16:$I$16))</f>
        <v>7.9999999999999988E-2</v>
      </c>
      <c r="L23" s="117" cm="1">
        <f t="array" ref="L23">PRODUCT(IF(H23:I23,$H$17:$I$17,1-$H$17:$I$17))</f>
        <v>0.48</v>
      </c>
      <c r="M23" s="117">
        <f t="shared" si="2"/>
        <v>0.27999999999999997</v>
      </c>
      <c r="N23" s="117"/>
      <c r="O23" s="118">
        <f t="shared" si="3"/>
        <v>0.14285714285714285</v>
      </c>
      <c r="P23" s="118">
        <f>L23*$H$14/M23</f>
        <v>0.85714285714285721</v>
      </c>
    </row>
    <row r="24" spans="1:16" x14ac:dyDescent="0.3">
      <c r="A24" s="112"/>
      <c r="B24" s="113"/>
      <c r="D24" s="119"/>
      <c r="E24" s="113"/>
      <c r="F24" s="113"/>
      <c r="G24" s="120"/>
      <c r="K24" s="117"/>
      <c r="L24" s="117"/>
      <c r="M24" s="117"/>
      <c r="N24" s="117"/>
      <c r="O24" s="118"/>
      <c r="P24" s="118"/>
    </row>
    <row r="25" spans="1:16" x14ac:dyDescent="0.3">
      <c r="A25" s="112"/>
      <c r="B25" s="113"/>
      <c r="D25" s="119"/>
      <c r="E25" s="113"/>
      <c r="F25" s="113"/>
      <c r="G25" s="120"/>
      <c r="K25" s="117"/>
      <c r="L25" s="117"/>
      <c r="M25" s="117"/>
      <c r="N25" s="117"/>
      <c r="O25" s="118"/>
      <c r="P25" s="118"/>
    </row>
    <row r="26" spans="1:16" x14ac:dyDescent="0.3">
      <c r="A26" s="112"/>
      <c r="B26" s="113"/>
      <c r="D26" s="119"/>
      <c r="E26" s="113"/>
      <c r="F26" s="113"/>
      <c r="G26" s="120"/>
      <c r="K26" s="117"/>
      <c r="L26" s="117"/>
      <c r="M26" s="117"/>
      <c r="N26" s="117"/>
      <c r="O26" s="118"/>
      <c r="P26" s="118"/>
    </row>
    <row r="27" spans="1:16" x14ac:dyDescent="0.3">
      <c r="A27" s="112"/>
      <c r="B27" s="113"/>
      <c r="D27" s="119"/>
      <c r="E27" s="113"/>
      <c r="F27" s="113"/>
      <c r="G27" s="120"/>
      <c r="K27" s="117"/>
      <c r="L27" s="117"/>
      <c r="M27" s="117"/>
      <c r="N27" s="117"/>
      <c r="O27" s="118"/>
      <c r="P27" s="118"/>
    </row>
    <row r="28" spans="1:16" x14ac:dyDescent="0.3">
      <c r="A28" s="112"/>
      <c r="B28" s="113"/>
      <c r="D28" s="119"/>
      <c r="E28" s="113"/>
      <c r="F28" s="113"/>
      <c r="G28" s="120"/>
      <c r="K28" s="117"/>
      <c r="L28" s="117"/>
      <c r="M28" s="117"/>
      <c r="N28" s="117"/>
      <c r="O28" s="118"/>
      <c r="P28" s="118"/>
    </row>
    <row r="29" spans="1:16" x14ac:dyDescent="0.3">
      <c r="A29" s="112"/>
      <c r="B29" s="113"/>
      <c r="D29" s="121"/>
      <c r="E29" s="122"/>
      <c r="F29" s="122"/>
      <c r="G29" s="123"/>
      <c r="K29" s="117"/>
      <c r="L29" s="117"/>
      <c r="M29" s="117"/>
      <c r="N29" s="117"/>
      <c r="O29" s="118"/>
      <c r="P29" s="118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 codeName="Sheet64"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4657-140C-4241-B0AD-4D978DAF3737}">
  <sheetPr codeName="Sheet65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369</v>
      </c>
      <c r="B1" s="1" t="s">
        <v>370</v>
      </c>
    </row>
    <row r="2" spans="1:2" x14ac:dyDescent="0.3">
      <c r="A2" s="101" t="s">
        <v>371</v>
      </c>
      <c r="B2" s="102" t="s">
        <v>372</v>
      </c>
    </row>
    <row r="3" spans="1:2" x14ac:dyDescent="0.3">
      <c r="A3" s="101" t="s">
        <v>371</v>
      </c>
      <c r="B3" s="102" t="s">
        <v>373</v>
      </c>
    </row>
    <row r="4" spans="1:2" x14ac:dyDescent="0.3">
      <c r="A4" s="101" t="s">
        <v>371</v>
      </c>
      <c r="B4" s="102" t="s">
        <v>374</v>
      </c>
    </row>
    <row r="5" spans="1:2" x14ac:dyDescent="0.3">
      <c r="A5" s="101" t="s">
        <v>371</v>
      </c>
      <c r="B5" s="102" t="s">
        <v>375</v>
      </c>
    </row>
    <row r="6" spans="1:2" x14ac:dyDescent="0.3">
      <c r="A6" s="101" t="s">
        <v>371</v>
      </c>
      <c r="B6" s="102" t="s">
        <v>376</v>
      </c>
    </row>
    <row r="7" spans="1:2" x14ac:dyDescent="0.3">
      <c r="A7" s="101" t="s">
        <v>377</v>
      </c>
      <c r="B7" s="102" t="s">
        <v>378</v>
      </c>
    </row>
    <row r="8" spans="1:2" x14ac:dyDescent="0.3">
      <c r="A8" s="101" t="s">
        <v>377</v>
      </c>
      <c r="B8" s="102" t="s">
        <v>379</v>
      </c>
    </row>
    <row r="9" spans="1:2" x14ac:dyDescent="0.3">
      <c r="A9" s="101" t="s">
        <v>377</v>
      </c>
      <c r="B9" s="102" t="s">
        <v>380</v>
      </c>
    </row>
    <row r="10" spans="1:2" x14ac:dyDescent="0.3">
      <c r="A10" s="101" t="s">
        <v>377</v>
      </c>
      <c r="B10" s="102" t="s">
        <v>374</v>
      </c>
    </row>
    <row r="11" spans="1:2" x14ac:dyDescent="0.3">
      <c r="A11" s="101" t="s">
        <v>377</v>
      </c>
      <c r="B11" s="102" t="s">
        <v>381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BB5E-1763-6E4A-8E5D-5FB88F036C40}">
  <sheetPr codeName="Sheet66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369</v>
      </c>
      <c r="B1" s="1" t="s">
        <v>370</v>
      </c>
    </row>
    <row r="2" spans="1:2" x14ac:dyDescent="0.3">
      <c r="A2" s="112" t="s">
        <v>377</v>
      </c>
      <c r="B2" s="113" t="s">
        <v>382</v>
      </c>
    </row>
    <row r="3" spans="1:2" x14ac:dyDescent="0.3">
      <c r="A3" s="112" t="s">
        <v>377</v>
      </c>
      <c r="B3" s="113" t="s">
        <v>375</v>
      </c>
    </row>
    <row r="4" spans="1:2" x14ac:dyDescent="0.3">
      <c r="A4" s="112" t="s">
        <v>377</v>
      </c>
      <c r="B4" s="113" t="s">
        <v>383</v>
      </c>
    </row>
    <row r="5" spans="1:2" x14ac:dyDescent="0.3">
      <c r="A5" s="112" t="s">
        <v>377</v>
      </c>
      <c r="B5" s="113" t="s">
        <v>384</v>
      </c>
    </row>
    <row r="6" spans="1:2" x14ac:dyDescent="0.3">
      <c r="A6" s="112" t="s">
        <v>377</v>
      </c>
      <c r="B6" s="113" t="s">
        <v>385</v>
      </c>
    </row>
    <row r="7" spans="1:2" x14ac:dyDescent="0.3">
      <c r="A7" s="112" t="s">
        <v>377</v>
      </c>
      <c r="B7" s="113" t="s">
        <v>383</v>
      </c>
    </row>
    <row r="8" spans="1:2" x14ac:dyDescent="0.3">
      <c r="A8" s="112" t="s">
        <v>377</v>
      </c>
      <c r="B8" s="113" t="s">
        <v>376</v>
      </c>
    </row>
    <row r="9" spans="1:2" x14ac:dyDescent="0.3">
      <c r="A9" s="112" t="s">
        <v>386</v>
      </c>
      <c r="B9" s="113" t="s">
        <v>387</v>
      </c>
    </row>
    <row r="10" spans="1:2" x14ac:dyDescent="0.3">
      <c r="A10" s="112" t="s">
        <v>386</v>
      </c>
      <c r="B10" s="113" t="s">
        <v>388</v>
      </c>
    </row>
    <row r="11" spans="1:2" x14ac:dyDescent="0.3">
      <c r="A11" s="112" t="s">
        <v>386</v>
      </c>
      <c r="B11" s="113" t="s">
        <v>389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FB7-F84E-2747-AA6D-D298EEA3F0AD}">
  <sheetPr codeName="Sheet67">
    <tabColor rgb="FF92D050"/>
  </sheetPr>
  <dimension ref="A1:T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3" width="2.6640625" style="1" customWidth="1"/>
    <col min="4" max="6" width="13.5" style="1" customWidth="1"/>
    <col min="7" max="7" width="15.6640625" style="1" bestFit="1" customWidth="1"/>
    <col min="8" max="8" width="10.83203125" style="1" customWidth="1"/>
    <col min="9" max="14" width="10.83203125" style="1"/>
    <col min="15" max="15" width="14.5" style="1" customWidth="1"/>
    <col min="16" max="16" width="15.6640625" style="1" bestFit="1" customWidth="1"/>
    <col min="17" max="17" width="9" style="1" bestFit="1" customWidth="1"/>
    <col min="18" max="18" width="9" style="1" customWidth="1"/>
    <col min="19" max="19" width="14" style="1" bestFit="1" customWidth="1"/>
    <col min="20" max="20" width="13.33203125" style="1" bestFit="1" customWidth="1"/>
    <col min="21" max="16384" width="10.83203125" style="1"/>
  </cols>
  <sheetData>
    <row r="1" spans="1:13" x14ac:dyDescent="0.3">
      <c r="A1" s="1" t="s">
        <v>369</v>
      </c>
      <c r="B1" s="1" t="s">
        <v>370</v>
      </c>
      <c r="D1" s="1" t="s">
        <v>370</v>
      </c>
      <c r="H1" s="13" t="s">
        <v>383</v>
      </c>
      <c r="I1" s="13" t="s">
        <v>390</v>
      </c>
      <c r="J1" s="13" t="s">
        <v>391</v>
      </c>
      <c r="K1" s="13" t="s">
        <v>392</v>
      </c>
      <c r="L1" s="13" t="s">
        <v>385</v>
      </c>
      <c r="M1" s="13" t="s">
        <v>384</v>
      </c>
    </row>
    <row r="2" spans="1:13" x14ac:dyDescent="0.3">
      <c r="A2" s="101" t="s">
        <v>371</v>
      </c>
      <c r="B2" s="102" t="s">
        <v>372</v>
      </c>
      <c r="D2" s="103" t="s">
        <v>385</v>
      </c>
      <c r="E2" s="104" t="s">
        <v>393</v>
      </c>
      <c r="F2" s="104"/>
      <c r="G2" s="105"/>
      <c r="H2" s="1">
        <f>COUNTIF($D2:$G2,H$1)</f>
        <v>0</v>
      </c>
      <c r="I2" s="1">
        <f t="shared" ref="I2:M11" si="0">COUNTIF($D2:$G2,I$1)</f>
        <v>0</v>
      </c>
      <c r="J2" s="1">
        <f t="shared" si="0"/>
        <v>0</v>
      </c>
      <c r="K2" s="1">
        <f t="shared" si="0"/>
        <v>0</v>
      </c>
      <c r="L2" s="1">
        <f t="shared" si="0"/>
        <v>1</v>
      </c>
      <c r="M2" s="1">
        <f t="shared" si="0"/>
        <v>0</v>
      </c>
    </row>
    <row r="3" spans="1:13" x14ac:dyDescent="0.3">
      <c r="A3" s="101" t="s">
        <v>371</v>
      </c>
      <c r="B3" s="102" t="s">
        <v>373</v>
      </c>
      <c r="D3" s="106" t="s">
        <v>385</v>
      </c>
      <c r="E3" s="102" t="s">
        <v>394</v>
      </c>
      <c r="F3" s="102"/>
      <c r="G3" s="107"/>
      <c r="H3" s="1">
        <f t="shared" ref="H3:H11" si="1">COUNTIF($D3:$G3,H$1)</f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1</v>
      </c>
      <c r="M3" s="1">
        <f t="shared" si="0"/>
        <v>0</v>
      </c>
    </row>
    <row r="4" spans="1:13" x14ac:dyDescent="0.3">
      <c r="A4" s="101" t="s">
        <v>371</v>
      </c>
      <c r="B4" s="102" t="s">
        <v>374</v>
      </c>
      <c r="D4" s="106" t="s">
        <v>383</v>
      </c>
      <c r="E4" s="102" t="s">
        <v>395</v>
      </c>
      <c r="F4" s="102" t="s">
        <v>292</v>
      </c>
      <c r="G4" s="107" t="s">
        <v>392</v>
      </c>
      <c r="H4" s="1">
        <f t="shared" si="1"/>
        <v>1</v>
      </c>
      <c r="I4" s="1">
        <f t="shared" si="0"/>
        <v>0</v>
      </c>
      <c r="J4" s="1">
        <f t="shared" si="0"/>
        <v>0</v>
      </c>
      <c r="K4" s="1">
        <f t="shared" si="0"/>
        <v>1</v>
      </c>
      <c r="L4" s="1">
        <f t="shared" si="0"/>
        <v>0</v>
      </c>
      <c r="M4" s="1">
        <f t="shared" si="0"/>
        <v>0</v>
      </c>
    </row>
    <row r="5" spans="1:13" x14ac:dyDescent="0.3">
      <c r="A5" s="101" t="s">
        <v>371</v>
      </c>
      <c r="B5" s="102" t="s">
        <v>375</v>
      </c>
      <c r="D5" s="106" t="s">
        <v>390</v>
      </c>
      <c r="E5" s="102" t="s">
        <v>396</v>
      </c>
      <c r="F5" s="102" t="s">
        <v>397</v>
      </c>
      <c r="G5" s="107" t="s">
        <v>392</v>
      </c>
      <c r="H5" s="1">
        <f t="shared" si="1"/>
        <v>0</v>
      </c>
      <c r="I5" s="1">
        <f t="shared" si="0"/>
        <v>1</v>
      </c>
      <c r="J5" s="1">
        <f t="shared" si="0"/>
        <v>0</v>
      </c>
      <c r="K5" s="1">
        <f t="shared" si="0"/>
        <v>1</v>
      </c>
      <c r="L5" s="1">
        <f t="shared" si="0"/>
        <v>0</v>
      </c>
      <c r="M5" s="1">
        <f t="shared" si="0"/>
        <v>0</v>
      </c>
    </row>
    <row r="6" spans="1:13" x14ac:dyDescent="0.3">
      <c r="A6" s="101" t="s">
        <v>371</v>
      </c>
      <c r="B6" s="102" t="s">
        <v>376</v>
      </c>
      <c r="D6" s="106" t="s">
        <v>391</v>
      </c>
      <c r="E6" s="102" t="s">
        <v>390</v>
      </c>
      <c r="F6" s="102"/>
      <c r="G6" s="107"/>
      <c r="H6" s="1">
        <f t="shared" si="1"/>
        <v>0</v>
      </c>
      <c r="I6" s="1">
        <f t="shared" si="0"/>
        <v>1</v>
      </c>
      <c r="J6" s="1">
        <f t="shared" si="0"/>
        <v>1</v>
      </c>
      <c r="K6" s="1">
        <f t="shared" si="0"/>
        <v>0</v>
      </c>
      <c r="L6" s="1">
        <f t="shared" si="0"/>
        <v>0</v>
      </c>
      <c r="M6" s="1">
        <f t="shared" si="0"/>
        <v>0</v>
      </c>
    </row>
    <row r="7" spans="1:13" x14ac:dyDescent="0.3">
      <c r="A7" s="101" t="s">
        <v>377</v>
      </c>
      <c r="B7" s="102" t="s">
        <v>378</v>
      </c>
      <c r="D7" s="106" t="s">
        <v>383</v>
      </c>
      <c r="E7" s="102" t="s">
        <v>393</v>
      </c>
      <c r="F7" s="102"/>
      <c r="G7" s="107"/>
      <c r="H7" s="1">
        <f t="shared" si="1"/>
        <v>1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</row>
    <row r="8" spans="1:13" x14ac:dyDescent="0.3">
      <c r="A8" s="101" t="s">
        <v>377</v>
      </c>
      <c r="B8" s="102" t="s">
        <v>379</v>
      </c>
      <c r="D8" s="106" t="s">
        <v>385</v>
      </c>
      <c r="E8" s="102" t="s">
        <v>393</v>
      </c>
      <c r="F8" s="102" t="s">
        <v>383</v>
      </c>
      <c r="G8" s="107"/>
      <c r="H8" s="1">
        <f t="shared" si="1"/>
        <v>1</v>
      </c>
      <c r="I8" s="1">
        <f t="shared" si="0"/>
        <v>0</v>
      </c>
      <c r="J8" s="1">
        <f t="shared" si="0"/>
        <v>0</v>
      </c>
      <c r="K8" s="1">
        <f t="shared" si="0"/>
        <v>0</v>
      </c>
      <c r="L8" s="1">
        <f t="shared" si="0"/>
        <v>1</v>
      </c>
      <c r="M8" s="1">
        <f t="shared" si="0"/>
        <v>0</v>
      </c>
    </row>
    <row r="9" spans="1:13" x14ac:dyDescent="0.3">
      <c r="A9" s="101" t="s">
        <v>377</v>
      </c>
      <c r="B9" s="102" t="s">
        <v>380</v>
      </c>
      <c r="D9" s="106" t="s">
        <v>383</v>
      </c>
      <c r="E9" s="102" t="s">
        <v>398</v>
      </c>
      <c r="F9" s="102"/>
      <c r="G9" s="107"/>
      <c r="H9" s="1">
        <f t="shared" si="1"/>
        <v>1</v>
      </c>
      <c r="I9" s="1">
        <f t="shared" si="0"/>
        <v>0</v>
      </c>
      <c r="J9" s="1">
        <f t="shared" si="0"/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</row>
    <row r="10" spans="1:13" x14ac:dyDescent="0.3">
      <c r="A10" s="101" t="s">
        <v>377</v>
      </c>
      <c r="B10" s="102" t="s">
        <v>374</v>
      </c>
      <c r="D10" s="106" t="s">
        <v>383</v>
      </c>
      <c r="E10" s="102" t="s">
        <v>395</v>
      </c>
      <c r="F10" s="102" t="s">
        <v>292</v>
      </c>
      <c r="G10" s="107" t="s">
        <v>392</v>
      </c>
      <c r="H10" s="1">
        <f t="shared" si="1"/>
        <v>1</v>
      </c>
      <c r="I10" s="1">
        <f t="shared" si="0"/>
        <v>0</v>
      </c>
      <c r="J10" s="1">
        <f t="shared" si="0"/>
        <v>0</v>
      </c>
      <c r="K10" s="1">
        <f t="shared" si="0"/>
        <v>1</v>
      </c>
      <c r="L10" s="1">
        <f t="shared" si="0"/>
        <v>0</v>
      </c>
      <c r="M10" s="1">
        <f t="shared" si="0"/>
        <v>0</v>
      </c>
    </row>
    <row r="11" spans="1:13" x14ac:dyDescent="0.3">
      <c r="A11" s="101" t="s">
        <v>377</v>
      </c>
      <c r="B11" s="102" t="s">
        <v>381</v>
      </c>
      <c r="D11" s="108" t="s">
        <v>384</v>
      </c>
      <c r="E11" s="109" t="s">
        <v>399</v>
      </c>
      <c r="F11" s="109" t="s">
        <v>390</v>
      </c>
      <c r="G11" s="110"/>
      <c r="H11" s="1">
        <f t="shared" si="1"/>
        <v>0</v>
      </c>
      <c r="I11" s="1">
        <f t="shared" si="0"/>
        <v>1</v>
      </c>
      <c r="J11" s="1">
        <f t="shared" si="0"/>
        <v>0</v>
      </c>
      <c r="K11" s="1">
        <f t="shared" si="0"/>
        <v>0</v>
      </c>
      <c r="L11" s="1">
        <f t="shared" si="0"/>
        <v>0</v>
      </c>
      <c r="M11" s="1">
        <f t="shared" si="0"/>
        <v>1</v>
      </c>
    </row>
    <row r="13" spans="1:13" ht="30" x14ac:dyDescent="0.4">
      <c r="G13" s="100" t="s">
        <v>324</v>
      </c>
      <c r="H13" s="1">
        <f t="shared" ref="H13:M13" si="2">SUM(H2:H11)/COUNT(H2:H11)</f>
        <v>0.5</v>
      </c>
      <c r="I13" s="1">
        <f t="shared" si="2"/>
        <v>0.3</v>
      </c>
      <c r="J13" s="1">
        <f t="shared" si="2"/>
        <v>0.1</v>
      </c>
      <c r="K13" s="1">
        <f t="shared" si="2"/>
        <v>0.3</v>
      </c>
      <c r="L13" s="1">
        <f t="shared" si="2"/>
        <v>0.3</v>
      </c>
      <c r="M13" s="1">
        <f t="shared" si="2"/>
        <v>0.1</v>
      </c>
    </row>
    <row r="14" spans="1:13" x14ac:dyDescent="0.3">
      <c r="G14" s="100" t="s">
        <v>400</v>
      </c>
      <c r="H14" s="1">
        <f>COUNTIF($A$2:$A$11,"Ham")/COUNTA($A$2:$A$11)</f>
        <v>0.5</v>
      </c>
      <c r="I14" s="1">
        <f t="shared" ref="I14:M14" si="3">COUNTIF($A$2:$A$11,"Ham")/COUNTA($A$2:$A$11)</f>
        <v>0.5</v>
      </c>
      <c r="J14" s="1">
        <f t="shared" si="3"/>
        <v>0.5</v>
      </c>
      <c r="K14" s="1">
        <f t="shared" si="3"/>
        <v>0.5</v>
      </c>
      <c r="L14" s="1">
        <f t="shared" si="3"/>
        <v>0.5</v>
      </c>
      <c r="M14" s="1">
        <f t="shared" si="3"/>
        <v>0.5</v>
      </c>
    </row>
    <row r="15" spans="1:13" x14ac:dyDescent="0.3">
      <c r="G15" s="100" t="s">
        <v>401</v>
      </c>
      <c r="H15" s="1">
        <f>COUNTIF($A$2:$A$11,"Spam")/COUNTA($A$2:$A$11)</f>
        <v>0.5</v>
      </c>
      <c r="I15" s="1">
        <f t="shared" ref="I15:M15" si="4">COUNTIF($A$2:$A$11,"Spam")/COUNTA($A$2:$A$11)</f>
        <v>0.5</v>
      </c>
      <c r="J15" s="1">
        <f t="shared" si="4"/>
        <v>0.5</v>
      </c>
      <c r="K15" s="1">
        <f t="shared" si="4"/>
        <v>0.5</v>
      </c>
      <c r="L15" s="1">
        <f t="shared" si="4"/>
        <v>0.5</v>
      </c>
      <c r="M15" s="1">
        <f t="shared" si="4"/>
        <v>0.5</v>
      </c>
    </row>
    <row r="16" spans="1:13" ht="30" x14ac:dyDescent="0.4">
      <c r="G16" s="100" t="s">
        <v>402</v>
      </c>
      <c r="H16" s="1">
        <f t="shared" ref="H16:M16" si="5">COUNTIFS(H2:H11,1,$A$2:$A$11,"Ham")/COUNTIFS($A$2:$A$11,"Ham")</f>
        <v>0.2</v>
      </c>
      <c r="I16" s="1">
        <f t="shared" si="5"/>
        <v>0.4</v>
      </c>
      <c r="J16" s="1">
        <f t="shared" si="5"/>
        <v>0.2</v>
      </c>
      <c r="K16" s="1">
        <f t="shared" si="5"/>
        <v>0.4</v>
      </c>
      <c r="L16" s="1">
        <f t="shared" si="5"/>
        <v>0.4</v>
      </c>
      <c r="M16" s="1">
        <f t="shared" si="5"/>
        <v>0</v>
      </c>
    </row>
    <row r="17" spans="1:20" ht="30" x14ac:dyDescent="0.4">
      <c r="G17" s="100" t="s">
        <v>403</v>
      </c>
      <c r="H17" s="1">
        <f t="shared" ref="H17:M17" si="6">COUNTIFS(H2:H11,1,$A$2:$A$11,"Spam")/COUNTIFS($A$2:$A$11,"Spam")</f>
        <v>0.8</v>
      </c>
      <c r="I17" s="1">
        <f t="shared" si="6"/>
        <v>0.2</v>
      </c>
      <c r="J17" s="1">
        <f t="shared" si="6"/>
        <v>0</v>
      </c>
      <c r="K17" s="1">
        <f t="shared" si="6"/>
        <v>0.2</v>
      </c>
      <c r="L17" s="1">
        <f t="shared" si="6"/>
        <v>0.2</v>
      </c>
      <c r="M17" s="1">
        <f t="shared" si="6"/>
        <v>0.2</v>
      </c>
    </row>
    <row r="18" spans="1:20" x14ac:dyDescent="0.3">
      <c r="G18" s="100"/>
      <c r="H18" s="111"/>
      <c r="I18" s="111"/>
      <c r="J18" s="111"/>
      <c r="K18" s="111"/>
      <c r="L18" s="111"/>
      <c r="M18" s="111"/>
    </row>
    <row r="19" spans="1:20" ht="30" x14ac:dyDescent="0.4">
      <c r="A19" s="1" t="s">
        <v>369</v>
      </c>
      <c r="B19" s="1" t="s">
        <v>370</v>
      </c>
      <c r="D19" s="1" t="s">
        <v>370</v>
      </c>
      <c r="H19" s="13" t="s">
        <v>383</v>
      </c>
      <c r="I19" s="13" t="s">
        <v>390</v>
      </c>
      <c r="J19" s="13" t="s">
        <v>391</v>
      </c>
      <c r="K19" s="13" t="s">
        <v>392</v>
      </c>
      <c r="L19" s="13" t="s">
        <v>385</v>
      </c>
      <c r="M19" s="13" t="s">
        <v>384</v>
      </c>
      <c r="O19" s="135" t="s">
        <v>404</v>
      </c>
      <c r="P19" s="135" t="s">
        <v>405</v>
      </c>
      <c r="Q19" s="135" t="s">
        <v>331</v>
      </c>
      <c r="R19" s="135"/>
      <c r="S19" s="135" t="s">
        <v>406</v>
      </c>
      <c r="T19" s="135" t="s">
        <v>407</v>
      </c>
    </row>
    <row r="20" spans="1:20" x14ac:dyDescent="0.3">
      <c r="A20" s="112" t="s">
        <v>377</v>
      </c>
      <c r="B20" s="113" t="s">
        <v>382</v>
      </c>
      <c r="D20" s="114" t="s">
        <v>383</v>
      </c>
      <c r="E20" s="115" t="s">
        <v>395</v>
      </c>
      <c r="F20" s="115" t="s">
        <v>292</v>
      </c>
      <c r="G20" s="116" t="s">
        <v>390</v>
      </c>
      <c r="H20" s="1">
        <f>COUNTIF($D20:$G20,H$1)</f>
        <v>1</v>
      </c>
      <c r="I20" s="1">
        <f t="shared" ref="I20:M29" si="7">COUNTIF($D20:$G20,I$1)</f>
        <v>1</v>
      </c>
      <c r="J20" s="1">
        <f t="shared" si="7"/>
        <v>0</v>
      </c>
      <c r="K20" s="1">
        <f t="shared" si="7"/>
        <v>0</v>
      </c>
      <c r="L20" s="1">
        <f t="shared" si="7"/>
        <v>0</v>
      </c>
      <c r="M20" s="1">
        <f t="shared" si="7"/>
        <v>0</v>
      </c>
      <c r="O20" s="117" cm="1">
        <f t="array" ref="O20">PRODUCT(IF(H20:M20,$H$16:$M$16,1-$H$16:$M$16))</f>
        <v>2.3040000000000005E-2</v>
      </c>
      <c r="P20" s="117" cm="1">
        <f t="array" ref="P20">PRODUCT(IF(H20:M20,$H$17:$M$17,1-$H$17:$M$17))</f>
        <v>8.1920000000000034E-2</v>
      </c>
      <c r="Q20" s="117">
        <f>O20*$H$14+P20*$H$15</f>
        <v>5.248000000000002E-2</v>
      </c>
      <c r="R20" s="117"/>
      <c r="S20" s="136">
        <f t="shared" ref="S20:S29" si="8">O20*$H$14/Q20</f>
        <v>0.21951219512195119</v>
      </c>
      <c r="T20" s="118">
        <f t="shared" ref="T20:T29" si="9">P20*$H$14/Q20</f>
        <v>0.78048780487804881</v>
      </c>
    </row>
    <row r="21" spans="1:20" x14ac:dyDescent="0.3">
      <c r="A21" s="112" t="s">
        <v>377</v>
      </c>
      <c r="B21" s="113" t="s">
        <v>375</v>
      </c>
      <c r="D21" s="119" t="s">
        <v>390</v>
      </c>
      <c r="E21" s="113" t="s">
        <v>396</v>
      </c>
      <c r="F21" s="113" t="s">
        <v>397</v>
      </c>
      <c r="G21" s="120" t="s">
        <v>392</v>
      </c>
      <c r="H21" s="1">
        <f t="shared" ref="H21:H29" si="10">COUNTIF($D21:$G21,H$1)</f>
        <v>0</v>
      </c>
      <c r="I21" s="1">
        <f t="shared" si="7"/>
        <v>1</v>
      </c>
      <c r="J21" s="1">
        <f t="shared" si="7"/>
        <v>0</v>
      </c>
      <c r="K21" s="1">
        <f t="shared" si="7"/>
        <v>1</v>
      </c>
      <c r="L21" s="1">
        <f t="shared" si="7"/>
        <v>0</v>
      </c>
      <c r="M21" s="1">
        <f t="shared" si="7"/>
        <v>0</v>
      </c>
      <c r="O21" s="117" cm="1">
        <f t="array" ref="O21">PRODUCT(IF(H21:M21,$H$16:$M$16,1-$H$16:$M$16))</f>
        <v>6.1440000000000015E-2</v>
      </c>
      <c r="P21" s="117" cm="1">
        <f t="array" ref="P21">PRODUCT(IF(H21:M21,$H$17:$M$17,1-$H$17:$M$17))</f>
        <v>5.1199999999999996E-3</v>
      </c>
      <c r="Q21" s="117">
        <f t="shared" ref="Q21:Q29" si="11">O21*$H$14+P21*$H$15</f>
        <v>3.3280000000000004E-2</v>
      </c>
      <c r="R21" s="117"/>
      <c r="S21" s="136">
        <f t="shared" si="8"/>
        <v>0.92307692307692324</v>
      </c>
      <c r="T21" s="118">
        <f t="shared" si="9"/>
        <v>7.6923076923076913E-2</v>
      </c>
    </row>
    <row r="22" spans="1:20" x14ac:dyDescent="0.3">
      <c r="A22" s="112" t="s">
        <v>377</v>
      </c>
      <c r="B22" s="113" t="s">
        <v>383</v>
      </c>
      <c r="D22" s="119" t="s">
        <v>383</v>
      </c>
      <c r="E22" s="113"/>
      <c r="F22" s="113"/>
      <c r="G22" s="120"/>
      <c r="H22" s="1">
        <f t="shared" si="10"/>
        <v>1</v>
      </c>
      <c r="I22" s="1">
        <f t="shared" si="7"/>
        <v>0</v>
      </c>
      <c r="J22" s="1">
        <f t="shared" si="7"/>
        <v>0</v>
      </c>
      <c r="K22" s="1">
        <f t="shared" si="7"/>
        <v>0</v>
      </c>
      <c r="L22" s="1">
        <f t="shared" si="7"/>
        <v>0</v>
      </c>
      <c r="M22" s="1">
        <f t="shared" si="7"/>
        <v>0</v>
      </c>
      <c r="O22" s="117" cm="1">
        <f t="array" ref="O22">PRODUCT(IF(H22:M22,$H$16:$M$16,1-$H$16:$M$16))</f>
        <v>3.456E-2</v>
      </c>
      <c r="P22" s="117" cm="1">
        <f t="array" ref="P22">PRODUCT(IF(H22:M22,$H$17:$M$17,1-$H$17:$M$17))</f>
        <v>0.32768000000000014</v>
      </c>
      <c r="Q22" s="117">
        <f t="shared" si="11"/>
        <v>0.18112000000000006</v>
      </c>
      <c r="R22" s="117"/>
      <c r="S22" s="136">
        <f t="shared" si="8"/>
        <v>9.5406360424028239E-2</v>
      </c>
      <c r="T22" s="118">
        <f t="shared" si="9"/>
        <v>0.90459363957597183</v>
      </c>
    </row>
    <row r="23" spans="1:20" x14ac:dyDescent="0.3">
      <c r="A23" s="112" t="s">
        <v>377</v>
      </c>
      <c r="B23" s="113" t="s">
        <v>384</v>
      </c>
      <c r="D23" s="119" t="s">
        <v>384</v>
      </c>
      <c r="E23" s="113"/>
      <c r="F23" s="113"/>
      <c r="G23" s="120"/>
      <c r="H23" s="1">
        <f t="shared" si="10"/>
        <v>0</v>
      </c>
      <c r="I23" s="1">
        <f t="shared" si="7"/>
        <v>0</v>
      </c>
      <c r="J23" s="1">
        <f t="shared" si="7"/>
        <v>0</v>
      </c>
      <c r="K23" s="1">
        <f t="shared" si="7"/>
        <v>0</v>
      </c>
      <c r="L23" s="1">
        <f t="shared" si="7"/>
        <v>0</v>
      </c>
      <c r="M23" s="1">
        <f t="shared" si="7"/>
        <v>1</v>
      </c>
      <c r="O23" s="117" cm="1">
        <f t="array" ref="O23">PRODUCT(IF(H23:M23,$H$16:$M$16,1-$H$16:$M$16))</f>
        <v>0</v>
      </c>
      <c r="P23" s="117" cm="1">
        <f t="array" ref="P23">PRODUCT(IF(H23:M23,$H$17:$M$17,1-$H$17:$M$17))</f>
        <v>2.0479999999999998E-2</v>
      </c>
      <c r="Q23" s="117">
        <f t="shared" si="11"/>
        <v>1.0239999999999999E-2</v>
      </c>
      <c r="R23" s="117"/>
      <c r="S23" s="136">
        <f t="shared" si="8"/>
        <v>0</v>
      </c>
      <c r="T23" s="118">
        <f t="shared" si="9"/>
        <v>1</v>
      </c>
    </row>
    <row r="24" spans="1:20" x14ac:dyDescent="0.3">
      <c r="A24" s="112" t="s">
        <v>377</v>
      </c>
      <c r="B24" s="113" t="s">
        <v>385</v>
      </c>
      <c r="D24" s="119" t="s">
        <v>385</v>
      </c>
      <c r="E24" s="113"/>
      <c r="F24" s="113"/>
      <c r="G24" s="120"/>
      <c r="H24" s="1">
        <f t="shared" si="10"/>
        <v>0</v>
      </c>
      <c r="I24" s="1">
        <f t="shared" si="7"/>
        <v>0</v>
      </c>
      <c r="J24" s="1">
        <f t="shared" si="7"/>
        <v>0</v>
      </c>
      <c r="K24" s="1">
        <f t="shared" si="7"/>
        <v>0</v>
      </c>
      <c r="L24" s="1">
        <f t="shared" si="7"/>
        <v>1</v>
      </c>
      <c r="M24" s="1">
        <f t="shared" si="7"/>
        <v>0</v>
      </c>
      <c r="O24" s="117" cm="1">
        <f t="array" ref="O24">PRODUCT(IF(H24:M24,$H$16:$M$16,1-$H$16:$M$16))</f>
        <v>9.2160000000000006E-2</v>
      </c>
      <c r="P24" s="117" cm="1">
        <f t="array" ref="P24">PRODUCT(IF(H24:M24,$H$17:$M$17,1-$H$17:$M$17))</f>
        <v>2.0479999999999998E-2</v>
      </c>
      <c r="Q24" s="117">
        <f t="shared" si="11"/>
        <v>5.6320000000000002E-2</v>
      </c>
      <c r="R24" s="117"/>
      <c r="S24" s="136">
        <f t="shared" si="8"/>
        <v>0.81818181818181823</v>
      </c>
      <c r="T24" s="118">
        <f t="shared" si="9"/>
        <v>0.1818181818181818</v>
      </c>
    </row>
    <row r="25" spans="1:20" x14ac:dyDescent="0.3">
      <c r="A25" s="112" t="s">
        <v>377</v>
      </c>
      <c r="B25" s="113" t="s">
        <v>383</v>
      </c>
      <c r="D25" s="119" t="s">
        <v>383</v>
      </c>
      <c r="E25" s="113"/>
      <c r="F25" s="113"/>
      <c r="G25" s="120"/>
      <c r="H25" s="1">
        <f t="shared" si="10"/>
        <v>1</v>
      </c>
      <c r="I25" s="1">
        <f t="shared" si="7"/>
        <v>0</v>
      </c>
      <c r="J25" s="1">
        <f t="shared" si="7"/>
        <v>0</v>
      </c>
      <c r="K25" s="1">
        <f t="shared" si="7"/>
        <v>0</v>
      </c>
      <c r="L25" s="1">
        <f t="shared" si="7"/>
        <v>0</v>
      </c>
      <c r="M25" s="1">
        <f t="shared" si="7"/>
        <v>0</v>
      </c>
      <c r="O25" s="117" cm="1">
        <f t="array" ref="O25">PRODUCT(IF(H25:M25,$H$16:$M$16,1-$H$16:$M$16))</f>
        <v>3.456E-2</v>
      </c>
      <c r="P25" s="117" cm="1">
        <f t="array" ref="P25">PRODUCT(IF(H25:M25,$H$17:$M$17,1-$H$17:$M$17))</f>
        <v>0.32768000000000014</v>
      </c>
      <c r="Q25" s="117">
        <f t="shared" si="11"/>
        <v>0.18112000000000006</v>
      </c>
      <c r="R25" s="117"/>
      <c r="S25" s="136">
        <f t="shared" si="8"/>
        <v>9.5406360424028239E-2</v>
      </c>
      <c r="T25" s="118">
        <f t="shared" si="9"/>
        <v>0.90459363957597183</v>
      </c>
    </row>
    <row r="26" spans="1:20" x14ac:dyDescent="0.3">
      <c r="A26" s="112" t="s">
        <v>377</v>
      </c>
      <c r="B26" s="113" t="s">
        <v>376</v>
      </c>
      <c r="D26" s="119" t="s">
        <v>391</v>
      </c>
      <c r="E26" s="113" t="s">
        <v>390</v>
      </c>
      <c r="F26" s="113"/>
      <c r="G26" s="120"/>
      <c r="H26" s="1">
        <f t="shared" si="10"/>
        <v>0</v>
      </c>
      <c r="I26" s="1">
        <f t="shared" si="7"/>
        <v>1</v>
      </c>
      <c r="J26" s="1">
        <f t="shared" si="7"/>
        <v>1</v>
      </c>
      <c r="K26" s="1">
        <f t="shared" si="7"/>
        <v>0</v>
      </c>
      <c r="L26" s="1">
        <f t="shared" si="7"/>
        <v>0</v>
      </c>
      <c r="M26" s="1">
        <f t="shared" si="7"/>
        <v>0</v>
      </c>
      <c r="O26" s="117" cm="1">
        <f t="array" ref="O26">PRODUCT(IF(H26:M26,$H$16:$M$16,1-$H$16:$M$16))</f>
        <v>2.3040000000000005E-2</v>
      </c>
      <c r="P26" s="117" cm="1">
        <f t="array" ref="P26">PRODUCT(IF(H26:M26,$H$17:$M$17,1-$H$17:$M$17))</f>
        <v>0</v>
      </c>
      <c r="Q26" s="117">
        <f t="shared" si="11"/>
        <v>1.1520000000000002E-2</v>
      </c>
      <c r="R26" s="117"/>
      <c r="S26" s="136">
        <f t="shared" si="8"/>
        <v>1</v>
      </c>
      <c r="T26" s="118">
        <f t="shared" si="9"/>
        <v>0</v>
      </c>
    </row>
    <row r="27" spans="1:20" x14ac:dyDescent="0.3">
      <c r="A27" s="112" t="s">
        <v>386</v>
      </c>
      <c r="B27" s="113" t="s">
        <v>387</v>
      </c>
      <c r="D27" s="119" t="s">
        <v>383</v>
      </c>
      <c r="E27" s="113" t="s">
        <v>292</v>
      </c>
      <c r="F27" s="113" t="s">
        <v>392</v>
      </c>
      <c r="G27" s="120"/>
      <c r="H27" s="1">
        <f t="shared" si="10"/>
        <v>1</v>
      </c>
      <c r="I27" s="1">
        <f t="shared" si="7"/>
        <v>0</v>
      </c>
      <c r="J27" s="1">
        <f t="shared" si="7"/>
        <v>0</v>
      </c>
      <c r="K27" s="1">
        <f t="shared" si="7"/>
        <v>1</v>
      </c>
      <c r="L27" s="1">
        <f t="shared" si="7"/>
        <v>0</v>
      </c>
      <c r="M27" s="1">
        <f t="shared" si="7"/>
        <v>0</v>
      </c>
      <c r="O27" s="117" cm="1">
        <f t="array" ref="O27">PRODUCT(IF(H27:M27,$H$16:$M$16,1-$H$16:$M$16))</f>
        <v>2.3040000000000001E-2</v>
      </c>
      <c r="P27" s="117" cm="1">
        <f t="array" ref="P27">PRODUCT(IF(H27:M27,$H$17:$M$17,1-$H$17:$M$17))</f>
        <v>8.1920000000000034E-2</v>
      </c>
      <c r="Q27" s="117">
        <f t="shared" si="11"/>
        <v>5.248000000000002E-2</v>
      </c>
      <c r="R27" s="117"/>
      <c r="S27" s="136">
        <f t="shared" si="8"/>
        <v>0.21951219512195116</v>
      </c>
      <c r="T27" s="118">
        <f t="shared" si="9"/>
        <v>0.78048780487804881</v>
      </c>
    </row>
    <row r="28" spans="1:20" x14ac:dyDescent="0.3">
      <c r="A28" s="112" t="s">
        <v>386</v>
      </c>
      <c r="B28" s="113" t="s">
        <v>388</v>
      </c>
      <c r="D28" s="119" t="s">
        <v>385</v>
      </c>
      <c r="E28" s="113" t="s">
        <v>397</v>
      </c>
      <c r="F28" s="113" t="s">
        <v>390</v>
      </c>
      <c r="G28" s="120"/>
      <c r="H28" s="1">
        <f t="shared" si="10"/>
        <v>0</v>
      </c>
      <c r="I28" s="1">
        <f t="shared" si="7"/>
        <v>1</v>
      </c>
      <c r="J28" s="1">
        <f t="shared" si="7"/>
        <v>0</v>
      </c>
      <c r="K28" s="1">
        <f t="shared" si="7"/>
        <v>0</v>
      </c>
      <c r="L28" s="1">
        <f t="shared" si="7"/>
        <v>1</v>
      </c>
      <c r="M28" s="1">
        <f t="shared" si="7"/>
        <v>0</v>
      </c>
      <c r="O28" s="117" cm="1">
        <f t="array" ref="O28">PRODUCT(IF(H28:M28,$H$16:$M$16,1-$H$16:$M$16))</f>
        <v>6.1440000000000022E-2</v>
      </c>
      <c r="P28" s="117" cm="1">
        <f t="array" ref="P28">PRODUCT(IF(H28:M28,$H$17:$M$17,1-$H$17:$M$17))</f>
        <v>5.1199999999999996E-3</v>
      </c>
      <c r="Q28" s="117">
        <f t="shared" si="11"/>
        <v>3.3280000000000011E-2</v>
      </c>
      <c r="R28" s="117"/>
      <c r="S28" s="136">
        <f t="shared" si="8"/>
        <v>0.92307692307692313</v>
      </c>
      <c r="T28" s="118">
        <f t="shared" si="9"/>
        <v>7.6923076923076886E-2</v>
      </c>
    </row>
    <row r="29" spans="1:20" x14ac:dyDescent="0.3">
      <c r="A29" s="112" t="s">
        <v>386</v>
      </c>
      <c r="B29" s="113" t="s">
        <v>389</v>
      </c>
      <c r="D29" s="121" t="s">
        <v>385</v>
      </c>
      <c r="E29" s="122" t="s">
        <v>397</v>
      </c>
      <c r="F29" s="122" t="s">
        <v>392</v>
      </c>
      <c r="G29" s="123"/>
      <c r="H29" s="1">
        <f t="shared" si="10"/>
        <v>0</v>
      </c>
      <c r="I29" s="1">
        <f t="shared" si="7"/>
        <v>0</v>
      </c>
      <c r="J29" s="1">
        <f t="shared" si="7"/>
        <v>0</v>
      </c>
      <c r="K29" s="1">
        <f t="shared" si="7"/>
        <v>1</v>
      </c>
      <c r="L29" s="1">
        <f t="shared" si="7"/>
        <v>1</v>
      </c>
      <c r="M29" s="1">
        <f t="shared" si="7"/>
        <v>0</v>
      </c>
      <c r="O29" s="117" cm="1">
        <f t="array" ref="O29">PRODUCT(IF(H29:M29,$H$16:$M$16,1-$H$16:$M$16))</f>
        <v>6.1440000000000008E-2</v>
      </c>
      <c r="P29" s="117" cm="1">
        <f t="array" ref="P29">PRODUCT(IF(H29:M29,$H$17:$M$17,1-$H$17:$M$17))</f>
        <v>5.1199999999999996E-3</v>
      </c>
      <c r="Q29" s="117">
        <f t="shared" si="11"/>
        <v>3.3280000000000004E-2</v>
      </c>
      <c r="R29" s="117"/>
      <c r="S29" s="136">
        <f t="shared" si="8"/>
        <v>0.92307692307692313</v>
      </c>
      <c r="T29" s="118">
        <f t="shared" si="9"/>
        <v>7.6923076923076913E-2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FA7C-B1A1-3942-87A3-95C4BA764408}">
  <sheetPr codeName="Sheet68">
    <tabColor rgb="FF92D050"/>
  </sheetPr>
  <dimension ref="A1"/>
  <sheetViews>
    <sheetView zoomScale="80" zoomScaleNormal="80" workbookViewId="0"/>
  </sheetViews>
  <sheetFormatPr baseColWidth="10" defaultColWidth="10.83203125" defaultRowHeight="26" x14ac:dyDescent="0.3"/>
  <cols>
    <col min="1" max="16384" width="10.83203125" style="135"/>
  </cols>
  <sheetData/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C723-85BE-7246-8979-29DE651A5E86}">
  <sheetPr codeName="Sheet29">
    <tabColor rgb="FF002060"/>
  </sheetPr>
  <dimension ref="A1:A12"/>
  <sheetViews>
    <sheetView workbookViewId="0">
      <selection sqref="A1:A12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419</v>
      </c>
    </row>
    <row r="2" spans="1:1" ht="26" x14ac:dyDescent="0.3">
      <c r="A2" s="1" t="s">
        <v>418</v>
      </c>
    </row>
    <row r="3" spans="1:1" ht="26" x14ac:dyDescent="0.3">
      <c r="A3" s="1" t="s">
        <v>417</v>
      </c>
    </row>
    <row r="4" spans="1:1" ht="26" x14ac:dyDescent="0.3">
      <c r="A4" s="1" t="s">
        <v>416</v>
      </c>
    </row>
    <row r="5" spans="1:1" ht="26" x14ac:dyDescent="0.3">
      <c r="A5" s="1" t="s">
        <v>415</v>
      </c>
    </row>
    <row r="6" spans="1:1" ht="26" x14ac:dyDescent="0.3">
      <c r="A6" s="1" t="s">
        <v>414</v>
      </c>
    </row>
    <row r="7" spans="1:1" ht="26" x14ac:dyDescent="0.3">
      <c r="A7" s="1" t="s">
        <v>413</v>
      </c>
    </row>
    <row r="8" spans="1:1" ht="26" x14ac:dyDescent="0.3">
      <c r="A8" s="1" t="s">
        <v>412</v>
      </c>
    </row>
    <row r="9" spans="1:1" ht="26" x14ac:dyDescent="0.3">
      <c r="A9" s="1" t="s">
        <v>411</v>
      </c>
    </row>
    <row r="10" spans="1:1" ht="26" x14ac:dyDescent="0.3">
      <c r="A10" s="1" t="s">
        <v>410</v>
      </c>
    </row>
    <row r="11" spans="1:1" ht="26" x14ac:dyDescent="0.3">
      <c r="A11" s="1" t="s">
        <v>409</v>
      </c>
    </row>
    <row r="12" spans="1:1" ht="26" x14ac:dyDescent="0.3">
      <c r="A12" s="1" t="s">
        <v>408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10C9-1BBA-EE45-A2A8-7A1FCE91D860}">
  <sheetPr codeName="Sheet69">
    <tabColor rgb="FFFF0000"/>
  </sheetPr>
  <dimension ref="B2:D6"/>
  <sheetViews>
    <sheetView workbookViewId="0">
      <selection activeCell="E8" sqref="E8"/>
    </sheetView>
  </sheetViews>
  <sheetFormatPr baseColWidth="10" defaultRowHeight="29" x14ac:dyDescent="0.35"/>
  <cols>
    <col min="1" max="16384" width="10.83203125" style="137"/>
  </cols>
  <sheetData>
    <row r="2" spans="2:4" x14ac:dyDescent="0.35">
      <c r="B2" s="137" t="s">
        <v>422</v>
      </c>
    </row>
    <row r="4" spans="2:4" x14ac:dyDescent="0.35">
      <c r="C4" s="137" t="s">
        <v>421</v>
      </c>
    </row>
    <row r="6" spans="2:4" x14ac:dyDescent="0.35">
      <c r="D6" s="137" t="s">
        <v>420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D434-59BA-A14D-AEED-96D4B6ED0161}">
  <sheetPr codeName="Sheet70">
    <tabColor rgb="FFFF0000"/>
  </sheetPr>
  <dimension ref="B3:I27"/>
  <sheetViews>
    <sheetView workbookViewId="0">
      <selection activeCell="E8" sqref="E8"/>
    </sheetView>
  </sheetViews>
  <sheetFormatPr baseColWidth="10" defaultRowHeight="26" x14ac:dyDescent="0.3"/>
  <cols>
    <col min="1" max="1" width="10.83203125" style="135"/>
    <col min="2" max="2" width="10.33203125" style="135" bestFit="1" customWidth="1"/>
    <col min="3" max="3" width="7" style="135" bestFit="1" customWidth="1"/>
    <col min="4" max="4" width="6.1640625" style="135" bestFit="1" customWidth="1"/>
    <col min="5" max="5" width="9.6640625" style="135" bestFit="1" customWidth="1"/>
    <col min="6" max="6" width="12.6640625" style="135" bestFit="1" customWidth="1"/>
    <col min="7" max="7" width="7.83203125" style="135" bestFit="1" customWidth="1"/>
    <col min="8" max="8" width="7.6640625" style="135" bestFit="1" customWidth="1"/>
    <col min="9" max="9" width="13.6640625" style="135" bestFit="1" customWidth="1"/>
    <col min="10" max="10" width="15" style="135" bestFit="1" customWidth="1"/>
    <col min="11" max="11" width="10.83203125" style="135"/>
    <col min="12" max="12" width="15" style="135" bestFit="1" customWidth="1"/>
    <col min="13" max="16384" width="10.83203125" style="135"/>
  </cols>
  <sheetData>
    <row r="3" spans="2:9" x14ac:dyDescent="0.3">
      <c r="B3" s="135" t="s">
        <v>430</v>
      </c>
      <c r="C3" s="135" t="s">
        <v>429</v>
      </c>
      <c r="D3" s="135" t="s">
        <v>428</v>
      </c>
      <c r="E3" s="135" t="s">
        <v>427</v>
      </c>
      <c r="F3" s="135" t="s">
        <v>426</v>
      </c>
      <c r="G3" s="135" t="s">
        <v>425</v>
      </c>
      <c r="H3" s="135" t="s">
        <v>424</v>
      </c>
      <c r="I3" s="135" t="s">
        <v>423</v>
      </c>
    </row>
    <row r="4" spans="2:9" x14ac:dyDescent="0.3">
      <c r="B4" s="135">
        <v>1</v>
      </c>
      <c r="C4" s="135">
        <v>1</v>
      </c>
      <c r="D4" s="135">
        <v>1</v>
      </c>
      <c r="E4" s="135">
        <v>1</v>
      </c>
      <c r="F4" s="135">
        <v>1</v>
      </c>
      <c r="G4" s="135">
        <v>0</v>
      </c>
      <c r="H4" s="135">
        <v>0</v>
      </c>
      <c r="I4" s="135">
        <v>0</v>
      </c>
    </row>
    <row r="5" spans="2:9" x14ac:dyDescent="0.3">
      <c r="B5" s="135">
        <v>1</v>
      </c>
      <c r="C5" s="135">
        <v>0</v>
      </c>
      <c r="D5" s="135">
        <v>1</v>
      </c>
      <c r="E5" s="135">
        <v>1</v>
      </c>
      <c r="F5" s="135">
        <v>0</v>
      </c>
      <c r="G5" s="135">
        <v>0</v>
      </c>
      <c r="H5" s="135">
        <v>0</v>
      </c>
      <c r="I5" s="135">
        <v>1</v>
      </c>
    </row>
    <row r="6" spans="2:9" x14ac:dyDescent="0.3">
      <c r="B6" s="135">
        <v>0</v>
      </c>
      <c r="C6" s="135">
        <v>1</v>
      </c>
      <c r="D6" s="135">
        <v>1</v>
      </c>
      <c r="E6" s="135">
        <v>1</v>
      </c>
      <c r="F6" s="135">
        <v>0</v>
      </c>
      <c r="G6" s="135">
        <v>1</v>
      </c>
      <c r="H6" s="135">
        <v>1</v>
      </c>
      <c r="I6" s="135">
        <v>1</v>
      </c>
    </row>
    <row r="7" spans="2:9" x14ac:dyDescent="0.3">
      <c r="B7" s="135">
        <v>1</v>
      </c>
      <c r="C7" s="135">
        <v>0</v>
      </c>
      <c r="D7" s="135">
        <v>1</v>
      </c>
      <c r="E7" s="135">
        <v>1</v>
      </c>
      <c r="F7" s="135">
        <v>0</v>
      </c>
      <c r="G7" s="135">
        <v>0</v>
      </c>
      <c r="H7" s="135">
        <v>0</v>
      </c>
      <c r="I7" s="135">
        <v>1</v>
      </c>
    </row>
    <row r="8" spans="2:9" x14ac:dyDescent="0.3">
      <c r="B8" s="135">
        <v>1</v>
      </c>
      <c r="C8" s="135">
        <v>1</v>
      </c>
      <c r="D8" s="135">
        <v>1</v>
      </c>
      <c r="E8" s="135">
        <v>1</v>
      </c>
      <c r="F8" s="135">
        <v>1</v>
      </c>
      <c r="G8" s="135">
        <v>0</v>
      </c>
      <c r="H8" s="135">
        <v>0</v>
      </c>
      <c r="I8" s="135">
        <v>0</v>
      </c>
    </row>
    <row r="9" spans="2:9" x14ac:dyDescent="0.3">
      <c r="B9" s="135">
        <v>1</v>
      </c>
      <c r="C9" s="135">
        <v>0</v>
      </c>
      <c r="D9" s="135">
        <v>1</v>
      </c>
      <c r="E9" s="135">
        <v>1</v>
      </c>
      <c r="F9" s="135">
        <v>0</v>
      </c>
      <c r="G9" s="135">
        <v>0</v>
      </c>
      <c r="H9" s="135">
        <v>0</v>
      </c>
      <c r="I9" s="135">
        <v>1</v>
      </c>
    </row>
    <row r="10" spans="2:9" x14ac:dyDescent="0.3">
      <c r="B10" s="135">
        <v>0</v>
      </c>
      <c r="C10" s="135">
        <v>1</v>
      </c>
      <c r="D10" s="135">
        <v>1</v>
      </c>
      <c r="E10" s="135">
        <v>1</v>
      </c>
      <c r="F10" s="135">
        <v>0</v>
      </c>
      <c r="G10" s="135">
        <v>1</v>
      </c>
      <c r="H10" s="135">
        <v>1</v>
      </c>
      <c r="I10" s="135">
        <v>1</v>
      </c>
    </row>
    <row r="11" spans="2:9" x14ac:dyDescent="0.3">
      <c r="B11" s="135">
        <v>1</v>
      </c>
      <c r="C11" s="135">
        <v>0</v>
      </c>
      <c r="D11" s="135">
        <v>1</v>
      </c>
      <c r="E11" s="135">
        <v>1</v>
      </c>
      <c r="F11" s="135">
        <v>0</v>
      </c>
      <c r="G11" s="135">
        <v>0</v>
      </c>
      <c r="H11" s="135">
        <v>0</v>
      </c>
      <c r="I11" s="135">
        <v>1</v>
      </c>
    </row>
    <row r="12" spans="2:9" x14ac:dyDescent="0.3">
      <c r="B12" s="135">
        <v>0</v>
      </c>
      <c r="C12" s="135">
        <v>1</v>
      </c>
      <c r="D12" s="135">
        <v>1</v>
      </c>
      <c r="E12" s="135">
        <v>1</v>
      </c>
      <c r="F12" s="135">
        <v>0</v>
      </c>
      <c r="G12" s="135">
        <v>1</v>
      </c>
      <c r="H12" s="135">
        <v>1</v>
      </c>
      <c r="I12" s="135">
        <v>1</v>
      </c>
    </row>
    <row r="13" spans="2:9" x14ac:dyDescent="0.3">
      <c r="B13" s="135">
        <v>1</v>
      </c>
      <c r="C13" s="135">
        <v>0</v>
      </c>
      <c r="D13" s="135">
        <v>1</v>
      </c>
      <c r="E13" s="135">
        <v>1</v>
      </c>
      <c r="F13" s="135">
        <v>0</v>
      </c>
      <c r="G13" s="135">
        <v>0</v>
      </c>
      <c r="H13" s="135">
        <v>0</v>
      </c>
      <c r="I13" s="135">
        <v>1</v>
      </c>
    </row>
    <row r="14" spans="2:9" x14ac:dyDescent="0.3">
      <c r="B14" s="135">
        <v>1</v>
      </c>
      <c r="C14" s="135">
        <v>0</v>
      </c>
      <c r="D14" s="135">
        <v>1</v>
      </c>
      <c r="E14" s="135">
        <v>1</v>
      </c>
      <c r="F14" s="135">
        <v>0</v>
      </c>
      <c r="G14" s="135">
        <v>0</v>
      </c>
      <c r="H14" s="135">
        <v>0</v>
      </c>
      <c r="I14" s="135">
        <v>1</v>
      </c>
    </row>
    <row r="15" spans="2:9" x14ac:dyDescent="0.3">
      <c r="B15" s="135">
        <v>1</v>
      </c>
      <c r="C15" s="135">
        <v>1</v>
      </c>
      <c r="D15" s="135">
        <v>1</v>
      </c>
      <c r="E15" s="135">
        <v>1</v>
      </c>
      <c r="F15" s="135">
        <v>1</v>
      </c>
      <c r="G15" s="135">
        <v>0</v>
      </c>
      <c r="H15" s="135">
        <v>0</v>
      </c>
      <c r="I15" s="135">
        <v>0</v>
      </c>
    </row>
    <row r="16" spans="2:9" x14ac:dyDescent="0.3">
      <c r="B16" s="135">
        <v>0</v>
      </c>
      <c r="C16" s="135">
        <v>1</v>
      </c>
      <c r="D16" s="135">
        <v>1</v>
      </c>
      <c r="E16" s="135">
        <v>1</v>
      </c>
      <c r="F16" s="135">
        <v>0</v>
      </c>
      <c r="G16" s="135">
        <v>1</v>
      </c>
      <c r="H16" s="135">
        <v>1</v>
      </c>
      <c r="I16" s="135">
        <v>1</v>
      </c>
    </row>
    <row r="17" spans="2:9" x14ac:dyDescent="0.3">
      <c r="B17" s="135">
        <v>0</v>
      </c>
      <c r="C17" s="135">
        <v>1</v>
      </c>
      <c r="D17" s="135">
        <v>1</v>
      </c>
      <c r="E17" s="135">
        <v>1</v>
      </c>
      <c r="F17" s="135">
        <v>0</v>
      </c>
      <c r="G17" s="135">
        <v>1</v>
      </c>
      <c r="H17" s="135">
        <v>1</v>
      </c>
      <c r="I17" s="135">
        <v>1</v>
      </c>
    </row>
    <row r="18" spans="2:9" x14ac:dyDescent="0.3">
      <c r="B18" s="135">
        <v>1</v>
      </c>
      <c r="C18" s="135">
        <v>1</v>
      </c>
      <c r="D18" s="135">
        <v>1</v>
      </c>
      <c r="E18" s="135">
        <v>1</v>
      </c>
      <c r="F18" s="135">
        <v>1</v>
      </c>
      <c r="G18" s="135">
        <v>0</v>
      </c>
      <c r="H18" s="135">
        <v>0</v>
      </c>
      <c r="I18" s="135">
        <v>0</v>
      </c>
    </row>
    <row r="19" spans="2:9" x14ac:dyDescent="0.3">
      <c r="B19" s="135">
        <v>0</v>
      </c>
      <c r="C19" s="135">
        <v>1</v>
      </c>
      <c r="D19" s="135">
        <v>1</v>
      </c>
      <c r="E19" s="135">
        <v>1</v>
      </c>
      <c r="F19" s="135">
        <v>0</v>
      </c>
      <c r="G19" s="135">
        <v>1</v>
      </c>
      <c r="H19" s="135">
        <v>1</v>
      </c>
      <c r="I19" s="135">
        <v>1</v>
      </c>
    </row>
    <row r="20" spans="2:9" x14ac:dyDescent="0.3">
      <c r="B20" s="135">
        <v>1</v>
      </c>
      <c r="C20" s="135">
        <v>0</v>
      </c>
      <c r="D20" s="135">
        <v>1</v>
      </c>
      <c r="E20" s="135">
        <v>1</v>
      </c>
      <c r="F20" s="135">
        <v>0</v>
      </c>
      <c r="G20" s="135">
        <v>0</v>
      </c>
      <c r="H20" s="135">
        <v>0</v>
      </c>
      <c r="I20" s="135">
        <v>1</v>
      </c>
    </row>
    <row r="21" spans="2:9" x14ac:dyDescent="0.3">
      <c r="B21" s="135">
        <v>1</v>
      </c>
      <c r="C21" s="135">
        <v>0</v>
      </c>
      <c r="D21" s="135">
        <v>1</v>
      </c>
      <c r="E21" s="135">
        <v>1</v>
      </c>
      <c r="F21" s="135">
        <v>0</v>
      </c>
      <c r="G21" s="135">
        <v>0</v>
      </c>
      <c r="H21" s="135">
        <v>0</v>
      </c>
      <c r="I21" s="135">
        <v>1</v>
      </c>
    </row>
    <row r="22" spans="2:9" x14ac:dyDescent="0.3">
      <c r="B22" s="135">
        <v>0</v>
      </c>
      <c r="C22" s="135">
        <v>1</v>
      </c>
      <c r="D22" s="135">
        <v>1</v>
      </c>
      <c r="E22" s="135">
        <v>1</v>
      </c>
      <c r="F22" s="135">
        <v>0</v>
      </c>
      <c r="G22" s="135">
        <v>1</v>
      </c>
      <c r="H22" s="135">
        <v>1</v>
      </c>
      <c r="I22" s="135">
        <v>1</v>
      </c>
    </row>
    <row r="23" spans="2:9" x14ac:dyDescent="0.3">
      <c r="B23" s="135">
        <v>1</v>
      </c>
      <c r="C23" s="135">
        <v>0</v>
      </c>
      <c r="D23" s="135">
        <v>1</v>
      </c>
      <c r="E23" s="135">
        <v>1</v>
      </c>
      <c r="F23" s="135">
        <v>0</v>
      </c>
      <c r="G23" s="135">
        <v>0</v>
      </c>
      <c r="H23" s="135">
        <v>0</v>
      </c>
      <c r="I23" s="135">
        <v>1</v>
      </c>
    </row>
    <row r="24" spans="2:9" x14ac:dyDescent="0.3">
      <c r="B24" s="135">
        <v>1</v>
      </c>
      <c r="C24" s="135">
        <v>0</v>
      </c>
      <c r="D24" s="135">
        <v>1</v>
      </c>
      <c r="E24" s="135">
        <v>1</v>
      </c>
      <c r="F24" s="135">
        <v>0</v>
      </c>
      <c r="G24" s="135">
        <v>0</v>
      </c>
      <c r="H24" s="135">
        <v>0</v>
      </c>
      <c r="I24" s="135">
        <v>1</v>
      </c>
    </row>
    <row r="25" spans="2:9" x14ac:dyDescent="0.3">
      <c r="B25" s="135">
        <v>1</v>
      </c>
      <c r="C25" s="135">
        <v>1</v>
      </c>
      <c r="D25" s="135">
        <v>1</v>
      </c>
      <c r="E25" s="135">
        <v>1</v>
      </c>
      <c r="F25" s="135">
        <v>1</v>
      </c>
      <c r="G25" s="135">
        <v>0</v>
      </c>
      <c r="H25" s="135">
        <v>0</v>
      </c>
      <c r="I25" s="135">
        <v>0</v>
      </c>
    </row>
    <row r="26" spans="2:9" x14ac:dyDescent="0.3">
      <c r="B26" s="135">
        <v>0</v>
      </c>
      <c r="C26" s="135">
        <v>1</v>
      </c>
      <c r="D26" s="135">
        <v>1</v>
      </c>
      <c r="E26" s="135">
        <v>1</v>
      </c>
      <c r="F26" s="135">
        <v>0</v>
      </c>
      <c r="G26" s="135">
        <v>1</v>
      </c>
      <c r="H26" s="135">
        <v>1</v>
      </c>
      <c r="I26" s="135">
        <v>1</v>
      </c>
    </row>
    <row r="27" spans="2:9" x14ac:dyDescent="0.3">
      <c r="B27" s="135">
        <v>0</v>
      </c>
      <c r="C27" s="135">
        <v>1</v>
      </c>
      <c r="D27" s="135">
        <v>1</v>
      </c>
      <c r="E27" s="135">
        <v>1</v>
      </c>
      <c r="F27" s="135">
        <v>0</v>
      </c>
      <c r="G27" s="135">
        <v>1</v>
      </c>
      <c r="H27" s="135">
        <v>1</v>
      </c>
      <c r="I27" s="135">
        <v>1</v>
      </c>
    </row>
  </sheetData>
  <dataConsolidate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BF56-7E51-864F-8036-9815BDE613F5}">
  <sheetPr codeName="Sheet71">
    <tabColor rgb="FFFF0000"/>
  </sheetPr>
  <dimension ref="B3:O27"/>
  <sheetViews>
    <sheetView workbookViewId="0">
      <selection activeCell="E8" sqref="E8"/>
    </sheetView>
  </sheetViews>
  <sheetFormatPr baseColWidth="10" defaultRowHeight="26" x14ac:dyDescent="0.3"/>
  <cols>
    <col min="1" max="1" width="10.83203125" style="135"/>
    <col min="2" max="2" width="15.83203125" style="135" bestFit="1" customWidth="1"/>
    <col min="3" max="3" width="10.33203125" style="135" bestFit="1" customWidth="1"/>
    <col min="4" max="4" width="7" style="135" bestFit="1" customWidth="1"/>
    <col min="5" max="5" width="6.1640625" style="135" bestFit="1" customWidth="1"/>
    <col min="6" max="6" width="9.6640625" style="135" bestFit="1" customWidth="1"/>
    <col min="7" max="7" width="12.6640625" style="135" bestFit="1" customWidth="1"/>
    <col min="8" max="8" width="7.83203125" style="135" bestFit="1" customWidth="1"/>
    <col min="9" max="9" width="7.6640625" style="135" bestFit="1" customWidth="1"/>
    <col min="10" max="10" width="13.6640625" style="135" bestFit="1" customWidth="1"/>
    <col min="11" max="11" width="13.6640625" style="135" customWidth="1"/>
    <col min="12" max="12" width="15" style="135" bestFit="1" customWidth="1"/>
    <col min="13" max="13" width="10.83203125" style="135"/>
    <col min="14" max="14" width="15" style="135" bestFit="1" customWidth="1"/>
    <col min="15" max="15" width="15.83203125" style="135" bestFit="1" customWidth="1"/>
    <col min="16" max="16384" width="10.83203125" style="135"/>
  </cols>
  <sheetData>
    <row r="3" spans="2:15" x14ac:dyDescent="0.3">
      <c r="C3" s="135" t="s">
        <v>430</v>
      </c>
      <c r="D3" s="135" t="s">
        <v>429</v>
      </c>
      <c r="E3" s="135" t="s">
        <v>428</v>
      </c>
      <c r="F3" s="135" t="s">
        <v>427</v>
      </c>
      <c r="G3" s="135" t="s">
        <v>426</v>
      </c>
      <c r="H3" s="135" t="s">
        <v>425</v>
      </c>
      <c r="I3" s="135" t="s">
        <v>424</v>
      </c>
      <c r="J3" s="135" t="s">
        <v>423</v>
      </c>
    </row>
    <row r="4" spans="2:15" x14ac:dyDescent="0.3">
      <c r="B4" s="100" t="str">
        <f t="shared" ref="B4:B27" si="0">VLOOKUP(L4,$N$4:$O$6,2,0)</f>
        <v>Athletic</v>
      </c>
      <c r="C4" s="135">
        <v>1</v>
      </c>
      <c r="D4" s="135">
        <v>1</v>
      </c>
      <c r="E4" s="135">
        <v>1</v>
      </c>
      <c r="F4" s="135">
        <v>1</v>
      </c>
      <c r="G4" s="135">
        <v>1</v>
      </c>
      <c r="H4" s="135">
        <v>0</v>
      </c>
      <c r="I4" s="135">
        <v>0</v>
      </c>
      <c r="J4" s="135">
        <v>0</v>
      </c>
      <c r="L4" s="135" t="str">
        <f t="shared" ref="L4:L27" si="1">C4&amp;D4&amp;E4&amp;F4&amp;G4&amp;H4&amp;I4&amp;J4</f>
        <v>11111000</v>
      </c>
      <c r="N4" s="135" t="s">
        <v>436</v>
      </c>
      <c r="O4" s="135" t="s">
        <v>435</v>
      </c>
    </row>
    <row r="5" spans="2:15" x14ac:dyDescent="0.3">
      <c r="B5" s="100" t="str">
        <f t="shared" si="0"/>
        <v>Brutish</v>
      </c>
      <c r="C5" s="135">
        <v>1</v>
      </c>
      <c r="D5" s="135">
        <v>0</v>
      </c>
      <c r="E5" s="135">
        <v>1</v>
      </c>
      <c r="F5" s="135">
        <v>1</v>
      </c>
      <c r="G5" s="135">
        <v>0</v>
      </c>
      <c r="H5" s="135">
        <v>0</v>
      </c>
      <c r="I5" s="135">
        <v>0</v>
      </c>
      <c r="J5" s="135">
        <v>1</v>
      </c>
      <c r="L5" s="135" t="str">
        <f t="shared" si="1"/>
        <v>10110001</v>
      </c>
      <c r="N5" s="135" t="s">
        <v>434</v>
      </c>
      <c r="O5" s="135" t="s">
        <v>433</v>
      </c>
    </row>
    <row r="6" spans="2:15" x14ac:dyDescent="0.3">
      <c r="B6" s="100" t="str">
        <f t="shared" si="0"/>
        <v>Aggressive</v>
      </c>
      <c r="C6" s="135">
        <v>0</v>
      </c>
      <c r="D6" s="135">
        <v>1</v>
      </c>
      <c r="E6" s="135">
        <v>1</v>
      </c>
      <c r="F6" s="135">
        <v>1</v>
      </c>
      <c r="G6" s="135">
        <v>0</v>
      </c>
      <c r="H6" s="135">
        <v>1</v>
      </c>
      <c r="I6" s="135">
        <v>1</v>
      </c>
      <c r="J6" s="135">
        <v>1</v>
      </c>
      <c r="L6" s="135" t="str">
        <f t="shared" si="1"/>
        <v>01110111</v>
      </c>
      <c r="N6" s="135" t="s">
        <v>432</v>
      </c>
      <c r="O6" s="135" t="s">
        <v>431</v>
      </c>
    </row>
    <row r="7" spans="2:15" x14ac:dyDescent="0.3">
      <c r="B7" s="100" t="str">
        <f t="shared" si="0"/>
        <v>Brutish</v>
      </c>
      <c r="C7" s="135">
        <v>1</v>
      </c>
      <c r="D7" s="135">
        <v>0</v>
      </c>
      <c r="E7" s="135">
        <v>1</v>
      </c>
      <c r="F7" s="135">
        <v>1</v>
      </c>
      <c r="G7" s="135">
        <v>0</v>
      </c>
      <c r="H7" s="135">
        <v>0</v>
      </c>
      <c r="I7" s="135">
        <v>0</v>
      </c>
      <c r="J7" s="135">
        <v>1</v>
      </c>
      <c r="L7" s="135" t="str">
        <f t="shared" si="1"/>
        <v>10110001</v>
      </c>
    </row>
    <row r="8" spans="2:15" x14ac:dyDescent="0.3">
      <c r="B8" s="100" t="str">
        <f t="shared" si="0"/>
        <v>Athletic</v>
      </c>
      <c r="C8" s="135">
        <v>1</v>
      </c>
      <c r="D8" s="135">
        <v>1</v>
      </c>
      <c r="E8" s="135">
        <v>1</v>
      </c>
      <c r="F8" s="135">
        <v>1</v>
      </c>
      <c r="G8" s="135">
        <v>1</v>
      </c>
      <c r="H8" s="135">
        <v>0</v>
      </c>
      <c r="I8" s="135">
        <v>0</v>
      </c>
      <c r="J8" s="135">
        <v>0</v>
      </c>
      <c r="L8" s="135" t="str">
        <f t="shared" si="1"/>
        <v>11111000</v>
      </c>
    </row>
    <row r="9" spans="2:15" x14ac:dyDescent="0.3">
      <c r="B9" s="100" t="str">
        <f t="shared" si="0"/>
        <v>Brutish</v>
      </c>
      <c r="C9" s="135">
        <v>1</v>
      </c>
      <c r="D9" s="135">
        <v>0</v>
      </c>
      <c r="E9" s="135">
        <v>1</v>
      </c>
      <c r="F9" s="135">
        <v>1</v>
      </c>
      <c r="G9" s="135">
        <v>0</v>
      </c>
      <c r="H9" s="135">
        <v>0</v>
      </c>
      <c r="I9" s="135">
        <v>0</v>
      </c>
      <c r="J9" s="135">
        <v>1</v>
      </c>
      <c r="L9" s="135" t="str">
        <f t="shared" si="1"/>
        <v>10110001</v>
      </c>
    </row>
    <row r="10" spans="2:15" x14ac:dyDescent="0.3">
      <c r="B10" s="100" t="str">
        <f t="shared" si="0"/>
        <v>Aggressive</v>
      </c>
      <c r="C10" s="135">
        <v>0</v>
      </c>
      <c r="D10" s="135">
        <v>1</v>
      </c>
      <c r="E10" s="135">
        <v>1</v>
      </c>
      <c r="F10" s="135">
        <v>1</v>
      </c>
      <c r="G10" s="135">
        <v>0</v>
      </c>
      <c r="H10" s="135">
        <v>1</v>
      </c>
      <c r="I10" s="135">
        <v>1</v>
      </c>
      <c r="J10" s="135">
        <v>1</v>
      </c>
      <c r="L10" s="135" t="str">
        <f t="shared" si="1"/>
        <v>01110111</v>
      </c>
    </row>
    <row r="11" spans="2:15" x14ac:dyDescent="0.3">
      <c r="B11" s="100" t="str">
        <f t="shared" si="0"/>
        <v>Brutish</v>
      </c>
      <c r="C11" s="135">
        <v>1</v>
      </c>
      <c r="D11" s="135">
        <v>0</v>
      </c>
      <c r="E11" s="135">
        <v>1</v>
      </c>
      <c r="F11" s="135">
        <v>1</v>
      </c>
      <c r="G11" s="135">
        <v>0</v>
      </c>
      <c r="H11" s="135">
        <v>0</v>
      </c>
      <c r="I11" s="135">
        <v>0</v>
      </c>
      <c r="J11" s="135">
        <v>1</v>
      </c>
      <c r="L11" s="135" t="str">
        <f t="shared" si="1"/>
        <v>10110001</v>
      </c>
    </row>
    <row r="12" spans="2:15" x14ac:dyDescent="0.3">
      <c r="B12" s="100" t="str">
        <f t="shared" si="0"/>
        <v>Aggressive</v>
      </c>
      <c r="C12" s="135">
        <v>0</v>
      </c>
      <c r="D12" s="135">
        <v>1</v>
      </c>
      <c r="E12" s="135">
        <v>1</v>
      </c>
      <c r="F12" s="135">
        <v>1</v>
      </c>
      <c r="G12" s="135">
        <v>0</v>
      </c>
      <c r="H12" s="135">
        <v>1</v>
      </c>
      <c r="I12" s="135">
        <v>1</v>
      </c>
      <c r="J12" s="135">
        <v>1</v>
      </c>
      <c r="L12" s="135" t="str">
        <f t="shared" si="1"/>
        <v>01110111</v>
      </c>
    </row>
    <row r="13" spans="2:15" x14ac:dyDescent="0.3">
      <c r="B13" s="100" t="str">
        <f t="shared" si="0"/>
        <v>Brutish</v>
      </c>
      <c r="C13" s="135">
        <v>1</v>
      </c>
      <c r="D13" s="135">
        <v>0</v>
      </c>
      <c r="E13" s="135">
        <v>1</v>
      </c>
      <c r="F13" s="135">
        <v>1</v>
      </c>
      <c r="G13" s="135">
        <v>0</v>
      </c>
      <c r="H13" s="135">
        <v>0</v>
      </c>
      <c r="I13" s="135">
        <v>0</v>
      </c>
      <c r="J13" s="135">
        <v>1</v>
      </c>
      <c r="L13" s="135" t="str">
        <f t="shared" si="1"/>
        <v>10110001</v>
      </c>
    </row>
    <row r="14" spans="2:15" x14ac:dyDescent="0.3">
      <c r="B14" s="100" t="str">
        <f t="shared" si="0"/>
        <v>Brutish</v>
      </c>
      <c r="C14" s="135">
        <v>1</v>
      </c>
      <c r="D14" s="135">
        <v>0</v>
      </c>
      <c r="E14" s="135">
        <v>1</v>
      </c>
      <c r="F14" s="135">
        <v>1</v>
      </c>
      <c r="G14" s="135">
        <v>0</v>
      </c>
      <c r="H14" s="135">
        <v>0</v>
      </c>
      <c r="I14" s="135">
        <v>0</v>
      </c>
      <c r="J14" s="135">
        <v>1</v>
      </c>
      <c r="L14" s="135" t="str">
        <f t="shared" si="1"/>
        <v>10110001</v>
      </c>
    </row>
    <row r="15" spans="2:15" x14ac:dyDescent="0.3">
      <c r="B15" s="100" t="str">
        <f t="shared" si="0"/>
        <v>Athletic</v>
      </c>
      <c r="C15" s="135">
        <v>1</v>
      </c>
      <c r="D15" s="135">
        <v>1</v>
      </c>
      <c r="E15" s="135">
        <v>1</v>
      </c>
      <c r="F15" s="135">
        <v>1</v>
      </c>
      <c r="G15" s="135">
        <v>1</v>
      </c>
      <c r="H15" s="135">
        <v>0</v>
      </c>
      <c r="I15" s="135">
        <v>0</v>
      </c>
      <c r="J15" s="135">
        <v>0</v>
      </c>
      <c r="L15" s="135" t="str">
        <f t="shared" si="1"/>
        <v>11111000</v>
      </c>
    </row>
    <row r="16" spans="2:15" x14ac:dyDescent="0.3">
      <c r="B16" s="100" t="str">
        <f t="shared" si="0"/>
        <v>Aggressive</v>
      </c>
      <c r="C16" s="135">
        <v>0</v>
      </c>
      <c r="D16" s="135">
        <v>1</v>
      </c>
      <c r="E16" s="135">
        <v>1</v>
      </c>
      <c r="F16" s="135">
        <v>1</v>
      </c>
      <c r="G16" s="135">
        <v>0</v>
      </c>
      <c r="H16" s="135">
        <v>1</v>
      </c>
      <c r="I16" s="135">
        <v>1</v>
      </c>
      <c r="J16" s="135">
        <v>1</v>
      </c>
      <c r="L16" s="135" t="str">
        <f t="shared" si="1"/>
        <v>01110111</v>
      </c>
    </row>
    <row r="17" spans="2:12" x14ac:dyDescent="0.3">
      <c r="B17" s="100" t="str">
        <f t="shared" si="0"/>
        <v>Aggressive</v>
      </c>
      <c r="C17" s="135">
        <v>0</v>
      </c>
      <c r="D17" s="135">
        <v>1</v>
      </c>
      <c r="E17" s="135">
        <v>1</v>
      </c>
      <c r="F17" s="135">
        <v>1</v>
      </c>
      <c r="G17" s="135">
        <v>0</v>
      </c>
      <c r="H17" s="135">
        <v>1</v>
      </c>
      <c r="I17" s="135">
        <v>1</v>
      </c>
      <c r="J17" s="135">
        <v>1</v>
      </c>
      <c r="L17" s="135" t="str">
        <f t="shared" si="1"/>
        <v>01110111</v>
      </c>
    </row>
    <row r="18" spans="2:12" x14ac:dyDescent="0.3">
      <c r="B18" s="100" t="str">
        <f t="shared" si="0"/>
        <v>Athletic</v>
      </c>
      <c r="C18" s="135">
        <v>1</v>
      </c>
      <c r="D18" s="135">
        <v>1</v>
      </c>
      <c r="E18" s="135">
        <v>1</v>
      </c>
      <c r="F18" s="135">
        <v>1</v>
      </c>
      <c r="G18" s="135">
        <v>1</v>
      </c>
      <c r="H18" s="135">
        <v>0</v>
      </c>
      <c r="I18" s="135">
        <v>0</v>
      </c>
      <c r="J18" s="135">
        <v>0</v>
      </c>
      <c r="L18" s="135" t="str">
        <f t="shared" si="1"/>
        <v>11111000</v>
      </c>
    </row>
    <row r="19" spans="2:12" x14ac:dyDescent="0.3">
      <c r="B19" s="100" t="str">
        <f t="shared" si="0"/>
        <v>Aggressive</v>
      </c>
      <c r="C19" s="135">
        <v>0</v>
      </c>
      <c r="D19" s="135">
        <v>1</v>
      </c>
      <c r="E19" s="135">
        <v>1</v>
      </c>
      <c r="F19" s="135">
        <v>1</v>
      </c>
      <c r="G19" s="135">
        <v>0</v>
      </c>
      <c r="H19" s="135">
        <v>1</v>
      </c>
      <c r="I19" s="135">
        <v>1</v>
      </c>
      <c r="J19" s="135">
        <v>1</v>
      </c>
      <c r="L19" s="135" t="str">
        <f t="shared" si="1"/>
        <v>01110111</v>
      </c>
    </row>
    <row r="20" spans="2:12" x14ac:dyDescent="0.3">
      <c r="B20" s="100" t="str">
        <f t="shared" si="0"/>
        <v>Brutish</v>
      </c>
      <c r="C20" s="135">
        <v>1</v>
      </c>
      <c r="D20" s="135">
        <v>0</v>
      </c>
      <c r="E20" s="135">
        <v>1</v>
      </c>
      <c r="F20" s="135">
        <v>1</v>
      </c>
      <c r="G20" s="135">
        <v>0</v>
      </c>
      <c r="H20" s="135">
        <v>0</v>
      </c>
      <c r="I20" s="135">
        <v>0</v>
      </c>
      <c r="J20" s="135">
        <v>1</v>
      </c>
      <c r="L20" s="135" t="str">
        <f t="shared" si="1"/>
        <v>10110001</v>
      </c>
    </row>
    <row r="21" spans="2:12" x14ac:dyDescent="0.3">
      <c r="B21" s="100" t="str">
        <f t="shared" si="0"/>
        <v>Brutish</v>
      </c>
      <c r="C21" s="135">
        <v>1</v>
      </c>
      <c r="D21" s="135">
        <v>0</v>
      </c>
      <c r="E21" s="135">
        <v>1</v>
      </c>
      <c r="F21" s="135">
        <v>1</v>
      </c>
      <c r="G21" s="135">
        <v>0</v>
      </c>
      <c r="H21" s="135">
        <v>0</v>
      </c>
      <c r="I21" s="135">
        <v>0</v>
      </c>
      <c r="J21" s="135">
        <v>1</v>
      </c>
      <c r="L21" s="135" t="str">
        <f t="shared" si="1"/>
        <v>10110001</v>
      </c>
    </row>
    <row r="22" spans="2:12" x14ac:dyDescent="0.3">
      <c r="B22" s="100" t="str">
        <f t="shared" si="0"/>
        <v>Aggressive</v>
      </c>
      <c r="C22" s="135">
        <v>0</v>
      </c>
      <c r="D22" s="135">
        <v>1</v>
      </c>
      <c r="E22" s="135">
        <v>1</v>
      </c>
      <c r="F22" s="135">
        <v>1</v>
      </c>
      <c r="G22" s="135">
        <v>0</v>
      </c>
      <c r="H22" s="135">
        <v>1</v>
      </c>
      <c r="I22" s="135">
        <v>1</v>
      </c>
      <c r="J22" s="135">
        <v>1</v>
      </c>
      <c r="L22" s="135" t="str">
        <f t="shared" si="1"/>
        <v>01110111</v>
      </c>
    </row>
    <row r="23" spans="2:12" x14ac:dyDescent="0.3">
      <c r="B23" s="100" t="str">
        <f t="shared" si="0"/>
        <v>Brutish</v>
      </c>
      <c r="C23" s="135">
        <v>1</v>
      </c>
      <c r="D23" s="135">
        <v>0</v>
      </c>
      <c r="E23" s="135">
        <v>1</v>
      </c>
      <c r="F23" s="135">
        <v>1</v>
      </c>
      <c r="G23" s="135">
        <v>0</v>
      </c>
      <c r="H23" s="135">
        <v>0</v>
      </c>
      <c r="I23" s="135">
        <v>0</v>
      </c>
      <c r="J23" s="135">
        <v>1</v>
      </c>
      <c r="L23" s="135" t="str">
        <f t="shared" si="1"/>
        <v>10110001</v>
      </c>
    </row>
    <row r="24" spans="2:12" x14ac:dyDescent="0.3">
      <c r="B24" s="100" t="str">
        <f t="shared" si="0"/>
        <v>Brutish</v>
      </c>
      <c r="C24" s="135">
        <v>1</v>
      </c>
      <c r="D24" s="135">
        <v>0</v>
      </c>
      <c r="E24" s="135">
        <v>1</v>
      </c>
      <c r="F24" s="135">
        <v>1</v>
      </c>
      <c r="G24" s="135">
        <v>0</v>
      </c>
      <c r="H24" s="135">
        <v>0</v>
      </c>
      <c r="I24" s="135">
        <v>0</v>
      </c>
      <c r="J24" s="135">
        <v>1</v>
      </c>
      <c r="L24" s="135" t="str">
        <f t="shared" si="1"/>
        <v>10110001</v>
      </c>
    </row>
    <row r="25" spans="2:12" x14ac:dyDescent="0.3">
      <c r="B25" s="100" t="str">
        <f t="shared" si="0"/>
        <v>Athletic</v>
      </c>
      <c r="C25" s="135">
        <v>1</v>
      </c>
      <c r="D25" s="135">
        <v>1</v>
      </c>
      <c r="E25" s="135">
        <v>1</v>
      </c>
      <c r="F25" s="135">
        <v>1</v>
      </c>
      <c r="G25" s="135">
        <v>1</v>
      </c>
      <c r="H25" s="135">
        <v>0</v>
      </c>
      <c r="I25" s="135">
        <v>0</v>
      </c>
      <c r="J25" s="135">
        <v>0</v>
      </c>
      <c r="L25" s="135" t="str">
        <f t="shared" si="1"/>
        <v>11111000</v>
      </c>
    </row>
    <row r="26" spans="2:12" x14ac:dyDescent="0.3">
      <c r="B26" s="100" t="str">
        <f t="shared" si="0"/>
        <v>Aggressive</v>
      </c>
      <c r="C26" s="135">
        <v>0</v>
      </c>
      <c r="D26" s="135">
        <v>1</v>
      </c>
      <c r="E26" s="135">
        <v>1</v>
      </c>
      <c r="F26" s="135">
        <v>1</v>
      </c>
      <c r="G26" s="135">
        <v>0</v>
      </c>
      <c r="H26" s="135">
        <v>1</v>
      </c>
      <c r="I26" s="135">
        <v>1</v>
      </c>
      <c r="J26" s="135">
        <v>1</v>
      </c>
      <c r="L26" s="135" t="str">
        <f t="shared" si="1"/>
        <v>01110111</v>
      </c>
    </row>
    <row r="27" spans="2:12" x14ac:dyDescent="0.3">
      <c r="B27" s="100" t="str">
        <f t="shared" si="0"/>
        <v>Aggressive</v>
      </c>
      <c r="C27" s="135">
        <v>0</v>
      </c>
      <c r="D27" s="135">
        <v>1</v>
      </c>
      <c r="E27" s="135">
        <v>1</v>
      </c>
      <c r="F27" s="135">
        <v>1</v>
      </c>
      <c r="G27" s="135">
        <v>0</v>
      </c>
      <c r="H27" s="135">
        <v>1</v>
      </c>
      <c r="I27" s="135">
        <v>1</v>
      </c>
      <c r="J27" s="135">
        <v>1</v>
      </c>
      <c r="L27" s="135" t="str">
        <f t="shared" si="1"/>
        <v>01110111</v>
      </c>
    </row>
  </sheetData>
  <dataConsolidate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C275-8023-8547-A9CA-D4337DED4DEB}">
  <sheetPr codeName="Sheet72">
    <tabColor rgb="FFFF0000"/>
  </sheetPr>
  <dimension ref="B3:R27"/>
  <sheetViews>
    <sheetView workbookViewId="0"/>
  </sheetViews>
  <sheetFormatPr baseColWidth="10" defaultRowHeight="26" x14ac:dyDescent="0.3"/>
  <cols>
    <col min="1" max="1" width="10.83203125" style="135"/>
    <col min="2" max="2" width="15.83203125" style="135" bestFit="1" customWidth="1"/>
    <col min="3" max="3" width="10.5" style="135" bestFit="1" customWidth="1"/>
    <col min="4" max="5" width="7.33203125" style="135" bestFit="1" customWidth="1"/>
    <col min="6" max="6" width="9.83203125" style="135" bestFit="1" customWidth="1"/>
    <col min="7" max="7" width="12.83203125" style="135" bestFit="1" customWidth="1"/>
    <col min="8" max="8" width="8" style="135" bestFit="1" customWidth="1"/>
    <col min="9" max="9" width="7.83203125" style="135" bestFit="1" customWidth="1"/>
    <col min="10" max="10" width="13.83203125" style="135" bestFit="1" customWidth="1"/>
    <col min="11" max="11" width="13.6640625" style="135" customWidth="1"/>
    <col min="12" max="12" width="15" style="135" bestFit="1" customWidth="1"/>
    <col min="13" max="13" width="10.83203125" style="135"/>
    <col min="14" max="14" width="15" style="135" bestFit="1" customWidth="1"/>
    <col min="15" max="15" width="15.83203125" style="135" bestFit="1" customWidth="1"/>
    <col min="16" max="16384" width="10.83203125" style="135"/>
  </cols>
  <sheetData>
    <row r="3" spans="2:18" x14ac:dyDescent="0.3">
      <c r="C3" s="135" t="s">
        <v>430</v>
      </c>
      <c r="D3" s="135" t="s">
        <v>429</v>
      </c>
      <c r="E3" s="135" t="s">
        <v>428</v>
      </c>
      <c r="F3" s="135" t="s">
        <v>427</v>
      </c>
      <c r="G3" s="135" t="s">
        <v>426</v>
      </c>
      <c r="H3" s="135" t="s">
        <v>425</v>
      </c>
      <c r="I3" s="135" t="s">
        <v>424</v>
      </c>
      <c r="J3" s="135" t="s">
        <v>423</v>
      </c>
    </row>
    <row r="4" spans="2:18" x14ac:dyDescent="0.3">
      <c r="B4" s="100" t="s">
        <v>435</v>
      </c>
      <c r="C4" s="117">
        <v>8.3830358839885815</v>
      </c>
      <c r="D4" s="117">
        <v>9.4549122846191409</v>
      </c>
      <c r="E4" s="117">
        <v>7.9904725452811967</v>
      </c>
      <c r="F4" s="117">
        <v>7.7703277820694137</v>
      </c>
      <c r="G4" s="117">
        <v>8.2040543775696442</v>
      </c>
      <c r="H4" s="117">
        <v>1.5592917761111025</v>
      </c>
      <c r="I4" s="117">
        <v>3.4559881155421022</v>
      </c>
      <c r="J4" s="117">
        <v>3.5439432666766981</v>
      </c>
      <c r="K4" s="138"/>
      <c r="L4" s="138"/>
      <c r="M4" s="138"/>
      <c r="N4" s="138"/>
      <c r="O4" s="138"/>
      <c r="P4" s="138"/>
      <c r="Q4" s="138"/>
      <c r="R4" s="138"/>
    </row>
    <row r="5" spans="2:18" x14ac:dyDescent="0.3">
      <c r="B5" s="100" t="s">
        <v>431</v>
      </c>
      <c r="C5" s="117">
        <v>9.6155900286805682</v>
      </c>
      <c r="D5" s="117">
        <v>1.7960754918718824</v>
      </c>
      <c r="E5" s="117">
        <v>9.5639526180169554</v>
      </c>
      <c r="F5" s="117">
        <v>7.2610802333371094</v>
      </c>
      <c r="G5" s="117">
        <v>0.80971436006217834</v>
      </c>
      <c r="H5" s="117">
        <v>1.6939758640662901</v>
      </c>
      <c r="I5" s="117">
        <v>9.7043699931936178E-2</v>
      </c>
      <c r="J5" s="117">
        <v>9.7421891000969065</v>
      </c>
      <c r="K5" s="138"/>
      <c r="L5" s="138"/>
      <c r="M5" s="138"/>
      <c r="N5" s="138"/>
      <c r="O5" s="138"/>
      <c r="P5" s="138"/>
      <c r="Q5" s="138"/>
      <c r="R5" s="138"/>
    </row>
    <row r="6" spans="2:18" x14ac:dyDescent="0.3">
      <c r="B6" s="100" t="s">
        <v>433</v>
      </c>
      <c r="C6" s="117">
        <v>2.1942233258793484</v>
      </c>
      <c r="D6" s="117">
        <v>8.9183954362339009</v>
      </c>
      <c r="E6" s="117">
        <v>7.73823626817145</v>
      </c>
      <c r="F6" s="117">
        <v>8.2683242546317075</v>
      </c>
      <c r="G6" s="117">
        <v>1.9696006956310628</v>
      </c>
      <c r="H6" s="117">
        <v>8.8390439914554779</v>
      </c>
      <c r="I6" s="117">
        <v>9.642816300900769</v>
      </c>
      <c r="J6" s="117">
        <v>9.5215297487882857</v>
      </c>
      <c r="K6" s="138"/>
      <c r="L6" s="138"/>
      <c r="M6" s="138"/>
      <c r="N6" s="138"/>
      <c r="O6" s="138"/>
      <c r="P6" s="138"/>
      <c r="Q6" s="138"/>
      <c r="R6" s="138"/>
    </row>
    <row r="7" spans="2:18" x14ac:dyDescent="0.3">
      <c r="B7" s="100" t="s">
        <v>431</v>
      </c>
      <c r="C7" s="117">
        <v>9.9143793427835512</v>
      </c>
      <c r="D7" s="117">
        <v>3.5545972187087851</v>
      </c>
      <c r="E7" s="117">
        <v>7.6889676697504123</v>
      </c>
      <c r="F7" s="117">
        <v>9.111571487481541</v>
      </c>
      <c r="G7" s="117">
        <v>3.163750294557107</v>
      </c>
      <c r="H7" s="117">
        <v>2.6187607795041652</v>
      </c>
      <c r="I7" s="117">
        <v>3.0428750387995125</v>
      </c>
      <c r="J7" s="117">
        <v>8.0662706623981038</v>
      </c>
      <c r="K7" s="138"/>
      <c r="L7" s="138"/>
      <c r="M7" s="138"/>
      <c r="N7" s="138"/>
      <c r="O7" s="138"/>
      <c r="P7" s="138"/>
      <c r="Q7" s="138"/>
      <c r="R7" s="138"/>
    </row>
    <row r="8" spans="2:18" x14ac:dyDescent="0.3">
      <c r="B8" s="100" t="s">
        <v>435</v>
      </c>
      <c r="C8" s="117">
        <v>8.1285220418221158</v>
      </c>
      <c r="D8" s="117">
        <v>9.7733235994570062</v>
      </c>
      <c r="E8" s="117">
        <v>7.5214279533111164</v>
      </c>
      <c r="F8" s="117">
        <v>9.5069399198799029</v>
      </c>
      <c r="G8" s="117">
        <v>8.4499841614825257</v>
      </c>
      <c r="H8" s="117">
        <v>0.35994856070150894</v>
      </c>
      <c r="I8" s="117">
        <v>1.9026668429663918</v>
      </c>
      <c r="J8" s="117">
        <v>1.1299367690691624</v>
      </c>
      <c r="K8" s="138"/>
      <c r="L8" s="138"/>
      <c r="M8" s="138"/>
      <c r="N8" s="138"/>
      <c r="O8" s="138"/>
      <c r="P8" s="138"/>
      <c r="Q8" s="138"/>
      <c r="R8" s="138"/>
    </row>
    <row r="9" spans="2:18" x14ac:dyDescent="0.3">
      <c r="B9" s="100" t="s">
        <v>431</v>
      </c>
      <c r="C9" s="117">
        <v>7.5424430619961962</v>
      </c>
      <c r="D9" s="117">
        <v>0.94788287939712523</v>
      </c>
      <c r="E9" s="117">
        <v>8.368299684255625</v>
      </c>
      <c r="F9" s="117">
        <v>9.3000642603242696</v>
      </c>
      <c r="G9" s="117">
        <v>2.755584687187127</v>
      </c>
      <c r="H9" s="117">
        <v>0.54197721302143753</v>
      </c>
      <c r="I9" s="117">
        <v>0.43782857199314362</v>
      </c>
      <c r="J9" s="117">
        <v>9.8642442165019286</v>
      </c>
      <c r="K9" s="138"/>
      <c r="L9" s="138"/>
      <c r="M9" s="138"/>
      <c r="N9" s="138"/>
      <c r="O9" s="138"/>
      <c r="P9" s="138"/>
      <c r="Q9" s="138"/>
      <c r="R9" s="138"/>
    </row>
    <row r="10" spans="2:18" x14ac:dyDescent="0.3">
      <c r="B10" s="100" t="s">
        <v>433</v>
      </c>
      <c r="C10" s="117">
        <v>1.7718111172569193</v>
      </c>
      <c r="D10" s="117">
        <v>7.3431955128827315</v>
      </c>
      <c r="E10" s="117">
        <v>7.9247321765696546</v>
      </c>
      <c r="F10" s="117">
        <v>8.7477144669364044</v>
      </c>
      <c r="G10" s="117">
        <v>1.6652346416815944</v>
      </c>
      <c r="H10" s="117">
        <v>9.258663590078001</v>
      </c>
      <c r="I10" s="117">
        <v>9.8824423855965158</v>
      </c>
      <c r="J10" s="117">
        <v>7.8913349673825319</v>
      </c>
      <c r="K10" s="138"/>
      <c r="L10" s="138"/>
      <c r="M10" s="138"/>
      <c r="N10" s="138"/>
      <c r="O10" s="138"/>
      <c r="P10" s="138"/>
      <c r="Q10" s="138"/>
      <c r="R10" s="138"/>
    </row>
    <row r="11" spans="2:18" x14ac:dyDescent="0.3">
      <c r="B11" s="100" t="s">
        <v>431</v>
      </c>
      <c r="C11" s="117">
        <v>7.5555798249028445</v>
      </c>
      <c r="D11" s="117">
        <v>3.1696577139281832</v>
      </c>
      <c r="E11" s="117">
        <v>8.9989805640385878</v>
      </c>
      <c r="F11" s="117">
        <v>7.969513544842985</v>
      </c>
      <c r="G11" s="117">
        <v>3.0368055482694238</v>
      </c>
      <c r="H11" s="117">
        <v>2.1589748386457419</v>
      </c>
      <c r="I11" s="117">
        <v>2.2223466976158686</v>
      </c>
      <c r="J11" s="117">
        <v>9.0078044596646123</v>
      </c>
      <c r="K11" s="138"/>
      <c r="L11" s="138"/>
      <c r="M11" s="138"/>
      <c r="N11" s="138"/>
      <c r="O11" s="138"/>
      <c r="P11" s="138"/>
      <c r="Q11" s="138"/>
      <c r="R11" s="138"/>
    </row>
    <row r="12" spans="2:18" x14ac:dyDescent="0.3">
      <c r="B12" s="100" t="s">
        <v>433</v>
      </c>
      <c r="C12" s="117">
        <v>3.7058239397834041</v>
      </c>
      <c r="D12" s="117">
        <v>7.9632890268409486</v>
      </c>
      <c r="E12" s="117">
        <v>8.4001636679380827</v>
      </c>
      <c r="F12" s="117">
        <v>9.1384346495091933</v>
      </c>
      <c r="G12" s="117">
        <v>2.0446723553787454</v>
      </c>
      <c r="H12" s="117">
        <v>9.2954178220537234</v>
      </c>
      <c r="I12" s="117">
        <v>9.5324206397042079</v>
      </c>
      <c r="J12" s="117">
        <v>7.5623159203789356</v>
      </c>
      <c r="K12" s="138"/>
      <c r="L12" s="138"/>
      <c r="M12" s="138"/>
      <c r="N12" s="138"/>
      <c r="O12" s="138"/>
      <c r="P12" s="138"/>
      <c r="Q12" s="138"/>
      <c r="R12" s="138"/>
    </row>
    <row r="13" spans="2:18" x14ac:dyDescent="0.3">
      <c r="B13" s="100" t="s">
        <v>431</v>
      </c>
      <c r="C13" s="117">
        <v>9.0599452193721852</v>
      </c>
      <c r="D13" s="117">
        <v>8.772631900141592E-2</v>
      </c>
      <c r="E13" s="117">
        <v>9.6495084391913188</v>
      </c>
      <c r="F13" s="117">
        <v>8.3025958296002464</v>
      </c>
      <c r="G13" s="117">
        <v>3.7980360979010057</v>
      </c>
      <c r="H13" s="117">
        <v>1.6875586195325711</v>
      </c>
      <c r="I13" s="117">
        <v>1.1630277152193362</v>
      </c>
      <c r="J13" s="117">
        <v>9.5301503406658874</v>
      </c>
      <c r="K13" s="138"/>
      <c r="L13" s="138"/>
      <c r="M13" s="138"/>
      <c r="N13" s="138"/>
      <c r="O13" s="138"/>
      <c r="P13" s="138"/>
      <c r="Q13" s="138"/>
      <c r="R13" s="138"/>
    </row>
    <row r="14" spans="2:18" x14ac:dyDescent="0.3">
      <c r="B14" s="100" t="s">
        <v>431</v>
      </c>
      <c r="C14" s="117">
        <v>7.179188523090505</v>
      </c>
      <c r="D14" s="117">
        <v>3.1187127617381725</v>
      </c>
      <c r="E14" s="117">
        <v>8.7800873440943672</v>
      </c>
      <c r="F14" s="117">
        <v>9.6732296618491738</v>
      </c>
      <c r="G14" s="117">
        <v>1.8974973729594891</v>
      </c>
      <c r="H14" s="117">
        <v>2.6354871228391432</v>
      </c>
      <c r="I14" s="117">
        <v>0.40291506914261177</v>
      </c>
      <c r="J14" s="117">
        <v>9.6684701383460112</v>
      </c>
      <c r="K14" s="138"/>
      <c r="L14" s="138"/>
      <c r="M14" s="138"/>
      <c r="N14" s="138"/>
      <c r="O14" s="138"/>
      <c r="P14" s="138"/>
      <c r="Q14" s="138"/>
      <c r="R14" s="138"/>
    </row>
    <row r="15" spans="2:18" x14ac:dyDescent="0.3">
      <c r="B15" s="100" t="s">
        <v>435</v>
      </c>
      <c r="C15" s="117">
        <v>7.3641537773670471</v>
      </c>
      <c r="D15" s="117">
        <v>9.0311082781393477</v>
      </c>
      <c r="E15" s="117">
        <v>8.9578093982371847</v>
      </c>
      <c r="F15" s="117">
        <v>9.6997369638997348</v>
      </c>
      <c r="G15" s="117">
        <v>8.747485732284435</v>
      </c>
      <c r="H15" s="117">
        <v>2.1446014265262674</v>
      </c>
      <c r="I15" s="117">
        <v>3.9042809837607049</v>
      </c>
      <c r="J15" s="117">
        <v>2.7510282694600585</v>
      </c>
      <c r="K15" s="138"/>
      <c r="L15" s="138"/>
      <c r="M15" s="138"/>
      <c r="N15" s="138"/>
      <c r="O15" s="138"/>
      <c r="P15" s="138"/>
      <c r="Q15" s="138"/>
      <c r="R15" s="138"/>
    </row>
    <row r="16" spans="2:18" x14ac:dyDescent="0.3">
      <c r="B16" s="100" t="s">
        <v>433</v>
      </c>
      <c r="C16" s="117">
        <v>1.6995180776384395</v>
      </c>
      <c r="D16" s="117">
        <v>8.3911339886788614</v>
      </c>
      <c r="E16" s="117">
        <v>9.2493943825508751</v>
      </c>
      <c r="F16" s="117">
        <v>7.2954042134389727</v>
      </c>
      <c r="G16" s="117">
        <v>0.89520256510558793</v>
      </c>
      <c r="H16" s="117">
        <v>9.3856463102615297</v>
      </c>
      <c r="I16" s="117">
        <v>8.0973997540028524</v>
      </c>
      <c r="J16" s="117">
        <v>7.4028696961109155</v>
      </c>
      <c r="K16" s="138"/>
      <c r="L16" s="138"/>
      <c r="M16" s="138"/>
      <c r="N16" s="138"/>
      <c r="O16" s="138"/>
      <c r="P16" s="138"/>
      <c r="Q16" s="138"/>
      <c r="R16" s="138"/>
    </row>
    <row r="17" spans="2:18" x14ac:dyDescent="0.3">
      <c r="B17" s="100" t="s">
        <v>433</v>
      </c>
      <c r="C17" s="117">
        <v>2.6514857056768157</v>
      </c>
      <c r="D17" s="117">
        <v>9.5752152034001128</v>
      </c>
      <c r="E17" s="117">
        <v>8.1608317352358011</v>
      </c>
      <c r="F17" s="117">
        <v>8.4887864157349746</v>
      </c>
      <c r="G17" s="117">
        <v>2.5977764000618269</v>
      </c>
      <c r="H17" s="117">
        <v>7.0070896682909618</v>
      </c>
      <c r="I17" s="117">
        <v>8.8166445524226358</v>
      </c>
      <c r="J17" s="117">
        <v>8.9929158422858784</v>
      </c>
      <c r="K17" s="138"/>
      <c r="L17" s="138"/>
      <c r="M17" s="138"/>
      <c r="N17" s="138"/>
      <c r="O17" s="138"/>
      <c r="P17" s="138"/>
      <c r="Q17" s="138"/>
      <c r="R17" s="138"/>
    </row>
    <row r="18" spans="2:18" x14ac:dyDescent="0.3">
      <c r="B18" s="100" t="s">
        <v>435</v>
      </c>
      <c r="C18" s="117">
        <v>7.4061269602946931</v>
      </c>
      <c r="D18" s="117">
        <v>8.523800770350956</v>
      </c>
      <c r="E18" s="117">
        <v>8.6676781623768058</v>
      </c>
      <c r="F18" s="117">
        <v>7.8368335283808133</v>
      </c>
      <c r="G18" s="117">
        <v>9.9584137559025621</v>
      </c>
      <c r="H18" s="117">
        <v>2.5368405911727847</v>
      </c>
      <c r="I18" s="117">
        <v>1.0448706331487054</v>
      </c>
      <c r="J18" s="117">
        <v>3.4220192283177568</v>
      </c>
      <c r="K18" s="138"/>
      <c r="L18" s="138"/>
      <c r="M18" s="138"/>
      <c r="N18" s="138"/>
      <c r="O18" s="138"/>
      <c r="P18" s="138"/>
      <c r="Q18" s="138"/>
      <c r="R18" s="138"/>
    </row>
    <row r="19" spans="2:18" x14ac:dyDescent="0.3">
      <c r="B19" s="100" t="s">
        <v>433</v>
      </c>
      <c r="C19" s="117">
        <v>0.30882664127743498</v>
      </c>
      <c r="D19" s="117">
        <v>9.1182257726070794</v>
      </c>
      <c r="E19" s="117">
        <v>8.0140777885987369</v>
      </c>
      <c r="F19" s="117">
        <v>8.4101955221332769</v>
      </c>
      <c r="G19" s="117">
        <v>1.6049423986086859</v>
      </c>
      <c r="H19" s="117">
        <v>7.1654353766429359</v>
      </c>
      <c r="I19" s="117">
        <v>7.0408098762794138</v>
      </c>
      <c r="J19" s="117">
        <v>7.28151545860515</v>
      </c>
      <c r="K19" s="138"/>
      <c r="L19" s="138"/>
      <c r="M19" s="138"/>
      <c r="N19" s="138"/>
      <c r="O19" s="138"/>
      <c r="P19" s="138"/>
      <c r="Q19" s="138"/>
      <c r="R19" s="138"/>
    </row>
    <row r="20" spans="2:18" x14ac:dyDescent="0.3">
      <c r="B20" s="100" t="s">
        <v>431</v>
      </c>
      <c r="C20" s="117">
        <v>7.5512321546014727</v>
      </c>
      <c r="D20" s="117">
        <v>2.8729878528944135</v>
      </c>
      <c r="E20" s="117">
        <v>7.5651188544811063</v>
      </c>
      <c r="F20" s="117">
        <v>7.7666265788907918</v>
      </c>
      <c r="G20" s="117">
        <v>0.31136992303303712</v>
      </c>
      <c r="H20" s="117">
        <v>8.3635300924818079E-2</v>
      </c>
      <c r="I20" s="117">
        <v>3.1480381217234115</v>
      </c>
      <c r="J20" s="117">
        <v>9.6417051620523608</v>
      </c>
      <c r="K20" s="138"/>
      <c r="L20" s="138"/>
      <c r="M20" s="138"/>
      <c r="N20" s="138"/>
      <c r="O20" s="138"/>
      <c r="P20" s="138"/>
      <c r="Q20" s="138"/>
      <c r="R20" s="138"/>
    </row>
    <row r="21" spans="2:18" x14ac:dyDescent="0.3">
      <c r="B21" s="100" t="s">
        <v>431</v>
      </c>
      <c r="C21" s="117">
        <v>7.2566542520951671</v>
      </c>
      <c r="D21" s="117">
        <v>3.7418812931370522</v>
      </c>
      <c r="E21" s="117">
        <v>8.4883664343264673</v>
      </c>
      <c r="F21" s="117">
        <v>9.3188663477703191</v>
      </c>
      <c r="G21" s="117">
        <v>3.8813037468867635</v>
      </c>
      <c r="H21" s="117">
        <v>2.163563531719555</v>
      </c>
      <c r="I21" s="117">
        <v>3.1601653152397144</v>
      </c>
      <c r="J21" s="117">
        <v>9.0687057202135755</v>
      </c>
      <c r="K21" s="138"/>
      <c r="L21" s="138"/>
      <c r="M21" s="138"/>
      <c r="N21" s="138"/>
      <c r="O21" s="138"/>
      <c r="P21" s="138"/>
      <c r="Q21" s="138"/>
      <c r="R21" s="138"/>
    </row>
    <row r="22" spans="2:18" x14ac:dyDescent="0.3">
      <c r="B22" s="100" t="s">
        <v>433</v>
      </c>
      <c r="C22" s="117">
        <v>1.1714130855975782</v>
      </c>
      <c r="D22" s="117">
        <v>7.3762558215199325</v>
      </c>
      <c r="E22" s="117">
        <v>8.3339708154616883</v>
      </c>
      <c r="F22" s="117">
        <v>8.437109801303988</v>
      </c>
      <c r="G22" s="117">
        <v>3.4995369008519064</v>
      </c>
      <c r="H22" s="117">
        <v>9.1317266599537863</v>
      </c>
      <c r="I22" s="117">
        <v>9.4415684601769971</v>
      </c>
      <c r="J22" s="117">
        <v>8.5410837369429924</v>
      </c>
      <c r="K22" s="138"/>
      <c r="L22" s="138"/>
      <c r="M22" s="138"/>
      <c r="N22" s="138"/>
      <c r="O22" s="138"/>
      <c r="P22" s="138"/>
      <c r="Q22" s="138"/>
      <c r="R22" s="138"/>
    </row>
    <row r="23" spans="2:18" x14ac:dyDescent="0.3">
      <c r="B23" s="100" t="s">
        <v>431</v>
      </c>
      <c r="C23" s="117">
        <v>9.4056140264459813</v>
      </c>
      <c r="D23" s="117">
        <v>2.5918487756174731</v>
      </c>
      <c r="E23" s="117">
        <v>7.2315224459411489</v>
      </c>
      <c r="F23" s="117">
        <v>9.3724381040078377</v>
      </c>
      <c r="G23" s="117">
        <v>3.9626993887393258</v>
      </c>
      <c r="H23" s="117">
        <v>0.15036210720714216</v>
      </c>
      <c r="I23" s="117">
        <v>1.2605288433505217</v>
      </c>
      <c r="J23" s="117">
        <v>7.6882005690349224</v>
      </c>
      <c r="K23" s="138"/>
      <c r="L23" s="138"/>
      <c r="M23" s="138"/>
      <c r="N23" s="138"/>
      <c r="O23" s="138"/>
      <c r="P23" s="138"/>
      <c r="Q23" s="138"/>
      <c r="R23" s="138"/>
    </row>
    <row r="24" spans="2:18" x14ac:dyDescent="0.3">
      <c r="B24" s="100" t="s">
        <v>431</v>
      </c>
      <c r="C24" s="117">
        <v>7.1891996750154865</v>
      </c>
      <c r="D24" s="117">
        <v>0.36262515116013194</v>
      </c>
      <c r="E24" s="117">
        <v>7.1422119999396569</v>
      </c>
      <c r="F24" s="117">
        <v>7.643731721082478</v>
      </c>
      <c r="G24" s="117">
        <v>2.5412411058806867</v>
      </c>
      <c r="H24" s="117">
        <v>3.0926968175265936</v>
      </c>
      <c r="I24" s="117">
        <v>1.4472444649994411</v>
      </c>
      <c r="J24" s="117">
        <v>9.5754126160592445</v>
      </c>
      <c r="K24" s="138"/>
      <c r="L24" s="138"/>
      <c r="M24" s="138"/>
      <c r="N24" s="138"/>
      <c r="O24" s="138"/>
      <c r="P24" s="138"/>
      <c r="Q24" s="138"/>
      <c r="R24" s="138"/>
    </row>
    <row r="25" spans="2:18" x14ac:dyDescent="0.3">
      <c r="B25" s="100" t="s">
        <v>435</v>
      </c>
      <c r="C25" s="117">
        <v>7.665873682129436</v>
      </c>
      <c r="D25" s="117">
        <v>8.3556834242560285</v>
      </c>
      <c r="E25" s="117">
        <v>7.9585302582038278</v>
      </c>
      <c r="F25" s="117">
        <v>7.3425082423930688</v>
      </c>
      <c r="G25" s="117">
        <v>8.358891927797135</v>
      </c>
      <c r="H25" s="117">
        <v>2.5760006720134476</v>
      </c>
      <c r="I25" s="117">
        <v>1.6365741631903745</v>
      </c>
      <c r="J25" s="117">
        <v>1.4811107770245422</v>
      </c>
      <c r="K25" s="138"/>
      <c r="L25" s="138"/>
      <c r="M25" s="138"/>
      <c r="N25" s="138"/>
      <c r="O25" s="138"/>
      <c r="P25" s="138"/>
      <c r="Q25" s="138"/>
      <c r="R25" s="138"/>
    </row>
    <row r="26" spans="2:18" x14ac:dyDescent="0.3">
      <c r="B26" s="100" t="s">
        <v>433</v>
      </c>
      <c r="C26" s="117">
        <v>1.3984516223069039</v>
      </c>
      <c r="D26" s="117">
        <v>8.5736414898296225</v>
      </c>
      <c r="E26" s="117">
        <v>8.6206850373658384</v>
      </c>
      <c r="F26" s="117">
        <v>8.960533002021343</v>
      </c>
      <c r="G26" s="117">
        <v>2.1153897911914119</v>
      </c>
      <c r="H26" s="117">
        <v>7.5663140458935132</v>
      </c>
      <c r="I26" s="117">
        <v>9.2857837021620444</v>
      </c>
      <c r="J26" s="117">
        <v>9.3145876292111893</v>
      </c>
      <c r="K26" s="138"/>
      <c r="L26" s="138"/>
      <c r="M26" s="138"/>
      <c r="N26" s="138"/>
      <c r="O26" s="138"/>
      <c r="P26" s="138"/>
      <c r="Q26" s="138"/>
      <c r="R26" s="138"/>
    </row>
    <row r="27" spans="2:18" x14ac:dyDescent="0.3">
      <c r="B27" s="100" t="s">
        <v>433</v>
      </c>
      <c r="C27" s="117">
        <v>1.6113208235859706</v>
      </c>
      <c r="D27" s="117">
        <v>9.4003297828057146</v>
      </c>
      <c r="E27" s="117">
        <v>7.658626696454844</v>
      </c>
      <c r="F27" s="117">
        <v>8.7169933721635182</v>
      </c>
      <c r="G27" s="117">
        <v>1.8821113614122034</v>
      </c>
      <c r="H27" s="117">
        <v>9.5347022508583557</v>
      </c>
      <c r="I27" s="117">
        <v>8.5874468142672402</v>
      </c>
      <c r="J27" s="117">
        <v>9.602134456695655</v>
      </c>
      <c r="K27" s="138"/>
      <c r="L27" s="138"/>
      <c r="M27" s="138"/>
      <c r="N27" s="138"/>
      <c r="O27" s="138"/>
      <c r="P27" s="138"/>
      <c r="Q27" s="138"/>
      <c r="R27" s="138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7E0E-E341-9845-AFF6-73B9E326DD32}">
  <sheetPr codeName="Sheet73">
    <tabColor rgb="FFFF0000"/>
  </sheetPr>
  <dimension ref="A1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/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4AFD-04A9-2344-98FD-36B70CB0E3A7}">
  <sheetPr codeName="Sheet74">
    <tabColor rgb="FFFF0000"/>
  </sheetPr>
  <dimension ref="B2:C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2:3" s="99" customFormat="1" x14ac:dyDescent="0.2">
      <c r="B2" s="99" t="s">
        <v>438</v>
      </c>
      <c r="C2" s="99" t="s">
        <v>437</v>
      </c>
    </row>
    <row r="3" spans="2:3" x14ac:dyDescent="0.2">
      <c r="B3" s="18">
        <f t="shared" ref="B3:B24" ca="1" si="0">RANDBETWEEN(1,5)</f>
        <v>3</v>
      </c>
      <c r="C3" s="18">
        <f t="shared" ref="C3:C24" ca="1" si="1">B3</f>
        <v>3</v>
      </c>
    </row>
    <row r="4" spans="2:3" x14ac:dyDescent="0.2">
      <c r="B4" s="18">
        <f t="shared" ca="1" si="0"/>
        <v>4</v>
      </c>
      <c r="C4" s="18">
        <f t="shared" ca="1" si="1"/>
        <v>4</v>
      </c>
    </row>
    <row r="5" spans="2:3" x14ac:dyDescent="0.2">
      <c r="B5" s="18">
        <f t="shared" ca="1" si="0"/>
        <v>2</v>
      </c>
      <c r="C5" s="18">
        <f t="shared" ca="1" si="1"/>
        <v>2</v>
      </c>
    </row>
    <row r="6" spans="2:3" x14ac:dyDescent="0.2">
      <c r="B6" s="18">
        <f t="shared" ca="1" si="0"/>
        <v>2</v>
      </c>
      <c r="C6" s="18">
        <f t="shared" ca="1" si="1"/>
        <v>2</v>
      </c>
    </row>
    <row r="7" spans="2:3" x14ac:dyDescent="0.2">
      <c r="B7" s="18">
        <f t="shared" ca="1" si="0"/>
        <v>5</v>
      </c>
      <c r="C7" s="18">
        <f t="shared" ca="1" si="1"/>
        <v>5</v>
      </c>
    </row>
    <row r="8" spans="2:3" x14ac:dyDescent="0.2">
      <c r="B8" s="18">
        <f t="shared" ca="1" si="0"/>
        <v>3</v>
      </c>
      <c r="C8" s="18">
        <f t="shared" ca="1" si="1"/>
        <v>3</v>
      </c>
    </row>
    <row r="9" spans="2:3" x14ac:dyDescent="0.2">
      <c r="B9" s="18">
        <f t="shared" ca="1" si="0"/>
        <v>2</v>
      </c>
      <c r="C9" s="18">
        <f t="shared" ca="1" si="1"/>
        <v>2</v>
      </c>
    </row>
    <row r="10" spans="2:3" x14ac:dyDescent="0.2">
      <c r="B10" s="18">
        <f t="shared" ca="1" si="0"/>
        <v>2</v>
      </c>
      <c r="C10" s="18">
        <f t="shared" ca="1" si="1"/>
        <v>2</v>
      </c>
    </row>
    <row r="11" spans="2:3" x14ac:dyDescent="0.2">
      <c r="B11" s="18">
        <f t="shared" ca="1" si="0"/>
        <v>2</v>
      </c>
      <c r="C11" s="18">
        <f t="shared" ca="1" si="1"/>
        <v>2</v>
      </c>
    </row>
    <row r="12" spans="2:3" x14ac:dyDescent="0.2">
      <c r="B12" s="18">
        <f t="shared" ca="1" si="0"/>
        <v>2</v>
      </c>
      <c r="C12" s="18">
        <f t="shared" ca="1" si="1"/>
        <v>2</v>
      </c>
    </row>
    <row r="13" spans="2:3" x14ac:dyDescent="0.2">
      <c r="B13" s="18">
        <f t="shared" ca="1" si="0"/>
        <v>1</v>
      </c>
      <c r="C13" s="18">
        <f t="shared" ca="1" si="1"/>
        <v>1</v>
      </c>
    </row>
    <row r="14" spans="2:3" x14ac:dyDescent="0.2">
      <c r="B14" s="18">
        <f t="shared" ca="1" si="0"/>
        <v>3</v>
      </c>
      <c r="C14" s="18">
        <f t="shared" ca="1" si="1"/>
        <v>3</v>
      </c>
    </row>
    <row r="15" spans="2:3" x14ac:dyDescent="0.2">
      <c r="B15" s="18">
        <f t="shared" ca="1" si="0"/>
        <v>1</v>
      </c>
      <c r="C15" s="18">
        <f t="shared" ca="1" si="1"/>
        <v>1</v>
      </c>
    </row>
    <row r="16" spans="2:3" x14ac:dyDescent="0.2">
      <c r="B16" s="18">
        <f t="shared" ca="1" si="0"/>
        <v>4</v>
      </c>
      <c r="C16" s="18">
        <f t="shared" ca="1" si="1"/>
        <v>4</v>
      </c>
    </row>
    <row r="17" spans="2:3" x14ac:dyDescent="0.2">
      <c r="B17" s="18">
        <f t="shared" ca="1" si="0"/>
        <v>4</v>
      </c>
      <c r="C17" s="18">
        <f t="shared" ca="1" si="1"/>
        <v>4</v>
      </c>
    </row>
    <row r="18" spans="2:3" x14ac:dyDescent="0.2">
      <c r="B18" s="18">
        <f t="shared" ca="1" si="0"/>
        <v>3</v>
      </c>
      <c r="C18" s="18">
        <f t="shared" ca="1" si="1"/>
        <v>3</v>
      </c>
    </row>
    <row r="19" spans="2:3" x14ac:dyDescent="0.2">
      <c r="B19" s="18">
        <f t="shared" ca="1" si="0"/>
        <v>5</v>
      </c>
      <c r="C19" s="18">
        <f t="shared" ca="1" si="1"/>
        <v>5</v>
      </c>
    </row>
    <row r="20" spans="2:3" x14ac:dyDescent="0.2">
      <c r="B20" s="18">
        <f t="shared" ca="1" si="0"/>
        <v>1</v>
      </c>
      <c r="C20" s="18">
        <f t="shared" ca="1" si="1"/>
        <v>1</v>
      </c>
    </row>
    <row r="21" spans="2:3" x14ac:dyDescent="0.2">
      <c r="B21" s="18">
        <f t="shared" ca="1" si="0"/>
        <v>2</v>
      </c>
      <c r="C21" s="18">
        <f t="shared" ca="1" si="1"/>
        <v>2</v>
      </c>
    </row>
    <row r="22" spans="2:3" x14ac:dyDescent="0.2">
      <c r="B22" s="18">
        <f t="shared" ca="1" si="0"/>
        <v>1</v>
      </c>
      <c r="C22" s="18">
        <f t="shared" ca="1" si="1"/>
        <v>1</v>
      </c>
    </row>
    <row r="23" spans="2:3" x14ac:dyDescent="0.2">
      <c r="B23" s="18">
        <f t="shared" ca="1" si="0"/>
        <v>1</v>
      </c>
      <c r="C23" s="18">
        <f t="shared" ca="1" si="1"/>
        <v>1</v>
      </c>
    </row>
    <row r="24" spans="2:3" x14ac:dyDescent="0.2">
      <c r="B24" s="18">
        <f t="shared" ca="1" si="0"/>
        <v>1</v>
      </c>
      <c r="C24" s="18">
        <f t="shared" ca="1" si="1"/>
        <v>1</v>
      </c>
    </row>
  </sheetData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8B6B-1F0D-CC4A-940D-DA01AAE2F602}">
  <sheetPr codeName="Sheet75">
    <tabColor rgb="FFFF0000"/>
  </sheetPr>
  <dimension ref="B2:F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2:6" s="99" customFormat="1" x14ac:dyDescent="0.2">
      <c r="B2" s="99" t="s">
        <v>438</v>
      </c>
      <c r="C2" s="99" t="s">
        <v>437</v>
      </c>
      <c r="E2" s="99" t="s">
        <v>440</v>
      </c>
      <c r="F2" s="99" t="s">
        <v>439</v>
      </c>
    </row>
    <row r="3" spans="2:6" x14ac:dyDescent="0.2">
      <c r="B3" s="142">
        <f t="shared" ref="B3:B24" ca="1" si="0">RANDBETWEEN(1,5)</f>
        <v>4</v>
      </c>
      <c r="C3" s="141">
        <f t="shared" ref="C3:C24" ca="1" si="1">B3</f>
        <v>4</v>
      </c>
      <c r="E3" s="140">
        <f t="shared" ref="E3:E24" ca="1" si="2">0.5*B3+0.5*C3</f>
        <v>4</v>
      </c>
      <c r="F3" s="144">
        <f t="shared" ref="F3:F24" ca="1" si="3">0.01*B3-0.01*C3</f>
        <v>0</v>
      </c>
    </row>
    <row r="4" spans="2:6" x14ac:dyDescent="0.2">
      <c r="B4" s="142">
        <f t="shared" ca="1" si="0"/>
        <v>5</v>
      </c>
      <c r="C4" s="141">
        <f t="shared" ca="1" si="1"/>
        <v>5</v>
      </c>
      <c r="E4" s="140">
        <f t="shared" ca="1" si="2"/>
        <v>5</v>
      </c>
      <c r="F4" s="143">
        <f t="shared" ca="1" si="3"/>
        <v>0</v>
      </c>
    </row>
    <row r="5" spans="2:6" x14ac:dyDescent="0.2">
      <c r="B5" s="142">
        <f t="shared" ca="1" si="0"/>
        <v>2</v>
      </c>
      <c r="C5" s="141">
        <f t="shared" ca="1" si="1"/>
        <v>2</v>
      </c>
      <c r="E5" s="140">
        <f t="shared" ca="1" si="2"/>
        <v>2</v>
      </c>
      <c r="F5" s="143">
        <f t="shared" ca="1" si="3"/>
        <v>0</v>
      </c>
    </row>
    <row r="6" spans="2:6" x14ac:dyDescent="0.2">
      <c r="B6" s="142">
        <f t="shared" ca="1" si="0"/>
        <v>3</v>
      </c>
      <c r="C6" s="141">
        <f t="shared" ca="1" si="1"/>
        <v>3</v>
      </c>
      <c r="E6" s="140">
        <f t="shared" ca="1" si="2"/>
        <v>3</v>
      </c>
      <c r="F6" s="143">
        <f t="shared" ca="1" si="3"/>
        <v>0</v>
      </c>
    </row>
    <row r="7" spans="2:6" x14ac:dyDescent="0.2">
      <c r="B7" s="142">
        <f t="shared" ca="1" si="0"/>
        <v>3</v>
      </c>
      <c r="C7" s="141">
        <f t="shared" ca="1" si="1"/>
        <v>3</v>
      </c>
      <c r="E7" s="140">
        <f t="shared" ca="1" si="2"/>
        <v>3</v>
      </c>
      <c r="F7" s="143">
        <f t="shared" ca="1" si="3"/>
        <v>0</v>
      </c>
    </row>
    <row r="8" spans="2:6" x14ac:dyDescent="0.2">
      <c r="B8" s="142">
        <f t="shared" ca="1" si="0"/>
        <v>5</v>
      </c>
      <c r="C8" s="141">
        <f t="shared" ca="1" si="1"/>
        <v>5</v>
      </c>
      <c r="E8" s="140">
        <f t="shared" ca="1" si="2"/>
        <v>5</v>
      </c>
      <c r="F8" s="143">
        <f t="shared" ca="1" si="3"/>
        <v>0</v>
      </c>
    </row>
    <row r="9" spans="2:6" x14ac:dyDescent="0.2">
      <c r="B9" s="142">
        <f t="shared" ca="1" si="0"/>
        <v>1</v>
      </c>
      <c r="C9" s="141">
        <f t="shared" ca="1" si="1"/>
        <v>1</v>
      </c>
      <c r="E9" s="140">
        <f t="shared" ca="1" si="2"/>
        <v>1</v>
      </c>
      <c r="F9" s="143">
        <f t="shared" ca="1" si="3"/>
        <v>0</v>
      </c>
    </row>
    <row r="10" spans="2:6" x14ac:dyDescent="0.2">
      <c r="B10" s="142">
        <f t="shared" ca="1" si="0"/>
        <v>3</v>
      </c>
      <c r="C10" s="141">
        <f t="shared" ca="1" si="1"/>
        <v>3</v>
      </c>
      <c r="E10" s="140">
        <f t="shared" ca="1" si="2"/>
        <v>3</v>
      </c>
      <c r="F10" s="143">
        <f t="shared" ca="1" si="3"/>
        <v>0</v>
      </c>
    </row>
    <row r="11" spans="2:6" x14ac:dyDescent="0.2">
      <c r="B11" s="142">
        <f t="shared" ca="1" si="0"/>
        <v>1</v>
      </c>
      <c r="C11" s="141">
        <f t="shared" ca="1" si="1"/>
        <v>1</v>
      </c>
      <c r="E11" s="140">
        <f t="shared" ca="1" si="2"/>
        <v>1</v>
      </c>
      <c r="F11" s="143">
        <f t="shared" ca="1" si="3"/>
        <v>0</v>
      </c>
    </row>
    <row r="12" spans="2:6" x14ac:dyDescent="0.2">
      <c r="B12" s="142">
        <f t="shared" ca="1" si="0"/>
        <v>1</v>
      </c>
      <c r="C12" s="141">
        <f t="shared" ca="1" si="1"/>
        <v>1</v>
      </c>
      <c r="E12" s="140">
        <f t="shared" ca="1" si="2"/>
        <v>1</v>
      </c>
      <c r="F12" s="143">
        <f t="shared" ca="1" si="3"/>
        <v>0</v>
      </c>
    </row>
    <row r="13" spans="2:6" x14ac:dyDescent="0.2">
      <c r="B13" s="142">
        <f t="shared" ca="1" si="0"/>
        <v>3</v>
      </c>
      <c r="C13" s="141">
        <f t="shared" ca="1" si="1"/>
        <v>3</v>
      </c>
      <c r="E13" s="140">
        <f t="shared" ca="1" si="2"/>
        <v>3</v>
      </c>
      <c r="F13" s="143">
        <f t="shared" ca="1" si="3"/>
        <v>0</v>
      </c>
    </row>
    <row r="14" spans="2:6" x14ac:dyDescent="0.2">
      <c r="B14" s="142">
        <f t="shared" ca="1" si="0"/>
        <v>1</v>
      </c>
      <c r="C14" s="141">
        <f t="shared" ca="1" si="1"/>
        <v>1</v>
      </c>
      <c r="E14" s="140">
        <f t="shared" ca="1" si="2"/>
        <v>1</v>
      </c>
      <c r="F14" s="143">
        <f t="shared" ca="1" si="3"/>
        <v>0</v>
      </c>
    </row>
    <row r="15" spans="2:6" x14ac:dyDescent="0.2">
      <c r="B15" s="142">
        <f t="shared" ca="1" si="0"/>
        <v>1</v>
      </c>
      <c r="C15" s="141">
        <f t="shared" ca="1" si="1"/>
        <v>1</v>
      </c>
      <c r="E15" s="140">
        <f t="shared" ca="1" si="2"/>
        <v>1</v>
      </c>
      <c r="F15" s="143">
        <f t="shared" ca="1" si="3"/>
        <v>0</v>
      </c>
    </row>
    <row r="16" spans="2:6" x14ac:dyDescent="0.2">
      <c r="B16" s="142">
        <f t="shared" ca="1" si="0"/>
        <v>5</v>
      </c>
      <c r="C16" s="141">
        <f t="shared" ca="1" si="1"/>
        <v>5</v>
      </c>
      <c r="E16" s="140">
        <f t="shared" ca="1" si="2"/>
        <v>5</v>
      </c>
      <c r="F16" s="143">
        <f t="shared" ca="1" si="3"/>
        <v>0</v>
      </c>
    </row>
    <row r="17" spans="2:6" x14ac:dyDescent="0.2">
      <c r="B17" s="142">
        <f t="shared" ca="1" si="0"/>
        <v>4</v>
      </c>
      <c r="C17" s="141">
        <f t="shared" ca="1" si="1"/>
        <v>4</v>
      </c>
      <c r="E17" s="140">
        <f t="shared" ca="1" si="2"/>
        <v>4</v>
      </c>
      <c r="F17" s="143">
        <f t="shared" ca="1" si="3"/>
        <v>0</v>
      </c>
    </row>
    <row r="18" spans="2:6" x14ac:dyDescent="0.2">
      <c r="B18" s="142">
        <f t="shared" ca="1" si="0"/>
        <v>3</v>
      </c>
      <c r="C18" s="141">
        <f t="shared" ca="1" si="1"/>
        <v>3</v>
      </c>
      <c r="E18" s="140">
        <f t="shared" ca="1" si="2"/>
        <v>3</v>
      </c>
      <c r="F18" s="143">
        <f t="shared" ca="1" si="3"/>
        <v>0</v>
      </c>
    </row>
    <row r="19" spans="2:6" x14ac:dyDescent="0.2">
      <c r="B19" s="142">
        <f t="shared" ca="1" si="0"/>
        <v>4</v>
      </c>
      <c r="C19" s="141">
        <f t="shared" ca="1" si="1"/>
        <v>4</v>
      </c>
      <c r="E19" s="140">
        <f t="shared" ca="1" si="2"/>
        <v>4</v>
      </c>
      <c r="F19" s="143">
        <f t="shared" ca="1" si="3"/>
        <v>0</v>
      </c>
    </row>
    <row r="20" spans="2:6" x14ac:dyDescent="0.2">
      <c r="B20" s="142">
        <f t="shared" ca="1" si="0"/>
        <v>2</v>
      </c>
      <c r="C20" s="141">
        <f t="shared" ca="1" si="1"/>
        <v>2</v>
      </c>
      <c r="E20" s="140">
        <f t="shared" ca="1" si="2"/>
        <v>2</v>
      </c>
      <c r="F20" s="143">
        <f t="shared" ca="1" si="3"/>
        <v>0</v>
      </c>
    </row>
    <row r="21" spans="2:6" x14ac:dyDescent="0.2">
      <c r="B21" s="142">
        <f t="shared" ca="1" si="0"/>
        <v>2</v>
      </c>
      <c r="C21" s="141">
        <f t="shared" ca="1" si="1"/>
        <v>2</v>
      </c>
      <c r="E21" s="140">
        <f t="shared" ca="1" si="2"/>
        <v>2</v>
      </c>
      <c r="F21" s="143">
        <f t="shared" ca="1" si="3"/>
        <v>0</v>
      </c>
    </row>
    <row r="22" spans="2:6" x14ac:dyDescent="0.2">
      <c r="B22" s="142">
        <f t="shared" ca="1" si="0"/>
        <v>2</v>
      </c>
      <c r="C22" s="141">
        <f t="shared" ca="1" si="1"/>
        <v>2</v>
      </c>
      <c r="E22" s="140">
        <f t="shared" ca="1" si="2"/>
        <v>2</v>
      </c>
      <c r="F22" s="143">
        <f t="shared" ca="1" si="3"/>
        <v>0</v>
      </c>
    </row>
    <row r="23" spans="2:6" x14ac:dyDescent="0.2">
      <c r="B23" s="142">
        <f t="shared" ca="1" si="0"/>
        <v>1</v>
      </c>
      <c r="C23" s="141">
        <f t="shared" ca="1" si="1"/>
        <v>1</v>
      </c>
      <c r="E23" s="140">
        <f t="shared" ca="1" si="2"/>
        <v>1</v>
      </c>
      <c r="F23" s="143">
        <f t="shared" ca="1" si="3"/>
        <v>0</v>
      </c>
    </row>
    <row r="24" spans="2:6" x14ac:dyDescent="0.2">
      <c r="B24" s="142">
        <f t="shared" ca="1" si="0"/>
        <v>4</v>
      </c>
      <c r="C24" s="141">
        <f t="shared" ca="1" si="1"/>
        <v>4</v>
      </c>
      <c r="E24" s="140">
        <f t="shared" ca="1" si="2"/>
        <v>4</v>
      </c>
      <c r="F24" s="139">
        <f t="shared" ca="1" si="3"/>
        <v>0</v>
      </c>
    </row>
  </sheetData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E2E9-75EF-1D42-9DA7-8E0C940580E1}">
  <sheetPr codeName="Sheet76">
    <tabColor rgb="FFFF0000"/>
  </sheetPr>
  <dimension ref="C2:I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3:9" s="99" customFormat="1" x14ac:dyDescent="0.2">
      <c r="C2" s="99" t="s">
        <v>438</v>
      </c>
      <c r="D2" s="99" t="s">
        <v>437</v>
      </c>
      <c r="E2" s="99" t="s">
        <v>442</v>
      </c>
      <c r="G2" s="99" t="s">
        <v>440</v>
      </c>
      <c r="H2" s="99" t="s">
        <v>439</v>
      </c>
      <c r="I2" s="99" t="s">
        <v>441</v>
      </c>
    </row>
    <row r="3" spans="3:9" x14ac:dyDescent="0.2">
      <c r="C3" s="142">
        <f t="shared" ref="C3:C24" ca="1" si="0">RANDBETWEEN(1,5)</f>
        <v>4</v>
      </c>
      <c r="D3" s="141">
        <f t="shared" ref="D3:E24" ca="1" si="1">C3</f>
        <v>4</v>
      </c>
      <c r="E3" s="148">
        <f t="shared" ca="1" si="1"/>
        <v>4</v>
      </c>
      <c r="G3" s="147">
        <f t="shared" ref="G3:G24" ca="1" si="2">0.33*C3+0.33*D3+0.33*E3</f>
        <v>3.96</v>
      </c>
      <c r="H3" s="150">
        <f t="shared" ref="H3:H24" ca="1" si="3">0.04*C3-0.04*D3+0*E3</f>
        <v>0</v>
      </c>
      <c r="I3" s="149">
        <f t="shared" ref="I3:I24" ca="1" si="4">-0.001*C3-0.001*D3+0.002*E3</f>
        <v>0</v>
      </c>
    </row>
    <row r="4" spans="3:9" x14ac:dyDescent="0.2">
      <c r="C4" s="142">
        <f t="shared" ca="1" si="0"/>
        <v>1</v>
      </c>
      <c r="D4" s="141">
        <f t="shared" ca="1" si="1"/>
        <v>1</v>
      </c>
      <c r="E4" s="148">
        <f t="shared" ca="1" si="1"/>
        <v>1</v>
      </c>
      <c r="G4" s="147">
        <f t="shared" ca="1" si="2"/>
        <v>0.99</v>
      </c>
      <c r="H4" s="42">
        <f t="shared" ca="1" si="3"/>
        <v>0</v>
      </c>
      <c r="I4" s="43">
        <f t="shared" ca="1" si="4"/>
        <v>0</v>
      </c>
    </row>
    <row r="5" spans="3:9" x14ac:dyDescent="0.2">
      <c r="C5" s="142">
        <f t="shared" ca="1" si="0"/>
        <v>5</v>
      </c>
      <c r="D5" s="141">
        <f t="shared" ca="1" si="1"/>
        <v>5</v>
      </c>
      <c r="E5" s="148">
        <f t="shared" ca="1" si="1"/>
        <v>5</v>
      </c>
      <c r="G5" s="147">
        <f t="shared" ca="1" si="2"/>
        <v>4.95</v>
      </c>
      <c r="H5" s="42">
        <f t="shared" ca="1" si="3"/>
        <v>0</v>
      </c>
      <c r="I5" s="43">
        <f t="shared" ca="1" si="4"/>
        <v>0</v>
      </c>
    </row>
    <row r="6" spans="3:9" x14ac:dyDescent="0.2">
      <c r="C6" s="142">
        <f t="shared" ca="1" si="0"/>
        <v>2</v>
      </c>
      <c r="D6" s="141">
        <f t="shared" ca="1" si="1"/>
        <v>2</v>
      </c>
      <c r="E6" s="148">
        <f t="shared" ca="1" si="1"/>
        <v>2</v>
      </c>
      <c r="G6" s="147">
        <f t="shared" ca="1" si="2"/>
        <v>1.98</v>
      </c>
      <c r="H6" s="42">
        <f t="shared" ca="1" si="3"/>
        <v>0</v>
      </c>
      <c r="I6" s="43">
        <f t="shared" ca="1" si="4"/>
        <v>0</v>
      </c>
    </row>
    <row r="7" spans="3:9" x14ac:dyDescent="0.2">
      <c r="C7" s="142">
        <f t="shared" ca="1" si="0"/>
        <v>2</v>
      </c>
      <c r="D7" s="141">
        <f t="shared" ca="1" si="1"/>
        <v>2</v>
      </c>
      <c r="E7" s="148">
        <f t="shared" ca="1" si="1"/>
        <v>2</v>
      </c>
      <c r="G7" s="147">
        <f t="shared" ca="1" si="2"/>
        <v>1.98</v>
      </c>
      <c r="H7" s="42">
        <f t="shared" ca="1" si="3"/>
        <v>0</v>
      </c>
      <c r="I7" s="43">
        <f t="shared" ca="1" si="4"/>
        <v>0</v>
      </c>
    </row>
    <row r="8" spans="3:9" x14ac:dyDescent="0.2">
      <c r="C8" s="142">
        <f t="shared" ca="1" si="0"/>
        <v>1</v>
      </c>
      <c r="D8" s="141">
        <f t="shared" ca="1" si="1"/>
        <v>1</v>
      </c>
      <c r="E8" s="148">
        <f t="shared" ca="1" si="1"/>
        <v>1</v>
      </c>
      <c r="G8" s="147">
        <f t="shared" ca="1" si="2"/>
        <v>0.99</v>
      </c>
      <c r="H8" s="42">
        <f t="shared" ca="1" si="3"/>
        <v>0</v>
      </c>
      <c r="I8" s="43">
        <f t="shared" ca="1" si="4"/>
        <v>0</v>
      </c>
    </row>
    <row r="9" spans="3:9" x14ac:dyDescent="0.2">
      <c r="C9" s="142">
        <f t="shared" ca="1" si="0"/>
        <v>3</v>
      </c>
      <c r="D9" s="141">
        <f t="shared" ca="1" si="1"/>
        <v>3</v>
      </c>
      <c r="E9" s="148">
        <f t="shared" ca="1" si="1"/>
        <v>3</v>
      </c>
      <c r="G9" s="147">
        <f t="shared" ca="1" si="2"/>
        <v>2.9699999999999998</v>
      </c>
      <c r="H9" s="42">
        <f t="shared" ca="1" si="3"/>
        <v>0</v>
      </c>
      <c r="I9" s="43">
        <f t="shared" ca="1" si="4"/>
        <v>0</v>
      </c>
    </row>
    <row r="10" spans="3:9" x14ac:dyDescent="0.2">
      <c r="C10" s="142">
        <f t="shared" ca="1" si="0"/>
        <v>5</v>
      </c>
      <c r="D10" s="141">
        <f t="shared" ca="1" si="1"/>
        <v>5</v>
      </c>
      <c r="E10" s="148">
        <f t="shared" ca="1" si="1"/>
        <v>5</v>
      </c>
      <c r="G10" s="147">
        <f t="shared" ca="1" si="2"/>
        <v>4.95</v>
      </c>
      <c r="H10" s="42">
        <f t="shared" ca="1" si="3"/>
        <v>0</v>
      </c>
      <c r="I10" s="43">
        <f t="shared" ca="1" si="4"/>
        <v>0</v>
      </c>
    </row>
    <row r="11" spans="3:9" x14ac:dyDescent="0.2">
      <c r="C11" s="142">
        <f t="shared" ca="1" si="0"/>
        <v>1</v>
      </c>
      <c r="D11" s="141">
        <f t="shared" ca="1" si="1"/>
        <v>1</v>
      </c>
      <c r="E11" s="148">
        <f t="shared" ca="1" si="1"/>
        <v>1</v>
      </c>
      <c r="G11" s="147">
        <f t="shared" ca="1" si="2"/>
        <v>0.99</v>
      </c>
      <c r="H11" s="42">
        <f t="shared" ca="1" si="3"/>
        <v>0</v>
      </c>
      <c r="I11" s="43">
        <f t="shared" ca="1" si="4"/>
        <v>0</v>
      </c>
    </row>
    <row r="12" spans="3:9" x14ac:dyDescent="0.2">
      <c r="C12" s="142">
        <f t="shared" ca="1" si="0"/>
        <v>4</v>
      </c>
      <c r="D12" s="141">
        <f t="shared" ca="1" si="1"/>
        <v>4</v>
      </c>
      <c r="E12" s="148">
        <f t="shared" ca="1" si="1"/>
        <v>4</v>
      </c>
      <c r="G12" s="147">
        <f t="shared" ca="1" si="2"/>
        <v>3.96</v>
      </c>
      <c r="H12" s="42">
        <f t="shared" ca="1" si="3"/>
        <v>0</v>
      </c>
      <c r="I12" s="43">
        <f t="shared" ca="1" si="4"/>
        <v>0</v>
      </c>
    </row>
    <row r="13" spans="3:9" x14ac:dyDescent="0.2">
      <c r="C13" s="142">
        <f t="shared" ca="1" si="0"/>
        <v>2</v>
      </c>
      <c r="D13" s="141">
        <f t="shared" ca="1" si="1"/>
        <v>2</v>
      </c>
      <c r="E13" s="148">
        <f t="shared" ca="1" si="1"/>
        <v>2</v>
      </c>
      <c r="G13" s="147">
        <f t="shared" ca="1" si="2"/>
        <v>1.98</v>
      </c>
      <c r="H13" s="42">
        <f t="shared" ca="1" si="3"/>
        <v>0</v>
      </c>
      <c r="I13" s="43">
        <f t="shared" ca="1" si="4"/>
        <v>0</v>
      </c>
    </row>
    <row r="14" spans="3:9" x14ac:dyDescent="0.2">
      <c r="C14" s="142">
        <f t="shared" ca="1" si="0"/>
        <v>1</v>
      </c>
      <c r="D14" s="141">
        <f t="shared" ca="1" si="1"/>
        <v>1</v>
      </c>
      <c r="E14" s="148">
        <f t="shared" ca="1" si="1"/>
        <v>1</v>
      </c>
      <c r="G14" s="147">
        <f t="shared" ca="1" si="2"/>
        <v>0.99</v>
      </c>
      <c r="H14" s="42">
        <f t="shared" ca="1" si="3"/>
        <v>0</v>
      </c>
      <c r="I14" s="43">
        <f t="shared" ca="1" si="4"/>
        <v>0</v>
      </c>
    </row>
    <row r="15" spans="3:9" x14ac:dyDescent="0.2">
      <c r="C15" s="142">
        <f t="shared" ca="1" si="0"/>
        <v>4</v>
      </c>
      <c r="D15" s="141">
        <f t="shared" ca="1" si="1"/>
        <v>4</v>
      </c>
      <c r="E15" s="148">
        <f t="shared" ca="1" si="1"/>
        <v>4</v>
      </c>
      <c r="G15" s="147">
        <f t="shared" ca="1" si="2"/>
        <v>3.96</v>
      </c>
      <c r="H15" s="42">
        <f t="shared" ca="1" si="3"/>
        <v>0</v>
      </c>
      <c r="I15" s="43">
        <f t="shared" ca="1" si="4"/>
        <v>0</v>
      </c>
    </row>
    <row r="16" spans="3:9" x14ac:dyDescent="0.2">
      <c r="C16" s="142">
        <f t="shared" ca="1" si="0"/>
        <v>2</v>
      </c>
      <c r="D16" s="141">
        <f t="shared" ca="1" si="1"/>
        <v>2</v>
      </c>
      <c r="E16" s="148">
        <f t="shared" ca="1" si="1"/>
        <v>2</v>
      </c>
      <c r="G16" s="147">
        <f t="shared" ca="1" si="2"/>
        <v>1.98</v>
      </c>
      <c r="H16" s="42">
        <f t="shared" ca="1" si="3"/>
        <v>0</v>
      </c>
      <c r="I16" s="43">
        <f t="shared" ca="1" si="4"/>
        <v>0</v>
      </c>
    </row>
    <row r="17" spans="3:9" x14ac:dyDescent="0.2">
      <c r="C17" s="142">
        <f t="shared" ca="1" si="0"/>
        <v>1</v>
      </c>
      <c r="D17" s="141">
        <f t="shared" ca="1" si="1"/>
        <v>1</v>
      </c>
      <c r="E17" s="148">
        <f t="shared" ca="1" si="1"/>
        <v>1</v>
      </c>
      <c r="G17" s="147">
        <f t="shared" ca="1" si="2"/>
        <v>0.99</v>
      </c>
      <c r="H17" s="42">
        <f t="shared" ca="1" si="3"/>
        <v>0</v>
      </c>
      <c r="I17" s="43">
        <f t="shared" ca="1" si="4"/>
        <v>0</v>
      </c>
    </row>
    <row r="18" spans="3:9" x14ac:dyDescent="0.2">
      <c r="C18" s="142">
        <f t="shared" ca="1" si="0"/>
        <v>1</v>
      </c>
      <c r="D18" s="141">
        <f t="shared" ca="1" si="1"/>
        <v>1</v>
      </c>
      <c r="E18" s="148">
        <f t="shared" ca="1" si="1"/>
        <v>1</v>
      </c>
      <c r="G18" s="147">
        <f t="shared" ca="1" si="2"/>
        <v>0.99</v>
      </c>
      <c r="H18" s="42">
        <f t="shared" ca="1" si="3"/>
        <v>0</v>
      </c>
      <c r="I18" s="43">
        <f t="shared" ca="1" si="4"/>
        <v>0</v>
      </c>
    </row>
    <row r="19" spans="3:9" x14ac:dyDescent="0.2">
      <c r="C19" s="142">
        <f t="shared" ca="1" si="0"/>
        <v>2</v>
      </c>
      <c r="D19" s="141">
        <f t="shared" ca="1" si="1"/>
        <v>2</v>
      </c>
      <c r="E19" s="148">
        <f t="shared" ca="1" si="1"/>
        <v>2</v>
      </c>
      <c r="G19" s="147">
        <f t="shared" ca="1" si="2"/>
        <v>1.98</v>
      </c>
      <c r="H19" s="42">
        <f t="shared" ca="1" si="3"/>
        <v>0</v>
      </c>
      <c r="I19" s="43">
        <f t="shared" ca="1" si="4"/>
        <v>0</v>
      </c>
    </row>
    <row r="20" spans="3:9" x14ac:dyDescent="0.2">
      <c r="C20" s="142">
        <f t="shared" ca="1" si="0"/>
        <v>4</v>
      </c>
      <c r="D20" s="141">
        <f t="shared" ca="1" si="1"/>
        <v>4</v>
      </c>
      <c r="E20" s="148">
        <f t="shared" ca="1" si="1"/>
        <v>4</v>
      </c>
      <c r="G20" s="147">
        <f t="shared" ca="1" si="2"/>
        <v>3.96</v>
      </c>
      <c r="H20" s="42">
        <f t="shared" ca="1" si="3"/>
        <v>0</v>
      </c>
      <c r="I20" s="43">
        <f t="shared" ca="1" si="4"/>
        <v>0</v>
      </c>
    </row>
    <row r="21" spans="3:9" x14ac:dyDescent="0.2">
      <c r="C21" s="142">
        <f t="shared" ca="1" si="0"/>
        <v>5</v>
      </c>
      <c r="D21" s="141">
        <f t="shared" ca="1" si="1"/>
        <v>5</v>
      </c>
      <c r="E21" s="148">
        <f t="shared" ca="1" si="1"/>
        <v>5</v>
      </c>
      <c r="G21" s="147">
        <f t="shared" ca="1" si="2"/>
        <v>4.95</v>
      </c>
      <c r="H21" s="42">
        <f t="shared" ca="1" si="3"/>
        <v>0</v>
      </c>
      <c r="I21" s="43">
        <f t="shared" ca="1" si="4"/>
        <v>0</v>
      </c>
    </row>
    <row r="22" spans="3:9" x14ac:dyDescent="0.2">
      <c r="C22" s="142">
        <f t="shared" ca="1" si="0"/>
        <v>3</v>
      </c>
      <c r="D22" s="141">
        <f t="shared" ca="1" si="1"/>
        <v>3</v>
      </c>
      <c r="E22" s="148">
        <f t="shared" ca="1" si="1"/>
        <v>3</v>
      </c>
      <c r="G22" s="147">
        <f t="shared" ca="1" si="2"/>
        <v>2.9699999999999998</v>
      </c>
      <c r="H22" s="42">
        <f t="shared" ca="1" si="3"/>
        <v>0</v>
      </c>
      <c r="I22" s="43">
        <f t="shared" ca="1" si="4"/>
        <v>0</v>
      </c>
    </row>
    <row r="23" spans="3:9" x14ac:dyDescent="0.2">
      <c r="C23" s="142">
        <f t="shared" ca="1" si="0"/>
        <v>4</v>
      </c>
      <c r="D23" s="141">
        <f t="shared" ca="1" si="1"/>
        <v>4</v>
      </c>
      <c r="E23" s="148">
        <f t="shared" ca="1" si="1"/>
        <v>4</v>
      </c>
      <c r="G23" s="147">
        <f t="shared" ca="1" si="2"/>
        <v>3.96</v>
      </c>
      <c r="H23" s="42">
        <f t="shared" ca="1" si="3"/>
        <v>0</v>
      </c>
      <c r="I23" s="43">
        <f t="shared" ca="1" si="4"/>
        <v>0</v>
      </c>
    </row>
    <row r="24" spans="3:9" x14ac:dyDescent="0.2">
      <c r="C24" s="142">
        <f t="shared" ca="1" si="0"/>
        <v>2</v>
      </c>
      <c r="D24" s="141">
        <f t="shared" ca="1" si="1"/>
        <v>2</v>
      </c>
      <c r="E24" s="148">
        <f t="shared" ca="1" si="1"/>
        <v>2</v>
      </c>
      <c r="G24" s="147">
        <f t="shared" ca="1" si="2"/>
        <v>1.98</v>
      </c>
      <c r="H24" s="146">
        <f t="shared" ca="1" si="3"/>
        <v>0</v>
      </c>
      <c r="I24" s="145">
        <f t="shared" ca="1" si="4"/>
        <v>0</v>
      </c>
    </row>
  </sheetData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C97B-6043-694F-8513-653C421F8AE2}">
  <sheetPr codeName="Sheet77">
    <tabColor rgb="FFFF0000"/>
  </sheetPr>
  <dimension ref="A1:T27"/>
  <sheetViews>
    <sheetView workbookViewId="0">
      <selection activeCell="E8" sqref="E8"/>
    </sheetView>
  </sheetViews>
  <sheetFormatPr baseColWidth="10" defaultRowHeight="26" x14ac:dyDescent="0.3"/>
  <cols>
    <col min="1" max="1" width="10.83203125" style="135"/>
    <col min="2" max="2" width="15.83203125" style="135" bestFit="1" customWidth="1"/>
    <col min="3" max="3" width="10.5" style="135" bestFit="1" customWidth="1"/>
    <col min="4" max="5" width="7.33203125" style="135" bestFit="1" customWidth="1"/>
    <col min="6" max="6" width="9.83203125" style="135" bestFit="1" customWidth="1"/>
    <col min="7" max="7" width="12.83203125" style="135" bestFit="1" customWidth="1"/>
    <col min="8" max="8" width="8" style="135" bestFit="1" customWidth="1"/>
    <col min="9" max="9" width="7.83203125" style="135" bestFit="1" customWidth="1"/>
    <col min="10" max="10" width="13.83203125" style="135" bestFit="1" customWidth="1"/>
    <col min="11" max="11" width="13.6640625" style="135" customWidth="1"/>
    <col min="12" max="12" width="15.83203125" style="135" bestFit="1" customWidth="1"/>
    <col min="13" max="13" width="10.33203125" style="135" bestFit="1" customWidth="1"/>
    <col min="14" max="15" width="8.1640625" style="135" bestFit="1" customWidth="1"/>
    <col min="16" max="16" width="9.6640625" style="135" bestFit="1" customWidth="1"/>
    <col min="17" max="17" width="12.6640625" style="135" bestFit="1" customWidth="1"/>
    <col min="18" max="19" width="9.1640625" style="135" bestFit="1" customWidth="1"/>
    <col min="20" max="20" width="13.6640625" style="135" bestFit="1" customWidth="1"/>
    <col min="21" max="16384" width="10.83203125" style="135"/>
  </cols>
  <sheetData>
    <row r="1" spans="1:20" x14ac:dyDescent="0.3">
      <c r="A1" s="135" t="s">
        <v>443</v>
      </c>
    </row>
    <row r="3" spans="1:20" x14ac:dyDescent="0.3">
      <c r="C3" s="135" t="s">
        <v>430</v>
      </c>
      <c r="D3" s="135" t="s">
        <v>429</v>
      </c>
      <c r="E3" s="135" t="s">
        <v>428</v>
      </c>
      <c r="F3" s="135" t="s">
        <v>427</v>
      </c>
      <c r="G3" s="135" t="s">
        <v>426</v>
      </c>
      <c r="H3" s="135" t="s">
        <v>425</v>
      </c>
      <c r="I3" s="135" t="s">
        <v>424</v>
      </c>
      <c r="J3" s="135" t="s">
        <v>423</v>
      </c>
      <c r="M3" s="135" t="s">
        <v>430</v>
      </c>
      <c r="N3" s="135" t="s">
        <v>429</v>
      </c>
      <c r="O3" s="135" t="s">
        <v>428</v>
      </c>
      <c r="P3" s="135" t="s">
        <v>427</v>
      </c>
      <c r="Q3" s="135" t="s">
        <v>426</v>
      </c>
      <c r="R3" s="135" t="s">
        <v>425</v>
      </c>
      <c r="S3" s="135" t="s">
        <v>424</v>
      </c>
      <c r="T3" s="135" t="s">
        <v>423</v>
      </c>
    </row>
    <row r="4" spans="1:20" x14ac:dyDescent="0.3">
      <c r="B4" s="100" t="s">
        <v>435</v>
      </c>
      <c r="C4" s="117">
        <v>8.3830358839885815</v>
      </c>
      <c r="D4" s="117">
        <v>9.4549122846191409</v>
      </c>
      <c r="E4" s="117">
        <v>7.9904725452811967</v>
      </c>
      <c r="F4" s="117">
        <v>7.7703277820694137</v>
      </c>
      <c r="G4" s="117">
        <v>8.2040543775696442</v>
      </c>
      <c r="H4" s="117">
        <v>1.5592917761111025</v>
      </c>
      <c r="I4" s="117">
        <v>3.4559881155421022</v>
      </c>
      <c r="J4" s="117">
        <v>3.5439432666766981</v>
      </c>
      <c r="K4" s="138"/>
      <c r="L4" s="151" t="s">
        <v>435</v>
      </c>
      <c r="M4" s="135">
        <v>0.44</v>
      </c>
      <c r="N4" s="135">
        <v>0.43</v>
      </c>
      <c r="O4" s="135">
        <v>0.45</v>
      </c>
      <c r="P4" s="135">
        <v>0.41</v>
      </c>
      <c r="Q4" s="135">
        <v>0.42</v>
      </c>
      <c r="R4" s="135">
        <v>0.01</v>
      </c>
      <c r="S4" s="135">
        <v>0.02</v>
      </c>
      <c r="T4" s="135">
        <v>0.01</v>
      </c>
    </row>
    <row r="5" spans="1:20" x14ac:dyDescent="0.3">
      <c r="B5" s="100" t="s">
        <v>431</v>
      </c>
      <c r="C5" s="117">
        <v>9.6155900286805682</v>
      </c>
      <c r="D5" s="117">
        <v>1.7960754918718824</v>
      </c>
      <c r="E5" s="117">
        <v>9.5639526180169554</v>
      </c>
      <c r="F5" s="117">
        <v>7.2610802333371094</v>
      </c>
      <c r="G5" s="117">
        <v>0.80971436006217834</v>
      </c>
      <c r="H5" s="117">
        <v>1.6939758640662901</v>
      </c>
      <c r="I5" s="117">
        <v>9.7043699931936178E-2</v>
      </c>
      <c r="J5" s="117">
        <v>9.7421891000969065</v>
      </c>
      <c r="K5" s="138"/>
      <c r="L5" s="151" t="s">
        <v>431</v>
      </c>
      <c r="M5" s="135">
        <v>0.3</v>
      </c>
      <c r="N5" s="135">
        <v>0.01</v>
      </c>
      <c r="O5" s="135">
        <v>0.4</v>
      </c>
      <c r="P5" s="135">
        <v>0.4</v>
      </c>
      <c r="Q5" s="135">
        <v>0.01</v>
      </c>
      <c r="R5" s="135">
        <v>-0.11</v>
      </c>
      <c r="S5" s="135">
        <v>-0.21</v>
      </c>
      <c r="T5" s="135">
        <v>0.64</v>
      </c>
    </row>
    <row r="6" spans="1:20" x14ac:dyDescent="0.3">
      <c r="B6" s="100" t="s">
        <v>433</v>
      </c>
      <c r="C6" s="117">
        <v>2.1942233258793484</v>
      </c>
      <c r="D6" s="117">
        <v>8.9183954362339009</v>
      </c>
      <c r="E6" s="117">
        <v>7.73823626817145</v>
      </c>
      <c r="F6" s="117">
        <v>8.2683242546317075</v>
      </c>
      <c r="G6" s="117">
        <v>1.9696006956310628</v>
      </c>
      <c r="H6" s="117">
        <v>8.8390439914554779</v>
      </c>
      <c r="I6" s="117">
        <v>9.642816300900769</v>
      </c>
      <c r="J6" s="117">
        <v>9.5215297487882857</v>
      </c>
      <c r="K6" s="138"/>
      <c r="L6" s="151" t="s">
        <v>433</v>
      </c>
      <c r="M6" s="135">
        <v>0.01</v>
      </c>
      <c r="N6" s="135">
        <v>1</v>
      </c>
      <c r="O6" s="135">
        <v>1</v>
      </c>
      <c r="P6" s="135">
        <v>1</v>
      </c>
      <c r="Q6" s="135">
        <v>0.01</v>
      </c>
      <c r="R6" s="135">
        <v>1</v>
      </c>
      <c r="S6" s="135">
        <v>1</v>
      </c>
      <c r="T6" s="135">
        <v>1</v>
      </c>
    </row>
    <row r="7" spans="1:20" x14ac:dyDescent="0.3">
      <c r="B7" s="100" t="s">
        <v>431</v>
      </c>
      <c r="C7" s="117">
        <v>9.9143793427835512</v>
      </c>
      <c r="D7" s="117">
        <v>3.5545972187087851</v>
      </c>
      <c r="E7" s="117">
        <v>7.6889676697504123</v>
      </c>
      <c r="F7" s="117">
        <v>9.111571487481541</v>
      </c>
      <c r="G7" s="117">
        <v>3.163750294557107</v>
      </c>
      <c r="H7" s="117">
        <v>2.6187607795041652</v>
      </c>
      <c r="I7" s="117">
        <v>3.0428750387995125</v>
      </c>
      <c r="J7" s="117">
        <v>8.0662706623981038</v>
      </c>
      <c r="K7" s="138"/>
      <c r="L7" s="138"/>
      <c r="M7" s="138"/>
      <c r="N7" s="138"/>
      <c r="O7" s="138"/>
      <c r="P7" s="138"/>
      <c r="Q7" s="138"/>
      <c r="R7" s="138"/>
    </row>
    <row r="8" spans="1:20" x14ac:dyDescent="0.3">
      <c r="B8" s="100" t="s">
        <v>435</v>
      </c>
      <c r="C8" s="117">
        <v>8.1285220418221158</v>
      </c>
      <c r="D8" s="117">
        <v>9.7733235994570062</v>
      </c>
      <c r="E8" s="117">
        <v>7.5214279533111164</v>
      </c>
      <c r="F8" s="117">
        <v>9.5069399198799029</v>
      </c>
      <c r="G8" s="117">
        <v>8.4499841614825257</v>
      </c>
      <c r="H8" s="117">
        <v>0.35994856070150894</v>
      </c>
      <c r="I8" s="117">
        <v>1.9026668429663918</v>
      </c>
      <c r="J8" s="117">
        <v>1.1299367690691624</v>
      </c>
      <c r="K8" s="138"/>
      <c r="L8" s="138"/>
      <c r="M8" s="138"/>
      <c r="N8" s="138"/>
      <c r="O8" s="138"/>
      <c r="P8" s="138"/>
      <c r="Q8" s="138"/>
      <c r="R8" s="138"/>
    </row>
    <row r="9" spans="1:20" x14ac:dyDescent="0.3">
      <c r="B9" s="100" t="s">
        <v>431</v>
      </c>
      <c r="C9" s="117">
        <v>7.5424430619961962</v>
      </c>
      <c r="D9" s="117">
        <v>0.94788287939712523</v>
      </c>
      <c r="E9" s="117">
        <v>8.368299684255625</v>
      </c>
      <c r="F9" s="117">
        <v>9.3000642603242696</v>
      </c>
      <c r="G9" s="117">
        <v>2.755584687187127</v>
      </c>
      <c r="H9" s="117">
        <v>0.54197721302143753</v>
      </c>
      <c r="I9" s="117">
        <v>0.43782857199314362</v>
      </c>
      <c r="J9" s="117">
        <v>9.8642442165019286</v>
      </c>
      <c r="K9" s="138"/>
      <c r="L9" s="138"/>
      <c r="M9" s="138"/>
      <c r="N9" s="138"/>
      <c r="O9" s="138"/>
      <c r="P9" s="138"/>
      <c r="Q9" s="138"/>
      <c r="R9" s="138"/>
    </row>
    <row r="10" spans="1:20" x14ac:dyDescent="0.3">
      <c r="B10" s="100" t="s">
        <v>433</v>
      </c>
      <c r="C10" s="117">
        <v>1.7718111172569193</v>
      </c>
      <c r="D10" s="117">
        <v>7.3431955128827315</v>
      </c>
      <c r="E10" s="117">
        <v>7.9247321765696546</v>
      </c>
      <c r="F10" s="117">
        <v>8.7477144669364044</v>
      </c>
      <c r="G10" s="117">
        <v>1.6652346416815944</v>
      </c>
      <c r="H10" s="117">
        <v>9.258663590078001</v>
      </c>
      <c r="I10" s="117">
        <v>9.8824423855965158</v>
      </c>
      <c r="J10" s="117">
        <v>7.8913349673825319</v>
      </c>
      <c r="K10" s="138"/>
      <c r="L10" s="138"/>
      <c r="M10" s="138"/>
      <c r="N10" s="138"/>
      <c r="O10" s="138"/>
      <c r="P10" s="138"/>
      <c r="Q10" s="138"/>
      <c r="R10" s="138"/>
    </row>
    <row r="11" spans="1:20" x14ac:dyDescent="0.3">
      <c r="B11" s="100" t="s">
        <v>431</v>
      </c>
      <c r="C11" s="117">
        <v>7.5555798249028445</v>
      </c>
      <c r="D11" s="117">
        <v>3.1696577139281832</v>
      </c>
      <c r="E11" s="117">
        <v>8.9989805640385878</v>
      </c>
      <c r="F11" s="117">
        <v>7.969513544842985</v>
      </c>
      <c r="G11" s="117">
        <v>3.0368055482694238</v>
      </c>
      <c r="H11" s="117">
        <v>2.1589748386457419</v>
      </c>
      <c r="I11" s="117">
        <v>2.2223466976158686</v>
      </c>
      <c r="J11" s="117">
        <v>9.0078044596646123</v>
      </c>
      <c r="K11" s="138"/>
      <c r="L11" s="138"/>
      <c r="M11" s="138"/>
      <c r="N11" s="138"/>
      <c r="O11" s="138"/>
      <c r="P11" s="138"/>
      <c r="Q11" s="138"/>
      <c r="R11" s="138"/>
    </row>
    <row r="12" spans="1:20" x14ac:dyDescent="0.3">
      <c r="B12" s="100" t="s">
        <v>433</v>
      </c>
      <c r="C12" s="117">
        <v>3.7058239397834041</v>
      </c>
      <c r="D12" s="117">
        <v>7.9632890268409486</v>
      </c>
      <c r="E12" s="117">
        <v>8.4001636679380827</v>
      </c>
      <c r="F12" s="117">
        <v>9.1384346495091933</v>
      </c>
      <c r="G12" s="117">
        <v>2.0446723553787454</v>
      </c>
      <c r="H12" s="117">
        <v>9.2954178220537234</v>
      </c>
      <c r="I12" s="117">
        <v>9.5324206397042079</v>
      </c>
      <c r="J12" s="117">
        <v>7.5623159203789356</v>
      </c>
      <c r="K12" s="138"/>
      <c r="L12" s="138"/>
      <c r="M12" s="138"/>
      <c r="N12" s="138"/>
      <c r="O12" s="138"/>
      <c r="P12" s="138"/>
      <c r="Q12" s="138"/>
      <c r="R12" s="138"/>
    </row>
    <row r="13" spans="1:20" x14ac:dyDescent="0.3">
      <c r="B13" s="100" t="s">
        <v>431</v>
      </c>
      <c r="C13" s="117">
        <v>9.0599452193721852</v>
      </c>
      <c r="D13" s="117">
        <v>8.772631900141592E-2</v>
      </c>
      <c r="E13" s="117">
        <v>9.6495084391913188</v>
      </c>
      <c r="F13" s="117">
        <v>8.3025958296002464</v>
      </c>
      <c r="G13" s="117">
        <v>3.7980360979010057</v>
      </c>
      <c r="H13" s="117">
        <v>1.6875586195325711</v>
      </c>
      <c r="I13" s="117">
        <v>1.1630277152193362</v>
      </c>
      <c r="J13" s="117">
        <v>9.5301503406658874</v>
      </c>
      <c r="K13" s="138"/>
      <c r="L13" s="138"/>
      <c r="M13" s="138"/>
      <c r="N13" s="138"/>
      <c r="O13" s="138"/>
      <c r="P13" s="138"/>
      <c r="Q13" s="138"/>
      <c r="R13" s="138"/>
    </row>
    <row r="14" spans="1:20" x14ac:dyDescent="0.3">
      <c r="B14" s="100" t="s">
        <v>431</v>
      </c>
      <c r="C14" s="117">
        <v>7.179188523090505</v>
      </c>
      <c r="D14" s="117">
        <v>3.1187127617381725</v>
      </c>
      <c r="E14" s="117">
        <v>8.7800873440943672</v>
      </c>
      <c r="F14" s="117">
        <v>9.6732296618491738</v>
      </c>
      <c r="G14" s="117">
        <v>1.8974973729594891</v>
      </c>
      <c r="H14" s="117">
        <v>2.6354871228391432</v>
      </c>
      <c r="I14" s="117">
        <v>0.40291506914261177</v>
      </c>
      <c r="J14" s="117">
        <v>9.6684701383460112</v>
      </c>
      <c r="K14" s="138"/>
      <c r="L14" s="138"/>
      <c r="M14" s="138"/>
      <c r="N14" s="138"/>
      <c r="O14" s="138"/>
      <c r="P14" s="138"/>
      <c r="Q14" s="138"/>
      <c r="R14" s="138"/>
    </row>
    <row r="15" spans="1:20" x14ac:dyDescent="0.3">
      <c r="B15" s="100" t="s">
        <v>435</v>
      </c>
      <c r="C15" s="117">
        <v>7.3641537773670471</v>
      </c>
      <c r="D15" s="117">
        <v>9.0311082781393477</v>
      </c>
      <c r="E15" s="117">
        <v>8.9578093982371847</v>
      </c>
      <c r="F15" s="117">
        <v>9.6997369638997348</v>
      </c>
      <c r="G15" s="117">
        <v>8.747485732284435</v>
      </c>
      <c r="H15" s="117">
        <v>2.1446014265262674</v>
      </c>
      <c r="I15" s="117">
        <v>3.9042809837607049</v>
      </c>
      <c r="J15" s="117">
        <v>2.7510282694600585</v>
      </c>
      <c r="K15" s="138"/>
      <c r="L15" s="138"/>
      <c r="M15" s="138"/>
      <c r="N15" s="138"/>
      <c r="O15" s="138"/>
      <c r="P15" s="138"/>
      <c r="Q15" s="138"/>
      <c r="R15" s="138"/>
    </row>
    <row r="16" spans="1:20" x14ac:dyDescent="0.3">
      <c r="B16" s="100" t="s">
        <v>433</v>
      </c>
      <c r="C16" s="117">
        <v>1.6995180776384395</v>
      </c>
      <c r="D16" s="117">
        <v>8.3911339886788614</v>
      </c>
      <c r="E16" s="117">
        <v>9.2493943825508751</v>
      </c>
      <c r="F16" s="117">
        <v>7.2954042134389727</v>
      </c>
      <c r="G16" s="117">
        <v>0.89520256510558793</v>
      </c>
      <c r="H16" s="117">
        <v>9.3856463102615297</v>
      </c>
      <c r="I16" s="117">
        <v>8.0973997540028524</v>
      </c>
      <c r="J16" s="117">
        <v>7.4028696961109155</v>
      </c>
      <c r="K16" s="138"/>
      <c r="L16" s="138"/>
      <c r="M16" s="138"/>
      <c r="N16" s="138"/>
      <c r="O16" s="138"/>
      <c r="P16" s="138"/>
      <c r="Q16" s="138"/>
      <c r="R16" s="138"/>
    </row>
    <row r="17" spans="2:18" x14ac:dyDescent="0.3">
      <c r="B17" s="100" t="s">
        <v>433</v>
      </c>
      <c r="C17" s="117">
        <v>2.6514857056768157</v>
      </c>
      <c r="D17" s="117">
        <v>9.5752152034001128</v>
      </c>
      <c r="E17" s="117">
        <v>8.1608317352358011</v>
      </c>
      <c r="F17" s="117">
        <v>8.4887864157349746</v>
      </c>
      <c r="G17" s="117">
        <v>2.5977764000618269</v>
      </c>
      <c r="H17" s="117">
        <v>7.0070896682909618</v>
      </c>
      <c r="I17" s="117">
        <v>8.8166445524226358</v>
      </c>
      <c r="J17" s="117">
        <v>8.9929158422858784</v>
      </c>
      <c r="K17" s="138"/>
      <c r="L17" s="138"/>
      <c r="M17" s="138"/>
      <c r="N17" s="138"/>
      <c r="O17" s="138"/>
      <c r="P17" s="138"/>
      <c r="Q17" s="138"/>
      <c r="R17" s="138"/>
    </row>
    <row r="18" spans="2:18" x14ac:dyDescent="0.3">
      <c r="B18" s="100" t="s">
        <v>435</v>
      </c>
      <c r="C18" s="117">
        <v>7.4061269602946931</v>
      </c>
      <c r="D18" s="117">
        <v>8.523800770350956</v>
      </c>
      <c r="E18" s="117">
        <v>8.6676781623768058</v>
      </c>
      <c r="F18" s="117">
        <v>7.8368335283808133</v>
      </c>
      <c r="G18" s="117">
        <v>9.9584137559025621</v>
      </c>
      <c r="H18" s="117">
        <v>2.5368405911727847</v>
      </c>
      <c r="I18" s="117">
        <v>1.0448706331487054</v>
      </c>
      <c r="J18" s="117">
        <v>3.4220192283177568</v>
      </c>
      <c r="K18" s="138"/>
      <c r="L18" s="138"/>
      <c r="M18" s="138"/>
      <c r="N18" s="138"/>
      <c r="O18" s="138"/>
      <c r="P18" s="138"/>
      <c r="Q18" s="138"/>
      <c r="R18" s="138"/>
    </row>
    <row r="19" spans="2:18" x14ac:dyDescent="0.3">
      <c r="B19" s="100" t="s">
        <v>433</v>
      </c>
      <c r="C19" s="117">
        <v>0.30882664127743498</v>
      </c>
      <c r="D19" s="117">
        <v>9.1182257726070794</v>
      </c>
      <c r="E19" s="117">
        <v>8.0140777885987369</v>
      </c>
      <c r="F19" s="117">
        <v>8.4101955221332769</v>
      </c>
      <c r="G19" s="117">
        <v>1.6049423986086859</v>
      </c>
      <c r="H19" s="117">
        <v>7.1654353766429359</v>
      </c>
      <c r="I19" s="117">
        <v>7.0408098762794138</v>
      </c>
      <c r="J19" s="117">
        <v>7.28151545860515</v>
      </c>
      <c r="K19" s="138"/>
      <c r="L19" s="138"/>
      <c r="M19" s="138"/>
      <c r="N19" s="138"/>
      <c r="O19" s="138"/>
      <c r="P19" s="138"/>
      <c r="Q19" s="138"/>
      <c r="R19" s="138"/>
    </row>
    <row r="20" spans="2:18" x14ac:dyDescent="0.3">
      <c r="B20" s="100" t="s">
        <v>431</v>
      </c>
      <c r="C20" s="117">
        <v>7.5512321546014727</v>
      </c>
      <c r="D20" s="117">
        <v>2.8729878528944135</v>
      </c>
      <c r="E20" s="117">
        <v>7.5651188544811063</v>
      </c>
      <c r="F20" s="117">
        <v>7.7666265788907918</v>
      </c>
      <c r="G20" s="117">
        <v>0.31136992303303712</v>
      </c>
      <c r="H20" s="117">
        <v>8.3635300924818079E-2</v>
      </c>
      <c r="I20" s="117">
        <v>3.1480381217234115</v>
      </c>
      <c r="J20" s="117">
        <v>9.6417051620523608</v>
      </c>
      <c r="K20" s="138"/>
      <c r="L20" s="138"/>
      <c r="M20" s="138"/>
      <c r="N20" s="138"/>
      <c r="O20" s="138"/>
      <c r="P20" s="138"/>
      <c r="Q20" s="138"/>
      <c r="R20" s="138"/>
    </row>
    <row r="21" spans="2:18" x14ac:dyDescent="0.3">
      <c r="B21" s="100" t="s">
        <v>431</v>
      </c>
      <c r="C21" s="117">
        <v>7.2566542520951671</v>
      </c>
      <c r="D21" s="117">
        <v>3.7418812931370522</v>
      </c>
      <c r="E21" s="117">
        <v>8.4883664343264673</v>
      </c>
      <c r="F21" s="117">
        <v>9.3188663477703191</v>
      </c>
      <c r="G21" s="117">
        <v>3.8813037468867635</v>
      </c>
      <c r="H21" s="117">
        <v>2.163563531719555</v>
      </c>
      <c r="I21" s="117">
        <v>3.1601653152397144</v>
      </c>
      <c r="J21" s="117">
        <v>9.0687057202135755</v>
      </c>
      <c r="K21" s="138"/>
      <c r="L21" s="138"/>
      <c r="M21" s="138"/>
      <c r="N21" s="138"/>
      <c r="O21" s="138"/>
      <c r="P21" s="138"/>
      <c r="Q21" s="138"/>
      <c r="R21" s="138"/>
    </row>
    <row r="22" spans="2:18" x14ac:dyDescent="0.3">
      <c r="B22" s="100" t="s">
        <v>433</v>
      </c>
      <c r="C22" s="117">
        <v>1.1714130855975782</v>
      </c>
      <c r="D22" s="117">
        <v>7.3762558215199325</v>
      </c>
      <c r="E22" s="117">
        <v>8.3339708154616883</v>
      </c>
      <c r="F22" s="117">
        <v>8.437109801303988</v>
      </c>
      <c r="G22" s="117">
        <v>3.4995369008519064</v>
      </c>
      <c r="H22" s="117">
        <v>9.1317266599537863</v>
      </c>
      <c r="I22" s="117">
        <v>9.4415684601769971</v>
      </c>
      <c r="J22" s="117">
        <v>8.5410837369429924</v>
      </c>
      <c r="K22" s="138"/>
      <c r="L22" s="138"/>
      <c r="M22" s="138"/>
      <c r="N22" s="138"/>
      <c r="O22" s="138"/>
      <c r="P22" s="138"/>
      <c r="Q22" s="138"/>
      <c r="R22" s="138"/>
    </row>
    <row r="23" spans="2:18" x14ac:dyDescent="0.3">
      <c r="B23" s="100" t="s">
        <v>431</v>
      </c>
      <c r="C23" s="117">
        <v>9.4056140264459813</v>
      </c>
      <c r="D23" s="117">
        <v>2.5918487756174731</v>
      </c>
      <c r="E23" s="117">
        <v>7.2315224459411489</v>
      </c>
      <c r="F23" s="117">
        <v>9.3724381040078377</v>
      </c>
      <c r="G23" s="117">
        <v>3.9626993887393258</v>
      </c>
      <c r="H23" s="117">
        <v>0.15036210720714216</v>
      </c>
      <c r="I23" s="117">
        <v>1.2605288433505217</v>
      </c>
      <c r="J23" s="117">
        <v>7.6882005690349224</v>
      </c>
      <c r="K23" s="138"/>
      <c r="L23" s="138"/>
      <c r="M23" s="138"/>
      <c r="N23" s="138"/>
      <c r="O23" s="138"/>
      <c r="P23" s="138"/>
      <c r="Q23" s="138"/>
      <c r="R23" s="138"/>
    </row>
    <row r="24" spans="2:18" x14ac:dyDescent="0.3">
      <c r="B24" s="100" t="s">
        <v>431</v>
      </c>
      <c r="C24" s="117">
        <v>7.1891996750154865</v>
      </c>
      <c r="D24" s="117">
        <v>0.36262515116013194</v>
      </c>
      <c r="E24" s="117">
        <v>7.1422119999396569</v>
      </c>
      <c r="F24" s="117">
        <v>7.643731721082478</v>
      </c>
      <c r="G24" s="117">
        <v>2.5412411058806867</v>
      </c>
      <c r="H24" s="117">
        <v>3.0926968175265936</v>
      </c>
      <c r="I24" s="117">
        <v>1.4472444649994411</v>
      </c>
      <c r="J24" s="117">
        <v>9.5754126160592445</v>
      </c>
      <c r="K24" s="138"/>
      <c r="L24" s="138"/>
      <c r="M24" s="138"/>
      <c r="N24" s="138"/>
      <c r="O24" s="138"/>
      <c r="P24" s="138"/>
      <c r="Q24" s="138"/>
      <c r="R24" s="138"/>
    </row>
    <row r="25" spans="2:18" x14ac:dyDescent="0.3">
      <c r="B25" s="100" t="s">
        <v>435</v>
      </c>
      <c r="C25" s="117">
        <v>7.665873682129436</v>
      </c>
      <c r="D25" s="117">
        <v>8.3556834242560285</v>
      </c>
      <c r="E25" s="117">
        <v>7.9585302582038278</v>
      </c>
      <c r="F25" s="117">
        <v>7.3425082423930688</v>
      </c>
      <c r="G25" s="117">
        <v>8.358891927797135</v>
      </c>
      <c r="H25" s="117">
        <v>2.5760006720134476</v>
      </c>
      <c r="I25" s="117">
        <v>1.6365741631903745</v>
      </c>
      <c r="J25" s="117">
        <v>1.4811107770245422</v>
      </c>
      <c r="K25" s="138"/>
      <c r="L25" s="138"/>
      <c r="M25" s="138"/>
      <c r="N25" s="138"/>
      <c r="O25" s="138"/>
      <c r="P25" s="138"/>
      <c r="Q25" s="138"/>
      <c r="R25" s="138"/>
    </row>
    <row r="26" spans="2:18" x14ac:dyDescent="0.3">
      <c r="B26" s="100" t="s">
        <v>433</v>
      </c>
      <c r="C26" s="117">
        <v>1.3984516223069039</v>
      </c>
      <c r="D26" s="117">
        <v>8.5736414898296225</v>
      </c>
      <c r="E26" s="117">
        <v>8.6206850373658384</v>
      </c>
      <c r="F26" s="117">
        <v>8.960533002021343</v>
      </c>
      <c r="G26" s="117">
        <v>2.1153897911914119</v>
      </c>
      <c r="H26" s="117">
        <v>7.5663140458935132</v>
      </c>
      <c r="I26" s="117">
        <v>9.2857837021620444</v>
      </c>
      <c r="J26" s="117">
        <v>9.3145876292111893</v>
      </c>
      <c r="K26" s="138"/>
      <c r="L26" s="138"/>
      <c r="M26" s="138"/>
      <c r="N26" s="138"/>
      <c r="O26" s="138"/>
      <c r="P26" s="138"/>
      <c r="Q26" s="138"/>
      <c r="R26" s="138"/>
    </row>
    <row r="27" spans="2:18" x14ac:dyDescent="0.3">
      <c r="B27" s="100" t="s">
        <v>433</v>
      </c>
      <c r="C27" s="117">
        <v>1.6113208235859706</v>
      </c>
      <c r="D27" s="117">
        <v>9.4003297828057146</v>
      </c>
      <c r="E27" s="117">
        <v>7.658626696454844</v>
      </c>
      <c r="F27" s="117">
        <v>8.7169933721635182</v>
      </c>
      <c r="G27" s="117">
        <v>1.8821113614122034</v>
      </c>
      <c r="H27" s="117">
        <v>9.5347022508583557</v>
      </c>
      <c r="I27" s="117">
        <v>8.5874468142672402</v>
      </c>
      <c r="J27" s="117">
        <v>9.602134456695655</v>
      </c>
      <c r="K27" s="138"/>
      <c r="L27" s="138"/>
      <c r="M27" s="138"/>
      <c r="N27" s="138"/>
      <c r="O27" s="138"/>
      <c r="P27" s="138"/>
      <c r="Q27" s="138"/>
      <c r="R27" s="138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9DC55-5330-3540-B6AE-5196B3E0F45E}">
  <sheetPr codeName="Sheet78">
    <tabColor rgb="FFFF0000"/>
  </sheetPr>
  <dimension ref="B2:B10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448</v>
      </c>
    </row>
    <row r="4" spans="2:2" x14ac:dyDescent="0.3">
      <c r="B4" s="1" t="s">
        <v>447</v>
      </c>
    </row>
    <row r="6" spans="2:2" x14ac:dyDescent="0.3">
      <c r="B6" s="1" t="s">
        <v>446</v>
      </c>
    </row>
    <row r="8" spans="2:2" x14ac:dyDescent="0.3">
      <c r="B8" s="1" t="s">
        <v>445</v>
      </c>
    </row>
    <row r="10" spans="2:2" x14ac:dyDescent="0.3">
      <c r="B10" s="1" t="s">
        <v>444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E21F-0FB6-E146-96C5-53B8FF58D0F9}">
  <sheetPr codeName="Sheet79">
    <tabColor rgb="FFFF0000"/>
  </sheetPr>
  <dimension ref="A1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11C84-1CC7-7F44-A6F8-5A62A92902B5}">
  <sheetPr codeName="Sheet80">
    <tabColor rgb="FFFF0000"/>
  </sheetPr>
  <dimension ref="B2:B3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450</v>
      </c>
    </row>
    <row r="3" spans="2:2" x14ac:dyDescent="0.3">
      <c r="B3" s="3" t="s">
        <v>449</v>
      </c>
    </row>
  </sheetData>
  <hyperlinks>
    <hyperlink ref="B3" r:id="rId1" xr:uid="{4DC8AD5F-B2C3-4542-A72E-D95067735FD3}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5E6-9865-1D42-9DB1-5DF99ADF8537}">
  <sheetPr codeName="Sheet38">
    <tabColor rgb="FF002060"/>
  </sheetPr>
  <dimension ref="A1:A6"/>
  <sheetViews>
    <sheetView workbookViewId="0">
      <selection activeCell="B9" sqref="B9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486</v>
      </c>
    </row>
    <row r="2" spans="1:1" ht="26" x14ac:dyDescent="0.3">
      <c r="A2" s="1" t="s">
        <v>487</v>
      </c>
    </row>
    <row r="3" spans="1:1" ht="26" x14ac:dyDescent="0.3">
      <c r="A3" s="1" t="s">
        <v>488</v>
      </c>
    </row>
    <row r="4" spans="1:1" ht="26" x14ac:dyDescent="0.3">
      <c r="A4" s="1" t="s">
        <v>489</v>
      </c>
    </row>
    <row r="5" spans="1:1" ht="26" x14ac:dyDescent="0.3">
      <c r="A5" s="1" t="s">
        <v>490</v>
      </c>
    </row>
    <row r="6" spans="1:1" ht="26" x14ac:dyDescent="0.3">
      <c r="A6" s="1" t="s">
        <v>491</v>
      </c>
    </row>
  </sheetData>
  <phoneticPr fontId="7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C175-9D1E-EE44-BC14-B0E71F752C59}">
  <sheetPr codeName="Sheet31">
    <tabColor rgb="FF92D050"/>
  </sheetPr>
  <dimension ref="A1:B17"/>
  <sheetViews>
    <sheetView workbookViewId="0"/>
  </sheetViews>
  <sheetFormatPr baseColWidth="10" defaultRowHeight="26" x14ac:dyDescent="0.3"/>
  <cols>
    <col min="1" max="1" width="24.83203125" style="1" bestFit="1" customWidth="1"/>
    <col min="2" max="2" width="23.33203125" style="1" bestFit="1" customWidth="1"/>
    <col min="3" max="16384" width="10.83203125" style="1"/>
  </cols>
  <sheetData>
    <row r="1" spans="1:2" x14ac:dyDescent="0.3">
      <c r="A1" s="1" t="s">
        <v>479</v>
      </c>
      <c r="B1" s="1" t="s">
        <v>480</v>
      </c>
    </row>
    <row r="2" spans="1:2" x14ac:dyDescent="0.3">
      <c r="A2" s="1" t="s">
        <v>481</v>
      </c>
      <c r="B2" s="1" t="s">
        <v>465</v>
      </c>
    </row>
    <row r="3" spans="1:2" x14ac:dyDescent="0.3">
      <c r="A3" s="1" t="s">
        <v>481</v>
      </c>
      <c r="B3" s="1" t="s">
        <v>466</v>
      </c>
    </row>
    <row r="4" spans="1:2" x14ac:dyDescent="0.3">
      <c r="A4" s="1" t="s">
        <v>481</v>
      </c>
      <c r="B4" s="1" t="s">
        <v>467</v>
      </c>
    </row>
    <row r="5" spans="1:2" x14ac:dyDescent="0.3">
      <c r="A5" s="1" t="s">
        <v>482</v>
      </c>
      <c r="B5" s="1" t="s">
        <v>465</v>
      </c>
    </row>
    <row r="6" spans="1:2" x14ac:dyDescent="0.3">
      <c r="A6" s="1" t="s">
        <v>482</v>
      </c>
      <c r="B6" s="1" t="s">
        <v>468</v>
      </c>
    </row>
    <row r="7" spans="1:2" x14ac:dyDescent="0.3">
      <c r="A7" s="1" t="s">
        <v>482</v>
      </c>
      <c r="B7" s="1" t="s">
        <v>469</v>
      </c>
    </row>
    <row r="8" spans="1:2" x14ac:dyDescent="0.3">
      <c r="A8" s="1" t="s">
        <v>482</v>
      </c>
      <c r="B8" s="1" t="s">
        <v>470</v>
      </c>
    </row>
    <row r="9" spans="1:2" x14ac:dyDescent="0.3">
      <c r="A9" s="1" t="s">
        <v>483</v>
      </c>
      <c r="B9" s="1" t="s">
        <v>465</v>
      </c>
    </row>
    <row r="10" spans="1:2" x14ac:dyDescent="0.3">
      <c r="A10" s="1" t="s">
        <v>483</v>
      </c>
      <c r="B10" s="1" t="s">
        <v>466</v>
      </c>
    </row>
    <row r="11" spans="1:2" x14ac:dyDescent="0.3">
      <c r="A11" s="1" t="s">
        <v>483</v>
      </c>
      <c r="B11" s="1" t="s">
        <v>470</v>
      </c>
    </row>
    <row r="12" spans="1:2" x14ac:dyDescent="0.3">
      <c r="A12" s="1" t="s">
        <v>484</v>
      </c>
      <c r="B12" s="1" t="s">
        <v>467</v>
      </c>
    </row>
    <row r="13" spans="1:2" x14ac:dyDescent="0.3">
      <c r="A13" s="1" t="s">
        <v>484</v>
      </c>
      <c r="B13" s="1" t="s">
        <v>468</v>
      </c>
    </row>
    <row r="14" spans="1:2" x14ac:dyDescent="0.3">
      <c r="A14" s="1" t="s">
        <v>484</v>
      </c>
      <c r="B14" s="1" t="s">
        <v>469</v>
      </c>
    </row>
    <row r="15" spans="1:2" x14ac:dyDescent="0.3">
      <c r="A15" s="1" t="s">
        <v>485</v>
      </c>
      <c r="B15" s="1" t="s">
        <v>465</v>
      </c>
    </row>
    <row r="16" spans="1:2" x14ac:dyDescent="0.3">
      <c r="A16" s="1" t="s">
        <v>485</v>
      </c>
      <c r="B16" s="1" t="s">
        <v>466</v>
      </c>
    </row>
    <row r="17" spans="1:2" x14ac:dyDescent="0.3">
      <c r="A17" s="1" t="s">
        <v>485</v>
      </c>
      <c r="B17" s="1" t="s">
        <v>467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74CA-8A82-6147-A5A0-E5371C7855B9}">
  <sheetPr codeName="Sheet59">
    <tabColor rgb="FF92D050"/>
  </sheetPr>
  <dimension ref="A1:D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4" x14ac:dyDescent="0.3">
      <c r="A1" s="1" t="s">
        <v>465</v>
      </c>
      <c r="B1" s="1" t="s">
        <v>466</v>
      </c>
      <c r="C1" s="1" t="s">
        <v>467</v>
      </c>
    </row>
    <row r="2" spans="1:4" x14ac:dyDescent="0.3">
      <c r="A2" s="1" t="s">
        <v>465</v>
      </c>
      <c r="B2" s="1" t="s">
        <v>468</v>
      </c>
      <c r="C2" s="1" t="s">
        <v>469</v>
      </c>
      <c r="D2" s="1" t="s">
        <v>470</v>
      </c>
    </row>
    <row r="3" spans="1:4" x14ac:dyDescent="0.3">
      <c r="A3" s="1" t="s">
        <v>465</v>
      </c>
      <c r="B3" s="1" t="s">
        <v>466</v>
      </c>
      <c r="C3" s="1" t="s">
        <v>470</v>
      </c>
    </row>
    <row r="4" spans="1:4" x14ac:dyDescent="0.3">
      <c r="A4" s="1" t="s">
        <v>467</v>
      </c>
      <c r="B4" s="1" t="s">
        <v>468</v>
      </c>
      <c r="C4" s="1" t="s">
        <v>469</v>
      </c>
    </row>
    <row r="5" spans="1:4" x14ac:dyDescent="0.3">
      <c r="A5" s="1" t="s">
        <v>465</v>
      </c>
      <c r="B5" s="1" t="s">
        <v>466</v>
      </c>
      <c r="C5" s="1" t="s">
        <v>467</v>
      </c>
    </row>
  </sheetData>
  <pageMargins left="0.7" right="0.7" top="0.75" bottom="0.75" header="0.3" footer="0.3"/>
  <pageSetup orientation="portrait" horizontalDpi="0" verticalDpi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E619-02C0-7C42-BC7D-7396903DEC36}">
  <sheetPr codeName="Sheet60">
    <tabColor rgb="FF92D050"/>
  </sheetPr>
  <dimension ref="A1:A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1" x14ac:dyDescent="0.3">
      <c r="A1" s="1" t="s">
        <v>459</v>
      </c>
    </row>
    <row r="2" spans="1:1" x14ac:dyDescent="0.3">
      <c r="A2" s="1" t="s">
        <v>460</v>
      </c>
    </row>
    <row r="3" spans="1:1" x14ac:dyDescent="0.3">
      <c r="A3" s="1" t="s">
        <v>461</v>
      </c>
    </row>
    <row r="4" spans="1:1" x14ac:dyDescent="0.3">
      <c r="A4" s="1" t="s">
        <v>462</v>
      </c>
    </row>
    <row r="5" spans="1:1" x14ac:dyDescent="0.3">
      <c r="A5" s="1" t="s">
        <v>459</v>
      </c>
    </row>
  </sheetData>
  <pageMargins left="0.7" right="0.7" top="0.75" bottom="0.75" header="0.3" footer="0.3"/>
  <pageSetup orientation="portrait" horizontalDpi="0" verticalDpi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C3DB-BF56-054B-8687-97E3794E63DB}">
  <sheetPr codeName="Sheet87">
    <tabColor rgb="FF92D050"/>
  </sheetPr>
  <dimension ref="B2:J28"/>
  <sheetViews>
    <sheetView zoomScale="70" zoomScaleNormal="70" zoomScalePageLayoutView="70" workbookViewId="0"/>
  </sheetViews>
  <sheetFormatPr baseColWidth="10" defaultColWidth="21.83203125" defaultRowHeight="26" x14ac:dyDescent="0.3"/>
  <cols>
    <col min="1" max="1" width="21.83203125" style="152"/>
    <col min="2" max="2" width="12.6640625" style="152" bestFit="1" customWidth="1"/>
    <col min="3" max="16384" width="21.83203125" style="152"/>
  </cols>
  <sheetData>
    <row r="2" spans="4:10" x14ac:dyDescent="0.3">
      <c r="D2" s="152" t="s">
        <v>463</v>
      </c>
    </row>
    <row r="3" spans="4:10" x14ac:dyDescent="0.3">
      <c r="D3" s="153" t="s">
        <v>464</v>
      </c>
      <c r="E3" s="153" t="s">
        <v>465</v>
      </c>
      <c r="F3" s="153" t="s">
        <v>466</v>
      </c>
      <c r="G3" s="153" t="s">
        <v>467</v>
      </c>
      <c r="H3" s="153" t="s">
        <v>468</v>
      </c>
      <c r="I3" s="153" t="s">
        <v>469</v>
      </c>
      <c r="J3" s="153" t="s">
        <v>470</v>
      </c>
    </row>
    <row r="4" spans="4:10" x14ac:dyDescent="0.3">
      <c r="D4" s="154" t="s">
        <v>471</v>
      </c>
      <c r="E4" s="154">
        <v>1</v>
      </c>
      <c r="F4" s="154">
        <v>1</v>
      </c>
      <c r="G4" s="154">
        <v>1</v>
      </c>
      <c r="H4" s="154">
        <v>0</v>
      </c>
      <c r="I4" s="154">
        <v>0</v>
      </c>
      <c r="J4" s="154">
        <v>0</v>
      </c>
    </row>
    <row r="5" spans="4:10" x14ac:dyDescent="0.3">
      <c r="D5" s="154" t="s">
        <v>472</v>
      </c>
      <c r="E5" s="154">
        <v>1</v>
      </c>
      <c r="F5" s="154">
        <v>0</v>
      </c>
      <c r="G5" s="154">
        <v>0</v>
      </c>
      <c r="H5" s="154">
        <v>1</v>
      </c>
      <c r="I5" s="154">
        <v>1</v>
      </c>
      <c r="J5" s="154">
        <v>1</v>
      </c>
    </row>
    <row r="6" spans="4:10" x14ac:dyDescent="0.3">
      <c r="D6" s="154" t="s">
        <v>473</v>
      </c>
      <c r="E6" s="154">
        <v>1</v>
      </c>
      <c r="F6" s="154">
        <v>1</v>
      </c>
      <c r="G6" s="154">
        <v>0</v>
      </c>
      <c r="H6" s="154">
        <v>0</v>
      </c>
      <c r="I6" s="154">
        <v>0</v>
      </c>
      <c r="J6" s="154">
        <v>1</v>
      </c>
    </row>
    <row r="7" spans="4:10" x14ac:dyDescent="0.3">
      <c r="D7" s="154" t="s">
        <v>474</v>
      </c>
      <c r="E7" s="154">
        <v>0</v>
      </c>
      <c r="F7" s="154">
        <v>0</v>
      </c>
      <c r="G7" s="154">
        <v>1</v>
      </c>
      <c r="H7" s="154">
        <v>1</v>
      </c>
      <c r="I7" s="154">
        <v>1</v>
      </c>
      <c r="J7" s="154">
        <v>0</v>
      </c>
    </row>
    <row r="8" spans="4:10" x14ac:dyDescent="0.3">
      <c r="D8" s="154" t="s">
        <v>475</v>
      </c>
      <c r="E8" s="154">
        <v>1</v>
      </c>
      <c r="F8" s="154">
        <v>1</v>
      </c>
      <c r="G8" s="154">
        <v>1</v>
      </c>
      <c r="H8" s="154">
        <v>0</v>
      </c>
      <c r="I8" s="154">
        <v>0</v>
      </c>
      <c r="J8" s="154">
        <v>0</v>
      </c>
    </row>
    <row r="9" spans="4:10" x14ac:dyDescent="0.3">
      <c r="D9" s="152" t="s">
        <v>476</v>
      </c>
      <c r="E9" s="155">
        <f t="shared" ref="E9:J9" si="0">SUM(E4:E8)</f>
        <v>4</v>
      </c>
      <c r="F9" s="155">
        <f t="shared" si="0"/>
        <v>3</v>
      </c>
      <c r="G9" s="155">
        <f t="shared" si="0"/>
        <v>3</v>
      </c>
      <c r="H9" s="155">
        <f t="shared" si="0"/>
        <v>2</v>
      </c>
      <c r="I9" s="155">
        <f t="shared" si="0"/>
        <v>2</v>
      </c>
      <c r="J9" s="155">
        <f t="shared" si="0"/>
        <v>2</v>
      </c>
    </row>
    <row r="12" spans="4:10" x14ac:dyDescent="0.3">
      <c r="D12" s="152" t="s">
        <v>477</v>
      </c>
      <c r="E12" s="153" t="s">
        <v>465</v>
      </c>
      <c r="F12" s="153" t="s">
        <v>466</v>
      </c>
      <c r="G12" s="153" t="s">
        <v>467</v>
      </c>
      <c r="H12" s="153" t="s">
        <v>468</v>
      </c>
      <c r="I12" s="153" t="s">
        <v>469</v>
      </c>
      <c r="J12" s="153" t="s">
        <v>470</v>
      </c>
    </row>
    <row r="13" spans="4:10" x14ac:dyDescent="0.3">
      <c r="D13" s="153" t="s">
        <v>465</v>
      </c>
      <c r="E13" s="156" cm="1">
        <f t="array" aca="1" ref="E13" ca="1">SUM(INDIRECT($D13)*INDIRECT(E$12))/SUM(INDIRECT(E$12))</f>
        <v>1</v>
      </c>
      <c r="F13" s="156" cm="1">
        <f t="array" aca="1" ref="F13" ca="1">SUM(INDIRECT($D13)*INDIRECT(F$12))/SUM(INDIRECT(F$12))</f>
        <v>1</v>
      </c>
      <c r="G13" s="156" cm="1">
        <f t="array" aca="1" ref="G13" ca="1">SUM(INDIRECT($D13)*INDIRECT(G$12))/SUM(INDIRECT(G$12))</f>
        <v>0.66666666666666663</v>
      </c>
      <c r="H13" s="156" cm="1">
        <f t="array" aca="1" ref="H13" ca="1">SUM(INDIRECT($D13)*INDIRECT(H$12))/SUM(INDIRECT(H$12))</f>
        <v>0.5</v>
      </c>
      <c r="I13" s="156" cm="1">
        <f t="array" aca="1" ref="I13" ca="1">SUM(INDIRECT($D13)*INDIRECT(I$12))/SUM(INDIRECT(I$12))</f>
        <v>0.5</v>
      </c>
      <c r="J13" s="156" cm="1">
        <f t="array" aca="1" ref="J13" ca="1">SUM(INDIRECT($D13)*INDIRECT(J$12))/SUM(INDIRECT(J$12))</f>
        <v>1</v>
      </c>
    </row>
    <row r="14" spans="4:10" x14ac:dyDescent="0.3">
      <c r="D14" s="153" t="s">
        <v>466</v>
      </c>
      <c r="E14" s="156" cm="1">
        <f t="array" aca="1" ref="E14" ca="1">SUM(INDIRECT($D14)*INDIRECT(E$12))/SUM(INDIRECT(E$12))</f>
        <v>0.75</v>
      </c>
      <c r="F14" s="156" cm="1">
        <f t="array" aca="1" ref="F14" ca="1">SUM(INDIRECT($D14)*INDIRECT(F$12))/SUM(INDIRECT(F$12))</f>
        <v>1</v>
      </c>
      <c r="G14" s="156" cm="1">
        <f t="array" aca="1" ref="G14" ca="1">SUM(INDIRECT($D14)*INDIRECT(G$12))/SUM(INDIRECT(G$12))</f>
        <v>0.66666666666666663</v>
      </c>
      <c r="H14" s="156" cm="1">
        <f t="array" aca="1" ref="H14" ca="1">SUM(INDIRECT($D14)*INDIRECT(H$12))/SUM(INDIRECT(H$12))</f>
        <v>0</v>
      </c>
      <c r="I14" s="156" cm="1">
        <f t="array" aca="1" ref="I14" ca="1">SUM(INDIRECT($D14)*INDIRECT(I$12))/SUM(INDIRECT(I$12))</f>
        <v>0</v>
      </c>
      <c r="J14" s="156" cm="1">
        <f t="array" aca="1" ref="J14" ca="1">SUM(INDIRECT($D14)*INDIRECT(J$12))/SUM(INDIRECT(J$12))</f>
        <v>0.5</v>
      </c>
    </row>
    <row r="15" spans="4:10" x14ac:dyDescent="0.3">
      <c r="D15" s="153" t="s">
        <v>467</v>
      </c>
      <c r="E15" s="156" cm="1">
        <f t="array" aca="1" ref="E15" ca="1">SUM(INDIRECT($D15)*INDIRECT(E$12))/SUM(INDIRECT(E$12))</f>
        <v>0.5</v>
      </c>
      <c r="F15" s="156" cm="1">
        <f t="array" aca="1" ref="F15" ca="1">SUM(INDIRECT($D15)*INDIRECT(F$12))/SUM(INDIRECT(F$12))</f>
        <v>0.66666666666666663</v>
      </c>
      <c r="G15" s="156" cm="1">
        <f t="array" aca="1" ref="G15" ca="1">SUM(INDIRECT($D15)*INDIRECT(G$12))/SUM(INDIRECT(G$12))</f>
        <v>1</v>
      </c>
      <c r="H15" s="156" cm="1">
        <f t="array" aca="1" ref="H15" ca="1">SUM(INDIRECT($D15)*INDIRECT(H$12))/SUM(INDIRECT(H$12))</f>
        <v>0.5</v>
      </c>
      <c r="I15" s="156" cm="1">
        <f t="array" aca="1" ref="I15" ca="1">SUM(INDIRECT($D15)*INDIRECT(I$12))/SUM(INDIRECT(I$12))</f>
        <v>0.5</v>
      </c>
      <c r="J15" s="156" cm="1">
        <f t="array" aca="1" ref="J15" ca="1">SUM(INDIRECT($D15)*INDIRECT(J$12))/SUM(INDIRECT(J$12))</f>
        <v>0</v>
      </c>
    </row>
    <row r="16" spans="4:10" x14ac:dyDescent="0.3">
      <c r="D16" s="153" t="s">
        <v>468</v>
      </c>
      <c r="E16" s="156" cm="1">
        <f t="array" aca="1" ref="E16" ca="1">SUM(INDIRECT($D16)*INDIRECT(E$12))/SUM(INDIRECT(E$12))</f>
        <v>0.25</v>
      </c>
      <c r="F16" s="156" cm="1">
        <f t="array" aca="1" ref="F16" ca="1">SUM(INDIRECT($D16)*INDIRECT(F$12))/SUM(INDIRECT(F$12))</f>
        <v>0</v>
      </c>
      <c r="G16" s="156" cm="1">
        <f t="array" aca="1" ref="G16" ca="1">SUM(INDIRECT($D16)*INDIRECT(G$12))/SUM(INDIRECT(G$12))</f>
        <v>0.33333333333333331</v>
      </c>
      <c r="H16" s="156" cm="1">
        <f t="array" aca="1" ref="H16" ca="1">SUM(INDIRECT($D16)*INDIRECT(H$12))/SUM(INDIRECT(H$12))</f>
        <v>1</v>
      </c>
      <c r="I16" s="156" cm="1">
        <f t="array" aca="1" ref="I16" ca="1">SUM(INDIRECT($D16)*INDIRECT(I$12))/SUM(INDIRECT(I$12))</f>
        <v>1</v>
      </c>
      <c r="J16" s="156" cm="1">
        <f t="array" aca="1" ref="J16" ca="1">SUM(INDIRECT($D16)*INDIRECT(J$12))/SUM(INDIRECT(J$12))</f>
        <v>0.5</v>
      </c>
    </row>
    <row r="17" spans="2:10" x14ac:dyDescent="0.3">
      <c r="D17" s="153" t="s">
        <v>469</v>
      </c>
      <c r="E17" s="156" cm="1">
        <f t="array" aca="1" ref="E17" ca="1">SUM(INDIRECT($D17)*INDIRECT(E$12))/SUM(INDIRECT(E$12))</f>
        <v>0.25</v>
      </c>
      <c r="F17" s="156" cm="1">
        <f t="array" aca="1" ref="F17" ca="1">SUM(INDIRECT($D17)*INDIRECT(F$12))/SUM(INDIRECT(F$12))</f>
        <v>0</v>
      </c>
      <c r="G17" s="156" cm="1">
        <f t="array" aca="1" ref="G17" ca="1">SUM(INDIRECT($D17)*INDIRECT(G$12))/SUM(INDIRECT(G$12))</f>
        <v>0.33333333333333331</v>
      </c>
      <c r="H17" s="156" cm="1">
        <f t="array" aca="1" ref="H17" ca="1">SUM(INDIRECT($D17)*INDIRECT(H$12))/SUM(INDIRECT(H$12))</f>
        <v>1</v>
      </c>
      <c r="I17" s="156" cm="1">
        <f t="array" aca="1" ref="I17" ca="1">SUM(INDIRECT($D17)*INDIRECT(I$12))/SUM(INDIRECT(I$12))</f>
        <v>1</v>
      </c>
      <c r="J17" s="156" cm="1">
        <f t="array" aca="1" ref="J17" ca="1">SUM(INDIRECT($D17)*INDIRECT(J$12))/SUM(INDIRECT(J$12))</f>
        <v>0.5</v>
      </c>
    </row>
    <row r="18" spans="2:10" x14ac:dyDescent="0.3">
      <c r="D18" s="153" t="s">
        <v>470</v>
      </c>
      <c r="E18" s="156" cm="1">
        <f t="array" aca="1" ref="E18" ca="1">SUM(INDIRECT($D18)*INDIRECT(E$12))/SUM(INDIRECT(E$12))</f>
        <v>0.5</v>
      </c>
      <c r="F18" s="156" cm="1">
        <f t="array" aca="1" ref="F18" ca="1">SUM(INDIRECT($D18)*INDIRECT(F$12))/SUM(INDIRECT(F$12))</f>
        <v>0.33333333333333331</v>
      </c>
      <c r="G18" s="156" cm="1">
        <f t="array" aca="1" ref="G18" ca="1">SUM(INDIRECT($D18)*INDIRECT(G$12))/SUM(INDIRECT(G$12))</f>
        <v>0</v>
      </c>
      <c r="H18" s="156" cm="1">
        <f t="array" aca="1" ref="H18" ca="1">SUM(INDIRECT($D18)*INDIRECT(H$12))/SUM(INDIRECT(H$12))</f>
        <v>0.5</v>
      </c>
      <c r="I18" s="156" cm="1">
        <f t="array" aca="1" ref="I18" ca="1">SUM(INDIRECT($D18)*INDIRECT(I$12))/SUM(INDIRECT(I$12))</f>
        <v>0.5</v>
      </c>
      <c r="J18" s="156" cm="1">
        <f t="array" aca="1" ref="J18" ca="1">SUM(INDIRECT($D18)*INDIRECT(J$12))/SUM(INDIRECT(J$12))</f>
        <v>1</v>
      </c>
    </row>
    <row r="22" spans="2:10" x14ac:dyDescent="0.3">
      <c r="B22" s="155" t="s">
        <v>463</v>
      </c>
      <c r="D22" s="152" t="s">
        <v>478</v>
      </c>
      <c r="E22" s="153" t="s">
        <v>465</v>
      </c>
      <c r="F22" s="153" t="s">
        <v>466</v>
      </c>
      <c r="G22" s="153" t="s">
        <v>467</v>
      </c>
      <c r="H22" s="153" t="s">
        <v>468</v>
      </c>
      <c r="I22" s="153" t="s">
        <v>469</v>
      </c>
      <c r="J22" s="153" t="s">
        <v>470</v>
      </c>
    </row>
    <row r="23" spans="2:10" x14ac:dyDescent="0.3">
      <c r="B23" s="155" cm="1">
        <f t="array" ref="B23:B28">TRANSPOSE(E9:J9)/5</f>
        <v>0.8</v>
      </c>
      <c r="D23" s="153" t="s">
        <v>465</v>
      </c>
      <c r="E23" s="156">
        <f ca="1">E13/$B23</f>
        <v>1.25</v>
      </c>
      <c r="F23" s="156">
        <f t="shared" ref="F23:J23" ca="1" si="1">F13/$B23</f>
        <v>1.25</v>
      </c>
      <c r="G23" s="156">
        <f t="shared" ca="1" si="1"/>
        <v>0.83333333333333326</v>
      </c>
      <c r="H23" s="156">
        <f t="shared" ca="1" si="1"/>
        <v>0.625</v>
      </c>
      <c r="I23" s="156">
        <f t="shared" ca="1" si="1"/>
        <v>0.625</v>
      </c>
      <c r="J23" s="156">
        <f t="shared" ca="1" si="1"/>
        <v>1.25</v>
      </c>
    </row>
    <row r="24" spans="2:10" x14ac:dyDescent="0.3">
      <c r="B24" s="155">
        <v>0.6</v>
      </c>
      <c r="D24" s="153" t="s">
        <v>466</v>
      </c>
      <c r="E24" s="156">
        <f t="shared" ref="E24:J28" ca="1" si="2">E14/$B24</f>
        <v>1.25</v>
      </c>
      <c r="F24" s="156">
        <f t="shared" ca="1" si="2"/>
        <v>1.6666666666666667</v>
      </c>
      <c r="G24" s="156">
        <f t="shared" ca="1" si="2"/>
        <v>1.1111111111111112</v>
      </c>
      <c r="H24" s="156">
        <f t="shared" ca="1" si="2"/>
        <v>0</v>
      </c>
      <c r="I24" s="156">
        <f t="shared" ca="1" si="2"/>
        <v>0</v>
      </c>
      <c r="J24" s="156">
        <f t="shared" ca="1" si="2"/>
        <v>0.83333333333333337</v>
      </c>
    </row>
    <row r="25" spans="2:10" x14ac:dyDescent="0.3">
      <c r="B25" s="155">
        <v>0.6</v>
      </c>
      <c r="D25" s="153" t="s">
        <v>467</v>
      </c>
      <c r="E25" s="156">
        <f t="shared" ca="1" si="2"/>
        <v>0.83333333333333337</v>
      </c>
      <c r="F25" s="156">
        <f t="shared" ca="1" si="2"/>
        <v>1.1111111111111112</v>
      </c>
      <c r="G25" s="156">
        <f t="shared" ca="1" si="2"/>
        <v>1.6666666666666667</v>
      </c>
      <c r="H25" s="156">
        <f t="shared" ca="1" si="2"/>
        <v>0.83333333333333337</v>
      </c>
      <c r="I25" s="156">
        <f t="shared" ca="1" si="2"/>
        <v>0.83333333333333337</v>
      </c>
      <c r="J25" s="156">
        <f t="shared" ca="1" si="2"/>
        <v>0</v>
      </c>
    </row>
    <row r="26" spans="2:10" x14ac:dyDescent="0.3">
      <c r="B26" s="155">
        <v>0.4</v>
      </c>
      <c r="D26" s="153" t="s">
        <v>468</v>
      </c>
      <c r="E26" s="156">
        <f t="shared" ca="1" si="2"/>
        <v>0.625</v>
      </c>
      <c r="F26" s="156">
        <f t="shared" ca="1" si="2"/>
        <v>0</v>
      </c>
      <c r="G26" s="156">
        <f t="shared" ca="1" si="2"/>
        <v>0.83333333333333326</v>
      </c>
      <c r="H26" s="156">
        <f t="shared" ca="1" si="2"/>
        <v>2.5</v>
      </c>
      <c r="I26" s="156">
        <f t="shared" ca="1" si="2"/>
        <v>2.5</v>
      </c>
      <c r="J26" s="156">
        <f t="shared" ca="1" si="2"/>
        <v>1.25</v>
      </c>
    </row>
    <row r="27" spans="2:10" x14ac:dyDescent="0.3">
      <c r="B27" s="155">
        <v>0.4</v>
      </c>
      <c r="D27" s="153" t="s">
        <v>469</v>
      </c>
      <c r="E27" s="156">
        <f t="shared" ca="1" si="2"/>
        <v>0.625</v>
      </c>
      <c r="F27" s="156">
        <f t="shared" ca="1" si="2"/>
        <v>0</v>
      </c>
      <c r="G27" s="156">
        <f t="shared" ca="1" si="2"/>
        <v>0.83333333333333326</v>
      </c>
      <c r="H27" s="156">
        <f t="shared" ca="1" si="2"/>
        <v>2.5</v>
      </c>
      <c r="I27" s="156">
        <f t="shared" ca="1" si="2"/>
        <v>2.5</v>
      </c>
      <c r="J27" s="156">
        <f t="shared" ca="1" si="2"/>
        <v>1.25</v>
      </c>
    </row>
    <row r="28" spans="2:10" x14ac:dyDescent="0.3">
      <c r="B28" s="155">
        <v>0.4</v>
      </c>
      <c r="D28" s="153" t="s">
        <v>470</v>
      </c>
      <c r="E28" s="156">
        <f t="shared" ca="1" si="2"/>
        <v>1.25</v>
      </c>
      <c r="F28" s="156">
        <f t="shared" ca="1" si="2"/>
        <v>0.83333333333333326</v>
      </c>
      <c r="G28" s="156">
        <f t="shared" ca="1" si="2"/>
        <v>0</v>
      </c>
      <c r="H28" s="156">
        <f t="shared" ca="1" si="2"/>
        <v>1.25</v>
      </c>
      <c r="I28" s="156">
        <f t="shared" ca="1" si="2"/>
        <v>1.25</v>
      </c>
      <c r="J28" s="156">
        <f t="shared" ca="1" si="2"/>
        <v>2.5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8BC4-2092-1442-9572-F916E6A56022}">
  <sheetPr codeName="Sheet88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1719-4935-554D-8583-453CFE4154A8}">
  <sheetPr codeName="Sheet89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301</v>
      </c>
    </row>
    <row r="4" spans="2:2" x14ac:dyDescent="0.3">
      <c r="B4" s="1" t="s">
        <v>304</v>
      </c>
    </row>
    <row r="6" spans="2:2" x14ac:dyDescent="0.3">
      <c r="B6" s="1" t="s">
        <v>336</v>
      </c>
    </row>
    <row r="8" spans="2:2" x14ac:dyDescent="0.3">
      <c r="B8" s="1" t="s">
        <v>303</v>
      </c>
    </row>
    <row r="10" spans="2:2" x14ac:dyDescent="0.3">
      <c r="B10" s="1" t="s">
        <v>302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6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39</v>
      </c>
      <c r="C2" s="13" t="s">
        <v>40</v>
      </c>
    </row>
    <row r="3" spans="1:3" x14ac:dyDescent="0.3">
      <c r="A3" s="1">
        <v>1</v>
      </c>
      <c r="B3" s="1" t="s">
        <v>537</v>
      </c>
      <c r="C3" s="1">
        <v>10</v>
      </c>
    </row>
    <row r="4" spans="1:3" x14ac:dyDescent="0.3">
      <c r="A4" s="1">
        <v>2</v>
      </c>
      <c r="B4" s="1" t="s">
        <v>538</v>
      </c>
      <c r="C4" s="1">
        <v>5</v>
      </c>
    </row>
    <row r="5" spans="1:3" x14ac:dyDescent="0.3">
      <c r="A5" s="1">
        <v>3</v>
      </c>
      <c r="B5" s="1" t="s">
        <v>302</v>
      </c>
      <c r="C5" s="1">
        <v>10</v>
      </c>
    </row>
    <row r="6" spans="1:3" x14ac:dyDescent="0.3">
      <c r="A6" s="1">
        <v>4</v>
      </c>
      <c r="B6" s="1" t="s">
        <v>560</v>
      </c>
      <c r="C6" s="1">
        <v>5</v>
      </c>
    </row>
  </sheetData>
  <phoneticPr fontId="7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309</v>
      </c>
    </row>
    <row r="3" spans="1:2" x14ac:dyDescent="0.3">
      <c r="B3" s="1" t="s">
        <v>529</v>
      </c>
    </row>
    <row r="4" spans="1:2" x14ac:dyDescent="0.3">
      <c r="B4" s="1" t="s">
        <v>310</v>
      </c>
    </row>
    <row r="5" spans="1:2" x14ac:dyDescent="0.3">
      <c r="A5" s="1">
        <v>1</v>
      </c>
      <c r="B5" s="1" t="s">
        <v>311</v>
      </c>
    </row>
    <row r="6" spans="1:2" x14ac:dyDescent="0.3">
      <c r="A6" s="1">
        <v>2</v>
      </c>
      <c r="B6" s="1" t="s">
        <v>312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B2:B3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530</v>
      </c>
    </row>
    <row r="3" spans="2:2" x14ac:dyDescent="0.3">
      <c r="B3" s="1" t="s">
        <v>531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46BF-B09A-2B4C-9389-2C17B90CA0BC}">
  <sheetPr codeName="Sheet90"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532</v>
      </c>
    </row>
    <row r="3" spans="2:2" x14ac:dyDescent="0.3">
      <c r="B3" s="1" t="s">
        <v>533</v>
      </c>
    </row>
    <row r="4" spans="2:2" x14ac:dyDescent="0.3">
      <c r="B4" s="1" t="s">
        <v>534</v>
      </c>
    </row>
    <row r="5" spans="2:2" x14ac:dyDescent="0.3">
      <c r="B5" s="1" t="s">
        <v>535</v>
      </c>
    </row>
    <row r="6" spans="2:2" x14ac:dyDescent="0.3">
      <c r="B6" s="1" t="s">
        <v>536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9B213-9F75-0B42-B688-A658594EE925}">
  <sheetPr codeName="Sheet91"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561</v>
      </c>
    </row>
    <row r="3" spans="2:2" x14ac:dyDescent="0.3">
      <c r="B3" s="1" t="s">
        <v>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186</vt:i4>
      </vt:variant>
    </vt:vector>
  </HeadingPairs>
  <TitlesOfParts>
    <vt:vector size="203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PCA</vt:lpstr>
      <vt:lpstr>MarketBasketAnalysis</vt:lpstr>
      <vt:lpstr>PreWork4NextClass</vt:lpstr>
      <vt:lpstr>InClassProjects</vt:lpstr>
      <vt:lpstr>Q_OrdinalRegression</vt:lpstr>
      <vt:lpstr>Q_HClusterAnalysis</vt:lpstr>
      <vt:lpstr>Q_PCA</vt:lpstr>
      <vt:lpstr>Q_Optimization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Balloons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Candy_Bar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Flowers</vt:lpstr>
      <vt:lpstr>Get_Well_Card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Soda</vt:lpstr>
      <vt:lpstr>Stuffed_Animal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2022-10-04T18:17:57Z</dcterms:modified>
</cp:coreProperties>
</file>