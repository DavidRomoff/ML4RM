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+xml"/>
  <Override PartName="/xl/charts/chart15.xml" ContentType="application/vnd.openxmlformats-officedocument.drawingml.chart+xml"/>
  <Override PartName="/xl/drawings/drawing20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1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2.xml" ContentType="application/vnd.openxmlformats-officedocument.drawing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3.xml" ContentType="application/vnd.openxmlformats-officedocument.drawing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4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5.xml" ContentType="application/vnd.openxmlformats-officedocument.drawing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6.xml" ContentType="application/vnd.openxmlformats-officedocument.drawing+xml"/>
  <Override PartName="/xl/charts/chartEx1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3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github/ML4RM_Dev/"/>
    </mc:Choice>
  </mc:AlternateContent>
  <xr:revisionPtr revIDLastSave="0" documentId="13_ncr:1_{AA91A94E-2A92-7640-9A5D-8256B0EFFD83}" xr6:coauthVersionLast="47" xr6:coauthVersionMax="47" xr10:uidLastSave="{00000000-0000-0000-0000-000000000000}"/>
  <bookViews>
    <workbookView xWindow="0" yWindow="0" windowWidth="28800" windowHeight="16380" xr2:uid="{2528C2F6-2D91-5941-BA0A-8E362C5A735B}"/>
  </bookViews>
  <sheets>
    <sheet name="Today" sheetId="94" r:id="rId1"/>
    <sheet name="Themes" sheetId="13" r:id="rId2"/>
    <sheet name="Diagnostics" sheetId="81" r:id="rId3"/>
    <sheet name="Bernoulli" sheetId="139" state="veryHidden" r:id="rId4"/>
    <sheet name="Gini_Impurity" sheetId="158" state="veryHidden" r:id="rId5"/>
    <sheet name="LogisticRegression" sheetId="87" r:id="rId6"/>
    <sheet name="Concept" sheetId="88" state="veryHidden" r:id="rId7"/>
    <sheet name="Iris_Data" sheetId="90" state="veryHidden" r:id="rId8"/>
    <sheet name="Iris_Fit" sheetId="91" state="veryHidden" r:id="rId9"/>
    <sheet name="Iris_Forecast_OOS" sheetId="92" state="veryHidden" r:id="rId10"/>
    <sheet name="R_Code" sheetId="93" state="veryHidden" r:id="rId11"/>
    <sheet name="Multinomial_LogisticRegression" sheetId="159" state="veryHidden" r:id="rId12"/>
    <sheet name="MultLogReg_RCode" sheetId="180" state="veryHidden" r:id="rId13"/>
    <sheet name="Ordinal_LogisticRegress" sheetId="181" state="veryHidden" r:id="rId14"/>
    <sheet name="OrdLogReg_RCode" sheetId="182" state="veryHidden" r:id="rId15"/>
    <sheet name="ClusterAnalysis" sheetId="119" r:id="rId16"/>
    <sheet name="Cluster" sheetId="122" state="veryHidden" r:id="rId17"/>
    <sheet name="Excel_Demo" sheetId="123" state="veryHidden" r:id="rId18"/>
    <sheet name="R_Demo" sheetId="124" state="veryHidden" r:id="rId19"/>
    <sheet name="PAM" sheetId="179" state="veryHidden" r:id="rId20"/>
    <sheet name="Silhouette" sheetId="160" state="veryHidden" r:id="rId21"/>
    <sheet name="HClust" sheetId="183" state="veryHidden" r:id="rId22"/>
    <sheet name="HClust_RCode" sheetId="184" state="veryHidden" r:id="rId23"/>
    <sheet name="PieceWiseModels" sheetId="157" r:id="rId24"/>
    <sheet name="Data" sheetId="140" state="veryHidden" r:id="rId25"/>
    <sheet name="Fit_O3" sheetId="141" state="veryHidden" r:id="rId26"/>
    <sheet name="Fit_3Piece_O0" sheetId="142" state="veryHidden" r:id="rId27"/>
    <sheet name="Fit_3Piece_O1" sheetId="143" state="veryHidden" r:id="rId28"/>
    <sheet name="Fit_3Piece_O1_v2" sheetId="144" state="veryHidden" r:id="rId29"/>
    <sheet name="Fit_6Piece_O1" sheetId="145" state="veryHidden" r:id="rId30"/>
    <sheet name="Fit_2Piece_O2" sheetId="146" state="veryHidden" r:id="rId31"/>
    <sheet name="Splines" sheetId="156" r:id="rId32"/>
    <sheet name="NoSpline1" sheetId="147" state="veryHidden" r:id="rId33"/>
    <sheet name="NoSpline2" sheetId="148" state="veryHidden" r:id="rId34"/>
    <sheet name="NoSpline3" sheetId="149" state="veryHidden" r:id="rId35"/>
    <sheet name="CubicSpline1" sheetId="150" state="veryHidden" r:id="rId36"/>
    <sheet name="CubicSpline2" sheetId="151" state="veryHidden" r:id="rId37"/>
    <sheet name="CubicSpline3" sheetId="152" state="veryHidden" r:id="rId38"/>
    <sheet name="CubicSpline_YC" sheetId="153" state="veryHidden" r:id="rId39"/>
    <sheet name="CubicSpline_YC_Optim" sheetId="154" state="veryHidden" r:id="rId40"/>
    <sheet name="CubicSpline_YC_Optim_Penalized" sheetId="155" state="veryHidden" r:id="rId41"/>
    <sheet name="Shapley" sheetId="161" r:id="rId42"/>
    <sheet name="Additive_2Player" sheetId="162" state="veryHidden" r:id="rId43"/>
    <sheet name="Additive_2P_Cases" sheetId="163" state="veryHidden" r:id="rId44"/>
    <sheet name="Additive_2P_Expectation" sheetId="164" state="veryHidden" r:id="rId45"/>
    <sheet name="Website" sheetId="165" state="veryHidden" r:id="rId46"/>
    <sheet name="Additive_3Player" sheetId="166" state="veryHidden" r:id="rId47"/>
    <sheet name="Theory2Models1" sheetId="211" state="veryHidden" r:id="rId48"/>
    <sheet name="Theory2Models2" sheetId="212" state="veryHidden" r:id="rId49"/>
    <sheet name="Theory2Models3" sheetId="218" state="veryHidden" r:id="rId50"/>
    <sheet name="Example1_Notation" sheetId="215" state="veryHidden" r:id="rId51"/>
    <sheet name="Example1_Indicator" sheetId="219" state="veryHidden" r:id="rId52"/>
    <sheet name="Example1_Values" sheetId="216" state="veryHidden" r:id="rId53"/>
    <sheet name="Additive_3Variable" sheetId="217" state="veryHidden" r:id="rId54"/>
    <sheet name="Additive_3Variable_Waterfall" sheetId="220" state="veryHidden" r:id="rId55"/>
    <sheet name="RCode_Shapley" sheetId="221" state="veryHidden" r:id="rId56"/>
    <sheet name="NaiveBayes" sheetId="178" r:id="rId57"/>
    <sheet name="train" sheetId="173" state="veryHidden" r:id="rId58"/>
    <sheet name="test" sheetId="174" state="veryHidden" r:id="rId59"/>
    <sheet name="fit_forecast" sheetId="175" state="veryHidden" r:id="rId60"/>
    <sheet name="RCode" sheetId="177" state="veryHidden" r:id="rId61"/>
    <sheet name="train_text" sheetId="185" state="veryHidden" r:id="rId62"/>
    <sheet name="test_text" sheetId="186" state="veryHidden" r:id="rId63"/>
    <sheet name="fit_forecast_text" sheetId="187" state="veryHidden" r:id="rId64"/>
    <sheet name="RCode_text" sheetId="188" state="veryHidden" r:id="rId65"/>
    <sheet name="PCA" sheetId="202" r:id="rId66"/>
    <sheet name="Terminology" sheetId="190" state="veryHidden" r:id="rId67"/>
    <sheet name="Boxers1" sheetId="191" state="veryHidden" r:id="rId68"/>
    <sheet name="Boxers2" sheetId="192" state="veryHidden" r:id="rId69"/>
    <sheet name="Boxers3" sheetId="193" state="veryHidden" r:id="rId70"/>
    <sheet name="Dimensions" sheetId="194" state="veryHidden" r:id="rId71"/>
    <sheet name="GreenPaint1" sheetId="195" state="veryHidden" r:id="rId72"/>
    <sheet name="GreenPaint2" sheetId="196" state="veryHidden" r:id="rId73"/>
    <sheet name="LimePaint" sheetId="197" state="veryHidden" r:id="rId74"/>
    <sheet name="Boxers4" sheetId="198" state="veryHidden" r:id="rId75"/>
    <sheet name="Calculation" sheetId="199" state="veryHidden" r:id="rId76"/>
    <sheet name="PCA_RCode" sheetId="200" state="veryHidden" r:id="rId77"/>
    <sheet name="Extra" sheetId="201" state="veryHidden" r:id="rId78"/>
    <sheet name="MarketBasketAnalysis" sheetId="203" r:id="rId79"/>
    <sheet name="TransactionsData_v1" sheetId="206" state="veryHidden" r:id="rId80"/>
    <sheet name="TransactionsData_v2" sheetId="207" state="veryHidden" r:id="rId81"/>
    <sheet name="TransactionsData_v3" sheetId="208" state="veryHidden" r:id="rId82"/>
    <sheet name="BasketAnalysis" sheetId="205" state="veryHidden" r:id="rId83"/>
    <sheet name="AprioriAlgo_RCode1" sheetId="209" state="veryHidden" r:id="rId84"/>
    <sheet name="AprioriAlgo_RCode2" sheetId="204" state="veryHidden" r:id="rId85"/>
    <sheet name="PreWork4NextClass" sheetId="27" r:id="rId86"/>
    <sheet name="InClassProjects" sheetId="26" r:id="rId87"/>
    <sheet name="Q_OrdinalRegression" sheetId="137" r:id="rId88"/>
    <sheet name="Q_HClusterAnalysis" sheetId="169" r:id="rId89"/>
    <sheet name="Q_PCA" sheetId="210" r:id="rId90"/>
    <sheet name="Q_Optimization" sheetId="222" r:id="rId91"/>
  </sheets>
  <externalReferences>
    <externalReference r:id="rId92"/>
    <externalReference r:id="rId93"/>
    <externalReference r:id="rId94"/>
    <externalReference r:id="rId95"/>
    <externalReference r:id="rId96"/>
    <externalReference r:id="rId97"/>
    <externalReference r:id="rId98"/>
    <externalReference r:id="rId99"/>
    <externalReference r:id="rId100"/>
    <externalReference r:id="rId101"/>
    <externalReference r:id="rId102"/>
    <externalReference r:id="rId103"/>
    <externalReference r:id="rId104"/>
    <externalReference r:id="rId105"/>
    <externalReference r:id="rId106"/>
    <externalReference r:id="rId107"/>
    <externalReference r:id="rId108"/>
    <externalReference r:id="rId109"/>
    <externalReference r:id="rId110"/>
    <externalReference r:id="rId111"/>
    <externalReference r:id="rId112"/>
  </externalReferences>
  <definedNames>
    <definedName name="_c1" localSheetId="38">CubicSpline_YC!$T$30</definedName>
    <definedName name="_c1" localSheetId="39">CubicSpline_YC_Optim!$T$30</definedName>
    <definedName name="_c1" localSheetId="40">CubicSpline_YC_Optim_Penalized!$T$30</definedName>
    <definedName name="_c1">CubicSpline3!$T$27</definedName>
    <definedName name="_c2" localSheetId="38">CubicSpline_YC!$T$34</definedName>
    <definedName name="_c2" localSheetId="39">CubicSpline_YC_Optim!$T$34</definedName>
    <definedName name="_c2" localSheetId="40">CubicSpline_YC_Optim_Penalized!$T$34</definedName>
    <definedName name="_c2">CubicSpline3!$T$31</definedName>
    <definedName name="_c3" localSheetId="38">CubicSpline_YC!$T$38</definedName>
    <definedName name="_c3" localSheetId="39">CubicSpline_YC_Optim!$T$38</definedName>
    <definedName name="_c3" localSheetId="40">CubicSpline_YC_Optim_Penalized!$T$38</definedName>
    <definedName name="_c3">CubicSpline3!$T$35</definedName>
    <definedName name="_r2" localSheetId="2">#REF!</definedName>
    <definedName name="_r2" localSheetId="78">#REF!</definedName>
    <definedName name="_r2" localSheetId="65">#REF!</definedName>
    <definedName name="_r2">#REF!</definedName>
    <definedName name="_R2_orig">[1]RSquareAdj!$C$6</definedName>
    <definedName name="_xlchart.v5.0" hidden="1">Additive_3Variable_Waterfall!$N$12:$Q$12</definedName>
    <definedName name="_xlchart.v5.1" hidden="1">Additive_3Variable_Waterfall!$N$13:$Q$13</definedName>
    <definedName name="A">[2]NextClass1_MeanVar!#REF!</definedName>
    <definedName name="a_0" localSheetId="38">CubicSpline_YC!#REF!</definedName>
    <definedName name="a_0" localSheetId="39">CubicSpline_YC_Optim!#REF!</definedName>
    <definedName name="a_0" localSheetId="40">CubicSpline_YC_Optim_Penalized!#REF!</definedName>
    <definedName name="a_0">#REF!</definedName>
    <definedName name="a_1" localSheetId="38">CubicSpline_YC!$AN$28</definedName>
    <definedName name="a_1" localSheetId="39">CubicSpline_YC_Optim!$AN$28</definedName>
    <definedName name="a_1" localSheetId="40">CubicSpline_YC_Optim_Penalized!$AN$28</definedName>
    <definedName name="a_1">#REF!</definedName>
    <definedName name="a_10" localSheetId="38">CubicSpline_YC!$AN$52</definedName>
    <definedName name="a_10" localSheetId="39">CubicSpline_YC_Optim!$AN$52</definedName>
    <definedName name="a_10" localSheetId="40">CubicSpline_YC_Optim_Penalized!$AN$52</definedName>
    <definedName name="a_10">#REF!</definedName>
    <definedName name="a_2" localSheetId="38">CubicSpline_YC!$AN$32</definedName>
    <definedName name="a_2" localSheetId="39">CubicSpline_YC_Optim!$AN$32</definedName>
    <definedName name="a_2" localSheetId="40">CubicSpline_YC_Optim_Penalized!$AN$32</definedName>
    <definedName name="a_2">#REF!</definedName>
    <definedName name="a_3" localSheetId="38">CubicSpline_YC!$AN$36</definedName>
    <definedName name="a_3" localSheetId="39">CubicSpline_YC_Optim!$AN$36</definedName>
    <definedName name="a_3" localSheetId="40">CubicSpline_YC_Optim_Penalized!$AN$36</definedName>
    <definedName name="a_3">#REF!</definedName>
    <definedName name="a_30" localSheetId="38">CubicSpline_YC!$AN$56</definedName>
    <definedName name="a_30" localSheetId="39">CubicSpline_YC_Optim!$AN$56</definedName>
    <definedName name="a_30" localSheetId="40">CubicSpline_YC_Optim_Penalized!$AN$56</definedName>
    <definedName name="a_30">#REF!</definedName>
    <definedName name="a_4" localSheetId="38">CubicSpline_YC!$AN$40</definedName>
    <definedName name="a_4" localSheetId="39">CubicSpline_YC_Optim!$AN$40</definedName>
    <definedName name="a_4" localSheetId="40">CubicSpline_YC_Optim_Penalized!$AN$40</definedName>
    <definedName name="a_4">#REF!</definedName>
    <definedName name="a_5" localSheetId="38">CubicSpline_YC!$AN$44</definedName>
    <definedName name="a_5" localSheetId="39">CubicSpline_YC_Optim!$AN$44</definedName>
    <definedName name="a_5" localSheetId="40">CubicSpline_YC_Optim_Penalized!$AN$44</definedName>
    <definedName name="a_5">#REF!</definedName>
    <definedName name="a_7" localSheetId="38">CubicSpline_YC!$AN$48</definedName>
    <definedName name="a_7" localSheetId="39">CubicSpline_YC_Optim!$AN$48</definedName>
    <definedName name="a_7" localSheetId="40">CubicSpline_YC_Optim_Penalized!$AN$48</definedName>
    <definedName name="a_7">#REF!</definedName>
    <definedName name="A_x">[3]ProductRule!$C$14</definedName>
    <definedName name="A_x_h">[3]ProductRule!$C$16</definedName>
    <definedName name="a1_" localSheetId="38">CubicSpline_YC!$T$28</definedName>
    <definedName name="a1_" localSheetId="39">CubicSpline_YC_Optim!$T$28</definedName>
    <definedName name="a1_" localSheetId="40">CubicSpline_YC_Optim_Penalized!$T$28</definedName>
    <definedName name="a1_">CubicSpline3!$T$25</definedName>
    <definedName name="a2_" localSheetId="38">CubicSpline_YC!$T$32</definedName>
    <definedName name="a2_" localSheetId="39">CubicSpline_YC_Optim!$T$32</definedName>
    <definedName name="a2_" localSheetId="40">CubicSpline_YC_Optim_Penalized!$T$32</definedName>
    <definedName name="a2_">CubicSpline3!$T$29</definedName>
    <definedName name="a3_" localSheetId="38">CubicSpline_YC!$T$36</definedName>
    <definedName name="a3_" localSheetId="39">CubicSpline_YC_Optim!$T$36</definedName>
    <definedName name="a3_" localSheetId="40">CubicSpline_YC_Optim_Penalized!$T$36</definedName>
    <definedName name="a3_">CubicSpline3!$T$33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_0" localSheetId="38">CubicSpline_YC!#REF!</definedName>
    <definedName name="b_0" localSheetId="39">CubicSpline_YC_Optim!#REF!</definedName>
    <definedName name="b_0" localSheetId="40">CubicSpline_YC_Optim_Penalized!#REF!</definedName>
    <definedName name="b_0">#REF!</definedName>
    <definedName name="b_1" localSheetId="38">CubicSpline_YC!$AN$29</definedName>
    <definedName name="b_1" localSheetId="39">CubicSpline_YC_Optim!$AN$29</definedName>
    <definedName name="b_1" localSheetId="40">CubicSpline_YC_Optim_Penalized!$AN$29</definedName>
    <definedName name="b_1">#REF!</definedName>
    <definedName name="b_10" localSheetId="38">CubicSpline_YC!$AN$53</definedName>
    <definedName name="b_10" localSheetId="39">CubicSpline_YC_Optim!$AN$53</definedName>
    <definedName name="b_10" localSheetId="40">CubicSpline_YC_Optim_Penalized!$AN$53</definedName>
    <definedName name="b_10">#REF!</definedName>
    <definedName name="b_2" localSheetId="38">CubicSpline_YC!$AN$33</definedName>
    <definedName name="b_2" localSheetId="39">CubicSpline_YC_Optim!$AN$33</definedName>
    <definedName name="b_2" localSheetId="40">CubicSpline_YC_Optim_Penalized!$AN$33</definedName>
    <definedName name="b_2">#REF!</definedName>
    <definedName name="b_3" localSheetId="38">CubicSpline_YC!$AN$37</definedName>
    <definedName name="b_3" localSheetId="39">CubicSpline_YC_Optim!$AN$37</definedName>
    <definedName name="b_3" localSheetId="40">CubicSpline_YC_Optim_Penalized!$AN$37</definedName>
    <definedName name="b_3">#REF!</definedName>
    <definedName name="b_30" localSheetId="38">CubicSpline_YC!$AN$57</definedName>
    <definedName name="b_30" localSheetId="39">CubicSpline_YC_Optim!$AN$57</definedName>
    <definedName name="b_30" localSheetId="40">CubicSpline_YC_Optim_Penalized!$AN$57</definedName>
    <definedName name="b_30">#REF!</definedName>
    <definedName name="b_4" localSheetId="38">CubicSpline_YC!$AN$41</definedName>
    <definedName name="b_4" localSheetId="39">CubicSpline_YC_Optim!$AN$41</definedName>
    <definedName name="b_4" localSheetId="40">CubicSpline_YC_Optim_Penalized!$AN$41</definedName>
    <definedName name="b_4">#REF!</definedName>
    <definedName name="b_5" localSheetId="38">CubicSpline_YC!$AN$45</definedName>
    <definedName name="b_5" localSheetId="39">CubicSpline_YC_Optim!$AN$45</definedName>
    <definedName name="b_5" localSheetId="40">CubicSpline_YC_Optim_Penalized!$AN$45</definedName>
    <definedName name="b_5">#REF!</definedName>
    <definedName name="b_7" localSheetId="38">CubicSpline_YC!$AN$49</definedName>
    <definedName name="b_7" localSheetId="39">CubicSpline_YC_Optim!$AN$49</definedName>
    <definedName name="b_7" localSheetId="40">CubicSpline_YC_Optim_Penalized!$AN$49</definedName>
    <definedName name="b_7">#REF!</definedName>
    <definedName name="b0">#REF!</definedName>
    <definedName name="b1_" localSheetId="38">CubicSpline_YC!$T$29</definedName>
    <definedName name="b1_" localSheetId="39">CubicSpline_YC_Optim!$T$29</definedName>
    <definedName name="b1_" localSheetId="40">CubicSpline_YC_Optim_Penalized!$T$29</definedName>
    <definedName name="b1_">CubicSpline3!$T$26</definedName>
    <definedName name="b2_" localSheetId="38">CubicSpline_YC!$T$33</definedName>
    <definedName name="b2_" localSheetId="39">CubicSpline_YC_Optim!$T$33</definedName>
    <definedName name="b2_" localSheetId="40">CubicSpline_YC_Optim_Penalized!$T$33</definedName>
    <definedName name="b2_">CubicSpline3!$T$30</definedName>
    <definedName name="b3_" localSheetId="38">CubicSpline_YC!$T$37</definedName>
    <definedName name="b3_" localSheetId="39">CubicSpline_YC_Optim!$T$37</definedName>
    <definedName name="b3_" localSheetId="40">CubicSpline_YC_Optim_Penalized!$T$37</definedName>
    <definedName name="b3_">CubicSpline3!$T$34</definedName>
    <definedName name="Balloons">BasketAnalysis!$I$4:$I$8</definedName>
    <definedName name="beta" localSheetId="2">#REF!</definedName>
    <definedName name="beta" localSheetId="78">#REF!</definedName>
    <definedName name="beta" localSheetId="65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Bonds">#REF!</definedName>
    <definedName name="C_">[7]OptionsHW!$C$20:$E$20</definedName>
    <definedName name="c_0" localSheetId="38">CubicSpline_YC!$AN$60</definedName>
    <definedName name="c_0" localSheetId="39">CubicSpline_YC_Optim!$AN$60</definedName>
    <definedName name="c_0" localSheetId="40">CubicSpline_YC_Optim_Penalized!$AN$60</definedName>
    <definedName name="c_0">#REF!</definedName>
    <definedName name="c_1" localSheetId="38">CubicSpline_YC!$AN$30</definedName>
    <definedName name="c_1" localSheetId="39">CubicSpline_YC_Optim!$AN$30</definedName>
    <definedName name="c_1" localSheetId="40">CubicSpline_YC_Optim_Penalized!$AN$30</definedName>
    <definedName name="c_1">#REF!</definedName>
    <definedName name="c_10" localSheetId="38">CubicSpline_YC!$AN$54</definedName>
    <definedName name="c_10" localSheetId="39">CubicSpline_YC_Optim!$AN$54</definedName>
    <definedName name="c_10" localSheetId="40">CubicSpline_YC_Optim_Penalized!$AN$54</definedName>
    <definedName name="c_10">#REF!</definedName>
    <definedName name="c_2" localSheetId="38">CubicSpline_YC!$AN$34</definedName>
    <definedName name="c_2" localSheetId="39">CubicSpline_YC_Optim!$AN$34</definedName>
    <definedName name="c_2" localSheetId="40">CubicSpline_YC_Optim_Penalized!$AN$34</definedName>
    <definedName name="c_2">#REF!</definedName>
    <definedName name="c_3" localSheetId="38">CubicSpline_YC!$AN$38</definedName>
    <definedName name="c_3" localSheetId="39">CubicSpline_YC_Optim!$AN$38</definedName>
    <definedName name="c_3" localSheetId="40">CubicSpline_YC_Optim_Penalized!$AN$38</definedName>
    <definedName name="c_3">#REF!</definedName>
    <definedName name="c_30" localSheetId="38">CubicSpline_YC!$AN$58</definedName>
    <definedName name="c_30" localSheetId="39">CubicSpline_YC_Optim!$AN$58</definedName>
    <definedName name="c_30" localSheetId="40">CubicSpline_YC_Optim_Penalized!$AN$58</definedName>
    <definedName name="c_30">#REF!</definedName>
    <definedName name="c_4" localSheetId="38">CubicSpline_YC!$AN$42</definedName>
    <definedName name="c_4" localSheetId="39">CubicSpline_YC_Optim!$AN$42</definedName>
    <definedName name="c_4" localSheetId="40">CubicSpline_YC_Optim_Penalized!$AN$42</definedName>
    <definedName name="c_4">#REF!</definedName>
    <definedName name="c_5" localSheetId="38">CubicSpline_YC!$AN$46</definedName>
    <definedName name="c_5" localSheetId="39">CubicSpline_YC_Optim!$AN$46</definedName>
    <definedName name="c_5" localSheetId="40">CubicSpline_YC_Optim_Penalized!$AN$46</definedName>
    <definedName name="c_5">#REF!</definedName>
    <definedName name="c_7" localSheetId="38">CubicSpline_YC!$AN$50</definedName>
    <definedName name="c_7" localSheetId="39">CubicSpline_YC_Optim!$AN$50</definedName>
    <definedName name="c_7" localSheetId="40">CubicSpline_YC_Optim_Penalized!$AN$50</definedName>
    <definedName name="c_7">#REF!</definedName>
    <definedName name="Cake">#REF!</definedName>
    <definedName name="Candy_Bar">BasketAnalysis!$J$4:$J$8</definedName>
    <definedName name="Cd" localSheetId="2">[8]Options2!#REF!</definedName>
    <definedName name="Cd" localSheetId="78">[8]Options2!#REF!</definedName>
    <definedName name="Cd" localSheetId="65">[8]Options2!#REF!</definedName>
    <definedName name="Cd">[8]Options2!#REF!</definedName>
    <definedName name="Change" localSheetId="2">[5]VaR0!#REF!</definedName>
    <definedName name="Change" localSheetId="78">[5]VaR0!#REF!</definedName>
    <definedName name="Change" localSheetId="65">[5]VaR0!#REF!</definedName>
    <definedName name="Change">[5]VaR0!#REF!</definedName>
    <definedName name="change1" localSheetId="2">#REF!</definedName>
    <definedName name="change1" localSheetId="78">#REF!</definedName>
    <definedName name="change1" localSheetId="65">#REF!</definedName>
    <definedName name="change1">#REF!</definedName>
    <definedName name="change2" localSheetId="2">#REF!</definedName>
    <definedName name="change2" localSheetId="78">#REF!</definedName>
    <definedName name="change2" localSheetId="65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#REF!</definedName>
    <definedName name="Coffee">#REF!</definedName>
    <definedName name="contracts">[7]OptionsHW!$C$26:$E$26</definedName>
    <definedName name="corrmat">[9]PortfolioVaRExample!$M$43:$Q$47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#REF!</definedName>
    <definedName name="Cu">[8]Options2!#REF!</definedName>
    <definedName name="cyl">#REF!</definedName>
    <definedName name="cyl_Permute">#REF!</definedName>
    <definedName name="cyl_RandPermute">#REF!</definedName>
    <definedName name="d">[8]Options2!$C$7</definedName>
    <definedName name="d_0" localSheetId="38">CubicSpline_YC!$AN$61</definedName>
    <definedName name="d_0" localSheetId="39">CubicSpline_YC_Optim!$AN$61</definedName>
    <definedName name="d_0" localSheetId="40">CubicSpline_YC_Optim_Penalized!$AN$61</definedName>
    <definedName name="d_0">#REF!</definedName>
    <definedName name="d_1" localSheetId="38">CubicSpline_YC!$AN$31</definedName>
    <definedName name="d_1" localSheetId="39">CubicSpline_YC_Optim!$AN$31</definedName>
    <definedName name="d_1" localSheetId="40">CubicSpline_YC_Optim_Penalized!$AN$31</definedName>
    <definedName name="d_1">#REF!</definedName>
    <definedName name="d_10" localSheetId="38">CubicSpline_YC!$AN$55</definedName>
    <definedName name="d_10" localSheetId="39">CubicSpline_YC_Optim!$AN$55</definedName>
    <definedName name="d_10" localSheetId="40">CubicSpline_YC_Optim_Penalized!$AN$55</definedName>
    <definedName name="d_10">#REF!</definedName>
    <definedName name="d_2" localSheetId="38">CubicSpline_YC!$AN$35</definedName>
    <definedName name="d_2" localSheetId="39">CubicSpline_YC_Optim!$AN$35</definedName>
    <definedName name="d_2" localSheetId="40">CubicSpline_YC_Optim_Penalized!$AN$35</definedName>
    <definedName name="d_2">#REF!</definedName>
    <definedName name="d_3" localSheetId="38">CubicSpline_YC!$AN$39</definedName>
    <definedName name="d_3" localSheetId="39">CubicSpline_YC_Optim!$AN$39</definedName>
    <definedName name="d_3" localSheetId="40">CubicSpline_YC_Optim_Penalized!$AN$39</definedName>
    <definedName name="d_3">#REF!</definedName>
    <definedName name="d_30" localSheetId="38">CubicSpline_YC!$AN$59</definedName>
    <definedName name="d_30" localSheetId="39">CubicSpline_YC_Optim!$AN$59</definedName>
    <definedName name="d_30" localSheetId="40">CubicSpline_YC_Optim_Penalized!$AN$59</definedName>
    <definedName name="d_30">#REF!</definedName>
    <definedName name="d_4" localSheetId="38">CubicSpline_YC!$AN$43</definedName>
    <definedName name="d_4" localSheetId="39">CubicSpline_YC_Optim!$AN$43</definedName>
    <definedName name="d_4" localSheetId="40">CubicSpline_YC_Optim_Penalized!$AN$43</definedName>
    <definedName name="d_4">#REF!</definedName>
    <definedName name="d_5" localSheetId="38">CubicSpline_YC!$AN$47</definedName>
    <definedName name="d_5" localSheetId="39">CubicSpline_YC_Optim!$AN$47</definedName>
    <definedName name="d_5" localSheetId="40">CubicSpline_YC_Optim_Penalized!$AN$47</definedName>
    <definedName name="d_5">#REF!</definedName>
    <definedName name="d_7" localSheetId="38">CubicSpline_YC!$AN$51</definedName>
    <definedName name="d_7" localSheetId="39">CubicSpline_YC_Optim!$AN$51</definedName>
    <definedName name="d_7" localSheetId="40">CubicSpline_YC_Optim_Penalized!$AN$51</definedName>
    <definedName name="d_7">#REF!</definedName>
    <definedName name="d1_" localSheetId="38">CubicSpline_YC!$T$31</definedName>
    <definedName name="d1_" localSheetId="39">CubicSpline_YC_Optim!$T$31</definedName>
    <definedName name="d1_" localSheetId="40">CubicSpline_YC_Optim_Penalized!$T$31</definedName>
    <definedName name="d1_">CubicSpline3!$T$28</definedName>
    <definedName name="d2_" localSheetId="38">CubicSpline_YC!$T$35</definedName>
    <definedName name="d2_" localSheetId="39">CubicSpline_YC_Optim!$T$35</definedName>
    <definedName name="d2_" localSheetId="40">CubicSpline_YC_Optim_Penalized!$T$35</definedName>
    <definedName name="d2_">CubicSpline3!$T$32</definedName>
    <definedName name="d3_" localSheetId="38">CubicSpline_YC!$T$39</definedName>
    <definedName name="d3_" localSheetId="39">CubicSpline_YC_Optim!$T$39</definedName>
    <definedName name="d3_" localSheetId="40">CubicSpline_YC_Optim_Penalized!$T$39</definedName>
    <definedName name="d3_">CubicSpline3!$T$36</definedName>
    <definedName name="data">#REF!</definedName>
    <definedName name="df">#REF!</definedName>
    <definedName name="displ">#REF!</definedName>
    <definedName name="displ_Permute">#REF!</definedName>
    <definedName name="displ_RandPermute">#REF!</definedName>
    <definedName name="dmat" localSheetId="38">CubicSpline_YC!$F$65:$AK$96</definedName>
    <definedName name="dmat" localSheetId="39">CubicSpline_YC_Optim!$F$65:$AK$96</definedName>
    <definedName name="dmat" localSheetId="40">CubicSpline_YC_Optim_Penalized!$F$65:$AK$96</definedName>
    <definedName name="dmat">#REF!</definedName>
    <definedName name="dollar_rate">[12]FX_Intro!$C$67</definedName>
    <definedName name="drv">#REF!</definedName>
    <definedName name="e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#REF!</definedName>
    <definedName name="Flowers">BasketAnalysis!$E$4:$E$8</definedName>
    <definedName name="forward_rate">[12]FX_Intro!$C$68</definedName>
    <definedName name="Frequency" localSheetId="2">#REF!</definedName>
    <definedName name="Frequency" localSheetId="78">#REF!</definedName>
    <definedName name="Frequency" localSheetId="65">#REF!</definedName>
    <definedName name="Frequency">#REF!</definedName>
    <definedName name="g_x">[3]ProductRule!$C$13</definedName>
    <definedName name="g_x_h">[3]ProductRule!$D$20</definedName>
    <definedName name="Get_Well_Card">BasketAnalysis!$F$4:$F$8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#REF!</definedName>
    <definedName name="hwy_Permute">#REF!</definedName>
    <definedName name="hwy_RandPermute">#REF!</definedName>
    <definedName name="i" localSheetId="38">CubicSpline_YC!$C$100:$C$400</definedName>
    <definedName name="i" localSheetId="39">CubicSpline_YC_Optim!$C$100:$C$400</definedName>
    <definedName name="i" localSheetId="40">CubicSpline_YC_Optim_Penalized!$C$100:$C$400</definedName>
    <definedName name="i">CubicSpline3!$AA$8:$AA$38</definedName>
    <definedName name="i_1" localSheetId="40">CubicSpline_YC_Optim_Penalized!$B$100:$B$400</definedName>
    <definedName name="i_1">CubicSpline_YC_Optim!$B$100:$B$400</definedName>
    <definedName name="idx" localSheetId="2">#REF!</definedName>
    <definedName name="idx" localSheetId="78">#REF!</definedName>
    <definedName name="idx" localSheetId="65">#REF!</definedName>
    <definedName name="idx">#REF!</definedName>
    <definedName name="Inflator">[1]RSquareAdj!$C$10</definedName>
    <definedName name="k" localSheetId="2">[15]KNN_Vote!$AA$3</definedName>
    <definedName name="k" localSheetId="78">[15]KNN_Vote!$AA$3</definedName>
    <definedName name="k" localSheetId="65">[15]KNN_Vote!$AA$3</definedName>
    <definedName name="k">#REF!</definedName>
    <definedName name="L">#REF!</definedName>
    <definedName name="label" localSheetId="38">CubicSpline_YC!$B$28:$B$59</definedName>
    <definedName name="label" localSheetId="39">CubicSpline_YC_Optim!$B$28:$B$59</definedName>
    <definedName name="label" localSheetId="40">CubicSpline_YC_Optim_Penalized!$B$28:$B$59</definedName>
    <definedName name="label" localSheetId="37">CubicSpline3!$B$25:$B$36</definedName>
    <definedName name="label">#REF!</definedName>
    <definedName name="LL">#REF!</definedName>
    <definedName name="LN_Sim" localSheetId="2">#REF!</definedName>
    <definedName name="LN_Sim" localSheetId="78">#REF!</definedName>
    <definedName name="LN_Sim" localSheetId="65">#REF!</definedName>
    <definedName name="LN_Sim">#REF!</definedName>
    <definedName name="loss" localSheetId="2">#REF!</definedName>
    <definedName name="loss" localSheetId="78">#REF!</definedName>
    <definedName name="loss" localSheetId="65">#REF!</definedName>
    <definedName name="loss">#REF!</definedName>
    <definedName name="loss_30" localSheetId="2">#REF!</definedName>
    <definedName name="loss_30" localSheetId="78">#REF!</definedName>
    <definedName name="loss_30" localSheetId="65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#REF!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#REF!</definedName>
    <definedName name="mu">[14]Calcs_Mean2!$O$23</definedName>
    <definedName name="MyBank">[16]Cor_N_Cov!$G$14:$G$35</definedName>
    <definedName name="MyBankDeposits">[16]Cor_N_Cov!$D$14:$D$35</definedName>
    <definedName name="MyFriendsBank">[16]Cor_N_Cov!$H$14:$H$35</definedName>
    <definedName name="MyFriendsDeposits">[16]Cor_N_Cov!$E$14:$E$35</definedName>
    <definedName name="n">[2]Binomial!$C$12</definedName>
    <definedName name="n_" localSheetId="2">#REF!</definedName>
    <definedName name="n_" localSheetId="78">#REF!</definedName>
    <definedName name="n_" localSheetId="65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2">[15]DurbinWatson!$B$3</definedName>
    <definedName name="p" localSheetId="78">[15]DurbinWatson!$B$3</definedName>
    <definedName name="p" localSheetId="65">[15]DurbinWatson!$B$3</definedName>
    <definedName name="p">#REF!</definedName>
    <definedName name="PD">[4]CDS!$C$21:$C$25</definedName>
    <definedName name="PDF">[14]Calcs_Mean2!$K$10:$K$30</definedName>
    <definedName name="Period" localSheetId="2">#REF!</definedName>
    <definedName name="Period" localSheetId="78">#REF!</definedName>
    <definedName name="Period" localSheetId="65">#REF!</definedName>
    <definedName name="Period">#REF!</definedName>
    <definedName name="peso_rate">[12]FX_Intro!$C$66</definedName>
    <definedName name="Pij" localSheetId="2">#REF!</definedName>
    <definedName name="Pij" localSheetId="78">#REF!</definedName>
    <definedName name="Pij" localSheetId="65">#REF!</definedName>
    <definedName name="Pij">#REF!</definedName>
    <definedName name="pmt" localSheetId="2">#REF!</definedName>
    <definedName name="pmt" localSheetId="78">#REF!</definedName>
    <definedName name="pmt" localSheetId="65">#REF!</definedName>
    <definedName name="pmt">#REF!</definedName>
    <definedName name="pmt_" localSheetId="2">#REF!</definedName>
    <definedName name="pmt_" localSheetId="78">#REF!</definedName>
    <definedName name="pmt_" localSheetId="65">#REF!</definedName>
    <definedName name="pmt_">#REF!</definedName>
    <definedName name="pmtperyear">[17]Bond!$C$6</definedName>
    <definedName name="pmts">[17]Bond!$E$12:$E$25</definedName>
    <definedName name="price1" localSheetId="2">#REF!</definedName>
    <definedName name="price1" localSheetId="78">#REF!</definedName>
    <definedName name="price1" localSheetId="65">#REF!</definedName>
    <definedName name="price1">#REF!</definedName>
    <definedName name="price2" localSheetId="2">#REF!</definedName>
    <definedName name="price2" localSheetId="78">#REF!</definedName>
    <definedName name="price2" localSheetId="65">#REF!</definedName>
    <definedName name="price2">#REF!</definedName>
    <definedName name="price3" localSheetId="2">#REF!</definedName>
    <definedName name="price3" localSheetId="78">#REF!</definedName>
    <definedName name="price3" localSheetId="65">#REF!</definedName>
    <definedName name="price3">#REF!</definedName>
    <definedName name="price4">#REF!</definedName>
    <definedName name="price5">#REF!</definedName>
    <definedName name="Probability1">[16]Copula3!$E$13:$E$62</definedName>
    <definedName name="Probability2">[16]Copula3!$F$13:$F$62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[17]Dur2!$G$12:$G$25</definedName>
    <definedName name="PVA">[17]InstallmentLoan!$F$3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[18]CreditMatrix!$D$10:$D$109</definedName>
    <definedName name="RatingNow">[18]CreditMatrix!$E$10:$E$109</definedName>
    <definedName name="ratingsTbl">[18]CreditMatrix!$B$2:$C$7</definedName>
    <definedName name="Ratio">[14]Calcs_VarianceDiff!$E$17</definedName>
    <definedName name="Recovery">[4]Spread2PD!$D$40:$D$44</definedName>
    <definedName name="risk1" localSheetId="2">#REF!</definedName>
    <definedName name="risk1" localSheetId="78">#REF!</definedName>
    <definedName name="risk1" localSheetId="65">#REF!</definedName>
    <definedName name="risk1">#REF!</definedName>
    <definedName name="risk2" localSheetId="2">#REF!</definedName>
    <definedName name="risk2" localSheetId="78">#REF!</definedName>
    <definedName name="risk2" localSheetId="65">#REF!</definedName>
    <definedName name="risk2">#REF!</definedName>
    <definedName name="risk3" localSheetId="2">#REF!</definedName>
    <definedName name="risk3" localSheetId="78">#REF!</definedName>
    <definedName name="risk3" localSheetId="65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lad">#REF!</definedName>
    <definedName name="SampleVar1">[14]Calcs_VarianceDiff!$E$13</definedName>
    <definedName name="SampleVar2">[14]Calcs_VarianceDiff!$E$14</definedName>
    <definedName name="SD" localSheetId="2">#REF!</definedName>
    <definedName name="SD" localSheetId="78">#REF!</definedName>
    <definedName name="SD" localSheetId="65">#REF!</definedName>
    <definedName name="SD">#REF!</definedName>
    <definedName name="sd_x">[1]MaximumLikelihood!$C$3</definedName>
    <definedName name="SD_xbar">[14]Calcs_Mean2!$O$28</definedName>
    <definedName name="SE0" localSheetId="2">#REF!</definedName>
    <definedName name="SE0" localSheetId="78">#REF!</definedName>
    <definedName name="SE0" localSheetId="65">#REF!</definedName>
    <definedName name="SE0">#REF!</definedName>
    <definedName name="SE1_" localSheetId="2">#REF!</definedName>
    <definedName name="SE1_" localSheetId="78">#REF!</definedName>
    <definedName name="SE1_" localSheetId="65">#REF!</definedName>
    <definedName name="SE1_">#REF!</definedName>
    <definedName name="SE2_" localSheetId="2">#REF!</definedName>
    <definedName name="SE2_" localSheetId="78">#REF!</definedName>
    <definedName name="SE2_" localSheetId="65">#REF!</definedName>
    <definedName name="SE2_">#REF!</definedName>
    <definedName name="Shares">[11]VaR3!$D$6:$H$6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oda">BasketAnalysis!$G$4:$G$8</definedName>
    <definedName name="solver_adj" localSheetId="39" hidden="1">CubicSpline_YC_Optim!$AN$28:$AN$59</definedName>
    <definedName name="solver_adj" localSheetId="40" hidden="1">CubicSpline_YC_Optim_Penalized!$AN$28:$AN$59</definedName>
    <definedName name="solver_adj" localSheetId="8" hidden="1">Iris_Fit!$H$4:$H$8</definedName>
    <definedName name="solver_adj" localSheetId="9" hidden="1">Iris_Forecast_OOS!$H$4:$H$8</definedName>
    <definedName name="solver_cvg" localSheetId="39" hidden="1">0.0001</definedName>
    <definedName name="solver_cvg" localSheetId="40" hidden="1">0.0001</definedName>
    <definedName name="solver_cvg" localSheetId="8" hidden="1">0.0001</definedName>
    <definedName name="solver_cvg" localSheetId="9" hidden="1">0.0001</definedName>
    <definedName name="solver_drv" localSheetId="39" hidden="1">1</definedName>
    <definedName name="solver_drv" localSheetId="40" hidden="1">1</definedName>
    <definedName name="solver_drv" localSheetId="8" hidden="1">1</definedName>
    <definedName name="solver_drv" localSheetId="9" hidden="1">1</definedName>
    <definedName name="solver_eng" localSheetId="39" hidden="1">1</definedName>
    <definedName name="solver_eng" localSheetId="40" hidden="1">1</definedName>
    <definedName name="solver_eng" localSheetId="8" hidden="1">1</definedName>
    <definedName name="solver_eng" localSheetId="9" hidden="1">1</definedName>
    <definedName name="solver_itr" localSheetId="39" hidden="1">2147483647</definedName>
    <definedName name="solver_itr" localSheetId="40" hidden="1">2147483647</definedName>
    <definedName name="solver_itr" localSheetId="8" hidden="1">2147483647</definedName>
    <definedName name="solver_itr" localSheetId="9" hidden="1">2147483647</definedName>
    <definedName name="solver_lin" localSheetId="39" hidden="1">2</definedName>
    <definedName name="solver_lin" localSheetId="40" hidden="1">2</definedName>
    <definedName name="solver_lin" localSheetId="8" hidden="1">2</definedName>
    <definedName name="solver_lin" localSheetId="9" hidden="1">2</definedName>
    <definedName name="solver_mip" localSheetId="39" hidden="1">2147483647</definedName>
    <definedName name="solver_mip" localSheetId="40" hidden="1">2147483647</definedName>
    <definedName name="solver_mip" localSheetId="8" hidden="1">2147483647</definedName>
    <definedName name="solver_mip" localSheetId="9" hidden="1">2147483647</definedName>
    <definedName name="solver_mni" localSheetId="39" hidden="1">30</definedName>
    <definedName name="solver_mni" localSheetId="40" hidden="1">30</definedName>
    <definedName name="solver_mni" localSheetId="8" hidden="1">30</definedName>
    <definedName name="solver_mni" localSheetId="9" hidden="1">30</definedName>
    <definedName name="solver_mrt" localSheetId="39" hidden="1">0.075</definedName>
    <definedName name="solver_mrt" localSheetId="40" hidden="1">0.075</definedName>
    <definedName name="solver_mrt" localSheetId="8" hidden="1">0.075</definedName>
    <definedName name="solver_mrt" localSheetId="9" hidden="1">0.075</definedName>
    <definedName name="solver_msl" localSheetId="39" hidden="1">2</definedName>
    <definedName name="solver_msl" localSheetId="40" hidden="1">2</definedName>
    <definedName name="solver_msl" localSheetId="8" hidden="1">2</definedName>
    <definedName name="solver_msl" localSheetId="9" hidden="1">2</definedName>
    <definedName name="solver_neg" localSheetId="39" hidden="1">2</definedName>
    <definedName name="solver_neg" localSheetId="40" hidden="1">2</definedName>
    <definedName name="solver_neg" localSheetId="8" hidden="1">1</definedName>
    <definedName name="solver_neg" localSheetId="9" hidden="1">1</definedName>
    <definedName name="solver_nod" localSheetId="39" hidden="1">2147483647</definedName>
    <definedName name="solver_nod" localSheetId="40" hidden="1">2147483647</definedName>
    <definedName name="solver_nod" localSheetId="8" hidden="1">2147483647</definedName>
    <definedName name="solver_nod" localSheetId="9" hidden="1">2147483647</definedName>
    <definedName name="solver_num" localSheetId="39" hidden="1">0</definedName>
    <definedName name="solver_num" localSheetId="40" hidden="1">0</definedName>
    <definedName name="solver_num" localSheetId="8" hidden="1">0</definedName>
    <definedName name="solver_num" localSheetId="9" hidden="1">0</definedName>
    <definedName name="solver_opt" localSheetId="39" hidden="1">CubicSpline_YC_Optim!$O$101</definedName>
    <definedName name="solver_opt" localSheetId="40" hidden="1">CubicSpline_YC_Optim_Penalized!$AF$101</definedName>
    <definedName name="solver_opt" localSheetId="8" hidden="1">Iris_Fit!$K$4</definedName>
    <definedName name="solver_opt" localSheetId="9" hidden="1">Iris_Forecast_OOS!$K$4</definedName>
    <definedName name="solver_pre" localSheetId="39" hidden="1">0.000001</definedName>
    <definedName name="solver_pre" localSheetId="40" hidden="1">0.000001</definedName>
    <definedName name="solver_pre" localSheetId="8" hidden="1">0.000001</definedName>
    <definedName name="solver_pre" localSheetId="9" hidden="1">0.000001</definedName>
    <definedName name="solver_rbv" localSheetId="39" hidden="1">1</definedName>
    <definedName name="solver_rbv" localSheetId="40" hidden="1">1</definedName>
    <definedName name="solver_rbv" localSheetId="8" hidden="1">1</definedName>
    <definedName name="solver_rbv" localSheetId="9" hidden="1">1</definedName>
    <definedName name="solver_rlx" localSheetId="39" hidden="1">1</definedName>
    <definedName name="solver_rlx" localSheetId="40" hidden="1">1</definedName>
    <definedName name="solver_rlx" localSheetId="8" hidden="1">2</definedName>
    <definedName name="solver_rlx" localSheetId="9" hidden="1">2</definedName>
    <definedName name="solver_rsd" localSheetId="39" hidden="1">0</definedName>
    <definedName name="solver_rsd" localSheetId="40" hidden="1">0</definedName>
    <definedName name="solver_rsd" localSheetId="8" hidden="1">0</definedName>
    <definedName name="solver_rsd" localSheetId="9" hidden="1">0</definedName>
    <definedName name="solver_scl" localSheetId="39" hidden="1">2</definedName>
    <definedName name="solver_scl" localSheetId="40" hidden="1">2</definedName>
    <definedName name="solver_scl" localSheetId="8" hidden="1">1</definedName>
    <definedName name="solver_scl" localSheetId="9" hidden="1">1</definedName>
    <definedName name="solver_sho" localSheetId="39" hidden="1">2</definedName>
    <definedName name="solver_sho" localSheetId="40" hidden="1">2</definedName>
    <definedName name="solver_sho" localSheetId="8" hidden="1">2</definedName>
    <definedName name="solver_sho" localSheetId="9" hidden="1">2</definedName>
    <definedName name="solver_ssz" localSheetId="39" hidden="1">100</definedName>
    <definedName name="solver_ssz" localSheetId="40" hidden="1">100</definedName>
    <definedName name="solver_ssz" localSheetId="8" hidden="1">100</definedName>
    <definedName name="solver_ssz" localSheetId="9" hidden="1">100</definedName>
    <definedName name="solver_tim" localSheetId="39" hidden="1">2147483647</definedName>
    <definedName name="solver_tim" localSheetId="40" hidden="1">2147483647</definedName>
    <definedName name="solver_tim" localSheetId="8" hidden="1">2147483647</definedName>
    <definedName name="solver_tim" localSheetId="9" hidden="1">2147483647</definedName>
    <definedName name="solver_tol" localSheetId="39" hidden="1">0.01</definedName>
    <definedName name="solver_tol" localSheetId="40" hidden="1">0.01</definedName>
    <definedName name="solver_tol" localSheetId="8" hidden="1">0.01</definedName>
    <definedName name="solver_tol" localSheetId="9" hidden="1">0.01</definedName>
    <definedName name="solver_typ" localSheetId="39" hidden="1">2</definedName>
    <definedName name="solver_typ" localSheetId="40" hidden="1">2</definedName>
    <definedName name="solver_typ" localSheetId="8" hidden="1">1</definedName>
    <definedName name="solver_typ" localSheetId="9" hidden="1">1</definedName>
    <definedName name="solver_val" localSheetId="39" hidden="1">0</definedName>
    <definedName name="solver_val" localSheetId="40" hidden="1">0</definedName>
    <definedName name="solver_val" localSheetId="8" hidden="1">0</definedName>
    <definedName name="solver_val" localSheetId="9" hidden="1">0</definedName>
    <definedName name="solver_ver" localSheetId="39" hidden="1">2</definedName>
    <definedName name="solver_ver" localSheetId="40" hidden="1">2</definedName>
    <definedName name="solver_ver" localSheetId="8" hidden="1">2</definedName>
    <definedName name="solver_ver" localSheetId="9" hidden="1">2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2">#REF!</definedName>
    <definedName name="stdev" localSheetId="78">#REF!</definedName>
    <definedName name="stdev" localSheetId="65">#REF!</definedName>
    <definedName name="stdev">#REF!</definedName>
    <definedName name="Stuffed_Animal">BasketAnalysis!$H$4:$H$8</definedName>
    <definedName name="Sum">[13]CentralLimitTheorem!$C$7:$C$106</definedName>
    <definedName name="SupportThreshold">#REF!</definedName>
    <definedName name="t" localSheetId="38">CubicSpline_YC!$D$100:$D$400</definedName>
    <definedName name="t" localSheetId="39">CubicSpline_YC_Optim!$D$100:$D$400</definedName>
    <definedName name="t" localSheetId="40">CubicSpline_YC_Optim_Penalized!$D$100:$D$400</definedName>
    <definedName name="t" localSheetId="2">#REF!</definedName>
    <definedName name="t" localSheetId="78">#REF!</definedName>
    <definedName name="t" localSheetId="65">#REF!</definedName>
    <definedName name="t">CubicSpline3!$AB$8:$AB$38</definedName>
    <definedName name="t_">[4]CDS!$B$21:$B$25</definedName>
    <definedName name="table_asf">[19]ASF!$C$31:$D$34</definedName>
    <definedName name="time" localSheetId="38">CubicSpline_YC!$D$28:$D$59</definedName>
    <definedName name="time" localSheetId="39">CubicSpline_YC_Optim!$D$28:$D$59</definedName>
    <definedName name="time" localSheetId="40">CubicSpline_YC_Optim_Penalized!$D$28:$D$59</definedName>
    <definedName name="time" localSheetId="36">CubicSpline2!$D$25:$D$36</definedName>
    <definedName name="time" localSheetId="37">CubicSpline3!$D$25:$D$36</definedName>
    <definedName name="Time" localSheetId="2">#REF!</definedName>
    <definedName name="Time" localSheetId="78">#REF!</definedName>
    <definedName name="Time" localSheetId="65">#REF!</definedName>
    <definedName name="time">CubicSpline1!$D$24:$D$27</definedName>
    <definedName name="Time_" localSheetId="38">CubicSpline_YC!$F$37:$F$66</definedName>
    <definedName name="Time_" localSheetId="39">CubicSpline_YC_Optim!$F$37:$F$66</definedName>
    <definedName name="Time_" localSheetId="40">CubicSpline_YC_Optim_Penalized!$F$37:$F$66</definedName>
    <definedName name="Time_">[4]Spread2PD!$B$40:$B$44</definedName>
    <definedName name="tmat">[4]ExporeInf!$C$3:$H$8</definedName>
    <definedName name="tmat12" localSheetId="2">#REF!</definedName>
    <definedName name="tmat12" localSheetId="78">#REF!</definedName>
    <definedName name="tmat12" localSheetId="65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#REF!</definedName>
    <definedName name="TSS">[1]RSquareAdj!#REF!</definedName>
    <definedName name="u">[9]MatrixMult_Credit!#REF!</definedName>
    <definedName name="usd_peso">[12]FX_Intro!$C$65</definedName>
    <definedName name="v">'[20]2_PMT'!$C$13</definedName>
    <definedName name="value" localSheetId="38">CubicSpline_YC!$C$28:$C$59</definedName>
    <definedName name="value" localSheetId="39">CubicSpline_YC_Optim!$C$28:$C$59</definedName>
    <definedName name="value" localSheetId="40">CubicSpline_YC_Optim_Penalized!$C$28:$C$59</definedName>
    <definedName name="value" localSheetId="37">CubicSpline3!$C$25:$C$36</definedName>
    <definedName name="Value">[11]VaR3!$D$50:$H$50</definedName>
    <definedName name="value_01">[17]Dur2!$I$12</definedName>
    <definedName name="value_lo" localSheetId="2">#REF!</definedName>
    <definedName name="value_lo" localSheetId="78">#REF!</definedName>
    <definedName name="value_lo" localSheetId="65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[18]CreditMatrix_Weighted!$F$10:$F$109</definedName>
    <definedName name="weights">[11]VaR3!$C$55:$C$59</definedName>
    <definedName name="Withdrawl">[21]InvestmentReturns!$B$12</definedName>
    <definedName name="X">[2]NextClass1_MeanVar!$C$30:$C$129</definedName>
    <definedName name="x_draw">#REF!</definedName>
    <definedName name="X_e_rt">[7]OptionsHW!$C$18:$E$18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[17]Bond!$C$8</definedName>
    <definedName name="y_draw" localSheetId="2">#REF!</definedName>
    <definedName name="y_draw" localSheetId="78">#REF!</definedName>
    <definedName name="y_draw" localSheetId="65">#REF!</definedName>
    <definedName name="y_draw">#REF!</definedName>
    <definedName name="ybar" localSheetId="2">#REF!</definedName>
    <definedName name="ybar" localSheetId="78">#REF!</definedName>
    <definedName name="ybar" localSheetId="65">#REF!</definedName>
    <definedName name="ybar">#REF!</definedName>
    <definedName name="year">#REF!</definedName>
    <definedName name="year_Permute">#REF!</definedName>
    <definedName name="year_RandPermute">#REF!</definedName>
    <definedName name="years">[17]Bond!$C$7</definedName>
    <definedName name="yhat" localSheetId="2">#REF!</definedName>
    <definedName name="yhat" localSheetId="78">#REF!</definedName>
    <definedName name="yhat" localSheetId="65">#REF!</definedName>
    <definedName name="yhat">#REF!</definedName>
    <definedName name="YieldSims">#REF!</definedName>
    <definedName name="ytm">[10]qFunctions!$C$7</definedName>
    <definedName name="YTM_rf">#REF!</definedName>
    <definedName name="σ">#REF!</definedName>
  </definedNames>
  <calcPr calcId="191029" calcMode="autoNoTable" iterateDelta="9.999999999999445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3" i="220" l="1"/>
  <c r="P13" i="220"/>
  <c r="O13" i="220"/>
  <c r="N13" i="220"/>
  <c r="A14" i="220"/>
  <c r="A13" i="220"/>
  <c r="D2" i="220" a="1"/>
  <c r="G14" i="220" s="1"/>
  <c r="C4" i="216" a="1"/>
  <c r="E23" i="216" s="1"/>
  <c r="C4" i="219" a="1"/>
  <c r="C4" i="219" s="1"/>
  <c r="E4" i="219"/>
  <c r="C5" i="219"/>
  <c r="D5" i="219"/>
  <c r="E5" i="219"/>
  <c r="D6" i="219"/>
  <c r="D7" i="219"/>
  <c r="E7" i="219"/>
  <c r="C8" i="219"/>
  <c r="D8" i="219"/>
  <c r="C9" i="219"/>
  <c r="C10" i="219"/>
  <c r="D10" i="219"/>
  <c r="E10" i="219"/>
  <c r="C11" i="219"/>
  <c r="E11" i="219"/>
  <c r="E12" i="219"/>
  <c r="C13" i="219"/>
  <c r="D13" i="219"/>
  <c r="E13" i="219"/>
  <c r="D14" i="219"/>
  <c r="D15" i="219"/>
  <c r="E15" i="219"/>
  <c r="C16" i="219"/>
  <c r="D16" i="219"/>
  <c r="C17" i="219"/>
  <c r="C18" i="219"/>
  <c r="D18" i="219"/>
  <c r="E18" i="219"/>
  <c r="C19" i="219"/>
  <c r="E19" i="219"/>
  <c r="E20" i="219"/>
  <c r="C21" i="219"/>
  <c r="D21" i="219"/>
  <c r="E21" i="219"/>
  <c r="D22" i="219"/>
  <c r="D23" i="219"/>
  <c r="E23" i="219"/>
  <c r="A14" i="217"/>
  <c r="A13" i="217"/>
  <c r="A14" i="166"/>
  <c r="A13" i="166"/>
  <c r="I15" i="175"/>
  <c r="D12" i="166"/>
  <c r="N15" i="181"/>
  <c r="N14" i="181"/>
  <c r="N13" i="181"/>
  <c r="P13" i="181" s="1"/>
  <c r="P15" i="181"/>
  <c r="N12" i="181"/>
  <c r="P14" i="181"/>
  <c r="P12" i="181"/>
  <c r="P8" i="181"/>
  <c r="P7" i="181"/>
  <c r="P6" i="181"/>
  <c r="P5" i="181"/>
  <c r="J9" i="205"/>
  <c r="I9" i="205"/>
  <c r="H9" i="205"/>
  <c r="G9" i="205"/>
  <c r="F9" i="205"/>
  <c r="E9" i="205"/>
  <c r="B23" i="205" s="1" a="1"/>
  <c r="B23" i="205" s="1"/>
  <c r="C3" i="197"/>
  <c r="D3" i="197" s="1"/>
  <c r="C4" i="197"/>
  <c r="C5" i="197"/>
  <c r="D5" i="197" s="1"/>
  <c r="E5" i="197" s="1"/>
  <c r="C6" i="197"/>
  <c r="D6" i="197" s="1"/>
  <c r="E6" i="197" s="1"/>
  <c r="C7" i="197"/>
  <c r="D7" i="197" s="1"/>
  <c r="C8" i="197"/>
  <c r="C9" i="197"/>
  <c r="D9" i="197" s="1"/>
  <c r="E9" i="197" s="1"/>
  <c r="C10" i="197"/>
  <c r="C11" i="197"/>
  <c r="D11" i="197" s="1"/>
  <c r="C12" i="197"/>
  <c r="C13" i="197"/>
  <c r="D13" i="197" s="1"/>
  <c r="E13" i="197" s="1"/>
  <c r="C14" i="197"/>
  <c r="D14" i="197" s="1"/>
  <c r="C15" i="197"/>
  <c r="D15" i="197" s="1"/>
  <c r="C16" i="197"/>
  <c r="C17" i="197"/>
  <c r="D17" i="197" s="1"/>
  <c r="E17" i="197" s="1"/>
  <c r="C18" i="197"/>
  <c r="D18" i="197" s="1"/>
  <c r="C19" i="197"/>
  <c r="D19" i="197" s="1"/>
  <c r="C20" i="197"/>
  <c r="C21" i="197"/>
  <c r="D21" i="197" s="1"/>
  <c r="E21" i="197" s="1"/>
  <c r="C22" i="197"/>
  <c r="D22" i="197" s="1"/>
  <c r="E22" i="197" s="1"/>
  <c r="C23" i="197"/>
  <c r="D23" i="197" s="1"/>
  <c r="C24" i="197"/>
  <c r="B3" i="196"/>
  <c r="C3" i="196" s="1"/>
  <c r="B4" i="196"/>
  <c r="C4" i="196" s="1"/>
  <c r="B5" i="196"/>
  <c r="B6" i="196"/>
  <c r="C6" i="196" s="1"/>
  <c r="B7" i="196"/>
  <c r="C7" i="196" s="1"/>
  <c r="B8" i="196"/>
  <c r="C8" i="196" s="1"/>
  <c r="B9" i="196"/>
  <c r="B10" i="196"/>
  <c r="C10" i="196" s="1"/>
  <c r="B11" i="196"/>
  <c r="C11" i="196" s="1"/>
  <c r="E11" i="196" s="1"/>
  <c r="B12" i="196"/>
  <c r="C12" i="196" s="1"/>
  <c r="B13" i="196"/>
  <c r="B14" i="196"/>
  <c r="C14" i="196" s="1"/>
  <c r="B15" i="196"/>
  <c r="B16" i="196"/>
  <c r="C16" i="196" s="1"/>
  <c r="B17" i="196"/>
  <c r="B18" i="196"/>
  <c r="C18" i="196" s="1"/>
  <c r="B19" i="196"/>
  <c r="C19" i="196" s="1"/>
  <c r="B20" i="196"/>
  <c r="C20" i="196" s="1"/>
  <c r="B21" i="196"/>
  <c r="B22" i="196"/>
  <c r="C22" i="196" s="1"/>
  <c r="B23" i="196"/>
  <c r="C23" i="196" s="1"/>
  <c r="E23" i="196" s="1"/>
  <c r="B24" i="196"/>
  <c r="C24" i="196" s="1"/>
  <c r="B3" i="195"/>
  <c r="C3" i="195" s="1"/>
  <c r="B4" i="195"/>
  <c r="C4" i="195" s="1"/>
  <c r="B5" i="195"/>
  <c r="C5" i="195" s="1"/>
  <c r="B6" i="195"/>
  <c r="C6" i="195" s="1"/>
  <c r="B7" i="195"/>
  <c r="C7" i="195" s="1"/>
  <c r="B8" i="195"/>
  <c r="C8" i="195" s="1"/>
  <c r="B9" i="195"/>
  <c r="C9" i="195" s="1"/>
  <c r="B10" i="195"/>
  <c r="C10" i="195" s="1"/>
  <c r="B11" i="195"/>
  <c r="C11" i="195" s="1"/>
  <c r="B12" i="195"/>
  <c r="C12" i="195" s="1"/>
  <c r="B13" i="195"/>
  <c r="C13" i="195" s="1"/>
  <c r="B14" i="195"/>
  <c r="C14" i="195" s="1"/>
  <c r="B15" i="195"/>
  <c r="C15" i="195" s="1"/>
  <c r="B16" i="195"/>
  <c r="C16" i="195" s="1"/>
  <c r="B17" i="195"/>
  <c r="C17" i="195" s="1"/>
  <c r="B18" i="195"/>
  <c r="C18" i="195" s="1"/>
  <c r="B19" i="195"/>
  <c r="C19" i="195" s="1"/>
  <c r="B20" i="195"/>
  <c r="C20" i="195" s="1"/>
  <c r="B21" i="195"/>
  <c r="C21" i="195" s="1"/>
  <c r="B22" i="195"/>
  <c r="C22" i="195" s="1"/>
  <c r="B23" i="195"/>
  <c r="C23" i="195" s="1"/>
  <c r="B24" i="195"/>
  <c r="C24" i="195" s="1"/>
  <c r="L4" i="192"/>
  <c r="B4" i="192" s="1"/>
  <c r="L5" i="192"/>
  <c r="B5" i="192" s="1"/>
  <c r="L6" i="192"/>
  <c r="B6" i="192" s="1"/>
  <c r="B7" i="192"/>
  <c r="L7" i="192"/>
  <c r="L8" i="192"/>
  <c r="B8" i="192" s="1"/>
  <c r="L9" i="192"/>
  <c r="B9" i="192" s="1"/>
  <c r="L10" i="192"/>
  <c r="B10" i="192" s="1"/>
  <c r="B11" i="192"/>
  <c r="L11" i="192"/>
  <c r="L12" i="192"/>
  <c r="B12" i="192" s="1"/>
  <c r="L13" i="192"/>
  <c r="B13" i="192" s="1"/>
  <c r="L14" i="192"/>
  <c r="B14" i="192" s="1"/>
  <c r="B15" i="192"/>
  <c r="L15" i="192"/>
  <c r="L16" i="192"/>
  <c r="B16" i="192" s="1"/>
  <c r="L17" i="192"/>
  <c r="B17" i="192" s="1"/>
  <c r="L18" i="192"/>
  <c r="B18" i="192" s="1"/>
  <c r="B19" i="192"/>
  <c r="L19" i="192"/>
  <c r="L20" i="192"/>
  <c r="B20" i="192" s="1"/>
  <c r="L21" i="192"/>
  <c r="B21" i="192" s="1"/>
  <c r="L22" i="192"/>
  <c r="B22" i="192" s="1"/>
  <c r="B23" i="192"/>
  <c r="L23" i="192"/>
  <c r="L24" i="192"/>
  <c r="B24" i="192" s="1"/>
  <c r="L25" i="192"/>
  <c r="B25" i="192" s="1"/>
  <c r="L26" i="192"/>
  <c r="B26" i="192" s="1"/>
  <c r="B27" i="192"/>
  <c r="L27" i="192"/>
  <c r="H18" i="205" a="1"/>
  <c r="E14" i="205" a="1"/>
  <c r="G13" i="205" a="1"/>
  <c r="H15" i="205" a="1"/>
  <c r="G15" i="205" a="1"/>
  <c r="E17" i="205" a="1"/>
  <c r="J16" i="205" a="1"/>
  <c r="I13" i="205" a="1"/>
  <c r="I14" i="205" a="1"/>
  <c r="H13" i="205" a="1"/>
  <c r="I17" i="205" a="1"/>
  <c r="E15" i="205" a="1"/>
  <c r="H14" i="205" a="1"/>
  <c r="I15" i="205" a="1"/>
  <c r="I18" i="205" a="1"/>
  <c r="J14" i="205" a="1"/>
  <c r="H16" i="205" a="1"/>
  <c r="I16" i="205" a="1"/>
  <c r="F15" i="205" a="1"/>
  <c r="F17" i="205" a="1"/>
  <c r="E13" i="205" a="1"/>
  <c r="E18" i="205" a="1"/>
  <c r="F13" i="205" a="1"/>
  <c r="G18" i="205" a="1"/>
  <c r="F16" i="205" a="1"/>
  <c r="F14" i="205" a="1"/>
  <c r="G14" i="205" a="1"/>
  <c r="G16" i="205" a="1"/>
  <c r="H17" i="205" a="1"/>
  <c r="J15" i="205" a="1"/>
  <c r="G17" i="205" a="1"/>
  <c r="J13" i="205" a="1"/>
  <c r="E16" i="205" a="1"/>
  <c r="J18" i="205" a="1"/>
  <c r="J17" i="205" a="1"/>
  <c r="F18" i="205" a="1"/>
  <c r="G13" i="220" l="1"/>
  <c r="J14" i="220"/>
  <c r="D2" i="220"/>
  <c r="D12" i="220" s="1"/>
  <c r="D17" i="220" s="1"/>
  <c r="N17" i="220" s="1"/>
  <c r="J15" i="220"/>
  <c r="J13" i="220"/>
  <c r="J12" i="220"/>
  <c r="J17" i="220" s="1"/>
  <c r="D15" i="220"/>
  <c r="D13" i="220"/>
  <c r="G15" i="220"/>
  <c r="D14" i="220"/>
  <c r="G12" i="220"/>
  <c r="G17" i="220" s="1"/>
  <c r="D8" i="216"/>
  <c r="C11" i="216"/>
  <c r="E21" i="216"/>
  <c r="D5" i="216"/>
  <c r="C8" i="216"/>
  <c r="E10" i="216"/>
  <c r="D13" i="216"/>
  <c r="C16" i="216"/>
  <c r="E18" i="216"/>
  <c r="D21" i="216"/>
  <c r="C6" i="216"/>
  <c r="E8" i="216"/>
  <c r="D11" i="216"/>
  <c r="C14" i="216"/>
  <c r="E16" i="216"/>
  <c r="D19" i="216"/>
  <c r="C22" i="216"/>
  <c r="D6" i="216"/>
  <c r="C9" i="216"/>
  <c r="E11" i="216"/>
  <c r="D14" i="216"/>
  <c r="C17" i="216"/>
  <c r="E19" i="216"/>
  <c r="D22" i="216"/>
  <c r="E22" i="216"/>
  <c r="E5" i="216"/>
  <c r="C19" i="216"/>
  <c r="C20" i="216"/>
  <c r="D4" i="216"/>
  <c r="D26" i="216" s="1"/>
  <c r="C7" i="216"/>
  <c r="E9" i="216"/>
  <c r="D12" i="216"/>
  <c r="C15" i="216"/>
  <c r="E17" i="216"/>
  <c r="D20" i="216"/>
  <c r="C23" i="216"/>
  <c r="D16" i="216"/>
  <c r="E14" i="216"/>
  <c r="E4" i="216"/>
  <c r="E26" i="216" s="1"/>
  <c r="D7" i="216"/>
  <c r="C10" i="216"/>
  <c r="E12" i="216"/>
  <c r="D15" i="216"/>
  <c r="C18" i="216"/>
  <c r="E20" i="216"/>
  <c r="D23" i="216"/>
  <c r="E13" i="216"/>
  <c r="C4" i="216"/>
  <c r="C26" i="216" s="1"/>
  <c r="E6" i="216"/>
  <c r="D9" i="216"/>
  <c r="C12" i="216"/>
  <c r="D17" i="216"/>
  <c r="C5" i="216"/>
  <c r="E7" i="216"/>
  <c r="D10" i="216"/>
  <c r="C13" i="216"/>
  <c r="E15" i="216"/>
  <c r="D18" i="216"/>
  <c r="C21" i="216"/>
  <c r="C22" i="219"/>
  <c r="D19" i="219"/>
  <c r="E16" i="219"/>
  <c r="C14" i="219"/>
  <c r="D11" i="219"/>
  <c r="E8" i="219"/>
  <c r="C6" i="219"/>
  <c r="C23" i="219"/>
  <c r="C26" i="219" s="1"/>
  <c r="D20" i="219"/>
  <c r="E17" i="219"/>
  <c r="C15" i="219"/>
  <c r="D12" i="219"/>
  <c r="E9" i="219"/>
  <c r="C7" i="219"/>
  <c r="D4" i="219"/>
  <c r="G4" i="219" s="1" a="1"/>
  <c r="G4" i="219" s="1"/>
  <c r="E22" i="219"/>
  <c r="C20" i="219"/>
  <c r="D17" i="219"/>
  <c r="E14" i="219"/>
  <c r="C12" i="219"/>
  <c r="D9" i="219"/>
  <c r="E6" i="219"/>
  <c r="E26" i="219" s="1"/>
  <c r="D26" i="219"/>
  <c r="E26" i="215"/>
  <c r="D26" i="215"/>
  <c r="C26" i="215"/>
  <c r="G4" i="215" a="1"/>
  <c r="G4" i="215" s="1"/>
  <c r="H13" i="205"/>
  <c r="H23" i="205" s="1"/>
  <c r="J14" i="205"/>
  <c r="J24" i="205" s="1"/>
  <c r="J16" i="205"/>
  <c r="J26" i="205" s="1"/>
  <c r="J18" i="205"/>
  <c r="J28" i="205" s="1"/>
  <c r="E13" i="205"/>
  <c r="E23" i="205" s="1"/>
  <c r="G14" i="205"/>
  <c r="G24" i="205" s="1"/>
  <c r="G16" i="205"/>
  <c r="G26" i="205" s="1"/>
  <c r="G18" i="205"/>
  <c r="G28" i="205" s="1"/>
  <c r="F13" i="205"/>
  <c r="F23" i="205" s="1"/>
  <c r="F15" i="205"/>
  <c r="F25" i="205" s="1"/>
  <c r="J17" i="205"/>
  <c r="J27" i="205" s="1"/>
  <c r="F14" i="205"/>
  <c r="F24" i="205" s="1"/>
  <c r="F16" i="205"/>
  <c r="F26" i="205" s="1"/>
  <c r="F18" i="205"/>
  <c r="F28" i="205" s="1"/>
  <c r="I13" i="205"/>
  <c r="I23" i="205" s="1"/>
  <c r="I15" i="205"/>
  <c r="I25" i="205" s="1"/>
  <c r="E17" i="205"/>
  <c r="E27" i="205" s="1"/>
  <c r="H14" i="205"/>
  <c r="H24" i="205" s="1"/>
  <c r="H16" i="205"/>
  <c r="H26" i="205" s="1"/>
  <c r="F17" i="205"/>
  <c r="F27" i="205" s="1"/>
  <c r="G13" i="205"/>
  <c r="G23" i="205" s="1"/>
  <c r="E14" i="205"/>
  <c r="E24" i="205" s="1"/>
  <c r="I14" i="205"/>
  <c r="I24" i="205" s="1"/>
  <c r="G15" i="205"/>
  <c r="G25" i="205" s="1"/>
  <c r="E16" i="205"/>
  <c r="E26" i="205" s="1"/>
  <c r="I16" i="205"/>
  <c r="I26" i="205" s="1"/>
  <c r="G17" i="205"/>
  <c r="G27" i="205" s="1"/>
  <c r="E18" i="205"/>
  <c r="E28" i="205" s="1"/>
  <c r="I18" i="205"/>
  <c r="I28" i="205" s="1"/>
  <c r="H15" i="205"/>
  <c r="H25" i="205" s="1"/>
  <c r="H17" i="205"/>
  <c r="H27" i="205" s="1"/>
  <c r="E15" i="205"/>
  <c r="E25" i="205" s="1"/>
  <c r="I17" i="205"/>
  <c r="I27" i="205" s="1"/>
  <c r="J13" i="205"/>
  <c r="J23" i="205" s="1"/>
  <c r="J15" i="205"/>
  <c r="J25" i="205" s="1"/>
  <c r="H18" i="205"/>
  <c r="H28" i="205" s="1"/>
  <c r="E3" i="196"/>
  <c r="E7" i="196"/>
  <c r="E19" i="196"/>
  <c r="E18" i="197"/>
  <c r="H18" i="197" s="1"/>
  <c r="E14" i="197"/>
  <c r="H14" i="197" s="1"/>
  <c r="C15" i="196"/>
  <c r="E15" i="196" s="1"/>
  <c r="G22" i="197"/>
  <c r="H13" i="197"/>
  <c r="I6" i="197"/>
  <c r="F23" i="196"/>
  <c r="F3" i="196"/>
  <c r="H5" i="197"/>
  <c r="I22" i="197"/>
  <c r="F11" i="196"/>
  <c r="H6" i="197"/>
  <c r="H9" i="197"/>
  <c r="F19" i="196"/>
  <c r="F7" i="196"/>
  <c r="C21" i="196"/>
  <c r="F21" i="196" s="1"/>
  <c r="C17" i="196"/>
  <c r="F17" i="196" s="1"/>
  <c r="C13" i="196"/>
  <c r="F13" i="196" s="1"/>
  <c r="C9" i="196"/>
  <c r="F9" i="196" s="1"/>
  <c r="C5" i="196"/>
  <c r="F5" i="196" s="1"/>
  <c r="H22" i="197"/>
  <c r="H17" i="197"/>
  <c r="D10" i="197"/>
  <c r="E10" i="197" s="1"/>
  <c r="G6" i="197"/>
  <c r="E20" i="196"/>
  <c r="F20" i="196"/>
  <c r="E8" i="196"/>
  <c r="F8" i="196"/>
  <c r="E22" i="196"/>
  <c r="F22" i="196"/>
  <c r="E18" i="196"/>
  <c r="F18" i="196"/>
  <c r="E14" i="196"/>
  <c r="F14" i="196"/>
  <c r="E10" i="196"/>
  <c r="F10" i="196"/>
  <c r="E6" i="196"/>
  <c r="F6" i="196"/>
  <c r="H21" i="197"/>
  <c r="E7" i="197"/>
  <c r="H7" i="197" s="1"/>
  <c r="E16" i="196"/>
  <c r="F16" i="196"/>
  <c r="E4" i="196"/>
  <c r="F4" i="196"/>
  <c r="E15" i="197"/>
  <c r="H15" i="197" s="1"/>
  <c r="E23" i="197"/>
  <c r="G23" i="197" s="1"/>
  <c r="E24" i="196"/>
  <c r="F24" i="196"/>
  <c r="E12" i="196"/>
  <c r="F12" i="196"/>
  <c r="E11" i="197"/>
  <c r="H11" i="197" s="1"/>
  <c r="E19" i="197"/>
  <c r="I19" i="197" s="1"/>
  <c r="E3" i="197"/>
  <c r="H3" i="197" s="1"/>
  <c r="D24" i="197"/>
  <c r="E24" i="197" s="1"/>
  <c r="G21" i="197"/>
  <c r="D20" i="197"/>
  <c r="E20" i="197" s="1"/>
  <c r="G17" i="197"/>
  <c r="D16" i="197"/>
  <c r="E16" i="197" s="1"/>
  <c r="G13" i="197"/>
  <c r="D12" i="197"/>
  <c r="E12" i="197" s="1"/>
  <c r="G9" i="197"/>
  <c r="D8" i="197"/>
  <c r="E8" i="197" s="1"/>
  <c r="G5" i="197"/>
  <c r="D4" i="197"/>
  <c r="E4" i="197" s="1"/>
  <c r="I21" i="197"/>
  <c r="I17" i="197"/>
  <c r="I13" i="197"/>
  <c r="I9" i="197"/>
  <c r="I5" i="197"/>
  <c r="G4" i="216" l="1" a="1"/>
  <c r="G4" i="216" s="1"/>
  <c r="K28" i="216" a="1"/>
  <c r="K28" i="216" s="1"/>
  <c r="O28" i="216" s="1" a="1"/>
  <c r="O28" i="216" s="1"/>
  <c r="K29" i="216" a="1"/>
  <c r="K29" i="216" s="1"/>
  <c r="O29" i="216" s="1" a="1"/>
  <c r="O29" i="216" s="1"/>
  <c r="K26" i="216" a="1"/>
  <c r="K26" i="216" s="1"/>
  <c r="O26" i="216" s="1" a="1"/>
  <c r="O26" i="216" s="1"/>
  <c r="K30" i="216" a="1"/>
  <c r="K30" i="216" s="1"/>
  <c r="O30" i="216" s="1" a="1"/>
  <c r="O30" i="216" s="1"/>
  <c r="K27" i="216" a="1"/>
  <c r="K27" i="216" s="1"/>
  <c r="O27" i="216" s="1" a="1"/>
  <c r="O27" i="216" s="1"/>
  <c r="K31" i="216" a="1"/>
  <c r="K31" i="216" s="1"/>
  <c r="O31" i="216" s="1" a="1"/>
  <c r="O31" i="216" s="1"/>
  <c r="K25" i="216" a="1"/>
  <c r="K25" i="216" s="1"/>
  <c r="O25" i="216" s="1" a="1"/>
  <c r="O25" i="216" s="1"/>
  <c r="K24" i="216" a="1"/>
  <c r="K24" i="216" s="1"/>
  <c r="O24" i="216" s="1" a="1"/>
  <c r="O24" i="216" s="1"/>
  <c r="G7" i="197"/>
  <c r="I7" i="197"/>
  <c r="G14" i="197"/>
  <c r="G18" i="197"/>
  <c r="G11" i="197"/>
  <c r="F15" i="196"/>
  <c r="I14" i="197"/>
  <c r="E5" i="196"/>
  <c r="I18" i="197"/>
  <c r="G15" i="197"/>
  <c r="I8" i="197"/>
  <c r="I12" i="197"/>
  <c r="H23" i="197"/>
  <c r="E9" i="196"/>
  <c r="G4" i="197"/>
  <c r="I10" i="197"/>
  <c r="I16" i="197"/>
  <c r="G10" i="197"/>
  <c r="H4" i="197"/>
  <c r="H10" i="197"/>
  <c r="E13" i="196"/>
  <c r="H20" i="197"/>
  <c r="E17" i="196"/>
  <c r="H24" i="197"/>
  <c r="I3" i="197"/>
  <c r="E21" i="196"/>
  <c r="I4" i="197"/>
  <c r="G3" i="197"/>
  <c r="G19" i="197"/>
  <c r="H19" i="197"/>
  <c r="G12" i="197"/>
  <c r="G8" i="197"/>
  <c r="I15" i="197"/>
  <c r="H8" i="197"/>
  <c r="G20" i="197"/>
  <c r="H12" i="197"/>
  <c r="I20" i="197"/>
  <c r="I11" i="197"/>
  <c r="I23" i="197"/>
  <c r="H16" i="197"/>
  <c r="I24" i="197"/>
  <c r="G24" i="197"/>
  <c r="G16" i="197"/>
  <c r="D2" i="217" l="1" a="1"/>
  <c r="M29" i="187"/>
  <c r="L29" i="187"/>
  <c r="K29" i="187"/>
  <c r="J29" i="187"/>
  <c r="I29" i="187"/>
  <c r="H29" i="187"/>
  <c r="M28" i="187"/>
  <c r="L28" i="187"/>
  <c r="K28" i="187"/>
  <c r="J28" i="187"/>
  <c r="I28" i="187"/>
  <c r="H28" i="187"/>
  <c r="M27" i="187"/>
  <c r="L27" i="187"/>
  <c r="K27" i="187"/>
  <c r="J27" i="187"/>
  <c r="I27" i="187"/>
  <c r="H27" i="187"/>
  <c r="M26" i="187"/>
  <c r="L26" i="187"/>
  <c r="K26" i="187"/>
  <c r="J26" i="187"/>
  <c r="I26" i="187"/>
  <c r="H26" i="187"/>
  <c r="M25" i="187"/>
  <c r="L25" i="187"/>
  <c r="K25" i="187"/>
  <c r="J25" i="187"/>
  <c r="I25" i="187"/>
  <c r="H25" i="187"/>
  <c r="M24" i="187"/>
  <c r="L24" i="187"/>
  <c r="K24" i="187"/>
  <c r="J24" i="187"/>
  <c r="I24" i="187"/>
  <c r="H24" i="187"/>
  <c r="M23" i="187"/>
  <c r="L23" i="187"/>
  <c r="K23" i="187"/>
  <c r="J23" i="187"/>
  <c r="I23" i="187"/>
  <c r="H23" i="187"/>
  <c r="M22" i="187"/>
  <c r="L22" i="187"/>
  <c r="K22" i="187"/>
  <c r="J22" i="187"/>
  <c r="I22" i="187"/>
  <c r="H22" i="187"/>
  <c r="M21" i="187"/>
  <c r="L21" i="187"/>
  <c r="K21" i="187"/>
  <c r="J21" i="187"/>
  <c r="I21" i="187"/>
  <c r="H21" i="187"/>
  <c r="M20" i="187"/>
  <c r="L20" i="187"/>
  <c r="K20" i="187"/>
  <c r="J20" i="187"/>
  <c r="I20" i="187"/>
  <c r="H20" i="187"/>
  <c r="M15" i="187"/>
  <c r="L15" i="187"/>
  <c r="K15" i="187"/>
  <c r="J15" i="187"/>
  <c r="I15" i="187"/>
  <c r="H15" i="187"/>
  <c r="M14" i="187"/>
  <c r="L14" i="187"/>
  <c r="K14" i="187"/>
  <c r="J14" i="187"/>
  <c r="I14" i="187"/>
  <c r="H14" i="187"/>
  <c r="M11" i="187"/>
  <c r="L11" i="187"/>
  <c r="K11" i="187"/>
  <c r="J11" i="187"/>
  <c r="I11" i="187"/>
  <c r="H11" i="187"/>
  <c r="M10" i="187"/>
  <c r="L10" i="187"/>
  <c r="K10" i="187"/>
  <c r="J10" i="187"/>
  <c r="I10" i="187"/>
  <c r="H10" i="187"/>
  <c r="M9" i="187"/>
  <c r="L9" i="187"/>
  <c r="K9" i="187"/>
  <c r="J9" i="187"/>
  <c r="I9" i="187"/>
  <c r="H9" i="187"/>
  <c r="M8" i="187"/>
  <c r="L8" i="187"/>
  <c r="K8" i="187"/>
  <c r="J8" i="187"/>
  <c r="I8" i="187"/>
  <c r="H8" i="187"/>
  <c r="M7" i="187"/>
  <c r="L7" i="187"/>
  <c r="K7" i="187"/>
  <c r="J7" i="187"/>
  <c r="I7" i="187"/>
  <c r="H7" i="187"/>
  <c r="M6" i="187"/>
  <c r="L6" i="187"/>
  <c r="K6" i="187"/>
  <c r="J6" i="187"/>
  <c r="I6" i="187"/>
  <c r="H6" i="187"/>
  <c r="M5" i="187"/>
  <c r="L5" i="187"/>
  <c r="K5" i="187"/>
  <c r="J5" i="187"/>
  <c r="I5" i="187"/>
  <c r="H5" i="187"/>
  <c r="M4" i="187"/>
  <c r="L4" i="187"/>
  <c r="L13" i="187" s="1"/>
  <c r="K4" i="187"/>
  <c r="K13" i="187" s="1"/>
  <c r="J4" i="187"/>
  <c r="I4" i="187"/>
  <c r="H4" i="187"/>
  <c r="M3" i="187"/>
  <c r="L3" i="187"/>
  <c r="K3" i="187"/>
  <c r="J3" i="187"/>
  <c r="J16" i="187" s="1"/>
  <c r="I3" i="187"/>
  <c r="I16" i="187" s="1"/>
  <c r="H3" i="187"/>
  <c r="M2" i="187"/>
  <c r="M16" i="187" s="1"/>
  <c r="L2" i="187"/>
  <c r="L16" i="187" s="1"/>
  <c r="K2" i="187"/>
  <c r="K16" i="187" s="1"/>
  <c r="J2" i="187"/>
  <c r="J17" i="187" s="1"/>
  <c r="I2" i="187"/>
  <c r="H2" i="187"/>
  <c r="H16" i="187" s="1"/>
  <c r="D2" i="217" l="1"/>
  <c r="J12" i="217" s="1"/>
  <c r="J15" i="217"/>
  <c r="G13" i="217"/>
  <c r="G14" i="217"/>
  <c r="G15" i="217"/>
  <c r="D13" i="217"/>
  <c r="J14" i="217"/>
  <c r="D15" i="217"/>
  <c r="J13" i="217"/>
  <c r="D14" i="217"/>
  <c r="O22" i="187" a="1"/>
  <c r="O22" i="187" s="1"/>
  <c r="O28" i="187" a="1"/>
  <c r="O28" i="187" s="1"/>
  <c r="O20" i="187" a="1"/>
  <c r="O20" i="187" s="1"/>
  <c r="O23" i="187" a="1"/>
  <c r="O23" i="187" s="1"/>
  <c r="O25" i="187" a="1"/>
  <c r="O25" i="187" s="1"/>
  <c r="O26" i="187" a="1"/>
  <c r="O26" i="187" s="1"/>
  <c r="O21" i="187" a="1"/>
  <c r="O21" i="187" s="1"/>
  <c r="O24" i="187" a="1"/>
  <c r="O24" i="187" s="1"/>
  <c r="O27" i="187" a="1"/>
  <c r="O27" i="187" s="1"/>
  <c r="K17" i="187"/>
  <c r="H13" i="187"/>
  <c r="H17" i="187"/>
  <c r="P29" i="187" s="1" a="1"/>
  <c r="P29" i="187" s="1"/>
  <c r="O29" i="187" a="1"/>
  <c r="O29" i="187" s="1"/>
  <c r="I13" i="187"/>
  <c r="I17" i="187"/>
  <c r="J13" i="187"/>
  <c r="L17" i="187"/>
  <c r="M13" i="187"/>
  <c r="M17" i="187"/>
  <c r="D12" i="217" l="1"/>
  <c r="G12" i="217"/>
  <c r="D17" i="217"/>
  <c r="G17" i="217"/>
  <c r="J17" i="217"/>
  <c r="Q29" i="187"/>
  <c r="T29" i="187" s="1"/>
  <c r="Q21" i="187"/>
  <c r="S21" i="187" s="1"/>
  <c r="P28" i="187" a="1"/>
  <c r="P28" i="187" s="1"/>
  <c r="P20" i="187" a="1"/>
  <c r="P20" i="187" s="1"/>
  <c r="P26" i="187" a="1"/>
  <c r="P26" i="187" s="1"/>
  <c r="Q26" i="187" s="1"/>
  <c r="S26" i="187" s="1"/>
  <c r="P23" i="187" a="1"/>
  <c r="P23" i="187" s="1"/>
  <c r="P24" i="187" a="1"/>
  <c r="P24" i="187" s="1"/>
  <c r="P27" i="187" a="1"/>
  <c r="P27" i="187" s="1"/>
  <c r="P21" i="187" a="1"/>
  <c r="P21" i="187" s="1"/>
  <c r="P25" i="187" a="1"/>
  <c r="P25" i="187" s="1"/>
  <c r="P22" i="187" a="1"/>
  <c r="P22" i="187" s="1"/>
  <c r="Q25" i="187"/>
  <c r="S25" i="187" s="1"/>
  <c r="Q23" i="187"/>
  <c r="S23" i="187" s="1"/>
  <c r="Q22" i="187"/>
  <c r="S22" i="187" s="1"/>
  <c r="N17" i="217" l="1"/>
  <c r="T21" i="187"/>
  <c r="T23" i="187"/>
  <c r="T25" i="187"/>
  <c r="Q20" i="187"/>
  <c r="S20" i="187" s="1"/>
  <c r="T24" i="187"/>
  <c r="T22" i="187"/>
  <c r="T26" i="187"/>
  <c r="S29" i="187"/>
  <c r="Q24" i="187"/>
  <c r="S24" i="187" s="1"/>
  <c r="Q27" i="187"/>
  <c r="S27" i="187" s="1"/>
  <c r="Q28" i="187"/>
  <c r="S28" i="187" s="1"/>
  <c r="T28" i="187" l="1"/>
  <c r="T27" i="187"/>
  <c r="T20" i="187"/>
  <c r="H16" i="175" l="1"/>
  <c r="H15" i="175"/>
  <c r="I14" i="175"/>
  <c r="H14" i="175"/>
  <c r="I11" i="175"/>
  <c r="I10" i="175"/>
  <c r="I9" i="175"/>
  <c r="H9" i="175"/>
  <c r="I8" i="175"/>
  <c r="H8" i="175"/>
  <c r="H7" i="175"/>
  <c r="I6" i="175"/>
  <c r="H6" i="175"/>
  <c r="H17" i="175" s="1"/>
  <c r="I5" i="175"/>
  <c r="I17" i="175" s="1"/>
  <c r="L22" i="175" l="1" a="1"/>
  <c r="L22" i="175" s="1"/>
  <c r="L20" i="175" a="1"/>
  <c r="L20" i="175" s="1"/>
  <c r="L21" i="175" a="1"/>
  <c r="L21" i="175" s="1"/>
  <c r="L23" i="175" a="1"/>
  <c r="L23" i="175" s="1"/>
  <c r="I16" i="175"/>
  <c r="K22" i="175" s="1" a="1"/>
  <c r="K22" i="175" s="1"/>
  <c r="H13" i="175"/>
  <c r="I13" i="175"/>
  <c r="M22" i="175" l="1"/>
  <c r="O22" i="175" s="1"/>
  <c r="K20" i="175" a="1"/>
  <c r="K20" i="175" s="1"/>
  <c r="K21" i="175" a="1"/>
  <c r="K21" i="175" s="1"/>
  <c r="K23" i="175" a="1"/>
  <c r="K23" i="175" s="1"/>
  <c r="M23" i="175" l="1"/>
  <c r="P23" i="175" s="1"/>
  <c r="M21" i="175"/>
  <c r="P21" i="175" s="1"/>
  <c r="O21" i="175"/>
  <c r="M20" i="175"/>
  <c r="P20" i="175" s="1"/>
  <c r="P22" i="175"/>
  <c r="O20" i="175" l="1"/>
  <c r="O23" i="175"/>
  <c r="D17" i="166" l="1"/>
  <c r="G12" i="166"/>
  <c r="G17" i="166" s="1"/>
  <c r="J12" i="166"/>
  <c r="D13" i="166"/>
  <c r="G13" i="166"/>
  <c r="J13" i="166"/>
  <c r="D14" i="166"/>
  <c r="G14" i="166"/>
  <c r="J14" i="166"/>
  <c r="D15" i="166"/>
  <c r="G15" i="166"/>
  <c r="J15" i="166"/>
  <c r="J17" i="166"/>
  <c r="C9" i="164"/>
  <c r="C12" i="164" s="1"/>
  <c r="I12" i="164" s="1"/>
  <c r="F9" i="164"/>
  <c r="F12" i="164" s="1"/>
  <c r="C10" i="164"/>
  <c r="F10" i="164"/>
  <c r="C6" i="163"/>
  <c r="C9" i="163" s="1"/>
  <c r="I9" i="163" s="1"/>
  <c r="F6" i="163"/>
  <c r="F9" i="163" s="1"/>
  <c r="C7" i="163"/>
  <c r="F7" i="163"/>
  <c r="C16" i="163"/>
  <c r="C19" i="163" s="1"/>
  <c r="I19" i="163" s="1"/>
  <c r="F16" i="163"/>
  <c r="F19" i="163" s="1"/>
  <c r="C17" i="163"/>
  <c r="F17" i="163"/>
  <c r="C26" i="163"/>
  <c r="F26" i="163"/>
  <c r="F29" i="163" s="1"/>
  <c r="C27" i="163"/>
  <c r="F27" i="163"/>
  <c r="C29" i="163"/>
  <c r="I29" i="163" s="1"/>
  <c r="C6" i="162"/>
  <c r="F6" i="162"/>
  <c r="C7" i="162"/>
  <c r="F7" i="162"/>
  <c r="C9" i="162"/>
  <c r="I9" i="162" s="1"/>
  <c r="F9" i="162"/>
  <c r="AK96" i="155"/>
  <c r="AJ96" i="155"/>
  <c r="AG96" i="155"/>
  <c r="AF96" i="155"/>
  <c r="AE96" i="155"/>
  <c r="AD96" i="155"/>
  <c r="AC96" i="155"/>
  <c r="AB96" i="155"/>
  <c r="AA96" i="155"/>
  <c r="Z96" i="155"/>
  <c r="Y96" i="155"/>
  <c r="X96" i="155"/>
  <c r="W96" i="155"/>
  <c r="V96" i="155"/>
  <c r="U96" i="155"/>
  <c r="T96" i="155"/>
  <c r="S96" i="155"/>
  <c r="R96" i="155"/>
  <c r="Q96" i="155"/>
  <c r="P96" i="155"/>
  <c r="O96" i="155"/>
  <c r="N96" i="155"/>
  <c r="M96" i="155"/>
  <c r="L96" i="155"/>
  <c r="K96" i="155"/>
  <c r="J96" i="155"/>
  <c r="I96" i="155"/>
  <c r="H96" i="155"/>
  <c r="G96" i="155"/>
  <c r="F96" i="155"/>
  <c r="AG95" i="155"/>
  <c r="AF95" i="155"/>
  <c r="AE95" i="155"/>
  <c r="AD95" i="155"/>
  <c r="AC95" i="155"/>
  <c r="AB95" i="155"/>
  <c r="AA95" i="155"/>
  <c r="Z95" i="155"/>
  <c r="Y95" i="155"/>
  <c r="X95" i="155"/>
  <c r="W95" i="155"/>
  <c r="V95" i="155"/>
  <c r="U95" i="155"/>
  <c r="T95" i="155"/>
  <c r="S95" i="155"/>
  <c r="R95" i="155"/>
  <c r="Q95" i="155"/>
  <c r="P95" i="155"/>
  <c r="O95" i="155"/>
  <c r="N95" i="155"/>
  <c r="M95" i="155"/>
  <c r="L95" i="155"/>
  <c r="K95" i="155"/>
  <c r="J95" i="155"/>
  <c r="I95" i="155"/>
  <c r="H95" i="155"/>
  <c r="G95" i="155"/>
  <c r="F95" i="155"/>
  <c r="AK94" i="155"/>
  <c r="AJ94" i="155"/>
  <c r="AI94" i="155"/>
  <c r="AH94" i="155"/>
  <c r="AG94" i="155"/>
  <c r="AF94" i="155"/>
  <c r="AE94" i="155"/>
  <c r="AD94" i="155"/>
  <c r="AC94" i="155"/>
  <c r="AB94" i="155"/>
  <c r="AA94" i="155"/>
  <c r="Z94" i="155"/>
  <c r="Y94" i="155"/>
  <c r="X94" i="155"/>
  <c r="W94" i="155"/>
  <c r="V94" i="155"/>
  <c r="U94" i="155"/>
  <c r="T94" i="155"/>
  <c r="S94" i="155"/>
  <c r="R94" i="155"/>
  <c r="Q94" i="155"/>
  <c r="P94" i="155"/>
  <c r="O94" i="155"/>
  <c r="N94" i="155"/>
  <c r="M94" i="155"/>
  <c r="L94" i="155"/>
  <c r="K94" i="155"/>
  <c r="J94" i="155"/>
  <c r="I94" i="155"/>
  <c r="H94" i="155"/>
  <c r="AK93" i="155"/>
  <c r="AJ93" i="155"/>
  <c r="AI93" i="155"/>
  <c r="AH93" i="155"/>
  <c r="AG93" i="155"/>
  <c r="AF93" i="155"/>
  <c r="AE93" i="155"/>
  <c r="AD93" i="155"/>
  <c r="AC93" i="155"/>
  <c r="AB93" i="155"/>
  <c r="AA93" i="155"/>
  <c r="Z93" i="155"/>
  <c r="Y93" i="155"/>
  <c r="X93" i="155"/>
  <c r="W93" i="155"/>
  <c r="V93" i="155"/>
  <c r="U93" i="155"/>
  <c r="T93" i="155"/>
  <c r="S93" i="155"/>
  <c r="R93" i="155"/>
  <c r="Q93" i="155"/>
  <c r="P93" i="155"/>
  <c r="O93" i="155"/>
  <c r="N93" i="155"/>
  <c r="M93" i="155"/>
  <c r="L93" i="155"/>
  <c r="K93" i="155"/>
  <c r="J93" i="155"/>
  <c r="I93" i="155"/>
  <c r="AK92" i="155"/>
  <c r="AJ92" i="155"/>
  <c r="AG92" i="155"/>
  <c r="AF92" i="155"/>
  <c r="AC92" i="155"/>
  <c r="AB92" i="155"/>
  <c r="AA92" i="155"/>
  <c r="Z92" i="155"/>
  <c r="Y92" i="155"/>
  <c r="X92" i="155"/>
  <c r="W92" i="155"/>
  <c r="V92" i="155"/>
  <c r="U92" i="155"/>
  <c r="T92" i="155"/>
  <c r="S92" i="155"/>
  <c r="R92" i="155"/>
  <c r="Q92" i="155"/>
  <c r="P92" i="155"/>
  <c r="O92" i="155"/>
  <c r="N92" i="155"/>
  <c r="M92" i="155"/>
  <c r="L92" i="155"/>
  <c r="K92" i="155"/>
  <c r="J92" i="155"/>
  <c r="I92" i="155"/>
  <c r="H92" i="155"/>
  <c r="G92" i="155"/>
  <c r="F92" i="155"/>
  <c r="AK91" i="155"/>
  <c r="AG91" i="155"/>
  <c r="AC91" i="155"/>
  <c r="AB91" i="155"/>
  <c r="AA91" i="155"/>
  <c r="Z91" i="155"/>
  <c r="Y91" i="155"/>
  <c r="X91" i="155"/>
  <c r="W91" i="155"/>
  <c r="V91" i="155"/>
  <c r="U91" i="155"/>
  <c r="T91" i="155"/>
  <c r="S91" i="155"/>
  <c r="R91" i="155"/>
  <c r="Q91" i="155"/>
  <c r="P91" i="155"/>
  <c r="O91" i="155"/>
  <c r="N91" i="155"/>
  <c r="M91" i="155"/>
  <c r="L91" i="155"/>
  <c r="K91" i="155"/>
  <c r="J91" i="155"/>
  <c r="I91" i="155"/>
  <c r="H91" i="155"/>
  <c r="G91" i="155"/>
  <c r="F91" i="155"/>
  <c r="AG90" i="155"/>
  <c r="AF90" i="155"/>
  <c r="AE90" i="155"/>
  <c r="AD90" i="155"/>
  <c r="AC90" i="155"/>
  <c r="AB90" i="155"/>
  <c r="AA90" i="155"/>
  <c r="Z90" i="155"/>
  <c r="Y90" i="155"/>
  <c r="X90" i="155"/>
  <c r="W90" i="155"/>
  <c r="V90" i="155"/>
  <c r="U90" i="155"/>
  <c r="T90" i="155"/>
  <c r="S90" i="155"/>
  <c r="R90" i="155"/>
  <c r="Q90" i="155"/>
  <c r="P90" i="155"/>
  <c r="O90" i="155"/>
  <c r="N90" i="155"/>
  <c r="M90" i="155"/>
  <c r="L90" i="155"/>
  <c r="K90" i="155"/>
  <c r="J90" i="155"/>
  <c r="I90" i="155"/>
  <c r="H90" i="155"/>
  <c r="G90" i="155"/>
  <c r="F90" i="155"/>
  <c r="AK89" i="155"/>
  <c r="AJ89" i="155"/>
  <c r="AI89" i="155"/>
  <c r="AH89" i="155"/>
  <c r="AC89" i="155"/>
  <c r="AB89" i="155"/>
  <c r="AA89" i="155"/>
  <c r="Z89" i="155"/>
  <c r="Y89" i="155"/>
  <c r="X89" i="155"/>
  <c r="W89" i="155"/>
  <c r="V89" i="155"/>
  <c r="U89" i="155"/>
  <c r="T89" i="155"/>
  <c r="S89" i="155"/>
  <c r="R89" i="155"/>
  <c r="Q89" i="155"/>
  <c r="P89" i="155"/>
  <c r="O89" i="155"/>
  <c r="N89" i="155"/>
  <c r="M89" i="155"/>
  <c r="L89" i="155"/>
  <c r="K89" i="155"/>
  <c r="J89" i="155"/>
  <c r="I89" i="155"/>
  <c r="H89" i="155"/>
  <c r="G89" i="155"/>
  <c r="F89" i="155"/>
  <c r="AK88" i="155"/>
  <c r="AJ88" i="155"/>
  <c r="AI88" i="155"/>
  <c r="AH88" i="155"/>
  <c r="AG88" i="155"/>
  <c r="AF88" i="155"/>
  <c r="AC88" i="155"/>
  <c r="AB88" i="155"/>
  <c r="Y88" i="155"/>
  <c r="X88" i="155"/>
  <c r="W88" i="155"/>
  <c r="V88" i="155"/>
  <c r="U88" i="155"/>
  <c r="T88" i="155"/>
  <c r="S88" i="155"/>
  <c r="R88" i="155"/>
  <c r="Q88" i="155"/>
  <c r="P88" i="155"/>
  <c r="O88" i="155"/>
  <c r="N88" i="155"/>
  <c r="M88" i="155"/>
  <c r="L88" i="155"/>
  <c r="K88" i="155"/>
  <c r="J88" i="155"/>
  <c r="I88" i="155"/>
  <c r="H88" i="155"/>
  <c r="G88" i="155"/>
  <c r="F88" i="155"/>
  <c r="AK87" i="155"/>
  <c r="AJ87" i="155"/>
  <c r="AI87" i="155"/>
  <c r="AH87" i="155"/>
  <c r="AG87" i="155"/>
  <c r="AC87" i="155"/>
  <c r="Y87" i="155"/>
  <c r="X87" i="155"/>
  <c r="W87" i="155"/>
  <c r="V87" i="155"/>
  <c r="U87" i="155"/>
  <c r="T87" i="155"/>
  <c r="S87" i="155"/>
  <c r="R87" i="155"/>
  <c r="Q87" i="155"/>
  <c r="P87" i="155"/>
  <c r="O87" i="155"/>
  <c r="N87" i="155"/>
  <c r="M87" i="155"/>
  <c r="L87" i="155"/>
  <c r="K87" i="155"/>
  <c r="J87" i="155"/>
  <c r="I87" i="155"/>
  <c r="H87" i="155"/>
  <c r="G87" i="155"/>
  <c r="F87" i="155"/>
  <c r="AK86" i="155"/>
  <c r="AJ86" i="155"/>
  <c r="AI86" i="155"/>
  <c r="AH86" i="155"/>
  <c r="AC86" i="155"/>
  <c r="AB86" i="155"/>
  <c r="AA86" i="155"/>
  <c r="Z86" i="155"/>
  <c r="Y86" i="155"/>
  <c r="X86" i="155"/>
  <c r="W86" i="155"/>
  <c r="V86" i="155"/>
  <c r="U86" i="155"/>
  <c r="T86" i="155"/>
  <c r="S86" i="155"/>
  <c r="R86" i="155"/>
  <c r="Q86" i="155"/>
  <c r="P86" i="155"/>
  <c r="O86" i="155"/>
  <c r="N86" i="155"/>
  <c r="M86" i="155"/>
  <c r="L86" i="155"/>
  <c r="K86" i="155"/>
  <c r="J86" i="155"/>
  <c r="I86" i="155"/>
  <c r="H86" i="155"/>
  <c r="G86" i="155"/>
  <c r="F86" i="155"/>
  <c r="AK85" i="155"/>
  <c r="AJ85" i="155"/>
  <c r="AI85" i="155"/>
  <c r="AH85" i="155"/>
  <c r="AG85" i="155"/>
  <c r="AF85" i="155"/>
  <c r="AE85" i="155"/>
  <c r="AD85" i="155"/>
  <c r="Y85" i="155"/>
  <c r="X85" i="155"/>
  <c r="W85" i="155"/>
  <c r="V85" i="155"/>
  <c r="U85" i="155"/>
  <c r="T85" i="155"/>
  <c r="S85" i="155"/>
  <c r="R85" i="155"/>
  <c r="Q85" i="155"/>
  <c r="P85" i="155"/>
  <c r="O85" i="155"/>
  <c r="N85" i="155"/>
  <c r="M85" i="155"/>
  <c r="L85" i="155"/>
  <c r="K85" i="155"/>
  <c r="J85" i="155"/>
  <c r="I85" i="155"/>
  <c r="H85" i="155"/>
  <c r="G85" i="155"/>
  <c r="F85" i="155"/>
  <c r="AK84" i="155"/>
  <c r="AJ84" i="155"/>
  <c r="AI84" i="155"/>
  <c r="AH84" i="155"/>
  <c r="AG84" i="155"/>
  <c r="AF84" i="155"/>
  <c r="AE84" i="155"/>
  <c r="AD84" i="155"/>
  <c r="AC84" i="155"/>
  <c r="AB84" i="155"/>
  <c r="Y84" i="155"/>
  <c r="X84" i="155"/>
  <c r="U84" i="155"/>
  <c r="T84" i="155"/>
  <c r="S84" i="155"/>
  <c r="R84" i="155"/>
  <c r="Q84" i="155"/>
  <c r="P84" i="155"/>
  <c r="O84" i="155"/>
  <c r="N84" i="155"/>
  <c r="M84" i="155"/>
  <c r="L84" i="155"/>
  <c r="K84" i="155"/>
  <c r="J84" i="155"/>
  <c r="I84" i="155"/>
  <c r="H84" i="155"/>
  <c r="G84" i="155"/>
  <c r="F84" i="155"/>
  <c r="AK83" i="155"/>
  <c r="AJ83" i="155"/>
  <c r="AI83" i="155"/>
  <c r="AH83" i="155"/>
  <c r="AG83" i="155"/>
  <c r="AF83" i="155"/>
  <c r="AE83" i="155"/>
  <c r="AD83" i="155"/>
  <c r="AC83" i="155"/>
  <c r="Y83" i="155"/>
  <c r="U83" i="155"/>
  <c r="T83" i="155"/>
  <c r="S83" i="155"/>
  <c r="R83" i="155"/>
  <c r="Q83" i="155"/>
  <c r="P83" i="155"/>
  <c r="O83" i="155"/>
  <c r="N83" i="155"/>
  <c r="M83" i="155"/>
  <c r="L83" i="155"/>
  <c r="K83" i="155"/>
  <c r="J83" i="155"/>
  <c r="I83" i="155"/>
  <c r="H83" i="155"/>
  <c r="G83" i="155"/>
  <c r="F83" i="155"/>
  <c r="AK82" i="155"/>
  <c r="AJ82" i="155"/>
  <c r="AI82" i="155"/>
  <c r="AH82" i="155"/>
  <c r="AG82" i="155"/>
  <c r="AF82" i="155"/>
  <c r="AE82" i="155"/>
  <c r="AD82" i="155"/>
  <c r="Y82" i="155"/>
  <c r="X82" i="155"/>
  <c r="W82" i="155"/>
  <c r="V82" i="155"/>
  <c r="U82" i="155"/>
  <c r="T82" i="155"/>
  <c r="S82" i="155"/>
  <c r="R82" i="155"/>
  <c r="Q82" i="155"/>
  <c r="P82" i="155"/>
  <c r="O82" i="155"/>
  <c r="N82" i="155"/>
  <c r="M82" i="155"/>
  <c r="L82" i="155"/>
  <c r="K82" i="155"/>
  <c r="J82" i="155"/>
  <c r="I82" i="155"/>
  <c r="H82" i="155"/>
  <c r="G82" i="155"/>
  <c r="F82" i="155"/>
  <c r="AK81" i="155"/>
  <c r="AJ81" i="155"/>
  <c r="AI81" i="155"/>
  <c r="AH81" i="155"/>
  <c r="AG81" i="155"/>
  <c r="AF81" i="155"/>
  <c r="AE81" i="155"/>
  <c r="AD81" i="155"/>
  <c r="AC81" i="155"/>
  <c r="AB81" i="155"/>
  <c r="AA81" i="155"/>
  <c r="Z81" i="155"/>
  <c r="U81" i="155"/>
  <c r="T81" i="155"/>
  <c r="S81" i="155"/>
  <c r="R81" i="155"/>
  <c r="Q81" i="155"/>
  <c r="P81" i="155"/>
  <c r="O81" i="155"/>
  <c r="N81" i="155"/>
  <c r="M81" i="155"/>
  <c r="L81" i="155"/>
  <c r="K81" i="155"/>
  <c r="J81" i="155"/>
  <c r="I81" i="155"/>
  <c r="H81" i="155"/>
  <c r="G81" i="155"/>
  <c r="F81" i="155"/>
  <c r="AK80" i="155"/>
  <c r="AJ80" i="155"/>
  <c r="AI80" i="155"/>
  <c r="AH80" i="155"/>
  <c r="AG80" i="155"/>
  <c r="AF80" i="155"/>
  <c r="AE80" i="155"/>
  <c r="AD80" i="155"/>
  <c r="AC80" i="155"/>
  <c r="AB80" i="155"/>
  <c r="AA80" i="155"/>
  <c r="Z80" i="155"/>
  <c r="Y80" i="155"/>
  <c r="X80" i="155"/>
  <c r="U80" i="155"/>
  <c r="T80" i="155"/>
  <c r="Q80" i="155"/>
  <c r="P80" i="155"/>
  <c r="O80" i="155"/>
  <c r="N80" i="155"/>
  <c r="M80" i="155"/>
  <c r="L80" i="155"/>
  <c r="K80" i="155"/>
  <c r="J80" i="155"/>
  <c r="I80" i="155"/>
  <c r="H80" i="155"/>
  <c r="G80" i="155"/>
  <c r="F80" i="155"/>
  <c r="AK79" i="155"/>
  <c r="AJ79" i="155"/>
  <c r="AI79" i="155"/>
  <c r="AH79" i="155"/>
  <c r="AG79" i="155"/>
  <c r="AF79" i="155"/>
  <c r="AE79" i="155"/>
  <c r="AD79" i="155"/>
  <c r="AC79" i="155"/>
  <c r="AB79" i="155"/>
  <c r="AA79" i="155"/>
  <c r="Z79" i="155"/>
  <c r="Y79" i="155"/>
  <c r="U79" i="155"/>
  <c r="Q79" i="155"/>
  <c r="P79" i="155"/>
  <c r="O79" i="155"/>
  <c r="N79" i="155"/>
  <c r="M79" i="155"/>
  <c r="L79" i="155"/>
  <c r="K79" i="155"/>
  <c r="J79" i="155"/>
  <c r="I79" i="155"/>
  <c r="H79" i="155"/>
  <c r="G79" i="155"/>
  <c r="F79" i="155"/>
  <c r="AK78" i="155"/>
  <c r="AJ78" i="155"/>
  <c r="AI78" i="155"/>
  <c r="AH78" i="155"/>
  <c r="AG78" i="155"/>
  <c r="AF78" i="155"/>
  <c r="AE78" i="155"/>
  <c r="AD78" i="155"/>
  <c r="AC78" i="155"/>
  <c r="AB78" i="155"/>
  <c r="AA78" i="155"/>
  <c r="Z78" i="155"/>
  <c r="U78" i="155"/>
  <c r="T78" i="155"/>
  <c r="S78" i="155"/>
  <c r="R78" i="155"/>
  <c r="Q78" i="155"/>
  <c r="P78" i="155"/>
  <c r="O78" i="155"/>
  <c r="N78" i="155"/>
  <c r="M78" i="155"/>
  <c r="L78" i="155"/>
  <c r="K78" i="155"/>
  <c r="J78" i="155"/>
  <c r="I78" i="155"/>
  <c r="H78" i="155"/>
  <c r="G78" i="155"/>
  <c r="F78" i="155"/>
  <c r="AK77" i="155"/>
  <c r="AJ77" i="155"/>
  <c r="AI77" i="155"/>
  <c r="AH77" i="155"/>
  <c r="AG77" i="155"/>
  <c r="AF77" i="155"/>
  <c r="AE77" i="155"/>
  <c r="AD77" i="155"/>
  <c r="AC77" i="155"/>
  <c r="AB77" i="155"/>
  <c r="AA77" i="155"/>
  <c r="Z77" i="155"/>
  <c r="Y77" i="155"/>
  <c r="X77" i="155"/>
  <c r="W77" i="155"/>
  <c r="V77" i="155"/>
  <c r="Q77" i="155"/>
  <c r="P77" i="155"/>
  <c r="O77" i="155"/>
  <c r="N77" i="155"/>
  <c r="M77" i="155"/>
  <c r="L77" i="155"/>
  <c r="K77" i="155"/>
  <c r="J77" i="155"/>
  <c r="I77" i="155"/>
  <c r="H77" i="155"/>
  <c r="G77" i="155"/>
  <c r="F77" i="155"/>
  <c r="AK76" i="155"/>
  <c r="AJ76" i="155"/>
  <c r="AI76" i="155"/>
  <c r="AH76" i="155"/>
  <c r="AG76" i="155"/>
  <c r="AF76" i="155"/>
  <c r="AE76" i="155"/>
  <c r="AD76" i="155"/>
  <c r="AC76" i="155"/>
  <c r="AB76" i="155"/>
  <c r="AA76" i="155"/>
  <c r="Z76" i="155"/>
  <c r="Y76" i="155"/>
  <c r="X76" i="155"/>
  <c r="W76" i="155"/>
  <c r="V76" i="155"/>
  <c r="U76" i="155"/>
  <c r="T76" i="155"/>
  <c r="Q76" i="155"/>
  <c r="P76" i="155"/>
  <c r="M76" i="155"/>
  <c r="L76" i="155"/>
  <c r="K76" i="155"/>
  <c r="J76" i="155"/>
  <c r="I76" i="155"/>
  <c r="H76" i="155"/>
  <c r="G76" i="155"/>
  <c r="F76" i="155"/>
  <c r="AK75" i="155"/>
  <c r="AJ75" i="155"/>
  <c r="AI75" i="155"/>
  <c r="AH75" i="155"/>
  <c r="AG75" i="155"/>
  <c r="AF75" i="155"/>
  <c r="AE75" i="155"/>
  <c r="AD75" i="155"/>
  <c r="AC75" i="155"/>
  <c r="AB75" i="155"/>
  <c r="AA75" i="155"/>
  <c r="Z75" i="155"/>
  <c r="Y75" i="155"/>
  <c r="X75" i="155"/>
  <c r="W75" i="155"/>
  <c r="V75" i="155"/>
  <c r="U75" i="155"/>
  <c r="Q75" i="155"/>
  <c r="M75" i="155"/>
  <c r="L75" i="155"/>
  <c r="K75" i="155"/>
  <c r="J75" i="155"/>
  <c r="I75" i="155"/>
  <c r="H75" i="155"/>
  <c r="G75" i="155"/>
  <c r="F75" i="155"/>
  <c r="AK74" i="155"/>
  <c r="AJ74" i="155"/>
  <c r="AI74" i="155"/>
  <c r="AH74" i="155"/>
  <c r="AG74" i="155"/>
  <c r="AF74" i="155"/>
  <c r="AE74" i="155"/>
  <c r="AD74" i="155"/>
  <c r="AC74" i="155"/>
  <c r="AB74" i="155"/>
  <c r="AA74" i="155"/>
  <c r="Z74" i="155"/>
  <c r="Y74" i="155"/>
  <c r="X74" i="155"/>
  <c r="W74" i="155"/>
  <c r="V74" i="155"/>
  <c r="Q74" i="155"/>
  <c r="P74" i="155"/>
  <c r="O74" i="155"/>
  <c r="N74" i="155"/>
  <c r="M74" i="155"/>
  <c r="L74" i="155"/>
  <c r="K74" i="155"/>
  <c r="J74" i="155"/>
  <c r="I74" i="155"/>
  <c r="H74" i="155"/>
  <c r="G74" i="155"/>
  <c r="F74" i="155"/>
  <c r="AK73" i="155"/>
  <c r="AJ73" i="155"/>
  <c r="AI73" i="155"/>
  <c r="AH73" i="155"/>
  <c r="AG73" i="155"/>
  <c r="AF73" i="155"/>
  <c r="AE73" i="155"/>
  <c r="AD73" i="155"/>
  <c r="AC73" i="155"/>
  <c r="AB73" i="155"/>
  <c r="AA73" i="155"/>
  <c r="Z73" i="155"/>
  <c r="Y73" i="155"/>
  <c r="X73" i="155"/>
  <c r="W73" i="155"/>
  <c r="V73" i="155"/>
  <c r="U73" i="155"/>
  <c r="T73" i="155"/>
  <c r="S73" i="155"/>
  <c r="R73" i="155"/>
  <c r="M73" i="155"/>
  <c r="L73" i="155"/>
  <c r="K73" i="155"/>
  <c r="J73" i="155"/>
  <c r="I73" i="155"/>
  <c r="H73" i="155"/>
  <c r="G73" i="155"/>
  <c r="F73" i="155"/>
  <c r="AK72" i="155"/>
  <c r="AJ72" i="155"/>
  <c r="AI72" i="155"/>
  <c r="AH72" i="155"/>
  <c r="AG72" i="155"/>
  <c r="AF72" i="155"/>
  <c r="AE72" i="155"/>
  <c r="AD72" i="155"/>
  <c r="AC72" i="155"/>
  <c r="AB72" i="155"/>
  <c r="AA72" i="155"/>
  <c r="Z72" i="155"/>
  <c r="Y72" i="155"/>
  <c r="X72" i="155"/>
  <c r="W72" i="155"/>
  <c r="V72" i="155"/>
  <c r="U72" i="155"/>
  <c r="T72" i="155"/>
  <c r="S72" i="155"/>
  <c r="R72" i="155"/>
  <c r="Q72" i="155"/>
  <c r="P72" i="155"/>
  <c r="M72" i="155"/>
  <c r="L72" i="155"/>
  <c r="I72" i="155"/>
  <c r="H72" i="155"/>
  <c r="G72" i="155"/>
  <c r="F72" i="155"/>
  <c r="AK71" i="155"/>
  <c r="AJ71" i="155"/>
  <c r="AI71" i="155"/>
  <c r="AH71" i="155"/>
  <c r="AG71" i="155"/>
  <c r="AF71" i="155"/>
  <c r="AE71" i="155"/>
  <c r="AD71" i="155"/>
  <c r="AC71" i="155"/>
  <c r="AB71" i="155"/>
  <c r="AA71" i="155"/>
  <c r="Z71" i="155"/>
  <c r="Y71" i="155"/>
  <c r="X71" i="155"/>
  <c r="W71" i="155"/>
  <c r="V71" i="155"/>
  <c r="U71" i="155"/>
  <c r="T71" i="155"/>
  <c r="S71" i="155"/>
  <c r="R71" i="155"/>
  <c r="Q71" i="155"/>
  <c r="M71" i="155"/>
  <c r="I71" i="155"/>
  <c r="H71" i="155"/>
  <c r="G71" i="155"/>
  <c r="F71" i="155"/>
  <c r="AK70" i="155"/>
  <c r="AJ70" i="155"/>
  <c r="AI70" i="155"/>
  <c r="AH70" i="155"/>
  <c r="AG70" i="155"/>
  <c r="AF70" i="155"/>
  <c r="AE70" i="155"/>
  <c r="AD70" i="155"/>
  <c r="AC70" i="155"/>
  <c r="AB70" i="155"/>
  <c r="AA70" i="155"/>
  <c r="Z70" i="155"/>
  <c r="Y70" i="155"/>
  <c r="X70" i="155"/>
  <c r="W70" i="155"/>
  <c r="V70" i="155"/>
  <c r="U70" i="155"/>
  <c r="T70" i="155"/>
  <c r="S70" i="155"/>
  <c r="R70" i="155"/>
  <c r="M70" i="155"/>
  <c r="L70" i="155"/>
  <c r="K70" i="155"/>
  <c r="J70" i="155"/>
  <c r="I70" i="155"/>
  <c r="H70" i="155"/>
  <c r="G70" i="155"/>
  <c r="F70" i="155"/>
  <c r="AK69" i="155"/>
  <c r="AJ69" i="155"/>
  <c r="AI69" i="155"/>
  <c r="AH69" i="155"/>
  <c r="AG69" i="155"/>
  <c r="AF69" i="155"/>
  <c r="AE69" i="155"/>
  <c r="AD69" i="155"/>
  <c r="AC69" i="155"/>
  <c r="AB69" i="155"/>
  <c r="AA69" i="155"/>
  <c r="Z69" i="155"/>
  <c r="Y69" i="155"/>
  <c r="X69" i="155"/>
  <c r="W69" i="155"/>
  <c r="V69" i="155"/>
  <c r="U69" i="155"/>
  <c r="T69" i="155"/>
  <c r="S69" i="155"/>
  <c r="R69" i="155"/>
  <c r="Q69" i="155"/>
  <c r="P69" i="155"/>
  <c r="O69" i="155"/>
  <c r="N69" i="155"/>
  <c r="I69" i="155"/>
  <c r="H69" i="155"/>
  <c r="G69" i="155"/>
  <c r="F69" i="155"/>
  <c r="AK68" i="155"/>
  <c r="AJ68" i="155"/>
  <c r="AI68" i="155"/>
  <c r="AH68" i="155"/>
  <c r="AG68" i="155"/>
  <c r="AF68" i="155"/>
  <c r="AE68" i="155"/>
  <c r="AD68" i="155"/>
  <c r="AC68" i="155"/>
  <c r="AB68" i="155"/>
  <c r="AA68" i="155"/>
  <c r="Z68" i="155"/>
  <c r="Y68" i="155"/>
  <c r="X68" i="155"/>
  <c r="W68" i="155"/>
  <c r="V68" i="155"/>
  <c r="U68" i="155"/>
  <c r="T68" i="155"/>
  <c r="S68" i="155"/>
  <c r="R68" i="155"/>
  <c r="Q68" i="155"/>
  <c r="P68" i="155"/>
  <c r="O68" i="155"/>
  <c r="N68" i="155"/>
  <c r="M68" i="155"/>
  <c r="L68" i="155"/>
  <c r="I68" i="155"/>
  <c r="H68" i="155"/>
  <c r="AK67" i="155"/>
  <c r="AJ67" i="155"/>
  <c r="AI67" i="155"/>
  <c r="AH67" i="155"/>
  <c r="AG67" i="155"/>
  <c r="AF67" i="155"/>
  <c r="AE67" i="155"/>
  <c r="AD67" i="155"/>
  <c r="AC67" i="155"/>
  <c r="AB67" i="155"/>
  <c r="AA67" i="155"/>
  <c r="Z67" i="155"/>
  <c r="Y67" i="155"/>
  <c r="X67" i="155"/>
  <c r="W67" i="155"/>
  <c r="V67" i="155"/>
  <c r="U67" i="155"/>
  <c r="T67" i="155"/>
  <c r="S67" i="155"/>
  <c r="R67" i="155"/>
  <c r="Q67" i="155"/>
  <c r="P67" i="155"/>
  <c r="O67" i="155"/>
  <c r="N67" i="155"/>
  <c r="M67" i="155"/>
  <c r="I67" i="155"/>
  <c r="AK66" i="155"/>
  <c r="AJ66" i="155"/>
  <c r="AI66" i="155"/>
  <c r="AH66" i="155"/>
  <c r="AG66" i="155"/>
  <c r="AF66" i="155"/>
  <c r="AE66" i="155"/>
  <c r="AD66" i="155"/>
  <c r="AC66" i="155"/>
  <c r="AB66" i="155"/>
  <c r="AA66" i="155"/>
  <c r="Z66" i="155"/>
  <c r="Y66" i="155"/>
  <c r="X66" i="155"/>
  <c r="W66" i="155"/>
  <c r="V66" i="155"/>
  <c r="U66" i="155"/>
  <c r="T66" i="155"/>
  <c r="S66" i="155"/>
  <c r="R66" i="155"/>
  <c r="Q66" i="155"/>
  <c r="P66" i="155"/>
  <c r="O66" i="155"/>
  <c r="N66" i="155"/>
  <c r="I66" i="155"/>
  <c r="H66" i="155"/>
  <c r="G66" i="155"/>
  <c r="F66" i="155"/>
  <c r="AK65" i="155"/>
  <c r="AJ65" i="155"/>
  <c r="AI65" i="155"/>
  <c r="AH65" i="155"/>
  <c r="AG65" i="155"/>
  <c r="AF65" i="155"/>
  <c r="AE65" i="155"/>
  <c r="AD65" i="155"/>
  <c r="AC65" i="155"/>
  <c r="AB65" i="155"/>
  <c r="AA65" i="155"/>
  <c r="Z65" i="155"/>
  <c r="Y65" i="155"/>
  <c r="X65" i="155"/>
  <c r="W65" i="155"/>
  <c r="V65" i="155"/>
  <c r="U65" i="155"/>
  <c r="T65" i="155"/>
  <c r="S65" i="155"/>
  <c r="R65" i="155"/>
  <c r="Q65" i="155"/>
  <c r="P65" i="155"/>
  <c r="O65" i="155"/>
  <c r="N65" i="155"/>
  <c r="M65" i="155"/>
  <c r="L65" i="155"/>
  <c r="K65" i="155"/>
  <c r="J65" i="155"/>
  <c r="AM59" i="155"/>
  <c r="AI59" i="155"/>
  <c r="AI96" i="155" s="1"/>
  <c r="AH59" i="155"/>
  <c r="AH96" i="155" s="1"/>
  <c r="B59" i="155"/>
  <c r="AM58" i="155"/>
  <c r="AK58" i="155"/>
  <c r="AK95" i="155" s="1"/>
  <c r="AJ58" i="155"/>
  <c r="AJ95" i="155" s="1"/>
  <c r="AI58" i="155"/>
  <c r="AI95" i="155" s="1"/>
  <c r="AH58" i="155"/>
  <c r="AH95" i="155" s="1"/>
  <c r="C58" i="155"/>
  <c r="B58" i="155"/>
  <c r="G57" i="155"/>
  <c r="G94" i="155" s="1"/>
  <c r="F57" i="155"/>
  <c r="F94" i="155" s="1"/>
  <c r="B57" i="155"/>
  <c r="H56" i="155"/>
  <c r="H93" i="155" s="1"/>
  <c r="G56" i="155"/>
  <c r="G93" i="155" s="1"/>
  <c r="F56" i="155"/>
  <c r="F93" i="155" s="1"/>
  <c r="C56" i="155"/>
  <c r="B56" i="155"/>
  <c r="AM55" i="155"/>
  <c r="AI55" i="155"/>
  <c r="AI92" i="155" s="1"/>
  <c r="AH55" i="155"/>
  <c r="AH92" i="155" s="1"/>
  <c r="AE55" i="155"/>
  <c r="AE92" i="155" s="1"/>
  <c r="AD55" i="155"/>
  <c r="AD92" i="155" s="1"/>
  <c r="B55" i="155"/>
  <c r="AM54" i="155"/>
  <c r="AJ54" i="155"/>
  <c r="AJ91" i="155" s="1"/>
  <c r="AI54" i="155"/>
  <c r="AI91" i="155" s="1"/>
  <c r="AH54" i="155"/>
  <c r="AH91" i="155" s="1"/>
  <c r="AF54" i="155"/>
  <c r="AF91" i="155" s="1"/>
  <c r="AE54" i="155"/>
  <c r="AE91" i="155" s="1"/>
  <c r="AD54" i="155"/>
  <c r="AD91" i="155" s="1"/>
  <c r="B54" i="155"/>
  <c r="AM53" i="155"/>
  <c r="AK53" i="155"/>
  <c r="AK90" i="155" s="1"/>
  <c r="AJ53" i="155"/>
  <c r="AJ90" i="155" s="1"/>
  <c r="AI53" i="155"/>
  <c r="AI90" i="155" s="1"/>
  <c r="AH53" i="155"/>
  <c r="AH90" i="155" s="1"/>
  <c r="C53" i="155"/>
  <c r="B53" i="155"/>
  <c r="AM52" i="155"/>
  <c r="AG52" i="155"/>
  <c r="AG89" i="155" s="1"/>
  <c r="AF52" i="155"/>
  <c r="AF89" i="155" s="1"/>
  <c r="AE52" i="155"/>
  <c r="AE89" i="155" s="1"/>
  <c r="AD52" i="155"/>
  <c r="AD89" i="155" s="1"/>
  <c r="C52" i="155"/>
  <c r="B52" i="155"/>
  <c r="AM51" i="155"/>
  <c r="AE51" i="155"/>
  <c r="AE88" i="155" s="1"/>
  <c r="AD51" i="155"/>
  <c r="AD88" i="155" s="1"/>
  <c r="AA51" i="155"/>
  <c r="AA88" i="155" s="1"/>
  <c r="Z51" i="155"/>
  <c r="Z88" i="155" s="1"/>
  <c r="B51" i="155"/>
  <c r="AM50" i="155"/>
  <c r="AF50" i="155"/>
  <c r="AF87" i="155" s="1"/>
  <c r="AE50" i="155"/>
  <c r="AE87" i="155" s="1"/>
  <c r="AD50" i="155"/>
  <c r="AD87" i="155" s="1"/>
  <c r="AB50" i="155"/>
  <c r="AB87" i="155" s="1"/>
  <c r="AA50" i="155"/>
  <c r="AA87" i="155" s="1"/>
  <c r="Z50" i="155"/>
  <c r="Z87" i="155" s="1"/>
  <c r="B50" i="155"/>
  <c r="AM49" i="155"/>
  <c r="AG49" i="155"/>
  <c r="AG86" i="155" s="1"/>
  <c r="AF49" i="155"/>
  <c r="AF86" i="155" s="1"/>
  <c r="AE49" i="155"/>
  <c r="AE86" i="155" s="1"/>
  <c r="AD49" i="155"/>
  <c r="AD86" i="155" s="1"/>
  <c r="C49" i="155"/>
  <c r="B49" i="155"/>
  <c r="AM48" i="155"/>
  <c r="AC48" i="155"/>
  <c r="AC85" i="155" s="1"/>
  <c r="AB48" i="155"/>
  <c r="AB85" i="155" s="1"/>
  <c r="AA48" i="155"/>
  <c r="AA85" i="155" s="1"/>
  <c r="Z48" i="155"/>
  <c r="Z85" i="155" s="1"/>
  <c r="C48" i="155"/>
  <c r="B48" i="155"/>
  <c r="N35" i="155"/>
  <c r="N72" i="155" s="1"/>
  <c r="K35" i="155"/>
  <c r="K72" i="155" s="1"/>
  <c r="J35" i="155"/>
  <c r="J72" i="155" s="1"/>
  <c r="D35" i="155"/>
  <c r="O35" i="155" s="1"/>
  <c r="O72" i="155" s="1"/>
  <c r="B35" i="155"/>
  <c r="D34" i="155"/>
  <c r="P33" i="155"/>
  <c r="P70" i="155" s="1"/>
  <c r="O33" i="155"/>
  <c r="O70" i="155" s="1"/>
  <c r="N33" i="155"/>
  <c r="N70" i="155" s="1"/>
  <c r="D33" i="155"/>
  <c r="Q33" i="155" s="1"/>
  <c r="Q70" i="155" s="1"/>
  <c r="C33" i="155"/>
  <c r="B33" i="155"/>
  <c r="L32" i="155"/>
  <c r="L69" i="155" s="1"/>
  <c r="K32" i="155"/>
  <c r="K69" i="155" s="1"/>
  <c r="J32" i="155"/>
  <c r="J69" i="155" s="1"/>
  <c r="D32" i="155"/>
  <c r="M32" i="155" s="1"/>
  <c r="M69" i="155" s="1"/>
  <c r="C32" i="155"/>
  <c r="B32" i="155"/>
  <c r="AM31" i="155"/>
  <c r="K31" i="155"/>
  <c r="K68" i="155" s="1"/>
  <c r="J31" i="155"/>
  <c r="J68" i="155" s="1"/>
  <c r="G31" i="155"/>
  <c r="G68" i="155" s="1"/>
  <c r="F31" i="155"/>
  <c r="F68" i="155" s="1"/>
  <c r="B31" i="155"/>
  <c r="AM30" i="155"/>
  <c r="L30" i="155"/>
  <c r="L67" i="155" s="1"/>
  <c r="K30" i="155"/>
  <c r="K67" i="155" s="1"/>
  <c r="J30" i="155"/>
  <c r="J67" i="155" s="1"/>
  <c r="H30" i="155"/>
  <c r="H67" i="155" s="1"/>
  <c r="G30" i="155"/>
  <c r="G67" i="155" s="1"/>
  <c r="F30" i="155"/>
  <c r="F67" i="155" s="1"/>
  <c r="B30" i="155"/>
  <c r="AM29" i="155"/>
  <c r="M29" i="155"/>
  <c r="M66" i="155" s="1"/>
  <c r="L29" i="155"/>
  <c r="L66" i="155" s="1"/>
  <c r="K29" i="155"/>
  <c r="K66" i="155" s="1"/>
  <c r="J29" i="155"/>
  <c r="J66" i="155" s="1"/>
  <c r="C29" i="155"/>
  <c r="B29" i="155"/>
  <c r="AM28" i="155"/>
  <c r="I28" i="155"/>
  <c r="I65" i="155" s="1"/>
  <c r="H28" i="155"/>
  <c r="H65" i="155" s="1"/>
  <c r="G28" i="155"/>
  <c r="G65" i="155" s="1"/>
  <c r="F28" i="155"/>
  <c r="F65" i="155" s="1"/>
  <c r="C28" i="155"/>
  <c r="B28" i="155"/>
  <c r="AK96" i="154"/>
  <c r="AJ96" i="154"/>
  <c r="AG96" i="154"/>
  <c r="AF96" i="154"/>
  <c r="AE96" i="154"/>
  <c r="AD96" i="154"/>
  <c r="AC96" i="154"/>
  <c r="AB96" i="154"/>
  <c r="AA96" i="154"/>
  <c r="Z96" i="154"/>
  <c r="Y96" i="154"/>
  <c r="X96" i="154"/>
  <c r="W96" i="154"/>
  <c r="V96" i="154"/>
  <c r="U96" i="154"/>
  <c r="T96" i="154"/>
  <c r="S96" i="154"/>
  <c r="R96" i="154"/>
  <c r="Q96" i="154"/>
  <c r="P96" i="154"/>
  <c r="O96" i="154"/>
  <c r="N96" i="154"/>
  <c r="M96" i="154"/>
  <c r="L96" i="154"/>
  <c r="K96" i="154"/>
  <c r="J96" i="154"/>
  <c r="I96" i="154"/>
  <c r="H96" i="154"/>
  <c r="G96" i="154"/>
  <c r="F96" i="154"/>
  <c r="AG95" i="154"/>
  <c r="AF95" i="154"/>
  <c r="AE95" i="154"/>
  <c r="AD95" i="154"/>
  <c r="AC95" i="154"/>
  <c r="AB95" i="154"/>
  <c r="AA95" i="154"/>
  <c r="Z95" i="154"/>
  <c r="Y95" i="154"/>
  <c r="X95" i="154"/>
  <c r="W95" i="154"/>
  <c r="V95" i="154"/>
  <c r="U95" i="154"/>
  <c r="T95" i="154"/>
  <c r="S95" i="154"/>
  <c r="R95" i="154"/>
  <c r="Q95" i="154"/>
  <c r="P95" i="154"/>
  <c r="O95" i="154"/>
  <c r="N95" i="154"/>
  <c r="M95" i="154"/>
  <c r="L95" i="154"/>
  <c r="K95" i="154"/>
  <c r="J95" i="154"/>
  <c r="I95" i="154"/>
  <c r="H95" i="154"/>
  <c r="G95" i="154"/>
  <c r="F95" i="154"/>
  <c r="AK94" i="154"/>
  <c r="AJ94" i="154"/>
  <c r="AI94" i="154"/>
  <c r="AH94" i="154"/>
  <c r="AG94" i="154"/>
  <c r="AF94" i="154"/>
  <c r="AE94" i="154"/>
  <c r="AD94" i="154"/>
  <c r="AC94" i="154"/>
  <c r="AB94" i="154"/>
  <c r="AA94" i="154"/>
  <c r="Z94" i="154"/>
  <c r="Y94" i="154"/>
  <c r="X94" i="154"/>
  <c r="W94" i="154"/>
  <c r="V94" i="154"/>
  <c r="U94" i="154"/>
  <c r="T94" i="154"/>
  <c r="S94" i="154"/>
  <c r="R94" i="154"/>
  <c r="Q94" i="154"/>
  <c r="P94" i="154"/>
  <c r="O94" i="154"/>
  <c r="N94" i="154"/>
  <c r="M94" i="154"/>
  <c r="L94" i="154"/>
  <c r="K94" i="154"/>
  <c r="J94" i="154"/>
  <c r="I94" i="154"/>
  <c r="H94" i="154"/>
  <c r="AK93" i="154"/>
  <c r="AJ93" i="154"/>
  <c r="AI93" i="154"/>
  <c r="AH93" i="154"/>
  <c r="AG93" i="154"/>
  <c r="AF93" i="154"/>
  <c r="AE93" i="154"/>
  <c r="AD93" i="154"/>
  <c r="AC93" i="154"/>
  <c r="AB93" i="154"/>
  <c r="AA93" i="154"/>
  <c r="Z93" i="154"/>
  <c r="Y93" i="154"/>
  <c r="X93" i="154"/>
  <c r="W93" i="154"/>
  <c r="V93" i="154"/>
  <c r="U93" i="154"/>
  <c r="T93" i="154"/>
  <c r="S93" i="154"/>
  <c r="R93" i="154"/>
  <c r="Q93" i="154"/>
  <c r="P93" i="154"/>
  <c r="O93" i="154"/>
  <c r="N93" i="154"/>
  <c r="M93" i="154"/>
  <c r="L93" i="154"/>
  <c r="K93" i="154"/>
  <c r="J93" i="154"/>
  <c r="I93" i="154"/>
  <c r="AK92" i="154"/>
  <c r="AJ92" i="154"/>
  <c r="AG92" i="154"/>
  <c r="AF92" i="154"/>
  <c r="AC92" i="154"/>
  <c r="AB92" i="154"/>
  <c r="AA92" i="154"/>
  <c r="Z92" i="154"/>
  <c r="Y92" i="154"/>
  <c r="X92" i="154"/>
  <c r="W92" i="154"/>
  <c r="V92" i="154"/>
  <c r="U92" i="154"/>
  <c r="T92" i="154"/>
  <c r="S92" i="154"/>
  <c r="R92" i="154"/>
  <c r="Q92" i="154"/>
  <c r="P92" i="154"/>
  <c r="O92" i="154"/>
  <c r="N92" i="154"/>
  <c r="M92" i="154"/>
  <c r="L92" i="154"/>
  <c r="K92" i="154"/>
  <c r="J92" i="154"/>
  <c r="I92" i="154"/>
  <c r="H92" i="154"/>
  <c r="G92" i="154"/>
  <c r="F92" i="154"/>
  <c r="AK91" i="154"/>
  <c r="AG91" i="154"/>
  <c r="AC91" i="154"/>
  <c r="AB91" i="154"/>
  <c r="AA91" i="154"/>
  <c r="Z91" i="154"/>
  <c r="Y91" i="154"/>
  <c r="X91" i="154"/>
  <c r="W91" i="154"/>
  <c r="V91" i="154"/>
  <c r="U91" i="154"/>
  <c r="T91" i="154"/>
  <c r="S91" i="154"/>
  <c r="R91" i="154"/>
  <c r="Q91" i="154"/>
  <c r="P91" i="154"/>
  <c r="O91" i="154"/>
  <c r="N91" i="154"/>
  <c r="M91" i="154"/>
  <c r="L91" i="154"/>
  <c r="K91" i="154"/>
  <c r="J91" i="154"/>
  <c r="I91" i="154"/>
  <c r="H91" i="154"/>
  <c r="G91" i="154"/>
  <c r="F91" i="154"/>
  <c r="AG90" i="154"/>
  <c r="AF90" i="154"/>
  <c r="AE90" i="154"/>
  <c r="AD90" i="154"/>
  <c r="AC90" i="154"/>
  <c r="AB90" i="154"/>
  <c r="AA90" i="154"/>
  <c r="Z90" i="154"/>
  <c r="Y90" i="154"/>
  <c r="X90" i="154"/>
  <c r="W90" i="154"/>
  <c r="V90" i="154"/>
  <c r="U90" i="154"/>
  <c r="T90" i="154"/>
  <c r="S90" i="154"/>
  <c r="R90" i="154"/>
  <c r="Q90" i="154"/>
  <c r="P90" i="154"/>
  <c r="O90" i="154"/>
  <c r="N90" i="154"/>
  <c r="M90" i="154"/>
  <c r="L90" i="154"/>
  <c r="K90" i="154"/>
  <c r="J90" i="154"/>
  <c r="I90" i="154"/>
  <c r="H90" i="154"/>
  <c r="G90" i="154"/>
  <c r="F90" i="154"/>
  <c r="AK89" i="154"/>
  <c r="AJ89" i="154"/>
  <c r="AI89" i="154"/>
  <c r="AH89" i="154"/>
  <c r="AC89" i="154"/>
  <c r="AB89" i="154"/>
  <c r="AA89" i="154"/>
  <c r="Z89" i="154"/>
  <c r="Y89" i="154"/>
  <c r="X89" i="154"/>
  <c r="W89" i="154"/>
  <c r="V89" i="154"/>
  <c r="U89" i="154"/>
  <c r="T89" i="154"/>
  <c r="S89" i="154"/>
  <c r="R89" i="154"/>
  <c r="Q89" i="154"/>
  <c r="P89" i="154"/>
  <c r="O89" i="154"/>
  <c r="N89" i="154"/>
  <c r="M89" i="154"/>
  <c r="L89" i="154"/>
  <c r="K89" i="154"/>
  <c r="J89" i="154"/>
  <c r="I89" i="154"/>
  <c r="H89" i="154"/>
  <c r="G89" i="154"/>
  <c r="F89" i="154"/>
  <c r="AK88" i="154"/>
  <c r="AJ88" i="154"/>
  <c r="AI88" i="154"/>
  <c r="AH88" i="154"/>
  <c r="AG88" i="154"/>
  <c r="AF88" i="154"/>
  <c r="AC88" i="154"/>
  <c r="AB88" i="154"/>
  <c r="Y88" i="154"/>
  <c r="X88" i="154"/>
  <c r="W88" i="154"/>
  <c r="V88" i="154"/>
  <c r="U88" i="154"/>
  <c r="T88" i="154"/>
  <c r="S88" i="154"/>
  <c r="R88" i="154"/>
  <c r="Q88" i="154"/>
  <c r="P88" i="154"/>
  <c r="O88" i="154"/>
  <c r="N88" i="154"/>
  <c r="M88" i="154"/>
  <c r="L88" i="154"/>
  <c r="K88" i="154"/>
  <c r="J88" i="154"/>
  <c r="I88" i="154"/>
  <c r="H88" i="154"/>
  <c r="G88" i="154"/>
  <c r="F88" i="154"/>
  <c r="AK87" i="154"/>
  <c r="AJ87" i="154"/>
  <c r="AI87" i="154"/>
  <c r="AH87" i="154"/>
  <c r="AG87" i="154"/>
  <c r="AC87" i="154"/>
  <c r="Y87" i="154"/>
  <c r="X87" i="154"/>
  <c r="W87" i="154"/>
  <c r="V87" i="154"/>
  <c r="U87" i="154"/>
  <c r="T87" i="154"/>
  <c r="S87" i="154"/>
  <c r="R87" i="154"/>
  <c r="Q87" i="154"/>
  <c r="P87" i="154"/>
  <c r="O87" i="154"/>
  <c r="N87" i="154"/>
  <c r="M87" i="154"/>
  <c r="L87" i="154"/>
  <c r="K87" i="154"/>
  <c r="J87" i="154"/>
  <c r="I87" i="154"/>
  <c r="H87" i="154"/>
  <c r="G87" i="154"/>
  <c r="F87" i="154"/>
  <c r="AK86" i="154"/>
  <c r="AJ86" i="154"/>
  <c r="AI86" i="154"/>
  <c r="AH86" i="154"/>
  <c r="AC86" i="154"/>
  <c r="AB86" i="154"/>
  <c r="AA86" i="154"/>
  <c r="Z86" i="154"/>
  <c r="Y86" i="154"/>
  <c r="X86" i="154"/>
  <c r="W86" i="154"/>
  <c r="V86" i="154"/>
  <c r="U86" i="154"/>
  <c r="T86" i="154"/>
  <c r="S86" i="154"/>
  <c r="R86" i="154"/>
  <c r="Q86" i="154"/>
  <c r="P86" i="154"/>
  <c r="O86" i="154"/>
  <c r="N86" i="154"/>
  <c r="M86" i="154"/>
  <c r="L86" i="154"/>
  <c r="K86" i="154"/>
  <c r="J86" i="154"/>
  <c r="I86" i="154"/>
  <c r="H86" i="154"/>
  <c r="G86" i="154"/>
  <c r="F86" i="154"/>
  <c r="AK85" i="154"/>
  <c r="AJ85" i="154"/>
  <c r="AI85" i="154"/>
  <c r="AH85" i="154"/>
  <c r="AG85" i="154"/>
  <c r="AF85" i="154"/>
  <c r="AE85" i="154"/>
  <c r="AD85" i="154"/>
  <c r="Y85" i="154"/>
  <c r="X85" i="154"/>
  <c r="W85" i="154"/>
  <c r="V85" i="154"/>
  <c r="U85" i="154"/>
  <c r="T85" i="154"/>
  <c r="S85" i="154"/>
  <c r="R85" i="154"/>
  <c r="Q85" i="154"/>
  <c r="P85" i="154"/>
  <c r="O85" i="154"/>
  <c r="N85" i="154"/>
  <c r="M85" i="154"/>
  <c r="L85" i="154"/>
  <c r="K85" i="154"/>
  <c r="J85" i="154"/>
  <c r="I85" i="154"/>
  <c r="H85" i="154"/>
  <c r="G85" i="154"/>
  <c r="F85" i="154"/>
  <c r="AK84" i="154"/>
  <c r="AJ84" i="154"/>
  <c r="AI84" i="154"/>
  <c r="AH84" i="154"/>
  <c r="AG84" i="154"/>
  <c r="AF84" i="154"/>
  <c r="AE84" i="154"/>
  <c r="AD84" i="154"/>
  <c r="AC84" i="154"/>
  <c r="AB84" i="154"/>
  <c r="Y84" i="154"/>
  <c r="X84" i="154"/>
  <c r="U84" i="154"/>
  <c r="T84" i="154"/>
  <c r="S84" i="154"/>
  <c r="R84" i="154"/>
  <c r="Q84" i="154"/>
  <c r="P84" i="154"/>
  <c r="O84" i="154"/>
  <c r="N84" i="154"/>
  <c r="M84" i="154"/>
  <c r="L84" i="154"/>
  <c r="K84" i="154"/>
  <c r="J84" i="154"/>
  <c r="I84" i="154"/>
  <c r="H84" i="154"/>
  <c r="G84" i="154"/>
  <c r="F84" i="154"/>
  <c r="AK83" i="154"/>
  <c r="AJ83" i="154"/>
  <c r="AI83" i="154"/>
  <c r="AH83" i="154"/>
  <c r="AG83" i="154"/>
  <c r="AF83" i="154"/>
  <c r="AE83" i="154"/>
  <c r="AD83" i="154"/>
  <c r="AC83" i="154"/>
  <c r="Y83" i="154"/>
  <c r="U83" i="154"/>
  <c r="T83" i="154"/>
  <c r="S83" i="154"/>
  <c r="R83" i="154"/>
  <c r="Q83" i="154"/>
  <c r="P83" i="154"/>
  <c r="O83" i="154"/>
  <c r="N83" i="154"/>
  <c r="M83" i="154"/>
  <c r="L83" i="154"/>
  <c r="K83" i="154"/>
  <c r="J83" i="154"/>
  <c r="I83" i="154"/>
  <c r="H83" i="154"/>
  <c r="G83" i="154"/>
  <c r="F83" i="154"/>
  <c r="AK82" i="154"/>
  <c r="AJ82" i="154"/>
  <c r="AI82" i="154"/>
  <c r="AH82" i="154"/>
  <c r="AG82" i="154"/>
  <c r="AF82" i="154"/>
  <c r="AE82" i="154"/>
  <c r="AD82" i="154"/>
  <c r="Y82" i="154"/>
  <c r="X82" i="154"/>
  <c r="W82" i="154"/>
  <c r="V82" i="154"/>
  <c r="U82" i="154"/>
  <c r="T82" i="154"/>
  <c r="S82" i="154"/>
  <c r="R82" i="154"/>
  <c r="Q82" i="154"/>
  <c r="P82" i="154"/>
  <c r="O82" i="154"/>
  <c r="N82" i="154"/>
  <c r="M82" i="154"/>
  <c r="L82" i="154"/>
  <c r="K82" i="154"/>
  <c r="J82" i="154"/>
  <c r="I82" i="154"/>
  <c r="H82" i="154"/>
  <c r="G82" i="154"/>
  <c r="F82" i="154"/>
  <c r="AK81" i="154"/>
  <c r="AJ81" i="154"/>
  <c r="AI81" i="154"/>
  <c r="AH81" i="154"/>
  <c r="AG81" i="154"/>
  <c r="AF81" i="154"/>
  <c r="AE81" i="154"/>
  <c r="AD81" i="154"/>
  <c r="AC81" i="154"/>
  <c r="AB81" i="154"/>
  <c r="AA81" i="154"/>
  <c r="Z81" i="154"/>
  <c r="U81" i="154"/>
  <c r="T81" i="154"/>
  <c r="S81" i="154"/>
  <c r="R81" i="154"/>
  <c r="Q81" i="154"/>
  <c r="P81" i="154"/>
  <c r="O81" i="154"/>
  <c r="N81" i="154"/>
  <c r="M81" i="154"/>
  <c r="L81" i="154"/>
  <c r="K81" i="154"/>
  <c r="J81" i="154"/>
  <c r="I81" i="154"/>
  <c r="H81" i="154"/>
  <c r="G81" i="154"/>
  <c r="F81" i="154"/>
  <c r="AK80" i="154"/>
  <c r="AJ80" i="154"/>
  <c r="AI80" i="154"/>
  <c r="AH80" i="154"/>
  <c r="AG80" i="154"/>
  <c r="AF80" i="154"/>
  <c r="AE80" i="154"/>
  <c r="AD80" i="154"/>
  <c r="AC80" i="154"/>
  <c r="AB80" i="154"/>
  <c r="AA80" i="154"/>
  <c r="Z80" i="154"/>
  <c r="Y80" i="154"/>
  <c r="X80" i="154"/>
  <c r="U80" i="154"/>
  <c r="T80" i="154"/>
  <c r="Q80" i="154"/>
  <c r="P80" i="154"/>
  <c r="O80" i="154"/>
  <c r="N80" i="154"/>
  <c r="M80" i="154"/>
  <c r="L80" i="154"/>
  <c r="K80" i="154"/>
  <c r="J80" i="154"/>
  <c r="I80" i="154"/>
  <c r="H80" i="154"/>
  <c r="G80" i="154"/>
  <c r="F80" i="154"/>
  <c r="AK79" i="154"/>
  <c r="AJ79" i="154"/>
  <c r="AI79" i="154"/>
  <c r="AH79" i="154"/>
  <c r="AG79" i="154"/>
  <c r="AF79" i="154"/>
  <c r="AE79" i="154"/>
  <c r="AD79" i="154"/>
  <c r="AC79" i="154"/>
  <c r="AB79" i="154"/>
  <c r="AA79" i="154"/>
  <c r="Z79" i="154"/>
  <c r="Y79" i="154"/>
  <c r="U79" i="154"/>
  <c r="Q79" i="154"/>
  <c r="P79" i="154"/>
  <c r="O79" i="154"/>
  <c r="N79" i="154"/>
  <c r="M79" i="154"/>
  <c r="L79" i="154"/>
  <c r="K79" i="154"/>
  <c r="J79" i="154"/>
  <c r="I79" i="154"/>
  <c r="H79" i="154"/>
  <c r="G79" i="154"/>
  <c r="F79" i="154"/>
  <c r="AK78" i="154"/>
  <c r="AJ78" i="154"/>
  <c r="AI78" i="154"/>
  <c r="AH78" i="154"/>
  <c r="AG78" i="154"/>
  <c r="AF78" i="154"/>
  <c r="AE78" i="154"/>
  <c r="AD78" i="154"/>
  <c r="AC78" i="154"/>
  <c r="AB78" i="154"/>
  <c r="AA78" i="154"/>
  <c r="Z78" i="154"/>
  <c r="U78" i="154"/>
  <c r="T78" i="154"/>
  <c r="S78" i="154"/>
  <c r="R78" i="154"/>
  <c r="Q78" i="154"/>
  <c r="P78" i="154"/>
  <c r="O78" i="154"/>
  <c r="N78" i="154"/>
  <c r="M78" i="154"/>
  <c r="L78" i="154"/>
  <c r="K78" i="154"/>
  <c r="J78" i="154"/>
  <c r="I78" i="154"/>
  <c r="H78" i="154"/>
  <c r="G78" i="154"/>
  <c r="F78" i="154"/>
  <c r="AK77" i="154"/>
  <c r="AJ77" i="154"/>
  <c r="AI77" i="154"/>
  <c r="AH77" i="154"/>
  <c r="AG77" i="154"/>
  <c r="AF77" i="154"/>
  <c r="AE77" i="154"/>
  <c r="AD77" i="154"/>
  <c r="AC77" i="154"/>
  <c r="AB77" i="154"/>
  <c r="AA77" i="154"/>
  <c r="Z77" i="154"/>
  <c r="Y77" i="154"/>
  <c r="X77" i="154"/>
  <c r="W77" i="154"/>
  <c r="V77" i="154"/>
  <c r="Q77" i="154"/>
  <c r="P77" i="154"/>
  <c r="O77" i="154"/>
  <c r="N77" i="154"/>
  <c r="M77" i="154"/>
  <c r="L77" i="154"/>
  <c r="K77" i="154"/>
  <c r="J77" i="154"/>
  <c r="I77" i="154"/>
  <c r="H77" i="154"/>
  <c r="G77" i="154"/>
  <c r="F77" i="154"/>
  <c r="AK76" i="154"/>
  <c r="AJ76" i="154"/>
  <c r="AI76" i="154"/>
  <c r="AH76" i="154"/>
  <c r="AG76" i="154"/>
  <c r="AF76" i="154"/>
  <c r="AE76" i="154"/>
  <c r="AD76" i="154"/>
  <c r="AC76" i="154"/>
  <c r="AB76" i="154"/>
  <c r="AA76" i="154"/>
  <c r="Z76" i="154"/>
  <c r="Y76" i="154"/>
  <c r="X76" i="154"/>
  <c r="W76" i="154"/>
  <c r="V76" i="154"/>
  <c r="U76" i="154"/>
  <c r="T76" i="154"/>
  <c r="Q76" i="154"/>
  <c r="P76" i="154"/>
  <c r="M76" i="154"/>
  <c r="L76" i="154"/>
  <c r="K76" i="154"/>
  <c r="J76" i="154"/>
  <c r="I76" i="154"/>
  <c r="H76" i="154"/>
  <c r="G76" i="154"/>
  <c r="F76" i="154"/>
  <c r="AK75" i="154"/>
  <c r="AJ75" i="154"/>
  <c r="AI75" i="154"/>
  <c r="AH75" i="154"/>
  <c r="AG75" i="154"/>
  <c r="AF75" i="154"/>
  <c r="AE75" i="154"/>
  <c r="AD75" i="154"/>
  <c r="AC75" i="154"/>
  <c r="AB75" i="154"/>
  <c r="AA75" i="154"/>
  <c r="Z75" i="154"/>
  <c r="Y75" i="154"/>
  <c r="X75" i="154"/>
  <c r="W75" i="154"/>
  <c r="V75" i="154"/>
  <c r="U75" i="154"/>
  <c r="Q75" i="154"/>
  <c r="M75" i="154"/>
  <c r="L75" i="154"/>
  <c r="K75" i="154"/>
  <c r="J75" i="154"/>
  <c r="I75" i="154"/>
  <c r="H75" i="154"/>
  <c r="G75" i="154"/>
  <c r="F75" i="154"/>
  <c r="AK74" i="154"/>
  <c r="AJ74" i="154"/>
  <c r="AI74" i="154"/>
  <c r="AH74" i="154"/>
  <c r="AG74" i="154"/>
  <c r="AF74" i="154"/>
  <c r="AE74" i="154"/>
  <c r="AD74" i="154"/>
  <c r="AC74" i="154"/>
  <c r="AB74" i="154"/>
  <c r="AA74" i="154"/>
  <c r="Z74" i="154"/>
  <c r="Y74" i="154"/>
  <c r="X74" i="154"/>
  <c r="W74" i="154"/>
  <c r="V74" i="154"/>
  <c r="Q74" i="154"/>
  <c r="P74" i="154"/>
  <c r="O74" i="154"/>
  <c r="N74" i="154"/>
  <c r="M74" i="154"/>
  <c r="L74" i="154"/>
  <c r="K74" i="154"/>
  <c r="J74" i="154"/>
  <c r="I74" i="154"/>
  <c r="H74" i="154"/>
  <c r="G74" i="154"/>
  <c r="F74" i="154"/>
  <c r="AK73" i="154"/>
  <c r="AJ73" i="154"/>
  <c r="AI73" i="154"/>
  <c r="AH73" i="154"/>
  <c r="AG73" i="154"/>
  <c r="AF73" i="154"/>
  <c r="AE73" i="154"/>
  <c r="AD73" i="154"/>
  <c r="AC73" i="154"/>
  <c r="AB73" i="154"/>
  <c r="AA73" i="154"/>
  <c r="Z73" i="154"/>
  <c r="Y73" i="154"/>
  <c r="X73" i="154"/>
  <c r="W73" i="154"/>
  <c r="V73" i="154"/>
  <c r="U73" i="154"/>
  <c r="T73" i="154"/>
  <c r="S73" i="154"/>
  <c r="R73" i="154"/>
  <c r="M73" i="154"/>
  <c r="L73" i="154"/>
  <c r="K73" i="154"/>
  <c r="J73" i="154"/>
  <c r="I73" i="154"/>
  <c r="H73" i="154"/>
  <c r="G73" i="154"/>
  <c r="F73" i="154"/>
  <c r="AK72" i="154"/>
  <c r="AJ72" i="154"/>
  <c r="AI72" i="154"/>
  <c r="AH72" i="154"/>
  <c r="AG72" i="154"/>
  <c r="AF72" i="154"/>
  <c r="AE72" i="154"/>
  <c r="AD72" i="154"/>
  <c r="AC72" i="154"/>
  <c r="AB72" i="154"/>
  <c r="AA72" i="154"/>
  <c r="Z72" i="154"/>
  <c r="Y72" i="154"/>
  <c r="X72" i="154"/>
  <c r="W72" i="154"/>
  <c r="V72" i="154"/>
  <c r="U72" i="154"/>
  <c r="T72" i="154"/>
  <c r="S72" i="154"/>
  <c r="R72" i="154"/>
  <c r="Q72" i="154"/>
  <c r="P72" i="154"/>
  <c r="M72" i="154"/>
  <c r="L72" i="154"/>
  <c r="I72" i="154"/>
  <c r="H72" i="154"/>
  <c r="G72" i="154"/>
  <c r="F72" i="154"/>
  <c r="AK71" i="154"/>
  <c r="AJ71" i="154"/>
  <c r="AI71" i="154"/>
  <c r="AH71" i="154"/>
  <c r="AG71" i="154"/>
  <c r="AF71" i="154"/>
  <c r="AE71" i="154"/>
  <c r="AD71" i="154"/>
  <c r="AC71" i="154"/>
  <c r="AB71" i="154"/>
  <c r="AA71" i="154"/>
  <c r="Z71" i="154"/>
  <c r="Y71" i="154"/>
  <c r="X71" i="154"/>
  <c r="W71" i="154"/>
  <c r="V71" i="154"/>
  <c r="U71" i="154"/>
  <c r="T71" i="154"/>
  <c r="S71" i="154"/>
  <c r="R71" i="154"/>
  <c r="Q71" i="154"/>
  <c r="M71" i="154"/>
  <c r="I71" i="154"/>
  <c r="H71" i="154"/>
  <c r="G71" i="154"/>
  <c r="F71" i="154"/>
  <c r="AK70" i="154"/>
  <c r="AJ70" i="154"/>
  <c r="AI70" i="154"/>
  <c r="AH70" i="154"/>
  <c r="AG70" i="154"/>
  <c r="AF70" i="154"/>
  <c r="AE70" i="154"/>
  <c r="AD70" i="154"/>
  <c r="AC70" i="154"/>
  <c r="AB70" i="154"/>
  <c r="AA70" i="154"/>
  <c r="Z70" i="154"/>
  <c r="Y70" i="154"/>
  <c r="X70" i="154"/>
  <c r="W70" i="154"/>
  <c r="V70" i="154"/>
  <c r="U70" i="154"/>
  <c r="T70" i="154"/>
  <c r="S70" i="154"/>
  <c r="R70" i="154"/>
  <c r="M70" i="154"/>
  <c r="L70" i="154"/>
  <c r="K70" i="154"/>
  <c r="J70" i="154"/>
  <c r="I70" i="154"/>
  <c r="H70" i="154"/>
  <c r="G70" i="154"/>
  <c r="F70" i="154"/>
  <c r="AK69" i="154"/>
  <c r="AJ69" i="154"/>
  <c r="AI69" i="154"/>
  <c r="AH69" i="154"/>
  <c r="AG69" i="154"/>
  <c r="AF69" i="154"/>
  <c r="AE69" i="154"/>
  <c r="AD69" i="154"/>
  <c r="AC69" i="154"/>
  <c r="AB69" i="154"/>
  <c r="AA69" i="154"/>
  <c r="Z69" i="154"/>
  <c r="Y69" i="154"/>
  <c r="X69" i="154"/>
  <c r="W69" i="154"/>
  <c r="V69" i="154"/>
  <c r="U69" i="154"/>
  <c r="T69" i="154"/>
  <c r="S69" i="154"/>
  <c r="R69" i="154"/>
  <c r="Q69" i="154"/>
  <c r="P69" i="154"/>
  <c r="O69" i="154"/>
  <c r="N69" i="154"/>
  <c r="I69" i="154"/>
  <c r="H69" i="154"/>
  <c r="G69" i="154"/>
  <c r="F69" i="154"/>
  <c r="AK68" i="154"/>
  <c r="AJ68" i="154"/>
  <c r="AI68" i="154"/>
  <c r="AH68" i="154"/>
  <c r="AG68" i="154"/>
  <c r="AF68" i="154"/>
  <c r="AE68" i="154"/>
  <c r="AD68" i="154"/>
  <c r="AC68" i="154"/>
  <c r="AB68" i="154"/>
  <c r="AA68" i="154"/>
  <c r="Z68" i="154"/>
  <c r="Y68" i="154"/>
  <c r="X68" i="154"/>
  <c r="W68" i="154"/>
  <c r="V68" i="154"/>
  <c r="U68" i="154"/>
  <c r="T68" i="154"/>
  <c r="S68" i="154"/>
  <c r="R68" i="154"/>
  <c r="Q68" i="154"/>
  <c r="P68" i="154"/>
  <c r="O68" i="154"/>
  <c r="N68" i="154"/>
  <c r="M68" i="154"/>
  <c r="L68" i="154"/>
  <c r="I68" i="154"/>
  <c r="H68" i="154"/>
  <c r="AK67" i="154"/>
  <c r="AJ67" i="154"/>
  <c r="AI67" i="154"/>
  <c r="AH67" i="154"/>
  <c r="AG67" i="154"/>
  <c r="AF67" i="154"/>
  <c r="AE67" i="154"/>
  <c r="AD67" i="154"/>
  <c r="AC67" i="154"/>
  <c r="AB67" i="154"/>
  <c r="AA67" i="154"/>
  <c r="Z67" i="154"/>
  <c r="Y67" i="154"/>
  <c r="X67" i="154"/>
  <c r="W67" i="154"/>
  <c r="V67" i="154"/>
  <c r="U67" i="154"/>
  <c r="T67" i="154"/>
  <c r="S67" i="154"/>
  <c r="R67" i="154"/>
  <c r="Q67" i="154"/>
  <c r="P67" i="154"/>
  <c r="O67" i="154"/>
  <c r="N67" i="154"/>
  <c r="M67" i="154"/>
  <c r="I67" i="154"/>
  <c r="AK66" i="154"/>
  <c r="AJ66" i="154"/>
  <c r="AI66" i="154"/>
  <c r="AH66" i="154"/>
  <c r="AG66" i="154"/>
  <c r="AF66" i="154"/>
  <c r="AE66" i="154"/>
  <c r="AD66" i="154"/>
  <c r="AC66" i="154"/>
  <c r="AB66" i="154"/>
  <c r="AA66" i="154"/>
  <c r="Z66" i="154"/>
  <c r="Y66" i="154"/>
  <c r="X66" i="154"/>
  <c r="W66" i="154"/>
  <c r="V66" i="154"/>
  <c r="U66" i="154"/>
  <c r="T66" i="154"/>
  <c r="S66" i="154"/>
  <c r="R66" i="154"/>
  <c r="Q66" i="154"/>
  <c r="P66" i="154"/>
  <c r="O66" i="154"/>
  <c r="N66" i="154"/>
  <c r="I66" i="154"/>
  <c r="H66" i="154"/>
  <c r="G66" i="154"/>
  <c r="F66" i="154"/>
  <c r="AK65" i="154"/>
  <c r="AJ65" i="154"/>
  <c r="AI65" i="154"/>
  <c r="AH65" i="154"/>
  <c r="AG65" i="154"/>
  <c r="AF65" i="154"/>
  <c r="AE65" i="154"/>
  <c r="AD65" i="154"/>
  <c r="AC65" i="154"/>
  <c r="AB65" i="154"/>
  <c r="AA65" i="154"/>
  <c r="Z65" i="154"/>
  <c r="Y65" i="154"/>
  <c r="X65" i="154"/>
  <c r="W65" i="154"/>
  <c r="V65" i="154"/>
  <c r="U65" i="154"/>
  <c r="T65" i="154"/>
  <c r="S65" i="154"/>
  <c r="R65" i="154"/>
  <c r="Q65" i="154"/>
  <c r="P65" i="154"/>
  <c r="O65" i="154"/>
  <c r="N65" i="154"/>
  <c r="M65" i="154"/>
  <c r="L65" i="154"/>
  <c r="K65" i="154"/>
  <c r="J65" i="154"/>
  <c r="AM59" i="154"/>
  <c r="AI59" i="154"/>
  <c r="AI96" i="154" s="1"/>
  <c r="AH59" i="154"/>
  <c r="AH96" i="154" s="1"/>
  <c r="B59" i="154"/>
  <c r="AM58" i="154"/>
  <c r="AK58" i="154"/>
  <c r="AK95" i="154" s="1"/>
  <c r="AJ58" i="154"/>
  <c r="AJ95" i="154" s="1"/>
  <c r="AI58" i="154"/>
  <c r="AI95" i="154" s="1"/>
  <c r="AH58" i="154"/>
  <c r="AH95" i="154" s="1"/>
  <c r="C58" i="154"/>
  <c r="B58" i="154"/>
  <c r="G57" i="154"/>
  <c r="G94" i="154" s="1"/>
  <c r="F57" i="154"/>
  <c r="F94" i="154" s="1"/>
  <c r="B57" i="154"/>
  <c r="H56" i="154"/>
  <c r="H93" i="154" s="1"/>
  <c r="G56" i="154"/>
  <c r="G93" i="154" s="1"/>
  <c r="F56" i="154"/>
  <c r="F93" i="154" s="1"/>
  <c r="C56" i="154"/>
  <c r="B56" i="154"/>
  <c r="AM55" i="154"/>
  <c r="AI55" i="154"/>
  <c r="AI92" i="154" s="1"/>
  <c r="AH55" i="154"/>
  <c r="AH92" i="154" s="1"/>
  <c r="AE55" i="154"/>
  <c r="AE92" i="154" s="1"/>
  <c r="AD55" i="154"/>
  <c r="AD92" i="154" s="1"/>
  <c r="B55" i="154"/>
  <c r="AM54" i="154"/>
  <c r="AJ54" i="154"/>
  <c r="AJ91" i="154" s="1"/>
  <c r="AI54" i="154"/>
  <c r="AI91" i="154" s="1"/>
  <c r="AH54" i="154"/>
  <c r="AH91" i="154" s="1"/>
  <c r="AF54" i="154"/>
  <c r="AF91" i="154" s="1"/>
  <c r="AE54" i="154"/>
  <c r="AE91" i="154" s="1"/>
  <c r="AD54" i="154"/>
  <c r="AD91" i="154" s="1"/>
  <c r="B54" i="154"/>
  <c r="AM53" i="154"/>
  <c r="AK53" i="154"/>
  <c r="AK90" i="154" s="1"/>
  <c r="AJ53" i="154"/>
  <c r="AJ90" i="154" s="1"/>
  <c r="AI53" i="154"/>
  <c r="AI90" i="154" s="1"/>
  <c r="AH53" i="154"/>
  <c r="AH90" i="154" s="1"/>
  <c r="C53" i="154"/>
  <c r="B53" i="154"/>
  <c r="AM52" i="154"/>
  <c r="AG52" i="154"/>
  <c r="AG89" i="154" s="1"/>
  <c r="AF52" i="154"/>
  <c r="AF89" i="154" s="1"/>
  <c r="AE52" i="154"/>
  <c r="AE89" i="154" s="1"/>
  <c r="AD52" i="154"/>
  <c r="AD89" i="154" s="1"/>
  <c r="C52" i="154"/>
  <c r="B52" i="154"/>
  <c r="AM51" i="154"/>
  <c r="AE51" i="154"/>
  <c r="AE88" i="154" s="1"/>
  <c r="AD51" i="154"/>
  <c r="AD88" i="154" s="1"/>
  <c r="AA51" i="154"/>
  <c r="AA88" i="154" s="1"/>
  <c r="Z51" i="154"/>
  <c r="Z88" i="154" s="1"/>
  <c r="B51" i="154"/>
  <c r="AM50" i="154"/>
  <c r="AF50" i="154"/>
  <c r="AF87" i="154" s="1"/>
  <c r="AE50" i="154"/>
  <c r="AE87" i="154" s="1"/>
  <c r="AD50" i="154"/>
  <c r="AD87" i="154" s="1"/>
  <c r="AB50" i="154"/>
  <c r="AB87" i="154" s="1"/>
  <c r="AA50" i="154"/>
  <c r="AA87" i="154" s="1"/>
  <c r="Z50" i="154"/>
  <c r="Z87" i="154" s="1"/>
  <c r="B50" i="154"/>
  <c r="AM49" i="154"/>
  <c r="AG49" i="154"/>
  <c r="AG86" i="154" s="1"/>
  <c r="AF49" i="154"/>
  <c r="AF86" i="154" s="1"/>
  <c r="AE49" i="154"/>
  <c r="AE86" i="154" s="1"/>
  <c r="AD49" i="154"/>
  <c r="AD86" i="154" s="1"/>
  <c r="C49" i="154"/>
  <c r="B49" i="154"/>
  <c r="AM48" i="154"/>
  <c r="AC48" i="154"/>
  <c r="AC85" i="154" s="1"/>
  <c r="AB48" i="154"/>
  <c r="AB85" i="154" s="1"/>
  <c r="AA48" i="154"/>
  <c r="AA85" i="154" s="1"/>
  <c r="Z48" i="154"/>
  <c r="Z85" i="154" s="1"/>
  <c r="C48" i="154"/>
  <c r="B48" i="154"/>
  <c r="AM38" i="154"/>
  <c r="T38" i="154"/>
  <c r="T75" i="154" s="1"/>
  <c r="D38" i="154"/>
  <c r="B38" i="154" s="1"/>
  <c r="AM35" i="154"/>
  <c r="N35" i="154"/>
  <c r="N72" i="154" s="1"/>
  <c r="D35" i="154"/>
  <c r="K35" i="154" s="1"/>
  <c r="K72" i="154" s="1"/>
  <c r="B35" i="154"/>
  <c r="AM34" i="154"/>
  <c r="N34" i="154"/>
  <c r="N71" i="154" s="1"/>
  <c r="D34" i="154"/>
  <c r="B34" i="154"/>
  <c r="AM33" i="154"/>
  <c r="P33" i="154"/>
  <c r="P70" i="154" s="1"/>
  <c r="D33" i="154"/>
  <c r="O33" i="154" s="1"/>
  <c r="O70" i="154" s="1"/>
  <c r="C33" i="154"/>
  <c r="B33" i="154"/>
  <c r="D32" i="154"/>
  <c r="L32" i="154" s="1"/>
  <c r="L69" i="154" s="1"/>
  <c r="C32" i="154"/>
  <c r="B32" i="154"/>
  <c r="AM31" i="154"/>
  <c r="K31" i="154"/>
  <c r="K68" i="154" s="1"/>
  <c r="J31" i="154"/>
  <c r="J68" i="154" s="1"/>
  <c r="G31" i="154"/>
  <c r="G68" i="154" s="1"/>
  <c r="F31" i="154"/>
  <c r="F68" i="154" s="1"/>
  <c r="B31" i="154"/>
  <c r="AM30" i="154"/>
  <c r="L30" i="154"/>
  <c r="L67" i="154" s="1"/>
  <c r="K30" i="154"/>
  <c r="K67" i="154" s="1"/>
  <c r="J30" i="154"/>
  <c r="J67" i="154" s="1"/>
  <c r="H30" i="154"/>
  <c r="H67" i="154" s="1"/>
  <c r="G30" i="154"/>
  <c r="G67" i="154" s="1"/>
  <c r="F30" i="154"/>
  <c r="F67" i="154" s="1"/>
  <c r="B30" i="154"/>
  <c r="AM29" i="154"/>
  <c r="M29" i="154"/>
  <c r="M66" i="154" s="1"/>
  <c r="L29" i="154"/>
  <c r="L66" i="154" s="1"/>
  <c r="K29" i="154"/>
  <c r="K66" i="154" s="1"/>
  <c r="J29" i="154"/>
  <c r="J66" i="154" s="1"/>
  <c r="C29" i="154"/>
  <c r="B29" i="154"/>
  <c r="AM28" i="154"/>
  <c r="I28" i="154"/>
  <c r="I65" i="154" s="1"/>
  <c r="H28" i="154"/>
  <c r="H65" i="154" s="1"/>
  <c r="G28" i="154"/>
  <c r="G65" i="154" s="1"/>
  <c r="F28" i="154"/>
  <c r="F65" i="154" s="1"/>
  <c r="C28" i="154"/>
  <c r="B28" i="154"/>
  <c r="AK96" i="153"/>
  <c r="AJ96" i="153"/>
  <c r="AG96" i="153"/>
  <c r="AF96" i="153"/>
  <c r="AE96" i="153"/>
  <c r="AD96" i="153"/>
  <c r="AC96" i="153"/>
  <c r="AB96" i="153"/>
  <c r="AA96" i="153"/>
  <c r="Z96" i="153"/>
  <c r="Y96" i="153"/>
  <c r="X96" i="153"/>
  <c r="W96" i="153"/>
  <c r="V96" i="153"/>
  <c r="U96" i="153"/>
  <c r="T96" i="153"/>
  <c r="S96" i="153"/>
  <c r="R96" i="153"/>
  <c r="Q96" i="153"/>
  <c r="P96" i="153"/>
  <c r="O96" i="153"/>
  <c r="N96" i="153"/>
  <c r="M96" i="153"/>
  <c r="L96" i="153"/>
  <c r="K96" i="153"/>
  <c r="J96" i="153"/>
  <c r="I96" i="153"/>
  <c r="H96" i="153"/>
  <c r="G96" i="153"/>
  <c r="F96" i="153"/>
  <c r="AG95" i="153"/>
  <c r="AF95" i="153"/>
  <c r="AE95" i="153"/>
  <c r="AD95" i="153"/>
  <c r="AC95" i="153"/>
  <c r="AB95" i="153"/>
  <c r="AA95" i="153"/>
  <c r="Z95" i="153"/>
  <c r="Y95" i="153"/>
  <c r="X95" i="153"/>
  <c r="W95" i="153"/>
  <c r="V95" i="153"/>
  <c r="U95" i="153"/>
  <c r="T95" i="153"/>
  <c r="S95" i="153"/>
  <c r="R95" i="153"/>
  <c r="Q95" i="153"/>
  <c r="P95" i="153"/>
  <c r="O95" i="153"/>
  <c r="N95" i="153"/>
  <c r="M95" i="153"/>
  <c r="L95" i="153"/>
  <c r="K95" i="153"/>
  <c r="J95" i="153"/>
  <c r="I95" i="153"/>
  <c r="H95" i="153"/>
  <c r="G95" i="153"/>
  <c r="F95" i="153"/>
  <c r="AK94" i="153"/>
  <c r="AJ94" i="153"/>
  <c r="AI94" i="153"/>
  <c r="AH94" i="153"/>
  <c r="AG94" i="153"/>
  <c r="AF94" i="153"/>
  <c r="AE94" i="153"/>
  <c r="AD94" i="153"/>
  <c r="AC94" i="153"/>
  <c r="AB94" i="153"/>
  <c r="AA94" i="153"/>
  <c r="Z94" i="153"/>
  <c r="Y94" i="153"/>
  <c r="X94" i="153"/>
  <c r="W94" i="153"/>
  <c r="V94" i="153"/>
  <c r="U94" i="153"/>
  <c r="T94" i="153"/>
  <c r="S94" i="153"/>
  <c r="R94" i="153"/>
  <c r="Q94" i="153"/>
  <c r="P94" i="153"/>
  <c r="O94" i="153"/>
  <c r="N94" i="153"/>
  <c r="M94" i="153"/>
  <c r="L94" i="153"/>
  <c r="K94" i="153"/>
  <c r="J94" i="153"/>
  <c r="I94" i="153"/>
  <c r="H94" i="153"/>
  <c r="AK93" i="153"/>
  <c r="AJ93" i="153"/>
  <c r="AI93" i="153"/>
  <c r="AH93" i="153"/>
  <c r="AG93" i="153"/>
  <c r="AF93" i="153"/>
  <c r="AE93" i="153"/>
  <c r="AD93" i="153"/>
  <c r="AC93" i="153"/>
  <c r="AB93" i="153"/>
  <c r="AA93" i="153"/>
  <c r="Z93" i="153"/>
  <c r="Y93" i="153"/>
  <c r="X93" i="153"/>
  <c r="W93" i="153"/>
  <c r="V93" i="153"/>
  <c r="U93" i="153"/>
  <c r="T93" i="153"/>
  <c r="S93" i="153"/>
  <c r="R93" i="153"/>
  <c r="Q93" i="153"/>
  <c r="P93" i="153"/>
  <c r="O93" i="153"/>
  <c r="N93" i="153"/>
  <c r="M93" i="153"/>
  <c r="L93" i="153"/>
  <c r="K93" i="153"/>
  <c r="J93" i="153"/>
  <c r="I93" i="153"/>
  <c r="AK92" i="153"/>
  <c r="AJ92" i="153"/>
  <c r="AG92" i="153"/>
  <c r="AF92" i="153"/>
  <c r="AC92" i="153"/>
  <c r="AB92" i="153"/>
  <c r="AA92" i="153"/>
  <c r="Z92" i="153"/>
  <c r="Y92" i="153"/>
  <c r="X92" i="153"/>
  <c r="W92" i="153"/>
  <c r="V92" i="153"/>
  <c r="U92" i="153"/>
  <c r="T92" i="153"/>
  <c r="S92" i="153"/>
  <c r="R92" i="153"/>
  <c r="Q92" i="153"/>
  <c r="P92" i="153"/>
  <c r="O92" i="153"/>
  <c r="N92" i="153"/>
  <c r="M92" i="153"/>
  <c r="L92" i="153"/>
  <c r="K92" i="153"/>
  <c r="J92" i="153"/>
  <c r="I92" i="153"/>
  <c r="H92" i="153"/>
  <c r="G92" i="153"/>
  <c r="F92" i="153"/>
  <c r="AK91" i="153"/>
  <c r="AG91" i="153"/>
  <c r="AC91" i="153"/>
  <c r="AB91" i="153"/>
  <c r="AA91" i="153"/>
  <c r="Z91" i="153"/>
  <c r="Y91" i="153"/>
  <c r="X91" i="153"/>
  <c r="W91" i="153"/>
  <c r="V91" i="153"/>
  <c r="U91" i="153"/>
  <c r="T91" i="153"/>
  <c r="S91" i="153"/>
  <c r="R91" i="153"/>
  <c r="Q91" i="153"/>
  <c r="P91" i="153"/>
  <c r="O91" i="153"/>
  <c r="N91" i="153"/>
  <c r="M91" i="153"/>
  <c r="L91" i="153"/>
  <c r="K91" i="153"/>
  <c r="J91" i="153"/>
  <c r="I91" i="153"/>
  <c r="H91" i="153"/>
  <c r="G91" i="153"/>
  <c r="F91" i="153"/>
  <c r="AG90" i="153"/>
  <c r="AF90" i="153"/>
  <c r="AE90" i="153"/>
  <c r="AD90" i="153"/>
  <c r="AC90" i="153"/>
  <c r="AB90" i="153"/>
  <c r="AA90" i="153"/>
  <c r="Z90" i="153"/>
  <c r="Y90" i="153"/>
  <c r="X90" i="153"/>
  <c r="W90" i="153"/>
  <c r="V90" i="153"/>
  <c r="U90" i="153"/>
  <c r="T90" i="153"/>
  <c r="S90" i="153"/>
  <c r="R90" i="153"/>
  <c r="Q90" i="153"/>
  <c r="P90" i="153"/>
  <c r="O90" i="153"/>
  <c r="N90" i="153"/>
  <c r="M90" i="153"/>
  <c r="L90" i="153"/>
  <c r="K90" i="153"/>
  <c r="J90" i="153"/>
  <c r="I90" i="153"/>
  <c r="H90" i="153"/>
  <c r="G90" i="153"/>
  <c r="F90" i="153"/>
  <c r="AK89" i="153"/>
  <c r="AJ89" i="153"/>
  <c r="AI89" i="153"/>
  <c r="AH89" i="153"/>
  <c r="AC89" i="153"/>
  <c r="AB89" i="153"/>
  <c r="AA89" i="153"/>
  <c r="Z89" i="153"/>
  <c r="Y89" i="153"/>
  <c r="X89" i="153"/>
  <c r="W89" i="153"/>
  <c r="V89" i="153"/>
  <c r="U89" i="153"/>
  <c r="T89" i="153"/>
  <c r="S89" i="153"/>
  <c r="R89" i="153"/>
  <c r="Q89" i="153"/>
  <c r="P89" i="153"/>
  <c r="O89" i="153"/>
  <c r="N89" i="153"/>
  <c r="M89" i="153"/>
  <c r="L89" i="153"/>
  <c r="K89" i="153"/>
  <c r="J89" i="153"/>
  <c r="I89" i="153"/>
  <c r="H89" i="153"/>
  <c r="G89" i="153"/>
  <c r="F89" i="153"/>
  <c r="AK88" i="153"/>
  <c r="AJ88" i="153"/>
  <c r="AI88" i="153"/>
  <c r="AH88" i="153"/>
  <c r="AG88" i="153"/>
  <c r="AF88" i="153"/>
  <c r="AC88" i="153"/>
  <c r="AB88" i="153"/>
  <c r="Y88" i="153"/>
  <c r="X88" i="153"/>
  <c r="W88" i="153"/>
  <c r="V88" i="153"/>
  <c r="U88" i="153"/>
  <c r="T88" i="153"/>
  <c r="S88" i="153"/>
  <c r="R88" i="153"/>
  <c r="Q88" i="153"/>
  <c r="P88" i="153"/>
  <c r="O88" i="153"/>
  <c r="N88" i="153"/>
  <c r="M88" i="153"/>
  <c r="L88" i="153"/>
  <c r="K88" i="153"/>
  <c r="J88" i="153"/>
  <c r="I88" i="153"/>
  <c r="H88" i="153"/>
  <c r="G88" i="153"/>
  <c r="F88" i="153"/>
  <c r="AK87" i="153"/>
  <c r="AJ87" i="153"/>
  <c r="AI87" i="153"/>
  <c r="AH87" i="153"/>
  <c r="AG87" i="153"/>
  <c r="AC87" i="153"/>
  <c r="Y87" i="153"/>
  <c r="X87" i="153"/>
  <c r="W87" i="153"/>
  <c r="V87" i="153"/>
  <c r="U87" i="153"/>
  <c r="T87" i="153"/>
  <c r="S87" i="153"/>
  <c r="R87" i="153"/>
  <c r="Q87" i="153"/>
  <c r="P87" i="153"/>
  <c r="O87" i="153"/>
  <c r="N87" i="153"/>
  <c r="M87" i="153"/>
  <c r="L87" i="153"/>
  <c r="K87" i="153"/>
  <c r="J87" i="153"/>
  <c r="I87" i="153"/>
  <c r="H87" i="153"/>
  <c r="G87" i="153"/>
  <c r="F87" i="153"/>
  <c r="AK86" i="153"/>
  <c r="AJ86" i="153"/>
  <c r="AI86" i="153"/>
  <c r="AH86" i="153"/>
  <c r="AC86" i="153"/>
  <c r="AB86" i="153"/>
  <c r="AA86" i="153"/>
  <c r="Z86" i="153"/>
  <c r="Y86" i="153"/>
  <c r="X86" i="153"/>
  <c r="W86" i="153"/>
  <c r="V86" i="153"/>
  <c r="U86" i="153"/>
  <c r="T86" i="153"/>
  <c r="S86" i="153"/>
  <c r="R86" i="153"/>
  <c r="Q86" i="153"/>
  <c r="P86" i="153"/>
  <c r="O86" i="153"/>
  <c r="N86" i="153"/>
  <c r="M86" i="153"/>
  <c r="L86" i="153"/>
  <c r="K86" i="153"/>
  <c r="J86" i="153"/>
  <c r="I86" i="153"/>
  <c r="H86" i="153"/>
  <c r="G86" i="153"/>
  <c r="F86" i="153"/>
  <c r="AK85" i="153"/>
  <c r="AJ85" i="153"/>
  <c r="AI85" i="153"/>
  <c r="AH85" i="153"/>
  <c r="AG85" i="153"/>
  <c r="AF85" i="153"/>
  <c r="AE85" i="153"/>
  <c r="AD85" i="153"/>
  <c r="Y85" i="153"/>
  <c r="X85" i="153"/>
  <c r="W85" i="153"/>
  <c r="V85" i="153"/>
  <c r="U85" i="153"/>
  <c r="T85" i="153"/>
  <c r="S85" i="153"/>
  <c r="R85" i="153"/>
  <c r="Q85" i="153"/>
  <c r="P85" i="153"/>
  <c r="O85" i="153"/>
  <c r="N85" i="153"/>
  <c r="M85" i="153"/>
  <c r="L85" i="153"/>
  <c r="K85" i="153"/>
  <c r="J85" i="153"/>
  <c r="I85" i="153"/>
  <c r="H85" i="153"/>
  <c r="G85" i="153"/>
  <c r="F85" i="153"/>
  <c r="AK84" i="153"/>
  <c r="AJ84" i="153"/>
  <c r="AI84" i="153"/>
  <c r="AH84" i="153"/>
  <c r="AG84" i="153"/>
  <c r="AF84" i="153"/>
  <c r="AE84" i="153"/>
  <c r="AD84" i="153"/>
  <c r="AC84" i="153"/>
  <c r="AB84" i="153"/>
  <c r="Y84" i="153"/>
  <c r="X84" i="153"/>
  <c r="U84" i="153"/>
  <c r="T84" i="153"/>
  <c r="S84" i="153"/>
  <c r="R84" i="153"/>
  <c r="Q84" i="153"/>
  <c r="P84" i="153"/>
  <c r="O84" i="153"/>
  <c r="N84" i="153"/>
  <c r="M84" i="153"/>
  <c r="L84" i="153"/>
  <c r="K84" i="153"/>
  <c r="J84" i="153"/>
  <c r="I84" i="153"/>
  <c r="H84" i="153"/>
  <c r="G84" i="153"/>
  <c r="F84" i="153"/>
  <c r="AK83" i="153"/>
  <c r="AJ83" i="153"/>
  <c r="AI83" i="153"/>
  <c r="AH83" i="153"/>
  <c r="AG83" i="153"/>
  <c r="AF83" i="153"/>
  <c r="AE83" i="153"/>
  <c r="AD83" i="153"/>
  <c r="AC83" i="153"/>
  <c r="Y83" i="153"/>
  <c r="U83" i="153"/>
  <c r="T83" i="153"/>
  <c r="S83" i="153"/>
  <c r="R83" i="153"/>
  <c r="Q83" i="153"/>
  <c r="P83" i="153"/>
  <c r="O83" i="153"/>
  <c r="N83" i="153"/>
  <c r="M83" i="153"/>
  <c r="L83" i="153"/>
  <c r="K83" i="153"/>
  <c r="J83" i="153"/>
  <c r="I83" i="153"/>
  <c r="H83" i="153"/>
  <c r="G83" i="153"/>
  <c r="F83" i="153"/>
  <c r="AK82" i="153"/>
  <c r="AJ82" i="153"/>
  <c r="AI82" i="153"/>
  <c r="AH82" i="153"/>
  <c r="AG82" i="153"/>
  <c r="AF82" i="153"/>
  <c r="AE82" i="153"/>
  <c r="AD82" i="153"/>
  <c r="Y82" i="153"/>
  <c r="X82" i="153"/>
  <c r="W82" i="153"/>
  <c r="V82" i="153"/>
  <c r="U82" i="153"/>
  <c r="T82" i="153"/>
  <c r="S82" i="153"/>
  <c r="R82" i="153"/>
  <c r="Q82" i="153"/>
  <c r="P82" i="153"/>
  <c r="O82" i="153"/>
  <c r="N82" i="153"/>
  <c r="M82" i="153"/>
  <c r="L82" i="153"/>
  <c r="K82" i="153"/>
  <c r="J82" i="153"/>
  <c r="I82" i="153"/>
  <c r="H82" i="153"/>
  <c r="G82" i="153"/>
  <c r="F82" i="153"/>
  <c r="AK81" i="153"/>
  <c r="AJ81" i="153"/>
  <c r="AI81" i="153"/>
  <c r="AH81" i="153"/>
  <c r="AG81" i="153"/>
  <c r="AF81" i="153"/>
  <c r="AE81" i="153"/>
  <c r="AD81" i="153"/>
  <c r="AC81" i="153"/>
  <c r="AB81" i="153"/>
  <c r="AA81" i="153"/>
  <c r="Z81" i="153"/>
  <c r="U81" i="153"/>
  <c r="T81" i="153"/>
  <c r="S81" i="153"/>
  <c r="R81" i="153"/>
  <c r="Q81" i="153"/>
  <c r="P81" i="153"/>
  <c r="O81" i="153"/>
  <c r="N81" i="153"/>
  <c r="M81" i="153"/>
  <c r="L81" i="153"/>
  <c r="K81" i="153"/>
  <c r="J81" i="153"/>
  <c r="I81" i="153"/>
  <c r="H81" i="153"/>
  <c r="G81" i="153"/>
  <c r="F81" i="153"/>
  <c r="AK80" i="153"/>
  <c r="AJ80" i="153"/>
  <c r="AI80" i="153"/>
  <c r="AH80" i="153"/>
  <c r="AG80" i="153"/>
  <c r="AF80" i="153"/>
  <c r="AE80" i="153"/>
  <c r="AD80" i="153"/>
  <c r="AC80" i="153"/>
  <c r="AB80" i="153"/>
  <c r="AA80" i="153"/>
  <c r="Z80" i="153"/>
  <c r="Y80" i="153"/>
  <c r="X80" i="153"/>
  <c r="U80" i="153"/>
  <c r="T80" i="153"/>
  <c r="Q80" i="153"/>
  <c r="P80" i="153"/>
  <c r="O80" i="153"/>
  <c r="N80" i="153"/>
  <c r="M80" i="153"/>
  <c r="L80" i="153"/>
  <c r="K80" i="153"/>
  <c r="J80" i="153"/>
  <c r="I80" i="153"/>
  <c r="H80" i="153"/>
  <c r="G80" i="153"/>
  <c r="F80" i="153"/>
  <c r="AK79" i="153"/>
  <c r="AJ79" i="153"/>
  <c r="AI79" i="153"/>
  <c r="AH79" i="153"/>
  <c r="AG79" i="153"/>
  <c r="AF79" i="153"/>
  <c r="AE79" i="153"/>
  <c r="AD79" i="153"/>
  <c r="AC79" i="153"/>
  <c r="AB79" i="153"/>
  <c r="AA79" i="153"/>
  <c r="Z79" i="153"/>
  <c r="Y79" i="153"/>
  <c r="U79" i="153"/>
  <c r="Q79" i="153"/>
  <c r="P79" i="153"/>
  <c r="O79" i="153"/>
  <c r="N79" i="153"/>
  <c r="M79" i="153"/>
  <c r="L79" i="153"/>
  <c r="K79" i="153"/>
  <c r="J79" i="153"/>
  <c r="I79" i="153"/>
  <c r="H79" i="153"/>
  <c r="G79" i="153"/>
  <c r="F79" i="153"/>
  <c r="AK78" i="153"/>
  <c r="AJ78" i="153"/>
  <c r="AI78" i="153"/>
  <c r="AH78" i="153"/>
  <c r="AG78" i="153"/>
  <c r="AF78" i="153"/>
  <c r="AE78" i="153"/>
  <c r="AD78" i="153"/>
  <c r="AC78" i="153"/>
  <c r="AB78" i="153"/>
  <c r="AA78" i="153"/>
  <c r="Z78" i="153"/>
  <c r="U78" i="153"/>
  <c r="T78" i="153"/>
  <c r="S78" i="153"/>
  <c r="R78" i="153"/>
  <c r="Q78" i="153"/>
  <c r="P78" i="153"/>
  <c r="O78" i="153"/>
  <c r="N78" i="153"/>
  <c r="M78" i="153"/>
  <c r="L78" i="153"/>
  <c r="K78" i="153"/>
  <c r="J78" i="153"/>
  <c r="I78" i="153"/>
  <c r="H78" i="153"/>
  <c r="G78" i="153"/>
  <c r="F78" i="153"/>
  <c r="AK77" i="153"/>
  <c r="AJ77" i="153"/>
  <c r="AI77" i="153"/>
  <c r="AH77" i="153"/>
  <c r="AG77" i="153"/>
  <c r="AF77" i="153"/>
  <c r="AE77" i="153"/>
  <c r="AD77" i="153"/>
  <c r="AC77" i="153"/>
  <c r="AB77" i="153"/>
  <c r="AA77" i="153"/>
  <c r="Z77" i="153"/>
  <c r="Y77" i="153"/>
  <c r="X77" i="153"/>
  <c r="W77" i="153"/>
  <c r="V77" i="153"/>
  <c r="Q77" i="153"/>
  <c r="P77" i="153"/>
  <c r="O77" i="153"/>
  <c r="N77" i="153"/>
  <c r="M77" i="153"/>
  <c r="L77" i="153"/>
  <c r="K77" i="153"/>
  <c r="J77" i="153"/>
  <c r="I77" i="153"/>
  <c r="H77" i="153"/>
  <c r="G77" i="153"/>
  <c r="F77" i="153"/>
  <c r="AK76" i="153"/>
  <c r="AJ76" i="153"/>
  <c r="AI76" i="153"/>
  <c r="AH76" i="153"/>
  <c r="AG76" i="153"/>
  <c r="AF76" i="153"/>
  <c r="AE76" i="153"/>
  <c r="AD76" i="153"/>
  <c r="AC76" i="153"/>
  <c r="AB76" i="153"/>
  <c r="AA76" i="153"/>
  <c r="Z76" i="153"/>
  <c r="Y76" i="153"/>
  <c r="X76" i="153"/>
  <c r="W76" i="153"/>
  <c r="V76" i="153"/>
  <c r="U76" i="153"/>
  <c r="T76" i="153"/>
  <c r="Q76" i="153"/>
  <c r="P76" i="153"/>
  <c r="M76" i="153"/>
  <c r="L76" i="153"/>
  <c r="K76" i="153"/>
  <c r="J76" i="153"/>
  <c r="I76" i="153"/>
  <c r="H76" i="153"/>
  <c r="G76" i="153"/>
  <c r="F76" i="153"/>
  <c r="AK75" i="153"/>
  <c r="AJ75" i="153"/>
  <c r="AI75" i="153"/>
  <c r="AH75" i="153"/>
  <c r="AG75" i="153"/>
  <c r="AF75" i="153"/>
  <c r="AE75" i="153"/>
  <c r="AD75" i="153"/>
  <c r="AC75" i="153"/>
  <c r="AB75" i="153"/>
  <c r="AA75" i="153"/>
  <c r="Z75" i="153"/>
  <c r="Y75" i="153"/>
  <c r="X75" i="153"/>
  <c r="W75" i="153"/>
  <c r="V75" i="153"/>
  <c r="U75" i="153"/>
  <c r="Q75" i="153"/>
  <c r="M75" i="153"/>
  <c r="L75" i="153"/>
  <c r="K75" i="153"/>
  <c r="J75" i="153"/>
  <c r="I75" i="153"/>
  <c r="H75" i="153"/>
  <c r="G75" i="153"/>
  <c r="F75" i="153"/>
  <c r="AK74" i="153"/>
  <c r="AJ74" i="153"/>
  <c r="AI74" i="153"/>
  <c r="AH74" i="153"/>
  <c r="AG74" i="153"/>
  <c r="AF74" i="153"/>
  <c r="AE74" i="153"/>
  <c r="AD74" i="153"/>
  <c r="AC74" i="153"/>
  <c r="AB74" i="153"/>
  <c r="AA74" i="153"/>
  <c r="Z74" i="153"/>
  <c r="Y74" i="153"/>
  <c r="X74" i="153"/>
  <c r="W74" i="153"/>
  <c r="V74" i="153"/>
  <c r="Q74" i="153"/>
  <c r="P74" i="153"/>
  <c r="O74" i="153"/>
  <c r="N74" i="153"/>
  <c r="M74" i="153"/>
  <c r="L74" i="153"/>
  <c r="K74" i="153"/>
  <c r="J74" i="153"/>
  <c r="I74" i="153"/>
  <c r="H74" i="153"/>
  <c r="G74" i="153"/>
  <c r="F74" i="153"/>
  <c r="AK73" i="153"/>
  <c r="AJ73" i="153"/>
  <c r="AI73" i="153"/>
  <c r="AH73" i="153"/>
  <c r="AG73" i="153"/>
  <c r="AF73" i="153"/>
  <c r="AE73" i="153"/>
  <c r="AD73" i="153"/>
  <c r="AC73" i="153"/>
  <c r="AB73" i="153"/>
  <c r="AA73" i="153"/>
  <c r="Z73" i="153"/>
  <c r="Y73" i="153"/>
  <c r="X73" i="153"/>
  <c r="W73" i="153"/>
  <c r="V73" i="153"/>
  <c r="U73" i="153"/>
  <c r="T73" i="153"/>
  <c r="S73" i="153"/>
  <c r="R73" i="153"/>
  <c r="M73" i="153"/>
  <c r="L73" i="153"/>
  <c r="K73" i="153"/>
  <c r="J73" i="153"/>
  <c r="I73" i="153"/>
  <c r="H73" i="153"/>
  <c r="G73" i="153"/>
  <c r="F73" i="153"/>
  <c r="AK72" i="153"/>
  <c r="AJ72" i="153"/>
  <c r="AI72" i="153"/>
  <c r="AH72" i="153"/>
  <c r="AG72" i="153"/>
  <c r="AF72" i="153"/>
  <c r="AE72" i="153"/>
  <c r="AD72" i="153"/>
  <c r="AC72" i="153"/>
  <c r="AB72" i="153"/>
  <c r="AA72" i="153"/>
  <c r="Z72" i="153"/>
  <c r="Y72" i="153"/>
  <c r="X72" i="153"/>
  <c r="W72" i="153"/>
  <c r="V72" i="153"/>
  <c r="U72" i="153"/>
  <c r="T72" i="153"/>
  <c r="S72" i="153"/>
  <c r="R72" i="153"/>
  <c r="Q72" i="153"/>
  <c r="P72" i="153"/>
  <c r="M72" i="153"/>
  <c r="L72" i="153"/>
  <c r="I72" i="153"/>
  <c r="H72" i="153"/>
  <c r="G72" i="153"/>
  <c r="F72" i="153"/>
  <c r="AK71" i="153"/>
  <c r="AJ71" i="153"/>
  <c r="AI71" i="153"/>
  <c r="AH71" i="153"/>
  <c r="AG71" i="153"/>
  <c r="AF71" i="153"/>
  <c r="AE71" i="153"/>
  <c r="AD71" i="153"/>
  <c r="AC71" i="153"/>
  <c r="AB71" i="153"/>
  <c r="AA71" i="153"/>
  <c r="Z71" i="153"/>
  <c r="Y71" i="153"/>
  <c r="X71" i="153"/>
  <c r="W71" i="153"/>
  <c r="V71" i="153"/>
  <c r="U71" i="153"/>
  <c r="T71" i="153"/>
  <c r="S71" i="153"/>
  <c r="R71" i="153"/>
  <c r="Q71" i="153"/>
  <c r="M71" i="153"/>
  <c r="I71" i="153"/>
  <c r="H71" i="153"/>
  <c r="G71" i="153"/>
  <c r="F71" i="153"/>
  <c r="AK70" i="153"/>
  <c r="AJ70" i="153"/>
  <c r="AI70" i="153"/>
  <c r="AH70" i="153"/>
  <c r="AG70" i="153"/>
  <c r="AF70" i="153"/>
  <c r="AE70" i="153"/>
  <c r="AD70" i="153"/>
  <c r="AC70" i="153"/>
  <c r="AB70" i="153"/>
  <c r="AA70" i="153"/>
  <c r="Z70" i="153"/>
  <c r="Y70" i="153"/>
  <c r="X70" i="153"/>
  <c r="W70" i="153"/>
  <c r="V70" i="153"/>
  <c r="U70" i="153"/>
  <c r="T70" i="153"/>
  <c r="S70" i="153"/>
  <c r="R70" i="153"/>
  <c r="M70" i="153"/>
  <c r="L70" i="153"/>
  <c r="K70" i="153"/>
  <c r="J70" i="153"/>
  <c r="I70" i="153"/>
  <c r="H70" i="153"/>
  <c r="G70" i="153"/>
  <c r="F70" i="153"/>
  <c r="AK69" i="153"/>
  <c r="AJ69" i="153"/>
  <c r="AI69" i="153"/>
  <c r="AH69" i="153"/>
  <c r="AG69" i="153"/>
  <c r="AF69" i="153"/>
  <c r="AE69" i="153"/>
  <c r="AD69" i="153"/>
  <c r="AC69" i="153"/>
  <c r="AB69" i="153"/>
  <c r="AA69" i="153"/>
  <c r="Z69" i="153"/>
  <c r="Y69" i="153"/>
  <c r="X69" i="153"/>
  <c r="W69" i="153"/>
  <c r="V69" i="153"/>
  <c r="U69" i="153"/>
  <c r="T69" i="153"/>
  <c r="S69" i="153"/>
  <c r="R69" i="153"/>
  <c r="Q69" i="153"/>
  <c r="P69" i="153"/>
  <c r="O69" i="153"/>
  <c r="N69" i="153"/>
  <c r="I69" i="153"/>
  <c r="H69" i="153"/>
  <c r="G69" i="153"/>
  <c r="F69" i="153"/>
  <c r="AK68" i="153"/>
  <c r="AJ68" i="153"/>
  <c r="AI68" i="153"/>
  <c r="AH68" i="153"/>
  <c r="AG68" i="153"/>
  <c r="AF68" i="153"/>
  <c r="AE68" i="153"/>
  <c r="AD68" i="153"/>
  <c r="AC68" i="153"/>
  <c r="AB68" i="153"/>
  <c r="AA68" i="153"/>
  <c r="Z68" i="153"/>
  <c r="Y68" i="153"/>
  <c r="X68" i="153"/>
  <c r="W68" i="153"/>
  <c r="V68" i="153"/>
  <c r="U68" i="153"/>
  <c r="T68" i="153"/>
  <c r="S68" i="153"/>
  <c r="R68" i="153"/>
  <c r="Q68" i="153"/>
  <c r="P68" i="153"/>
  <c r="O68" i="153"/>
  <c r="N68" i="153"/>
  <c r="M68" i="153"/>
  <c r="L68" i="153"/>
  <c r="I68" i="153"/>
  <c r="H68" i="153"/>
  <c r="AK67" i="153"/>
  <c r="AJ67" i="153"/>
  <c r="AI67" i="153"/>
  <c r="AH67" i="153"/>
  <c r="AG67" i="153"/>
  <c r="AF67" i="153"/>
  <c r="AE67" i="153"/>
  <c r="AD67" i="153"/>
  <c r="AC67" i="153"/>
  <c r="AB67" i="153"/>
  <c r="AA67" i="153"/>
  <c r="Z67" i="153"/>
  <c r="Y67" i="153"/>
  <c r="X67" i="153"/>
  <c r="W67" i="153"/>
  <c r="V67" i="153"/>
  <c r="U67" i="153"/>
  <c r="T67" i="153"/>
  <c r="S67" i="153"/>
  <c r="R67" i="153"/>
  <c r="Q67" i="153"/>
  <c r="P67" i="153"/>
  <c r="O67" i="153"/>
  <c r="N67" i="153"/>
  <c r="M67" i="153"/>
  <c r="I67" i="153"/>
  <c r="AK66" i="153"/>
  <c r="AJ66" i="153"/>
  <c r="AI66" i="153"/>
  <c r="AH66" i="153"/>
  <c r="AG66" i="153"/>
  <c r="AF66" i="153"/>
  <c r="AE66" i="153"/>
  <c r="AD66" i="153"/>
  <c r="AC66" i="153"/>
  <c r="AB66" i="153"/>
  <c r="AA66" i="153"/>
  <c r="Z66" i="153"/>
  <c r="Y66" i="153"/>
  <c r="X66" i="153"/>
  <c r="W66" i="153"/>
  <c r="V66" i="153"/>
  <c r="U66" i="153"/>
  <c r="T66" i="153"/>
  <c r="S66" i="153"/>
  <c r="R66" i="153"/>
  <c r="Q66" i="153"/>
  <c r="P66" i="153"/>
  <c r="O66" i="153"/>
  <c r="N66" i="153"/>
  <c r="I66" i="153"/>
  <c r="H66" i="153"/>
  <c r="G66" i="153"/>
  <c r="F66" i="153"/>
  <c r="AK65" i="153"/>
  <c r="AJ65" i="153"/>
  <c r="AI65" i="153"/>
  <c r="AH65" i="153"/>
  <c r="AG65" i="153"/>
  <c r="AF65" i="153"/>
  <c r="AE65" i="153"/>
  <c r="AD65" i="153"/>
  <c r="AC65" i="153"/>
  <c r="AB65" i="153"/>
  <c r="AA65" i="153"/>
  <c r="Z65" i="153"/>
  <c r="Y65" i="153"/>
  <c r="X65" i="153"/>
  <c r="W65" i="153"/>
  <c r="V65" i="153"/>
  <c r="U65" i="153"/>
  <c r="T65" i="153"/>
  <c r="S65" i="153"/>
  <c r="R65" i="153"/>
  <c r="Q65" i="153"/>
  <c r="P65" i="153"/>
  <c r="O65" i="153"/>
  <c r="N65" i="153"/>
  <c r="M65" i="153"/>
  <c r="L65" i="153"/>
  <c r="K65" i="153"/>
  <c r="J65" i="153"/>
  <c r="AM59" i="153"/>
  <c r="AI59" i="153"/>
  <c r="AI96" i="153" s="1"/>
  <c r="AH59" i="153"/>
  <c r="AH96" i="153" s="1"/>
  <c r="B59" i="153"/>
  <c r="AM58" i="153"/>
  <c r="AK58" i="153"/>
  <c r="AK95" i="153" s="1"/>
  <c r="AJ58" i="153"/>
  <c r="AJ95" i="153" s="1"/>
  <c r="AI58" i="153"/>
  <c r="AI95" i="153" s="1"/>
  <c r="AH58" i="153"/>
  <c r="AH95" i="153" s="1"/>
  <c r="C58" i="153"/>
  <c r="B58" i="153"/>
  <c r="G57" i="153"/>
  <c r="G94" i="153" s="1"/>
  <c r="F57" i="153"/>
  <c r="F94" i="153" s="1"/>
  <c r="B57" i="153"/>
  <c r="H56" i="153"/>
  <c r="H93" i="153" s="1"/>
  <c r="G56" i="153"/>
  <c r="G93" i="153" s="1"/>
  <c r="F56" i="153"/>
  <c r="F93" i="153" s="1"/>
  <c r="C56" i="153"/>
  <c r="B56" i="153"/>
  <c r="AM55" i="153"/>
  <c r="AI55" i="153"/>
  <c r="AI92" i="153" s="1"/>
  <c r="AH55" i="153"/>
  <c r="AH92" i="153" s="1"/>
  <c r="AE55" i="153"/>
  <c r="AE92" i="153" s="1"/>
  <c r="AD55" i="153"/>
  <c r="AD92" i="153" s="1"/>
  <c r="B55" i="153"/>
  <c r="AM54" i="153"/>
  <c r="AJ54" i="153"/>
  <c r="AJ91" i="153" s="1"/>
  <c r="AI54" i="153"/>
  <c r="AI91" i="153" s="1"/>
  <c r="AH54" i="153"/>
  <c r="AH91" i="153" s="1"/>
  <c r="AF54" i="153"/>
  <c r="AF91" i="153" s="1"/>
  <c r="AE54" i="153"/>
  <c r="AE91" i="153" s="1"/>
  <c r="AD54" i="153"/>
  <c r="AD91" i="153" s="1"/>
  <c r="B54" i="153"/>
  <c r="AM53" i="153"/>
  <c r="AK53" i="153"/>
  <c r="AK90" i="153" s="1"/>
  <c r="AJ53" i="153"/>
  <c r="AJ90" i="153" s="1"/>
  <c r="AI53" i="153"/>
  <c r="AI90" i="153" s="1"/>
  <c r="AH53" i="153"/>
  <c r="AH90" i="153" s="1"/>
  <c r="C53" i="153"/>
  <c r="B53" i="153"/>
  <c r="AM52" i="153"/>
  <c r="AG52" i="153"/>
  <c r="AG89" i="153" s="1"/>
  <c r="AF52" i="153"/>
  <c r="AF89" i="153" s="1"/>
  <c r="AE52" i="153"/>
  <c r="AE89" i="153" s="1"/>
  <c r="AD52" i="153"/>
  <c r="AD89" i="153" s="1"/>
  <c r="C52" i="153"/>
  <c r="B52" i="153"/>
  <c r="AM51" i="153"/>
  <c r="AE51" i="153"/>
  <c r="AE88" i="153" s="1"/>
  <c r="AD51" i="153"/>
  <c r="AD88" i="153" s="1"/>
  <c r="AA51" i="153"/>
  <c r="AA88" i="153" s="1"/>
  <c r="Z51" i="153"/>
  <c r="Z88" i="153" s="1"/>
  <c r="B51" i="153"/>
  <c r="AM50" i="153"/>
  <c r="AF50" i="153"/>
  <c r="AF87" i="153" s="1"/>
  <c r="AE50" i="153"/>
  <c r="AE87" i="153" s="1"/>
  <c r="AD50" i="153"/>
  <c r="AD87" i="153" s="1"/>
  <c r="AB50" i="153"/>
  <c r="AB87" i="153" s="1"/>
  <c r="AA50" i="153"/>
  <c r="AA87" i="153" s="1"/>
  <c r="Z50" i="153"/>
  <c r="Z87" i="153" s="1"/>
  <c r="B50" i="153"/>
  <c r="AM49" i="153"/>
  <c r="AG49" i="153"/>
  <c r="AG86" i="153" s="1"/>
  <c r="AF49" i="153"/>
  <c r="AF86" i="153" s="1"/>
  <c r="AE49" i="153"/>
  <c r="AE86" i="153" s="1"/>
  <c r="AD49" i="153"/>
  <c r="AD86" i="153" s="1"/>
  <c r="C49" i="153"/>
  <c r="B49" i="153"/>
  <c r="AM48" i="153"/>
  <c r="AC48" i="153"/>
  <c r="AC85" i="153" s="1"/>
  <c r="AB48" i="153"/>
  <c r="AB85" i="153" s="1"/>
  <c r="AA48" i="153"/>
  <c r="AA85" i="153" s="1"/>
  <c r="Z48" i="153"/>
  <c r="Z85" i="153" s="1"/>
  <c r="C48" i="153"/>
  <c r="B48" i="153"/>
  <c r="O36" i="153"/>
  <c r="O73" i="153" s="1"/>
  <c r="D36" i="153"/>
  <c r="B36" i="153" s="1"/>
  <c r="N35" i="153"/>
  <c r="N72" i="153" s="1"/>
  <c r="K35" i="153"/>
  <c r="K72" i="153" s="1"/>
  <c r="J35" i="153"/>
  <c r="J72" i="153" s="1"/>
  <c r="D35" i="153"/>
  <c r="AM35" i="153" s="1"/>
  <c r="B35" i="153"/>
  <c r="L34" i="153"/>
  <c r="L71" i="153" s="1"/>
  <c r="K34" i="153"/>
  <c r="K71" i="153" s="1"/>
  <c r="J34" i="153"/>
  <c r="J71" i="153" s="1"/>
  <c r="D34" i="153"/>
  <c r="AM33" i="153"/>
  <c r="D33" i="153"/>
  <c r="B33" i="153" s="1"/>
  <c r="C33" i="153"/>
  <c r="M32" i="153"/>
  <c r="M69" i="153" s="1"/>
  <c r="D32" i="153"/>
  <c r="B32" i="153" s="1"/>
  <c r="C32" i="153"/>
  <c r="AM31" i="153"/>
  <c r="K31" i="153"/>
  <c r="K68" i="153" s="1"/>
  <c r="J31" i="153"/>
  <c r="J68" i="153" s="1"/>
  <c r="G31" i="153"/>
  <c r="G68" i="153" s="1"/>
  <c r="F31" i="153"/>
  <c r="F68" i="153" s="1"/>
  <c r="B31" i="153"/>
  <c r="AM30" i="153"/>
  <c r="L30" i="153"/>
  <c r="L67" i="153" s="1"/>
  <c r="K30" i="153"/>
  <c r="K67" i="153" s="1"/>
  <c r="J30" i="153"/>
  <c r="J67" i="153" s="1"/>
  <c r="H30" i="153"/>
  <c r="H67" i="153" s="1"/>
  <c r="G30" i="153"/>
  <c r="G67" i="153" s="1"/>
  <c r="F30" i="153"/>
  <c r="F67" i="153" s="1"/>
  <c r="B30" i="153"/>
  <c r="AM29" i="153"/>
  <c r="M29" i="153"/>
  <c r="M66" i="153" s="1"/>
  <c r="L29" i="153"/>
  <c r="L66" i="153" s="1"/>
  <c r="K29" i="153"/>
  <c r="K66" i="153" s="1"/>
  <c r="J29" i="153"/>
  <c r="J66" i="153" s="1"/>
  <c r="C29" i="153"/>
  <c r="B29" i="153"/>
  <c r="AM28" i="153"/>
  <c r="I28" i="153"/>
  <c r="I65" i="153" s="1"/>
  <c r="H28" i="153"/>
  <c r="H65" i="153" s="1"/>
  <c r="G28" i="153"/>
  <c r="G65" i="153" s="1"/>
  <c r="F28" i="153"/>
  <c r="F65" i="153" s="1"/>
  <c r="C28" i="153"/>
  <c r="B28" i="153"/>
  <c r="AA37" i="152"/>
  <c r="AA36" i="152"/>
  <c r="O36" i="152"/>
  <c r="N36" i="152"/>
  <c r="AA35" i="152"/>
  <c r="G35" i="152"/>
  <c r="F35" i="152"/>
  <c r="AA34" i="152"/>
  <c r="Q34" i="152"/>
  <c r="P34" i="152"/>
  <c r="O34" i="152"/>
  <c r="N34" i="152"/>
  <c r="AA33" i="152"/>
  <c r="I33" i="152"/>
  <c r="H33" i="152"/>
  <c r="G33" i="152"/>
  <c r="F33" i="152"/>
  <c r="AA32" i="152"/>
  <c r="AA31" i="152"/>
  <c r="AA30" i="152"/>
  <c r="AA29" i="152"/>
  <c r="D32" i="152"/>
  <c r="N32" i="152" s="1"/>
  <c r="D29" i="152" a="1"/>
  <c r="D31" i="152" s="1"/>
  <c r="AA28" i="152"/>
  <c r="K28" i="152"/>
  <c r="D28" i="152"/>
  <c r="J28" i="152" s="1"/>
  <c r="AA27" i="152"/>
  <c r="L27" i="152"/>
  <c r="K27" i="152"/>
  <c r="D27" i="152"/>
  <c r="J27" i="152" s="1"/>
  <c r="AA26" i="152"/>
  <c r="M26" i="152"/>
  <c r="D26" i="152"/>
  <c r="L26" i="152" s="1"/>
  <c r="C26" i="152"/>
  <c r="AA25" i="152"/>
  <c r="I25" i="152"/>
  <c r="H25" i="152"/>
  <c r="G25" i="152"/>
  <c r="F25" i="152"/>
  <c r="D25" i="152"/>
  <c r="C25" i="152"/>
  <c r="AA24" i="152"/>
  <c r="AA23" i="152"/>
  <c r="AA22" i="152"/>
  <c r="AA21" i="152"/>
  <c r="AA20" i="152"/>
  <c r="AA19" i="152"/>
  <c r="AA18" i="152"/>
  <c r="AA17" i="152"/>
  <c r="AA16" i="152"/>
  <c r="AA15" i="152"/>
  <c r="AA14" i="152"/>
  <c r="AA13" i="152"/>
  <c r="AA12" i="152"/>
  <c r="AA11" i="152"/>
  <c r="AA10" i="152"/>
  <c r="AA9" i="152"/>
  <c r="AA8" i="152"/>
  <c r="O36" i="151"/>
  <c r="N36" i="151"/>
  <c r="G35" i="151"/>
  <c r="F35" i="151"/>
  <c r="Q34" i="151"/>
  <c r="P34" i="151"/>
  <c r="O34" i="151"/>
  <c r="N34" i="151"/>
  <c r="I33" i="151"/>
  <c r="H33" i="151"/>
  <c r="G33" i="151"/>
  <c r="F33" i="151"/>
  <c r="O32" i="151"/>
  <c r="N32" i="151"/>
  <c r="K32" i="151"/>
  <c r="J32" i="151"/>
  <c r="P31" i="151"/>
  <c r="O31" i="151"/>
  <c r="N31" i="151"/>
  <c r="L31" i="151"/>
  <c r="K31" i="151"/>
  <c r="J31" i="151"/>
  <c r="Q30" i="151"/>
  <c r="P30" i="151"/>
  <c r="O30" i="151"/>
  <c r="N30" i="151"/>
  <c r="M29" i="151"/>
  <c r="L29" i="151"/>
  <c r="K29" i="151"/>
  <c r="J29" i="151"/>
  <c r="K28" i="151"/>
  <c r="J28" i="151"/>
  <c r="G28" i="151"/>
  <c r="F28" i="151"/>
  <c r="L27" i="151"/>
  <c r="K27" i="151"/>
  <c r="J27" i="151"/>
  <c r="H27" i="151"/>
  <c r="G27" i="151"/>
  <c r="F27" i="151"/>
  <c r="M26" i="151"/>
  <c r="L26" i="151"/>
  <c r="K26" i="151"/>
  <c r="J26" i="151"/>
  <c r="I25" i="151"/>
  <c r="H25" i="151"/>
  <c r="G25" i="151"/>
  <c r="F25" i="151"/>
  <c r="K27" i="150"/>
  <c r="J27" i="150"/>
  <c r="G27" i="150"/>
  <c r="F27" i="150"/>
  <c r="L26" i="150"/>
  <c r="K26" i="150"/>
  <c r="J26" i="150"/>
  <c r="H26" i="150"/>
  <c r="G26" i="150"/>
  <c r="F26" i="150"/>
  <c r="M25" i="150"/>
  <c r="L25" i="150"/>
  <c r="K25" i="150"/>
  <c r="J25" i="150"/>
  <c r="I24" i="150"/>
  <c r="H24" i="150"/>
  <c r="G24" i="150"/>
  <c r="F24" i="150"/>
  <c r="O40" i="149"/>
  <c r="O40" i="149" a="1"/>
  <c r="O43" i="149" s="1"/>
  <c r="I35" i="149"/>
  <c r="D35" i="149"/>
  <c r="D34" i="149"/>
  <c r="D33" i="149"/>
  <c r="G32" i="149"/>
  <c r="D32" i="149"/>
  <c r="O40" i="148"/>
  <c r="O40" i="148" a="1"/>
  <c r="O43" i="148" s="1"/>
  <c r="I35" i="148"/>
  <c r="D35" i="148"/>
  <c r="D34" i="148"/>
  <c r="D33" i="148"/>
  <c r="G32" i="148"/>
  <c r="D32" i="148"/>
  <c r="O40" i="147"/>
  <c r="O40" i="147" a="1"/>
  <c r="O43" i="147" s="1"/>
  <c r="I35" i="147"/>
  <c r="D35" i="147"/>
  <c r="I34" i="147"/>
  <c r="D34" i="147"/>
  <c r="G33" i="147"/>
  <c r="Q32" i="147" s="1" a="1"/>
  <c r="Q32" i="147" s="1"/>
  <c r="T32" i="147" s="1" a="1"/>
  <c r="T32" i="147" s="1"/>
  <c r="D33" i="147"/>
  <c r="G32" i="147"/>
  <c r="D32" i="147"/>
  <c r="N17" i="166" l="1"/>
  <c r="T25" i="151" a="1"/>
  <c r="T28" i="151" s="1"/>
  <c r="D13" i="147"/>
  <c r="D15" i="149"/>
  <c r="K31" i="152"/>
  <c r="J31" i="152"/>
  <c r="P31" i="152"/>
  <c r="O31" i="152"/>
  <c r="N31" i="152"/>
  <c r="L31" i="152"/>
  <c r="D8" i="148"/>
  <c r="D8" i="149"/>
  <c r="O32" i="152"/>
  <c r="AM32" i="153"/>
  <c r="AM34" i="153"/>
  <c r="B34" i="153"/>
  <c r="N36" i="153"/>
  <c r="N73" i="153" s="1"/>
  <c r="O42" i="149"/>
  <c r="D10" i="148"/>
  <c r="P36" i="153"/>
  <c r="P73" i="153" s="1"/>
  <c r="D12" i="149"/>
  <c r="N33" i="153"/>
  <c r="N70" i="153" s="1"/>
  <c r="O41" i="149"/>
  <c r="D9" i="149" s="1"/>
  <c r="O42" i="147"/>
  <c r="O42" i="148"/>
  <c r="D10" i="147"/>
  <c r="Q36" i="153"/>
  <c r="Q73" i="153" s="1"/>
  <c r="D40" i="153"/>
  <c r="D5" i="149"/>
  <c r="D13" i="149"/>
  <c r="J26" i="152"/>
  <c r="G27" i="152"/>
  <c r="F28" i="152"/>
  <c r="D29" i="152"/>
  <c r="J32" i="153"/>
  <c r="J69" i="153" s="1"/>
  <c r="O33" i="153"/>
  <c r="O70" i="153" s="1"/>
  <c r="N34" i="153"/>
  <c r="N71" i="153" s="1"/>
  <c r="O35" i="153"/>
  <c r="O72" i="153" s="1"/>
  <c r="AM36" i="153"/>
  <c r="D38" i="153"/>
  <c r="D39" i="153"/>
  <c r="L34" i="154"/>
  <c r="L71" i="154" s="1"/>
  <c r="K34" i="154"/>
  <c r="K71" i="154" s="1"/>
  <c r="J34" i="154"/>
  <c r="J71" i="154" s="1"/>
  <c r="O34" i="154"/>
  <c r="O71" i="154" s="1"/>
  <c r="O34" i="155"/>
  <c r="O71" i="155" s="1"/>
  <c r="N34" i="155"/>
  <c r="N71" i="155" s="1"/>
  <c r="L34" i="155"/>
  <c r="L71" i="155" s="1"/>
  <c r="K34" i="155"/>
  <c r="K71" i="155" s="1"/>
  <c r="J34" i="155"/>
  <c r="J71" i="155" s="1"/>
  <c r="AM34" i="155"/>
  <c r="B34" i="155"/>
  <c r="P34" i="155"/>
  <c r="P71" i="155" s="1"/>
  <c r="D38" i="155"/>
  <c r="F27" i="152"/>
  <c r="K32" i="154"/>
  <c r="K69" i="154" s="1"/>
  <c r="J32" i="154"/>
  <c r="J69" i="154" s="1"/>
  <c r="D36" i="154"/>
  <c r="M32" i="154"/>
  <c r="M69" i="154" s="1"/>
  <c r="D14" i="148"/>
  <c r="D6" i="149"/>
  <c r="D14" i="149"/>
  <c r="K26" i="152"/>
  <c r="H27" i="152"/>
  <c r="G28" i="152"/>
  <c r="D30" i="152"/>
  <c r="J32" i="152"/>
  <c r="K32" i="153"/>
  <c r="K69" i="153" s="1"/>
  <c r="P33" i="153"/>
  <c r="P70" i="153" s="1"/>
  <c r="O34" i="153"/>
  <c r="O71" i="153" s="1"/>
  <c r="AM32" i="154"/>
  <c r="P38" i="154"/>
  <c r="P75" i="154" s="1"/>
  <c r="O38" i="154"/>
  <c r="O75" i="154" s="1"/>
  <c r="N38" i="154"/>
  <c r="N75" i="154" s="1"/>
  <c r="S38" i="154"/>
  <c r="S75" i="154" s="1"/>
  <c r="D42" i="154"/>
  <c r="D8" i="147"/>
  <c r="O41" i="147"/>
  <c r="O41" i="148"/>
  <c r="D9" i="148" s="1"/>
  <c r="D5" i="147"/>
  <c r="D7" i="148"/>
  <c r="D7" i="149"/>
  <c r="K32" i="152"/>
  <c r="L32" i="153"/>
  <c r="L69" i="153" s="1"/>
  <c r="Q33" i="153"/>
  <c r="Q70" i="153" s="1"/>
  <c r="P34" i="153"/>
  <c r="P71" i="153" s="1"/>
  <c r="C36" i="153"/>
  <c r="D37" i="153"/>
  <c r="P34" i="154"/>
  <c r="P71" i="154" s="1"/>
  <c r="R38" i="154"/>
  <c r="R75" i="154" s="1"/>
  <c r="AM32" i="155"/>
  <c r="AM33" i="155"/>
  <c r="AM35" i="155"/>
  <c r="Q33" i="154"/>
  <c r="Q70" i="154" s="1"/>
  <c r="O35" i="154"/>
  <c r="O72" i="154" s="1"/>
  <c r="D36" i="155"/>
  <c r="D37" i="155"/>
  <c r="D39" i="155"/>
  <c r="D37" i="154"/>
  <c r="D39" i="154"/>
  <c r="N33" i="154"/>
  <c r="N70" i="154" s="1"/>
  <c r="J35" i="154"/>
  <c r="J72" i="154" s="1"/>
  <c r="T34" i="151" l="1"/>
  <c r="T27" i="151"/>
  <c r="T36" i="151"/>
  <c r="T26" i="151"/>
  <c r="T35" i="151"/>
  <c r="T29" i="151"/>
  <c r="T25" i="151"/>
  <c r="T33" i="151"/>
  <c r="T31" i="151"/>
  <c r="T32" i="151"/>
  <c r="T30" i="151"/>
  <c r="O39" i="154"/>
  <c r="O76" i="154" s="1"/>
  <c r="N39" i="154"/>
  <c r="N76" i="154" s="1"/>
  <c r="D43" i="154"/>
  <c r="S39" i="154"/>
  <c r="S76" i="154" s="1"/>
  <c r="AM39" i="154"/>
  <c r="R39" i="154"/>
  <c r="R76" i="154" s="1"/>
  <c r="B39" i="154"/>
  <c r="O39" i="153"/>
  <c r="O76" i="153" s="1"/>
  <c r="B39" i="153"/>
  <c r="N39" i="153"/>
  <c r="N76" i="153" s="1"/>
  <c r="AM39" i="153"/>
  <c r="D43" i="153"/>
  <c r="S39" i="153"/>
  <c r="S76" i="153" s="1"/>
  <c r="R39" i="153"/>
  <c r="R76" i="153" s="1"/>
  <c r="B40" i="153"/>
  <c r="T40" i="153"/>
  <c r="T77" i="153" s="1"/>
  <c r="S40" i="153"/>
  <c r="S77" i="153" s="1"/>
  <c r="R40" i="153"/>
  <c r="R77" i="153" s="1"/>
  <c r="C40" i="153"/>
  <c r="AM40" i="153"/>
  <c r="D44" i="153"/>
  <c r="U40" i="153"/>
  <c r="U77" i="153" s="1"/>
  <c r="S37" i="154"/>
  <c r="S74" i="154" s="1"/>
  <c r="R37" i="154"/>
  <c r="R74" i="154" s="1"/>
  <c r="D41" i="154"/>
  <c r="U37" i="154"/>
  <c r="U74" i="154" s="1"/>
  <c r="AM37" i="154"/>
  <c r="T37" i="154"/>
  <c r="T74" i="154" s="1"/>
  <c r="C37" i="154"/>
  <c r="B37" i="154"/>
  <c r="D7" i="147"/>
  <c r="D15" i="147"/>
  <c r="D14" i="147"/>
  <c r="D6" i="147"/>
  <c r="AM38" i="153"/>
  <c r="B38" i="153"/>
  <c r="O38" i="153"/>
  <c r="O75" i="153" s="1"/>
  <c r="T38" i="153"/>
  <c r="T75" i="153" s="1"/>
  <c r="S38" i="153"/>
  <c r="S75" i="153" s="1"/>
  <c r="N38" i="153"/>
  <c r="N75" i="153" s="1"/>
  <c r="D42" i="153"/>
  <c r="R38" i="153"/>
  <c r="R75" i="153" s="1"/>
  <c r="P38" i="153"/>
  <c r="P75" i="153" s="1"/>
  <c r="D15" i="148"/>
  <c r="D12" i="147"/>
  <c r="U37" i="155"/>
  <c r="U74" i="155" s="1"/>
  <c r="T37" i="155"/>
  <c r="T74" i="155" s="1"/>
  <c r="S37" i="155"/>
  <c r="S74" i="155" s="1"/>
  <c r="R37" i="155"/>
  <c r="R74" i="155" s="1"/>
  <c r="D41" i="155"/>
  <c r="B37" i="155"/>
  <c r="AM37" i="155"/>
  <c r="C37" i="155"/>
  <c r="S38" i="155"/>
  <c r="S75" i="155" s="1"/>
  <c r="R38" i="155"/>
  <c r="R75" i="155" s="1"/>
  <c r="P38" i="155"/>
  <c r="P75" i="155" s="1"/>
  <c r="O38" i="155"/>
  <c r="O75" i="155" s="1"/>
  <c r="N38" i="155"/>
  <c r="N75" i="155" s="1"/>
  <c r="AM38" i="155"/>
  <c r="B38" i="155"/>
  <c r="T38" i="155"/>
  <c r="T75" i="155" s="1"/>
  <c r="D42" i="155"/>
  <c r="D23" i="148"/>
  <c r="D22" i="148"/>
  <c r="D17" i="148"/>
  <c r="D21" i="148"/>
  <c r="D20" i="148"/>
  <c r="D19" i="148"/>
  <c r="D18" i="148"/>
  <c r="D25" i="148"/>
  <c r="D24" i="148"/>
  <c r="D16" i="148"/>
  <c r="D23" i="149"/>
  <c r="D22" i="149"/>
  <c r="D20" i="149"/>
  <c r="D25" i="149"/>
  <c r="D21" i="149"/>
  <c r="D19" i="149"/>
  <c r="D18" i="149"/>
  <c r="D17" i="149"/>
  <c r="D24" i="149"/>
  <c r="D16" i="149"/>
  <c r="D6" i="148"/>
  <c r="D11" i="148"/>
  <c r="C30" i="152"/>
  <c r="Q30" i="152"/>
  <c r="P30" i="152"/>
  <c r="O30" i="152"/>
  <c r="N30" i="152"/>
  <c r="D13" i="148"/>
  <c r="D11" i="149"/>
  <c r="D5" i="148"/>
  <c r="D10" i="149"/>
  <c r="S39" i="155"/>
  <c r="S76" i="155" s="1"/>
  <c r="R39" i="155"/>
  <c r="R76" i="155" s="1"/>
  <c r="O39" i="155"/>
  <c r="O76" i="155" s="1"/>
  <c r="N39" i="155"/>
  <c r="N76" i="155" s="1"/>
  <c r="D43" i="155"/>
  <c r="AM39" i="155"/>
  <c r="B39" i="155"/>
  <c r="T42" i="154"/>
  <c r="T79" i="154" s="1"/>
  <c r="S42" i="154"/>
  <c r="S79" i="154" s="1"/>
  <c r="R42" i="154"/>
  <c r="R79" i="154" s="1"/>
  <c r="W42" i="154"/>
  <c r="W79" i="154" s="1"/>
  <c r="V42" i="154"/>
  <c r="V79" i="154" s="1"/>
  <c r="D46" i="154"/>
  <c r="B42" i="154"/>
  <c r="AM42" i="154"/>
  <c r="X42" i="154"/>
  <c r="X79" i="154" s="1"/>
  <c r="Q36" i="155"/>
  <c r="Q73" i="155" s="1"/>
  <c r="P36" i="155"/>
  <c r="P73" i="155" s="1"/>
  <c r="O36" i="155"/>
  <c r="O73" i="155" s="1"/>
  <c r="N36" i="155"/>
  <c r="N73" i="155" s="1"/>
  <c r="D40" i="155"/>
  <c r="B36" i="155"/>
  <c r="AM36" i="155"/>
  <c r="C36" i="155"/>
  <c r="B37" i="153"/>
  <c r="C37" i="153"/>
  <c r="AM37" i="153"/>
  <c r="D41" i="153"/>
  <c r="T37" i="153"/>
  <c r="T74" i="153" s="1"/>
  <c r="U37" i="153"/>
  <c r="U74" i="153" s="1"/>
  <c r="S37" i="153"/>
  <c r="S74" i="153" s="1"/>
  <c r="R37" i="153"/>
  <c r="R74" i="153" s="1"/>
  <c r="D21" i="147"/>
  <c r="D24" i="147"/>
  <c r="D20" i="147"/>
  <c r="D18" i="147"/>
  <c r="D19" i="147"/>
  <c r="D17" i="147"/>
  <c r="D16" i="147"/>
  <c r="D25" i="147"/>
  <c r="D23" i="147"/>
  <c r="D22" i="147"/>
  <c r="D12" i="148"/>
  <c r="D9" i="147"/>
  <c r="O36" i="154"/>
  <c r="O73" i="154" s="1"/>
  <c r="N36" i="154"/>
  <c r="N73" i="154" s="1"/>
  <c r="D40" i="154"/>
  <c r="Q36" i="154"/>
  <c r="Q73" i="154" s="1"/>
  <c r="P36" i="154"/>
  <c r="P73" i="154" s="1"/>
  <c r="C36" i="154"/>
  <c r="B36" i="154"/>
  <c r="AM36" i="154"/>
  <c r="M29" i="152"/>
  <c r="L29" i="152"/>
  <c r="K29" i="152"/>
  <c r="C29" i="152"/>
  <c r="J29" i="152"/>
  <c r="D11" i="147"/>
  <c r="T25" i="152" l="1" a="1"/>
  <c r="T25" i="152" s="1"/>
  <c r="S43" i="154"/>
  <c r="S80" i="154" s="1"/>
  <c r="R43" i="154"/>
  <c r="R80" i="154" s="1"/>
  <c r="D47" i="154"/>
  <c r="W43" i="154"/>
  <c r="W80" i="154" s="1"/>
  <c r="AM43" i="154"/>
  <c r="V43" i="154"/>
  <c r="V80" i="154" s="1"/>
  <c r="B43" i="154"/>
  <c r="W43" i="155"/>
  <c r="W80" i="155" s="1"/>
  <c r="V43" i="155"/>
  <c r="V80" i="155" s="1"/>
  <c r="S43" i="155"/>
  <c r="S80" i="155" s="1"/>
  <c r="R43" i="155"/>
  <c r="R80" i="155" s="1"/>
  <c r="D47" i="155"/>
  <c r="AM43" i="155"/>
  <c r="B43" i="155"/>
  <c r="U40" i="155"/>
  <c r="U77" i="155" s="1"/>
  <c r="T40" i="155"/>
  <c r="T77" i="155" s="1"/>
  <c r="S40" i="155"/>
  <c r="S77" i="155" s="1"/>
  <c r="R40" i="155"/>
  <c r="R77" i="155" s="1"/>
  <c r="D44" i="155"/>
  <c r="B40" i="155"/>
  <c r="AM40" i="155"/>
  <c r="C40" i="155"/>
  <c r="AM42" i="153"/>
  <c r="B42" i="153"/>
  <c r="X42" i="153"/>
  <c r="X79" i="153" s="1"/>
  <c r="T42" i="153"/>
  <c r="T79" i="153" s="1"/>
  <c r="W42" i="153"/>
  <c r="W79" i="153" s="1"/>
  <c r="D46" i="153"/>
  <c r="V42" i="153"/>
  <c r="V79" i="153" s="1"/>
  <c r="R42" i="153"/>
  <c r="R79" i="153" s="1"/>
  <c r="S42" i="153"/>
  <c r="S79" i="153" s="1"/>
  <c r="W41" i="154"/>
  <c r="W78" i="154" s="1"/>
  <c r="V41" i="154"/>
  <c r="V78" i="154" s="1"/>
  <c r="D45" i="154"/>
  <c r="Y41" i="154"/>
  <c r="Y78" i="154" s="1"/>
  <c r="AM41" i="154"/>
  <c r="X41" i="154"/>
  <c r="X78" i="154" s="1"/>
  <c r="C41" i="154"/>
  <c r="B41" i="154"/>
  <c r="B41" i="153"/>
  <c r="D45" i="153"/>
  <c r="Y41" i="153"/>
  <c r="Y78" i="153" s="1"/>
  <c r="X41" i="153"/>
  <c r="X78" i="153" s="1"/>
  <c r="V41" i="153"/>
  <c r="V78" i="153" s="1"/>
  <c r="C41" i="153"/>
  <c r="W41" i="153"/>
  <c r="W78" i="153" s="1"/>
  <c r="AM41" i="153"/>
  <c r="W42" i="155"/>
  <c r="W79" i="155" s="1"/>
  <c r="V42" i="155"/>
  <c r="V79" i="155" s="1"/>
  <c r="T42" i="155"/>
  <c r="T79" i="155" s="1"/>
  <c r="S42" i="155"/>
  <c r="S79" i="155" s="1"/>
  <c r="R42" i="155"/>
  <c r="R79" i="155" s="1"/>
  <c r="AM42" i="155"/>
  <c r="B42" i="155"/>
  <c r="X42" i="155"/>
  <c r="X79" i="155" s="1"/>
  <c r="D46" i="155"/>
  <c r="Y41" i="155"/>
  <c r="Y78" i="155" s="1"/>
  <c r="X41" i="155"/>
  <c r="X78" i="155" s="1"/>
  <c r="W41" i="155"/>
  <c r="W78" i="155" s="1"/>
  <c r="V41" i="155"/>
  <c r="V78" i="155" s="1"/>
  <c r="D45" i="155"/>
  <c r="B41" i="155"/>
  <c r="AM41" i="155"/>
  <c r="C41" i="155"/>
  <c r="S40" i="154"/>
  <c r="S77" i="154" s="1"/>
  <c r="R40" i="154"/>
  <c r="R77" i="154" s="1"/>
  <c r="D44" i="154"/>
  <c r="U40" i="154"/>
  <c r="U77" i="154" s="1"/>
  <c r="T40" i="154"/>
  <c r="T77" i="154" s="1"/>
  <c r="C40" i="154"/>
  <c r="B40" i="154"/>
  <c r="AM40" i="154"/>
  <c r="B44" i="153"/>
  <c r="C44" i="153"/>
  <c r="X44" i="153"/>
  <c r="X81" i="153" s="1"/>
  <c r="W44" i="153"/>
  <c r="W81" i="153" s="1"/>
  <c r="Y44" i="153"/>
  <c r="Y81" i="153" s="1"/>
  <c r="AM44" i="153"/>
  <c r="V44" i="153"/>
  <c r="V81" i="153" s="1"/>
  <c r="X46" i="154"/>
  <c r="X83" i="154" s="1"/>
  <c r="W46" i="154"/>
  <c r="W83" i="154" s="1"/>
  <c r="V46" i="154"/>
  <c r="V83" i="154" s="1"/>
  <c r="AA46" i="154"/>
  <c r="AA83" i="154" s="1"/>
  <c r="Z46" i="154"/>
  <c r="Z83" i="154" s="1"/>
  <c r="B46" i="154"/>
  <c r="AM46" i="154"/>
  <c r="AB46" i="154"/>
  <c r="AB83" i="154" s="1"/>
  <c r="R43" i="153"/>
  <c r="R80" i="153" s="1"/>
  <c r="AM43" i="153"/>
  <c r="D47" i="153"/>
  <c r="W43" i="153"/>
  <c r="W80" i="153" s="1"/>
  <c r="V43" i="153"/>
  <c r="V80" i="153" s="1"/>
  <c r="S43" i="153"/>
  <c r="S80" i="153" s="1"/>
  <c r="B43" i="153"/>
  <c r="T31" i="152" l="1"/>
  <c r="T26" i="152"/>
  <c r="T33" i="152"/>
  <c r="T32" i="152"/>
  <c r="T28" i="152"/>
  <c r="T36" i="152"/>
  <c r="T27" i="152"/>
  <c r="T34" i="152"/>
  <c r="T29" i="152"/>
  <c r="T30" i="152"/>
  <c r="T35" i="152"/>
  <c r="AA45" i="154"/>
  <c r="AA82" i="154" s="1"/>
  <c r="Z45" i="154"/>
  <c r="Z82" i="154" s="1"/>
  <c r="AC45" i="154"/>
  <c r="AC82" i="154" s="1"/>
  <c r="AM45" i="154"/>
  <c r="AB45" i="154"/>
  <c r="AB82" i="154" s="1"/>
  <c r="C45" i="154"/>
  <c r="B45" i="154"/>
  <c r="AA47" i="155"/>
  <c r="AA84" i="155" s="1"/>
  <c r="Z47" i="155"/>
  <c r="Z84" i="155" s="1"/>
  <c r="W47" i="155"/>
  <c r="W84" i="155" s="1"/>
  <c r="V47" i="155"/>
  <c r="V84" i="155" s="1"/>
  <c r="AM47" i="155"/>
  <c r="B47" i="155"/>
  <c r="AC45" i="155"/>
  <c r="AC82" i="155" s="1"/>
  <c r="AB45" i="155"/>
  <c r="AB82" i="155" s="1"/>
  <c r="AA45" i="155"/>
  <c r="AA82" i="155" s="1"/>
  <c r="Z45" i="155"/>
  <c r="Z82" i="155" s="1"/>
  <c r="B45" i="155"/>
  <c r="AM45" i="155"/>
  <c r="C45" i="155"/>
  <c r="AA46" i="155"/>
  <c r="AA83" i="155" s="1"/>
  <c r="Z46" i="155"/>
  <c r="Z83" i="155" s="1"/>
  <c r="X46" i="155"/>
  <c r="X83" i="155" s="1"/>
  <c r="W46" i="155"/>
  <c r="W83" i="155" s="1"/>
  <c r="V46" i="155"/>
  <c r="V83" i="155" s="1"/>
  <c r="AM46" i="155"/>
  <c r="B46" i="155"/>
  <c r="AB46" i="155"/>
  <c r="AB83" i="155" s="1"/>
  <c r="B45" i="153"/>
  <c r="AM45" i="153"/>
  <c r="C45" i="153"/>
  <c r="AC45" i="153"/>
  <c r="AC82" i="153" s="1"/>
  <c r="AB45" i="153"/>
  <c r="AB82" i="153" s="1"/>
  <c r="AA45" i="153"/>
  <c r="AA82" i="153" s="1"/>
  <c r="Z45" i="153"/>
  <c r="Z82" i="153" s="1"/>
  <c r="AM46" i="153"/>
  <c r="B46" i="153"/>
  <c r="W46" i="153"/>
  <c r="W83" i="153" s="1"/>
  <c r="AA46" i="153"/>
  <c r="AA83" i="153" s="1"/>
  <c r="V46" i="153"/>
  <c r="V83" i="153" s="1"/>
  <c r="AB46" i="153"/>
  <c r="AB83" i="153" s="1"/>
  <c r="Z46" i="153"/>
  <c r="Z83" i="153" s="1"/>
  <c r="X46" i="153"/>
  <c r="X83" i="153" s="1"/>
  <c r="W47" i="153"/>
  <c r="W84" i="153" s="1"/>
  <c r="V47" i="153"/>
  <c r="V84" i="153" s="1"/>
  <c r="B47" i="153"/>
  <c r="AM47" i="153"/>
  <c r="AA47" i="153"/>
  <c r="AA84" i="153" s="1"/>
  <c r="Z47" i="153"/>
  <c r="Z84" i="153" s="1"/>
  <c r="W44" i="154"/>
  <c r="W81" i="154" s="1"/>
  <c r="V44" i="154"/>
  <c r="V81" i="154" s="1"/>
  <c r="Y44" i="154"/>
  <c r="Y81" i="154" s="1"/>
  <c r="X44" i="154"/>
  <c r="X81" i="154" s="1"/>
  <c r="C44" i="154"/>
  <c r="B44" i="154"/>
  <c r="AM44" i="154"/>
  <c r="Y44" i="155"/>
  <c r="Y81" i="155" s="1"/>
  <c r="X44" i="155"/>
  <c r="X81" i="155" s="1"/>
  <c r="W44" i="155"/>
  <c r="W81" i="155" s="1"/>
  <c r="V44" i="155"/>
  <c r="V81" i="155" s="1"/>
  <c r="B44" i="155"/>
  <c r="AM44" i="155"/>
  <c r="C44" i="155"/>
  <c r="W47" i="154"/>
  <c r="W84" i="154" s="1"/>
  <c r="V47" i="154"/>
  <c r="V84" i="154" s="1"/>
  <c r="AA47" i="154"/>
  <c r="AA84" i="154" s="1"/>
  <c r="AM47" i="154"/>
  <c r="Z47" i="154"/>
  <c r="Z84" i="154" s="1"/>
  <c r="B47" i="154"/>
  <c r="AN28" i="153" l="1" a="1"/>
  <c r="AN57" i="153" l="1"/>
  <c r="AN49" i="153"/>
  <c r="AN41" i="153"/>
  <c r="AN33" i="153"/>
  <c r="AN52" i="153"/>
  <c r="AN43" i="153"/>
  <c r="AN34" i="153"/>
  <c r="AN39" i="153"/>
  <c r="AN37" i="153"/>
  <c r="AN51" i="153"/>
  <c r="AN42" i="153"/>
  <c r="AN32" i="153"/>
  <c r="AN48" i="153"/>
  <c r="AN47" i="153"/>
  <c r="AN38" i="153"/>
  <c r="AN29" i="153"/>
  <c r="AN55" i="153"/>
  <c r="AN46" i="153"/>
  <c r="AN59" i="153"/>
  <c r="AN50" i="153"/>
  <c r="AN40" i="153"/>
  <c r="AN31" i="153"/>
  <c r="AN58" i="153"/>
  <c r="AN30" i="153"/>
  <c r="AN28" i="153"/>
  <c r="AN56" i="153"/>
  <c r="AN54" i="153"/>
  <c r="AN45" i="153"/>
  <c r="AN36" i="153"/>
  <c r="AN53" i="153"/>
  <c r="AN44" i="153"/>
  <c r="AN35" i="153"/>
  <c r="E3" i="146" l="1"/>
  <c r="F3" i="146"/>
  <c r="G3" i="146"/>
  <c r="H3" i="146"/>
  <c r="E4" i="146"/>
  <c r="H4" i="146" s="1"/>
  <c r="F4" i="146"/>
  <c r="G4" i="146"/>
  <c r="E5" i="146"/>
  <c r="F5" i="146"/>
  <c r="G5" i="146"/>
  <c r="H5" i="146"/>
  <c r="E6" i="146"/>
  <c r="H6" i="146" s="1"/>
  <c r="F6" i="146"/>
  <c r="G6" i="146"/>
  <c r="E7" i="146"/>
  <c r="F7" i="146"/>
  <c r="G7" i="146"/>
  <c r="H7" i="146"/>
  <c r="E8" i="146"/>
  <c r="H8" i="146" s="1"/>
  <c r="F8" i="146"/>
  <c r="G8" i="146"/>
  <c r="E9" i="146"/>
  <c r="F9" i="146"/>
  <c r="G9" i="146"/>
  <c r="H9" i="146"/>
  <c r="E10" i="146"/>
  <c r="H10" i="146" s="1"/>
  <c r="F10" i="146"/>
  <c r="G10" i="146"/>
  <c r="E11" i="146"/>
  <c r="F11" i="146"/>
  <c r="G11" i="146"/>
  <c r="H11" i="146"/>
  <c r="E12" i="146"/>
  <c r="H12" i="146" s="1"/>
  <c r="F12" i="146"/>
  <c r="G12" i="146"/>
  <c r="E13" i="146"/>
  <c r="F13" i="146"/>
  <c r="G13" i="146"/>
  <c r="H13" i="146"/>
  <c r="E14" i="146"/>
  <c r="H14" i="146" s="1"/>
  <c r="F14" i="146"/>
  <c r="G14" i="146"/>
  <c r="E15" i="146"/>
  <c r="F15" i="146"/>
  <c r="G15" i="146"/>
  <c r="H15" i="146"/>
  <c r="E16" i="146"/>
  <c r="H16" i="146" s="1"/>
  <c r="F16" i="146"/>
  <c r="G16" i="146"/>
  <c r="E17" i="146"/>
  <c r="F17" i="146"/>
  <c r="G17" i="146"/>
  <c r="H17" i="146"/>
  <c r="E18" i="146"/>
  <c r="H18" i="146" s="1"/>
  <c r="F18" i="146"/>
  <c r="G18" i="146"/>
  <c r="E19" i="146"/>
  <c r="F19" i="146"/>
  <c r="G19" i="146"/>
  <c r="H19" i="146"/>
  <c r="E20" i="146"/>
  <c r="H20" i="146" s="1"/>
  <c r="F20" i="146"/>
  <c r="G20" i="146"/>
  <c r="E21" i="146"/>
  <c r="F21" i="146"/>
  <c r="G21" i="146"/>
  <c r="H21" i="146"/>
  <c r="E22" i="146"/>
  <c r="H22" i="146" s="1"/>
  <c r="F22" i="146"/>
  <c r="G22" i="146"/>
  <c r="E23" i="146"/>
  <c r="F23" i="146"/>
  <c r="G23" i="146"/>
  <c r="H23" i="146"/>
  <c r="E24" i="146"/>
  <c r="H24" i="146" s="1"/>
  <c r="F24" i="146"/>
  <c r="G24" i="146"/>
  <c r="E25" i="146"/>
  <c r="F25" i="146"/>
  <c r="G25" i="146"/>
  <c r="H25" i="146"/>
  <c r="E26" i="146"/>
  <c r="H26" i="146" s="1"/>
  <c r="F26" i="146"/>
  <c r="G26" i="146"/>
  <c r="E27" i="146"/>
  <c r="F27" i="146"/>
  <c r="G27" i="146"/>
  <c r="H27" i="146"/>
  <c r="E28" i="146"/>
  <c r="H28" i="146" s="1"/>
  <c r="F28" i="146"/>
  <c r="G28" i="146"/>
  <c r="E29" i="146"/>
  <c r="F29" i="146"/>
  <c r="G29" i="146"/>
  <c r="H29" i="146"/>
  <c r="E30" i="146"/>
  <c r="H30" i="146" s="1"/>
  <c r="F30" i="146"/>
  <c r="G30" i="146"/>
  <c r="E31" i="146"/>
  <c r="F31" i="146"/>
  <c r="G31" i="146"/>
  <c r="H31" i="146"/>
  <c r="E32" i="146"/>
  <c r="H32" i="146" s="1"/>
  <c r="F32" i="146"/>
  <c r="G32" i="146"/>
  <c r="I3" i="145"/>
  <c r="J3" i="145"/>
  <c r="K3" i="145"/>
  <c r="L3" i="145"/>
  <c r="M3" i="145"/>
  <c r="N3" i="145"/>
  <c r="I4" i="145"/>
  <c r="J4" i="145"/>
  <c r="K4" i="145"/>
  <c r="L4" i="145"/>
  <c r="M4" i="145"/>
  <c r="N4" i="145"/>
  <c r="I5" i="145"/>
  <c r="P3" i="145" s="1" a="1"/>
  <c r="P3" i="145" s="1"/>
  <c r="J5" i="145"/>
  <c r="K5" i="145"/>
  <c r="L5" i="145"/>
  <c r="M5" i="145"/>
  <c r="N5" i="145"/>
  <c r="I6" i="145"/>
  <c r="J6" i="145"/>
  <c r="K6" i="145"/>
  <c r="L6" i="145"/>
  <c r="M6" i="145"/>
  <c r="N6" i="145"/>
  <c r="I7" i="145"/>
  <c r="J7" i="145"/>
  <c r="K7" i="145"/>
  <c r="L7" i="145"/>
  <c r="M7" i="145"/>
  <c r="N7" i="145"/>
  <c r="I8" i="145"/>
  <c r="J8" i="145"/>
  <c r="K8" i="145"/>
  <c r="L8" i="145"/>
  <c r="M8" i="145"/>
  <c r="N8" i="145"/>
  <c r="I9" i="145"/>
  <c r="J9" i="145"/>
  <c r="K9" i="145"/>
  <c r="L9" i="145"/>
  <c r="M9" i="145"/>
  <c r="N9" i="145"/>
  <c r="I10" i="145"/>
  <c r="J10" i="145"/>
  <c r="K10" i="145"/>
  <c r="L10" i="145"/>
  <c r="M10" i="145"/>
  <c r="N10" i="145"/>
  <c r="I11" i="145"/>
  <c r="J11" i="145"/>
  <c r="K11" i="145"/>
  <c r="L11" i="145"/>
  <c r="M11" i="145"/>
  <c r="N11" i="145"/>
  <c r="I12" i="145"/>
  <c r="J12" i="145"/>
  <c r="K12" i="145"/>
  <c r="L12" i="145"/>
  <c r="M12" i="145"/>
  <c r="N12" i="145"/>
  <c r="I13" i="145"/>
  <c r="J13" i="145"/>
  <c r="K13" i="145"/>
  <c r="L13" i="145"/>
  <c r="M13" i="145"/>
  <c r="N13" i="145"/>
  <c r="I14" i="145"/>
  <c r="J14" i="145"/>
  <c r="K14" i="145"/>
  <c r="L14" i="145"/>
  <c r="M14" i="145"/>
  <c r="N14" i="145"/>
  <c r="I15" i="145"/>
  <c r="J15" i="145"/>
  <c r="K15" i="145"/>
  <c r="L15" i="145"/>
  <c r="M15" i="145"/>
  <c r="N15" i="145"/>
  <c r="I16" i="145"/>
  <c r="J16" i="145"/>
  <c r="K16" i="145"/>
  <c r="L16" i="145"/>
  <c r="M16" i="145"/>
  <c r="N16" i="145"/>
  <c r="I17" i="145"/>
  <c r="J17" i="145"/>
  <c r="K17" i="145"/>
  <c r="L17" i="145"/>
  <c r="M17" i="145"/>
  <c r="N17" i="145"/>
  <c r="I18" i="145"/>
  <c r="J18" i="145"/>
  <c r="K18" i="145"/>
  <c r="L18" i="145"/>
  <c r="M18" i="145"/>
  <c r="N18" i="145"/>
  <c r="I19" i="145"/>
  <c r="J19" i="145"/>
  <c r="K19" i="145"/>
  <c r="L19" i="145"/>
  <c r="M19" i="145"/>
  <c r="N19" i="145"/>
  <c r="I20" i="145"/>
  <c r="J20" i="145"/>
  <c r="K20" i="145"/>
  <c r="L20" i="145"/>
  <c r="M20" i="145"/>
  <c r="N20" i="145"/>
  <c r="I21" i="145"/>
  <c r="J21" i="145"/>
  <c r="K21" i="145"/>
  <c r="L21" i="145"/>
  <c r="M21" i="145"/>
  <c r="N21" i="145"/>
  <c r="I22" i="145"/>
  <c r="J22" i="145"/>
  <c r="K22" i="145"/>
  <c r="L22" i="145"/>
  <c r="M22" i="145"/>
  <c r="N22" i="145"/>
  <c r="I23" i="145"/>
  <c r="J23" i="145"/>
  <c r="K23" i="145"/>
  <c r="L23" i="145"/>
  <c r="M23" i="145"/>
  <c r="N23" i="145"/>
  <c r="I24" i="145"/>
  <c r="J24" i="145"/>
  <c r="K24" i="145"/>
  <c r="L24" i="145"/>
  <c r="M24" i="145"/>
  <c r="N24" i="145"/>
  <c r="I25" i="145"/>
  <c r="J25" i="145"/>
  <c r="K25" i="145"/>
  <c r="L25" i="145"/>
  <c r="M25" i="145"/>
  <c r="N25" i="145"/>
  <c r="I26" i="145"/>
  <c r="J26" i="145"/>
  <c r="K26" i="145"/>
  <c r="L26" i="145"/>
  <c r="M26" i="145"/>
  <c r="N26" i="145"/>
  <c r="I27" i="145"/>
  <c r="J27" i="145"/>
  <c r="K27" i="145"/>
  <c r="L27" i="145"/>
  <c r="M27" i="145"/>
  <c r="N27" i="145"/>
  <c r="I28" i="145"/>
  <c r="J28" i="145"/>
  <c r="K28" i="145"/>
  <c r="L28" i="145"/>
  <c r="M28" i="145"/>
  <c r="N28" i="145"/>
  <c r="I29" i="145"/>
  <c r="J29" i="145"/>
  <c r="K29" i="145"/>
  <c r="L29" i="145"/>
  <c r="M29" i="145"/>
  <c r="N29" i="145"/>
  <c r="I30" i="145"/>
  <c r="J30" i="145"/>
  <c r="K30" i="145"/>
  <c r="L30" i="145"/>
  <c r="M30" i="145"/>
  <c r="N30" i="145"/>
  <c r="I31" i="145"/>
  <c r="J31" i="145"/>
  <c r="K31" i="145"/>
  <c r="L31" i="145"/>
  <c r="M31" i="145"/>
  <c r="N31" i="145"/>
  <c r="I32" i="145"/>
  <c r="J32" i="145"/>
  <c r="K32" i="145"/>
  <c r="L32" i="145"/>
  <c r="M32" i="145"/>
  <c r="N32" i="145"/>
  <c r="F3" i="144"/>
  <c r="J3" i="144" s="1" a="1"/>
  <c r="J3" i="144" s="1"/>
  <c r="G3" i="144"/>
  <c r="H3" i="144"/>
  <c r="F4" i="144"/>
  <c r="G4" i="144"/>
  <c r="H4" i="144"/>
  <c r="F5" i="144"/>
  <c r="G5" i="144"/>
  <c r="H5" i="144"/>
  <c r="F6" i="144"/>
  <c r="G6" i="144"/>
  <c r="H6" i="144"/>
  <c r="F7" i="144"/>
  <c r="G7" i="144"/>
  <c r="H7" i="144"/>
  <c r="F8" i="144"/>
  <c r="G8" i="144"/>
  <c r="H8" i="144"/>
  <c r="F9" i="144"/>
  <c r="K3" i="144" s="1" a="1"/>
  <c r="K3" i="144" s="1"/>
  <c r="G9" i="144"/>
  <c r="H9" i="144"/>
  <c r="F10" i="144"/>
  <c r="G10" i="144"/>
  <c r="H10" i="144"/>
  <c r="F11" i="144"/>
  <c r="G11" i="144"/>
  <c r="H11" i="144"/>
  <c r="F12" i="144"/>
  <c r="G12" i="144"/>
  <c r="H12" i="144"/>
  <c r="F13" i="144"/>
  <c r="G13" i="144"/>
  <c r="H13" i="144"/>
  <c r="F14" i="144"/>
  <c r="G14" i="144"/>
  <c r="H14" i="144"/>
  <c r="F15" i="144"/>
  <c r="G15" i="144"/>
  <c r="H15" i="144"/>
  <c r="F16" i="144"/>
  <c r="G16" i="144"/>
  <c r="H16" i="144"/>
  <c r="F17" i="144"/>
  <c r="G17" i="144"/>
  <c r="H17" i="144"/>
  <c r="F18" i="144"/>
  <c r="G18" i="144"/>
  <c r="H18" i="144"/>
  <c r="F19" i="144"/>
  <c r="G19" i="144"/>
  <c r="H19" i="144"/>
  <c r="F20" i="144"/>
  <c r="G20" i="144"/>
  <c r="H20" i="144"/>
  <c r="F21" i="144"/>
  <c r="G21" i="144"/>
  <c r="H21" i="144"/>
  <c r="F22" i="144"/>
  <c r="G22" i="144"/>
  <c r="H22" i="144"/>
  <c r="F23" i="144"/>
  <c r="G23" i="144"/>
  <c r="H23" i="144"/>
  <c r="F24" i="144"/>
  <c r="G24" i="144"/>
  <c r="H24" i="144"/>
  <c r="F25" i="144"/>
  <c r="G25" i="144"/>
  <c r="H25" i="144"/>
  <c r="F26" i="144"/>
  <c r="G26" i="144"/>
  <c r="H26" i="144"/>
  <c r="F27" i="144"/>
  <c r="G27" i="144"/>
  <c r="H27" i="144"/>
  <c r="F28" i="144"/>
  <c r="G28" i="144"/>
  <c r="H28" i="144"/>
  <c r="F29" i="144"/>
  <c r="G29" i="144"/>
  <c r="H29" i="144"/>
  <c r="F30" i="144"/>
  <c r="G30" i="144"/>
  <c r="H30" i="144"/>
  <c r="F31" i="144"/>
  <c r="G31" i="144"/>
  <c r="H31" i="144"/>
  <c r="F32" i="144"/>
  <c r="G32" i="144"/>
  <c r="H32" i="144"/>
  <c r="F3" i="143"/>
  <c r="J3" i="143" s="1" a="1"/>
  <c r="J3" i="143" s="1"/>
  <c r="G3" i="143"/>
  <c r="H3" i="143"/>
  <c r="F4" i="143"/>
  <c r="G4" i="143"/>
  <c r="H4" i="143"/>
  <c r="F5" i="143"/>
  <c r="G5" i="143"/>
  <c r="H5" i="143"/>
  <c r="F6" i="143"/>
  <c r="G6" i="143"/>
  <c r="H6" i="143"/>
  <c r="F7" i="143"/>
  <c r="G7" i="143"/>
  <c r="H7" i="143"/>
  <c r="F8" i="143"/>
  <c r="G8" i="143"/>
  <c r="H8" i="143"/>
  <c r="F9" i="143"/>
  <c r="G9" i="143"/>
  <c r="H9" i="143"/>
  <c r="F10" i="143"/>
  <c r="G10" i="143"/>
  <c r="H10" i="143"/>
  <c r="F11" i="143"/>
  <c r="G11" i="143"/>
  <c r="H11" i="143"/>
  <c r="F12" i="143"/>
  <c r="G12" i="143"/>
  <c r="H12" i="143"/>
  <c r="F13" i="143"/>
  <c r="G13" i="143"/>
  <c r="H13" i="143"/>
  <c r="F14" i="143"/>
  <c r="G14" i="143"/>
  <c r="H14" i="143"/>
  <c r="F15" i="143"/>
  <c r="G15" i="143"/>
  <c r="H15" i="143"/>
  <c r="F16" i="143"/>
  <c r="G16" i="143"/>
  <c r="H16" i="143"/>
  <c r="F17" i="143"/>
  <c r="G17" i="143"/>
  <c r="H17" i="143"/>
  <c r="F18" i="143"/>
  <c r="G18" i="143"/>
  <c r="H18" i="143"/>
  <c r="F19" i="143"/>
  <c r="G19" i="143"/>
  <c r="H19" i="143"/>
  <c r="F20" i="143"/>
  <c r="G20" i="143"/>
  <c r="H20" i="143"/>
  <c r="F21" i="143"/>
  <c r="G21" i="143"/>
  <c r="H21" i="143"/>
  <c r="F22" i="143"/>
  <c r="G22" i="143"/>
  <c r="H22" i="143"/>
  <c r="F23" i="143"/>
  <c r="G23" i="143"/>
  <c r="H23" i="143"/>
  <c r="F24" i="143"/>
  <c r="G24" i="143"/>
  <c r="H24" i="143"/>
  <c r="F25" i="143"/>
  <c r="G25" i="143"/>
  <c r="H25" i="143"/>
  <c r="F26" i="143"/>
  <c r="G26" i="143"/>
  <c r="H26" i="143"/>
  <c r="F27" i="143"/>
  <c r="G27" i="143"/>
  <c r="H27" i="143"/>
  <c r="F28" i="143"/>
  <c r="G28" i="143"/>
  <c r="H28" i="143"/>
  <c r="F29" i="143"/>
  <c r="G29" i="143"/>
  <c r="H29" i="143"/>
  <c r="F30" i="143"/>
  <c r="G30" i="143"/>
  <c r="H30" i="143"/>
  <c r="F31" i="143"/>
  <c r="G31" i="143"/>
  <c r="H31" i="143"/>
  <c r="F32" i="143"/>
  <c r="G32" i="143"/>
  <c r="H32" i="143"/>
  <c r="G3" i="142" a="1"/>
  <c r="G3" i="142" s="1"/>
  <c r="C3" i="141"/>
  <c r="G3" i="141" s="1" a="1"/>
  <c r="G3" i="141" s="1"/>
  <c r="D3" i="141"/>
  <c r="F3" i="141" a="1"/>
  <c r="F3" i="141" s="1"/>
  <c r="C4" i="141"/>
  <c r="D4" i="141"/>
  <c r="C5" i="141"/>
  <c r="D5" i="141"/>
  <c r="C6" i="141"/>
  <c r="D6" i="141"/>
  <c r="C7" i="141"/>
  <c r="D7" i="141"/>
  <c r="C8" i="141"/>
  <c r="D8" i="141"/>
  <c r="C9" i="141"/>
  <c r="D9" i="141"/>
  <c r="C10" i="141"/>
  <c r="D10" i="141"/>
  <c r="C11" i="141"/>
  <c r="D11" i="141"/>
  <c r="C12" i="141"/>
  <c r="D12" i="141"/>
  <c r="C13" i="141"/>
  <c r="D13" i="141"/>
  <c r="C14" i="141"/>
  <c r="D14" i="141"/>
  <c r="C15" i="141"/>
  <c r="D15" i="141"/>
  <c r="C16" i="141"/>
  <c r="D16" i="141"/>
  <c r="C17" i="141"/>
  <c r="D17" i="141"/>
  <c r="C18" i="141"/>
  <c r="D18" i="141"/>
  <c r="C19" i="141"/>
  <c r="D19" i="141"/>
  <c r="C20" i="141"/>
  <c r="D20" i="141"/>
  <c r="C21" i="141"/>
  <c r="D21" i="141"/>
  <c r="C22" i="141"/>
  <c r="D22" i="141"/>
  <c r="C23" i="141"/>
  <c r="D23" i="141"/>
  <c r="C24" i="141"/>
  <c r="D24" i="141"/>
  <c r="C25" i="141"/>
  <c r="D25" i="141"/>
  <c r="C26" i="141"/>
  <c r="D26" i="141"/>
  <c r="C27" i="141"/>
  <c r="D27" i="141"/>
  <c r="C28" i="141"/>
  <c r="D28" i="141"/>
  <c r="C29" i="141"/>
  <c r="D29" i="141"/>
  <c r="C30" i="141"/>
  <c r="D30" i="141"/>
  <c r="C31" i="141"/>
  <c r="D31" i="141"/>
  <c r="C32" i="141"/>
  <c r="D32" i="141"/>
  <c r="J3" i="146" l="1" a="1"/>
  <c r="J3" i="146" s="1"/>
  <c r="D17" i="123"/>
  <c r="C17" i="123"/>
  <c r="D16" i="123"/>
  <c r="C16" i="123"/>
  <c r="D15" i="123"/>
  <c r="C15" i="123"/>
  <c r="D14" i="123"/>
  <c r="C14" i="123"/>
  <c r="D13" i="123"/>
  <c r="C13" i="123"/>
  <c r="D12" i="123"/>
  <c r="C12" i="123"/>
  <c r="D11" i="123"/>
  <c r="C11" i="123"/>
  <c r="D10" i="123"/>
  <c r="C10" i="123"/>
  <c r="D9" i="123"/>
  <c r="C9" i="123"/>
  <c r="H33" i="122"/>
  <c r="G33" i="122"/>
  <c r="H32" i="122"/>
  <c r="G32" i="122"/>
  <c r="H31" i="122"/>
  <c r="G31" i="122"/>
  <c r="H30" i="122"/>
  <c r="G30" i="122"/>
  <c r="H29" i="122"/>
  <c r="G29" i="122"/>
  <c r="H28" i="122"/>
  <c r="G28" i="122"/>
  <c r="H27" i="122"/>
  <c r="G27" i="122"/>
  <c r="H26" i="122"/>
  <c r="G26" i="122"/>
  <c r="H25" i="122"/>
  <c r="G25" i="122"/>
  <c r="H24" i="122"/>
  <c r="G24" i="122"/>
  <c r="H23" i="122"/>
  <c r="G23" i="122"/>
  <c r="H22" i="122"/>
  <c r="G22" i="122"/>
  <c r="H21" i="122"/>
  <c r="G21" i="122"/>
  <c r="H20" i="122"/>
  <c r="G20" i="122"/>
  <c r="H19" i="122"/>
  <c r="G19" i="122"/>
  <c r="H18" i="122"/>
  <c r="G18" i="122"/>
  <c r="H17" i="122"/>
  <c r="G17" i="122"/>
  <c r="H16" i="122"/>
  <c r="G16" i="122"/>
  <c r="H15" i="122"/>
  <c r="G15" i="122"/>
  <c r="H14" i="122"/>
  <c r="G14" i="122"/>
  <c r="H13" i="122"/>
  <c r="G13" i="122"/>
  <c r="H12" i="122"/>
  <c r="G12" i="122"/>
  <c r="H11" i="122"/>
  <c r="G11" i="122"/>
  <c r="H10" i="122"/>
  <c r="G10" i="122"/>
  <c r="H9" i="122"/>
  <c r="G9" i="122"/>
  <c r="H8" i="122"/>
  <c r="G8" i="122"/>
  <c r="H7" i="122"/>
  <c r="G7" i="122"/>
  <c r="H6" i="122"/>
  <c r="G6" i="122"/>
  <c r="H5" i="122"/>
  <c r="G5" i="122"/>
  <c r="H4" i="122"/>
  <c r="G4" i="122"/>
  <c r="G17" i="123" l="1" a="1"/>
  <c r="G17" i="123" s="1"/>
  <c r="F11" i="123" a="1"/>
  <c r="F11" i="123" s="1"/>
  <c r="E15" i="123" a="1"/>
  <c r="E15" i="123" s="1"/>
  <c r="E12" i="123" a="1"/>
  <c r="E12" i="123" s="1"/>
  <c r="E17" i="123" a="1"/>
  <c r="E17" i="123" s="1"/>
  <c r="F15" i="123" a="1"/>
  <c r="F15" i="123" s="1"/>
  <c r="G15" i="123" a="1"/>
  <c r="G15" i="123" s="1"/>
  <c r="G9" i="123" a="1"/>
  <c r="G9" i="123" s="1"/>
  <c r="E13" i="123" a="1"/>
  <c r="E13" i="123" s="1"/>
  <c r="E16" i="123" a="1"/>
  <c r="E16" i="123" s="1"/>
  <c r="F10" i="123" a="1"/>
  <c r="F10" i="123" s="1"/>
  <c r="E14" i="123" a="1"/>
  <c r="E14" i="123" s="1"/>
  <c r="E9" i="123" a="1"/>
  <c r="E9" i="123" s="1"/>
  <c r="F16" i="123" a="1"/>
  <c r="F16" i="123" s="1"/>
  <c r="F14" i="123" a="1"/>
  <c r="F14" i="123" s="1"/>
  <c r="G14" i="123" a="1"/>
  <c r="G14" i="123" s="1"/>
  <c r="G16" i="123" a="1"/>
  <c r="G16" i="123" s="1"/>
  <c r="G12" i="123" a="1"/>
  <c r="G12" i="123" s="1"/>
  <c r="G13" i="123" a="1"/>
  <c r="G13" i="123" s="1"/>
  <c r="E11" i="123" a="1"/>
  <c r="E11" i="123" s="1"/>
  <c r="G10" i="123" a="1"/>
  <c r="G10" i="123" s="1"/>
  <c r="F12" i="123" a="1"/>
  <c r="F12" i="123" s="1"/>
  <c r="G11" i="123" a="1"/>
  <c r="G11" i="123" s="1"/>
  <c r="F13" i="123" a="1"/>
  <c r="F13" i="123" s="1"/>
  <c r="F9" i="123" a="1"/>
  <c r="F9" i="123" s="1"/>
  <c r="F17" i="123" a="1"/>
  <c r="F17" i="123" s="1"/>
  <c r="E10" i="123" a="1"/>
  <c r="E10" i="123" s="1"/>
  <c r="H17" i="123" l="1"/>
  <c r="H15" i="123"/>
  <c r="H9" i="123"/>
  <c r="H14" i="123"/>
  <c r="H16" i="123"/>
  <c r="H11" i="123"/>
  <c r="H12" i="123"/>
  <c r="H13" i="123"/>
  <c r="H10" i="123"/>
  <c r="D21" i="123" l="1"/>
  <c r="C19" i="123"/>
  <c r="C20" i="123"/>
  <c r="D19" i="123"/>
  <c r="D20" i="123"/>
  <c r="C21" i="123"/>
  <c r="B12" i="92" a="1"/>
  <c r="H12" i="92" s="1"/>
  <c r="H4" i="92"/>
  <c r="H4" i="92" a="1"/>
  <c r="B37" i="91" a="1"/>
  <c r="H61" i="91" s="1"/>
  <c r="B12" i="91" a="1"/>
  <c r="H36" i="91" s="1"/>
  <c r="H13" i="91" l="1"/>
  <c r="H27" i="91"/>
  <c r="H29" i="91"/>
  <c r="H33" i="91"/>
  <c r="B12" i="91"/>
  <c r="H35" i="91"/>
  <c r="H17" i="91"/>
  <c r="H19" i="91"/>
  <c r="H21" i="91"/>
  <c r="H15" i="91"/>
  <c r="H31" i="91"/>
  <c r="H23" i="91"/>
  <c r="H25" i="91"/>
  <c r="I12" i="92" a="1"/>
  <c r="I36" i="92" s="1"/>
  <c r="J36" i="92" s="1"/>
  <c r="H14" i="92"/>
  <c r="H16" i="92"/>
  <c r="H18" i="92"/>
  <c r="H20" i="92"/>
  <c r="H22" i="92"/>
  <c r="H24" i="92"/>
  <c r="H26" i="92"/>
  <c r="H28" i="92"/>
  <c r="H30" i="92"/>
  <c r="H32" i="92"/>
  <c r="H34" i="92"/>
  <c r="H36" i="92"/>
  <c r="H38" i="92"/>
  <c r="H40" i="92"/>
  <c r="H42" i="92"/>
  <c r="H44" i="92"/>
  <c r="H46" i="92"/>
  <c r="H48" i="92"/>
  <c r="H50" i="92"/>
  <c r="H52" i="92"/>
  <c r="H54" i="92"/>
  <c r="H56" i="92"/>
  <c r="H58" i="92"/>
  <c r="H60" i="92"/>
  <c r="H38" i="91"/>
  <c r="H40" i="91"/>
  <c r="H42" i="91"/>
  <c r="H44" i="91"/>
  <c r="H46" i="91"/>
  <c r="H48" i="91"/>
  <c r="H50" i="91"/>
  <c r="H52" i="91"/>
  <c r="H54" i="91"/>
  <c r="H56" i="91"/>
  <c r="H58" i="91"/>
  <c r="H60" i="91"/>
  <c r="H12" i="91"/>
  <c r="B37" i="91"/>
  <c r="B12" i="92"/>
  <c r="H13" i="92"/>
  <c r="H15" i="92"/>
  <c r="H17" i="92"/>
  <c r="H19" i="92"/>
  <c r="H21" i="92"/>
  <c r="H23" i="92"/>
  <c r="H25" i="92"/>
  <c r="H27" i="92"/>
  <c r="H29" i="92"/>
  <c r="H31" i="92"/>
  <c r="H33" i="92"/>
  <c r="H35" i="92"/>
  <c r="H37" i="92"/>
  <c r="H39" i="92"/>
  <c r="H41" i="92"/>
  <c r="H43" i="92"/>
  <c r="H45" i="92"/>
  <c r="H47" i="92"/>
  <c r="H49" i="92"/>
  <c r="H51" i="92"/>
  <c r="H53" i="92"/>
  <c r="H55" i="92"/>
  <c r="H57" i="92"/>
  <c r="H59" i="92"/>
  <c r="H61" i="92"/>
  <c r="H37" i="91"/>
  <c r="H39" i="91"/>
  <c r="H41" i="91"/>
  <c r="H43" i="91"/>
  <c r="H45" i="91"/>
  <c r="H47" i="91"/>
  <c r="H49" i="91"/>
  <c r="H51" i="91"/>
  <c r="H53" i="91"/>
  <c r="H55" i="91"/>
  <c r="H57" i="91"/>
  <c r="H59" i="91"/>
  <c r="H14" i="91"/>
  <c r="H16" i="91"/>
  <c r="H18" i="91"/>
  <c r="H20" i="91"/>
  <c r="H22" i="91"/>
  <c r="H24" i="91"/>
  <c r="H26" i="91"/>
  <c r="H28" i="91"/>
  <c r="H30" i="91"/>
  <c r="H32" i="91"/>
  <c r="H34" i="91"/>
  <c r="I50" i="92" l="1"/>
  <c r="J50" i="92" s="1"/>
  <c r="K50" i="92" s="1"/>
  <c r="L50" i="92" s="1"/>
  <c r="I25" i="92"/>
  <c r="J25" i="92" s="1"/>
  <c r="K25" i="92" s="1"/>
  <c r="L25" i="92" s="1"/>
  <c r="I37" i="92"/>
  <c r="J37" i="92" s="1"/>
  <c r="K37" i="92" s="1"/>
  <c r="L37" i="92" s="1"/>
  <c r="I55" i="92"/>
  <c r="J55" i="92" s="1"/>
  <c r="K55" i="92" s="1"/>
  <c r="L55" i="92" s="1"/>
  <c r="I38" i="92"/>
  <c r="J38" i="92" s="1"/>
  <c r="K38" i="92" s="1"/>
  <c r="L38" i="92" s="1"/>
  <c r="I59" i="92"/>
  <c r="J59" i="92" s="1"/>
  <c r="K59" i="92" s="1"/>
  <c r="L59" i="92" s="1"/>
  <c r="I46" i="92"/>
  <c r="J46" i="92" s="1"/>
  <c r="K46" i="92" s="1"/>
  <c r="L46" i="92" s="1"/>
  <c r="I12" i="92"/>
  <c r="J12" i="92" s="1"/>
  <c r="K12" i="92" s="1"/>
  <c r="L12" i="92" s="1"/>
  <c r="I16" i="92"/>
  <c r="J16" i="92" s="1"/>
  <c r="K16" i="92" s="1"/>
  <c r="L16" i="92" s="1"/>
  <c r="I33" i="92"/>
  <c r="J33" i="92" s="1"/>
  <c r="K33" i="92" s="1"/>
  <c r="L33" i="92" s="1"/>
  <c r="I29" i="92"/>
  <c r="J29" i="92" s="1"/>
  <c r="K29" i="92" s="1"/>
  <c r="L29" i="92" s="1"/>
  <c r="I42" i="92"/>
  <c r="J42" i="92" s="1"/>
  <c r="K42" i="92" s="1"/>
  <c r="L42" i="92" s="1"/>
  <c r="I14" i="92"/>
  <c r="J14" i="92" s="1"/>
  <c r="K14" i="92" s="1"/>
  <c r="L14" i="92" s="1"/>
  <c r="I31" i="92"/>
  <c r="J31" i="92" s="1"/>
  <c r="K31" i="92" s="1"/>
  <c r="L31" i="92" s="1"/>
  <c r="I48" i="92"/>
  <c r="J48" i="92" s="1"/>
  <c r="K48" i="92" s="1"/>
  <c r="L48" i="92" s="1"/>
  <c r="I18" i="92"/>
  <c r="J18" i="92" s="1"/>
  <c r="K18" i="92" s="1"/>
  <c r="L18" i="92" s="1"/>
  <c r="I35" i="92"/>
  <c r="J35" i="92" s="1"/>
  <c r="K35" i="92" s="1"/>
  <c r="L35" i="92" s="1"/>
  <c r="I44" i="92"/>
  <c r="J44" i="92" s="1"/>
  <c r="K44" i="92" s="1"/>
  <c r="L44" i="92" s="1"/>
  <c r="I13" i="92"/>
  <c r="J13" i="92" s="1"/>
  <c r="K13" i="92" s="1"/>
  <c r="L13" i="92" s="1"/>
  <c r="I22" i="92"/>
  <c r="J22" i="92" s="1"/>
  <c r="K22" i="92" s="1"/>
  <c r="L22" i="92" s="1"/>
  <c r="I39" i="92"/>
  <c r="J39" i="92" s="1"/>
  <c r="K39" i="92" s="1"/>
  <c r="L39" i="92" s="1"/>
  <c r="I56" i="92"/>
  <c r="J56" i="92" s="1"/>
  <c r="K56" i="92" s="1"/>
  <c r="L56" i="92" s="1"/>
  <c r="I26" i="92"/>
  <c r="J26" i="92" s="1"/>
  <c r="K26" i="92" s="1"/>
  <c r="L26" i="92" s="1"/>
  <c r="I43" i="92"/>
  <c r="J43" i="92" s="1"/>
  <c r="K43" i="92" s="1"/>
  <c r="L43" i="92" s="1"/>
  <c r="I52" i="92"/>
  <c r="J52" i="92" s="1"/>
  <c r="K52" i="92" s="1"/>
  <c r="L52" i="92" s="1"/>
  <c r="I21" i="92"/>
  <c r="J21" i="92" s="1"/>
  <c r="K21" i="92" s="1"/>
  <c r="L21" i="92" s="1"/>
  <c r="I30" i="92"/>
  <c r="J30" i="92" s="1"/>
  <c r="K30" i="92" s="1"/>
  <c r="L30" i="92" s="1"/>
  <c r="I47" i="92"/>
  <c r="J47" i="92" s="1"/>
  <c r="K47" i="92" s="1"/>
  <c r="L47" i="92" s="1"/>
  <c r="I17" i="92"/>
  <c r="J17" i="92" s="1"/>
  <c r="K17" i="92" s="1"/>
  <c r="L17" i="92" s="1"/>
  <c r="I34" i="92"/>
  <c r="J34" i="92" s="1"/>
  <c r="K34" i="92" s="1"/>
  <c r="L34" i="92" s="1"/>
  <c r="I51" i="92"/>
  <c r="J51" i="92" s="1"/>
  <c r="K51" i="92" s="1"/>
  <c r="L51" i="92" s="1"/>
  <c r="I60" i="92"/>
  <c r="J60" i="92" s="1"/>
  <c r="K60" i="92" s="1"/>
  <c r="L60" i="92" s="1"/>
  <c r="K36" i="92"/>
  <c r="L36" i="92" s="1"/>
  <c r="I45" i="92"/>
  <c r="J45" i="92" s="1"/>
  <c r="K45" i="92" s="1"/>
  <c r="L45" i="92" s="1"/>
  <c r="I54" i="92"/>
  <c r="J54" i="92" s="1"/>
  <c r="K54" i="92" s="1"/>
  <c r="L54" i="92" s="1"/>
  <c r="I24" i="92"/>
  <c r="J24" i="92" s="1"/>
  <c r="K24" i="92" s="1"/>
  <c r="L24" i="92" s="1"/>
  <c r="I41" i="92"/>
  <c r="J41" i="92" s="1"/>
  <c r="K41" i="92" s="1"/>
  <c r="L41" i="92" s="1"/>
  <c r="I58" i="92"/>
  <c r="J58" i="92" s="1"/>
  <c r="K58" i="92" s="1"/>
  <c r="L58" i="92" s="1"/>
  <c r="I20" i="92"/>
  <c r="J20" i="92" s="1"/>
  <c r="K20" i="92" s="1"/>
  <c r="L20" i="92" s="1"/>
  <c r="I53" i="92"/>
  <c r="J53" i="92" s="1"/>
  <c r="K53" i="92" s="1"/>
  <c r="L53" i="92" s="1"/>
  <c r="I15" i="92"/>
  <c r="J15" i="92" s="1"/>
  <c r="K15" i="92" s="1"/>
  <c r="L15" i="92" s="1"/>
  <c r="I32" i="92"/>
  <c r="J32" i="92" s="1"/>
  <c r="K32" i="92" s="1"/>
  <c r="L32" i="92" s="1"/>
  <c r="I49" i="92"/>
  <c r="J49" i="92" s="1"/>
  <c r="K49" i="92" s="1"/>
  <c r="L49" i="92" s="1"/>
  <c r="I19" i="92"/>
  <c r="J19" i="92" s="1"/>
  <c r="K19" i="92" s="1"/>
  <c r="L19" i="92" s="1"/>
  <c r="I28" i="92"/>
  <c r="J28" i="92" s="1"/>
  <c r="K28" i="92" s="1"/>
  <c r="L28" i="92" s="1"/>
  <c r="I61" i="92"/>
  <c r="J61" i="92" s="1"/>
  <c r="K61" i="92" s="1"/>
  <c r="L61" i="92" s="1"/>
  <c r="I23" i="92"/>
  <c r="J23" i="92" s="1"/>
  <c r="K23" i="92" s="1"/>
  <c r="L23" i="92" s="1"/>
  <c r="I40" i="92"/>
  <c r="J40" i="92" s="1"/>
  <c r="K40" i="92" s="1"/>
  <c r="L40" i="92" s="1"/>
  <c r="I57" i="92"/>
  <c r="J57" i="92" s="1"/>
  <c r="K57" i="92" s="1"/>
  <c r="L57" i="92" s="1"/>
  <c r="I27" i="92"/>
  <c r="J27" i="92" s="1"/>
  <c r="K27" i="92" s="1"/>
  <c r="L27" i="92" s="1"/>
  <c r="K4" i="91" l="1" a="1"/>
  <c r="K4" i="91" s="1"/>
  <c r="E211" i="155"/>
  <c r="E305" i="153"/>
  <c r="E274" i="154"/>
  <c r="E354" i="155"/>
  <c r="E332" i="154"/>
  <c r="E143" i="153"/>
  <c r="E206" i="154"/>
  <c r="E128" i="154"/>
  <c r="E318" i="155"/>
  <c r="E312" i="155"/>
  <c r="E271" i="154"/>
  <c r="E286" i="155"/>
  <c r="E397" i="153"/>
  <c r="E102" i="153"/>
  <c r="E146" i="155"/>
  <c r="E176" i="154"/>
  <c r="E300" i="155"/>
  <c r="E317" i="155"/>
  <c r="E126" i="155"/>
  <c r="E154" i="154"/>
  <c r="E358" i="155"/>
  <c r="E193" i="154"/>
  <c r="E352" i="153"/>
  <c r="E392" i="153"/>
  <c r="E280" i="154"/>
  <c r="E380" i="154"/>
  <c r="E143" i="155"/>
  <c r="E276" i="154"/>
  <c r="E302" i="154"/>
  <c r="E207" i="155"/>
  <c r="E276" i="153"/>
  <c r="E137" i="153"/>
  <c r="E212" i="155"/>
  <c r="E213" i="153"/>
  <c r="E127" i="153"/>
  <c r="E167" i="154"/>
  <c r="E195" i="155"/>
  <c r="E222" i="154"/>
  <c r="E171" i="155"/>
  <c r="E242" i="154"/>
  <c r="E188" i="155"/>
  <c r="E201" i="153"/>
  <c r="E233" i="155"/>
  <c r="E259" i="153"/>
  <c r="E176" i="153"/>
  <c r="E129" i="153"/>
  <c r="E295" i="155"/>
  <c r="AC18" i="152"/>
  <c r="E287" i="154"/>
  <c r="E394" i="155"/>
  <c r="E190" i="155"/>
  <c r="E123" i="154"/>
  <c r="E222" i="153"/>
  <c r="E124" i="155"/>
  <c r="E298" i="155"/>
  <c r="E202" i="153"/>
  <c r="E305" i="155"/>
  <c r="E256" i="155"/>
  <c r="E315" i="154"/>
  <c r="E370" i="153"/>
  <c r="E187" i="154"/>
  <c r="E264" i="154"/>
  <c r="E332" i="153"/>
  <c r="E172" i="154"/>
  <c r="E334" i="154"/>
  <c r="AC37" i="152"/>
  <c r="E134" i="153"/>
  <c r="E150" i="153"/>
  <c r="E375" i="155"/>
  <c r="E217" i="154"/>
  <c r="E296" i="155"/>
  <c r="E304" i="154"/>
  <c r="E333" i="153"/>
  <c r="E307" i="154"/>
  <c r="E238" i="154"/>
  <c r="E253" i="154"/>
  <c r="E290" i="153"/>
  <c r="E350" i="153"/>
  <c r="E288" i="155"/>
  <c r="E398" i="155"/>
  <c r="E124" i="154"/>
  <c r="E108" i="155"/>
  <c r="E263" i="154"/>
  <c r="E234" i="155"/>
  <c r="E324" i="155"/>
  <c r="E288" i="154"/>
  <c r="E240" i="154"/>
  <c r="E306" i="154"/>
  <c r="E313" i="153"/>
  <c r="E206" i="155"/>
  <c r="E254" i="153"/>
  <c r="E347" i="154"/>
  <c r="E258" i="155"/>
  <c r="E177" i="155"/>
  <c r="E251" i="155"/>
  <c r="E199" i="154"/>
  <c r="E278" i="153"/>
  <c r="E367" i="153"/>
  <c r="E315" i="155"/>
  <c r="E348" i="154"/>
  <c r="E169" i="153"/>
  <c r="E277" i="153"/>
  <c r="E170" i="153"/>
  <c r="AC32" i="152"/>
  <c r="E142" i="153"/>
  <c r="E372" i="155"/>
  <c r="E340" i="155"/>
  <c r="E114" i="154"/>
  <c r="E220" i="154"/>
  <c r="E356" i="154"/>
  <c r="E122" i="155"/>
  <c r="E350" i="154"/>
  <c r="E251" i="153"/>
  <c r="E386" i="154"/>
  <c r="E170" i="154"/>
  <c r="E354" i="153"/>
  <c r="E189" i="153"/>
  <c r="E148" i="153"/>
  <c r="E330" i="154"/>
  <c r="E389" i="155"/>
  <c r="E167" i="153"/>
  <c r="E167" i="155"/>
  <c r="E223" i="155"/>
  <c r="E140" i="154"/>
  <c r="E179" i="154"/>
  <c r="E177" i="154"/>
  <c r="E385" i="155"/>
  <c r="E391" i="153"/>
  <c r="E189" i="154"/>
  <c r="E174" i="153"/>
  <c r="E196" i="155"/>
  <c r="E269" i="153"/>
  <c r="AC23" i="152"/>
  <c r="E223" i="153"/>
  <c r="E308" i="155"/>
  <c r="E168" i="153"/>
  <c r="E171" i="153"/>
  <c r="E309" i="154"/>
  <c r="E119" i="154"/>
  <c r="E254" i="154"/>
  <c r="E168" i="155"/>
  <c r="E370" i="154"/>
  <c r="E261" i="153"/>
  <c r="E208" i="154"/>
  <c r="E308" i="154"/>
  <c r="E102" i="155"/>
  <c r="E231" i="155"/>
  <c r="E365" i="155"/>
  <c r="E111" i="153"/>
  <c r="E235" i="153"/>
  <c r="E179" i="155"/>
  <c r="E243" i="153"/>
  <c r="E368" i="155"/>
  <c r="E229" i="153"/>
  <c r="E292" i="155"/>
  <c r="E137" i="154"/>
  <c r="E266" i="155"/>
  <c r="E242" i="155"/>
  <c r="E148" i="155"/>
  <c r="E205" i="154"/>
  <c r="E309" i="153"/>
  <c r="E386" i="153"/>
  <c r="E336" i="154"/>
  <c r="E366" i="153"/>
  <c r="E254" i="155"/>
  <c r="E310" i="155"/>
  <c r="E238" i="155"/>
  <c r="E150" i="155"/>
  <c r="E107" i="154"/>
  <c r="E102" i="154"/>
  <c r="E329" i="153"/>
  <c r="E152" i="153"/>
  <c r="E342" i="153"/>
  <c r="E103" i="153"/>
  <c r="E112" i="155"/>
  <c r="E360" i="155"/>
  <c r="E189" i="155"/>
  <c r="E327" i="153"/>
  <c r="E228" i="155"/>
  <c r="E123" i="155"/>
  <c r="E152" i="154"/>
  <c r="AC27" i="152"/>
  <c r="E356" i="155"/>
  <c r="E172" i="155"/>
  <c r="E345" i="153"/>
  <c r="E197" i="154"/>
  <c r="E248" i="153"/>
  <c r="E231" i="154"/>
  <c r="E215" i="155"/>
  <c r="E377" i="154"/>
  <c r="E131" i="154"/>
  <c r="E351" i="153"/>
  <c r="E392" i="154"/>
  <c r="E280" i="153"/>
  <c r="E144" i="153"/>
  <c r="E284" i="155"/>
  <c r="E192" i="154"/>
  <c r="E133" i="155"/>
  <c r="E278" i="154"/>
  <c r="E100" i="155"/>
  <c r="E160" i="154"/>
  <c r="E359" i="155"/>
  <c r="E312" i="153"/>
  <c r="E307" i="155"/>
  <c r="E340" i="154"/>
  <c r="E239" i="154"/>
  <c r="E325" i="153"/>
  <c r="E399" i="153"/>
  <c r="E175" i="155"/>
  <c r="E379" i="154"/>
  <c r="E154" i="155"/>
  <c r="E317" i="154"/>
  <c r="E357" i="154"/>
  <c r="E156" i="154"/>
  <c r="E163" i="155"/>
  <c r="E183" i="154"/>
  <c r="E246" i="155"/>
  <c r="E198" i="155"/>
  <c r="E322" i="154"/>
  <c r="E139" i="154"/>
  <c r="E249" i="155"/>
  <c r="E296" i="154"/>
  <c r="E372" i="154"/>
  <c r="E130" i="155"/>
  <c r="E337" i="154"/>
  <c r="E384" i="153"/>
  <c r="E235" i="155"/>
  <c r="E377" i="155"/>
  <c r="E330" i="155"/>
  <c r="E192" i="153"/>
  <c r="E141" i="153"/>
  <c r="E129" i="155"/>
  <c r="E101" i="153"/>
  <c r="E290" i="154"/>
  <c r="E397" i="155"/>
  <c r="E335" i="155"/>
  <c r="E147" i="153"/>
  <c r="H130" i="155"/>
  <c r="E215" i="154"/>
  <c r="E150" i="154"/>
  <c r="E244" i="154"/>
  <c r="E338" i="155"/>
  <c r="E184" i="154"/>
  <c r="E334" i="153"/>
  <c r="E343" i="153"/>
  <c r="E320" i="155"/>
  <c r="E387" i="154"/>
  <c r="E343" i="154"/>
  <c r="E390" i="153"/>
  <c r="E275" i="154"/>
  <c r="E126" i="153"/>
  <c r="E299" i="153"/>
  <c r="E103" i="155"/>
  <c r="E246" i="154"/>
  <c r="AC17" i="152"/>
  <c r="E255" i="153"/>
  <c r="E264" i="153"/>
  <c r="E158" i="154"/>
  <c r="E184" i="153"/>
  <c r="E159" i="155"/>
  <c r="E340" i="153"/>
  <c r="E191" i="155"/>
  <c r="E308" i="153"/>
  <c r="E104" i="154"/>
  <c r="E326" i="154"/>
  <c r="E190" i="153"/>
  <c r="E116" i="153"/>
  <c r="E362" i="153"/>
  <c r="E255" i="155"/>
  <c r="E162" i="155"/>
  <c r="E106" i="155"/>
  <c r="E247" i="153"/>
  <c r="E268" i="155"/>
  <c r="E157" i="153"/>
  <c r="E338" i="154"/>
  <c r="E217" i="155"/>
  <c r="E256" i="153"/>
  <c r="E257" i="155"/>
  <c r="E301" i="153"/>
  <c r="E314" i="153"/>
  <c r="E131" i="155"/>
  <c r="E127" i="155"/>
  <c r="E128" i="155"/>
  <c r="AC29" i="152"/>
  <c r="E145" i="153"/>
  <c r="E400" i="155"/>
  <c r="E337" i="155"/>
  <c r="E270" i="155"/>
  <c r="E269" i="155"/>
  <c r="E237" i="155"/>
  <c r="E166" i="154"/>
  <c r="E249" i="154"/>
  <c r="E272" i="154"/>
  <c r="E252" i="153"/>
  <c r="AC26" i="152"/>
  <c r="H150" i="155"/>
  <c r="E256" i="154"/>
  <c r="E328" i="154"/>
  <c r="E336" i="153"/>
  <c r="E209" i="153"/>
  <c r="E218" i="153"/>
  <c r="E164" i="154"/>
  <c r="E275" i="155"/>
  <c r="E139" i="155"/>
  <c r="E361" i="154"/>
  <c r="E321" i="154"/>
  <c r="E294" i="154"/>
  <c r="E131" i="153"/>
  <c r="E126" i="154"/>
  <c r="E321" i="153"/>
  <c r="E232" i="153"/>
  <c r="E276" i="155"/>
  <c r="E265" i="155"/>
  <c r="E367" i="155"/>
  <c r="E216" i="153"/>
  <c r="E234" i="153"/>
  <c r="E271" i="155"/>
  <c r="E266" i="154"/>
  <c r="AC33" i="152"/>
  <c r="E262" i="154"/>
  <c r="E299" i="154"/>
  <c r="AC20" i="152"/>
  <c r="E381" i="155"/>
  <c r="E281" i="153"/>
  <c r="E259" i="154"/>
  <c r="E379" i="155"/>
  <c r="E199" i="153"/>
  <c r="E149" i="155"/>
  <c r="E180" i="153"/>
  <c r="E120" i="154"/>
  <c r="E314" i="155"/>
  <c r="E283" i="154"/>
  <c r="E383" i="155"/>
  <c r="E267" i="154"/>
  <c r="E243" i="155"/>
  <c r="E383" i="154"/>
  <c r="E247" i="155"/>
  <c r="E142" i="154"/>
  <c r="E395" i="155"/>
  <c r="E194" i="154"/>
  <c r="E138" i="154"/>
  <c r="E170" i="155"/>
  <c r="E282" i="154"/>
  <c r="E363" i="154"/>
  <c r="E201" i="154"/>
  <c r="E236" i="155"/>
  <c r="E395" i="153"/>
  <c r="E173" i="154"/>
  <c r="E204" i="155"/>
  <c r="E205" i="155"/>
  <c r="E388" i="155"/>
  <c r="E345" i="154"/>
  <c r="E231" i="153"/>
  <c r="E166" i="153"/>
  <c r="E322" i="155"/>
  <c r="E160" i="153"/>
  <c r="E315" i="153"/>
  <c r="E282" i="153"/>
  <c r="E341" i="155"/>
  <c r="E369" i="153"/>
  <c r="E104" i="153"/>
  <c r="E240" i="153"/>
  <c r="E218" i="155"/>
  <c r="E383" i="153"/>
  <c r="E108" i="154"/>
  <c r="E115" i="155"/>
  <c r="E286" i="154"/>
  <c r="E196" i="154"/>
  <c r="E173" i="155"/>
  <c r="AC16" i="152"/>
  <c r="E268" i="153"/>
  <c r="E298" i="154"/>
  <c r="E210" i="153"/>
  <c r="E395" i="154"/>
  <c r="E171" i="154"/>
  <c r="E187" i="153"/>
  <c r="E138" i="153"/>
  <c r="E228" i="154"/>
  <c r="E100" i="153"/>
  <c r="E368" i="153"/>
  <c r="E284" i="154"/>
  <c r="E257" i="153"/>
  <c r="AC22" i="152"/>
  <c r="E188" i="153"/>
  <c r="E182" i="154"/>
  <c r="E109" i="153"/>
  <c r="E270" i="153"/>
  <c r="E219" i="155"/>
  <c r="E319" i="153"/>
  <c r="E198" i="154"/>
  <c r="E377" i="153"/>
  <c r="E265" i="154"/>
  <c r="E221" i="154"/>
  <c r="AC28" i="152"/>
  <c r="E181" i="155"/>
  <c r="E260" i="154"/>
  <c r="E251" i="154"/>
  <c r="E232" i="155"/>
  <c r="E295" i="154"/>
  <c r="E281" i="154"/>
  <c r="H130" i="154"/>
  <c r="E149" i="153"/>
  <c r="E273" i="153"/>
  <c r="E186" i="153"/>
  <c r="E226" i="154"/>
  <c r="E214" i="154"/>
  <c r="E183" i="155"/>
  <c r="E119" i="153"/>
  <c r="E329" i="155"/>
  <c r="E339" i="153"/>
  <c r="E253" i="153"/>
  <c r="E293" i="153"/>
  <c r="E287" i="155"/>
  <c r="E174" i="155"/>
  <c r="E350" i="155"/>
  <c r="AC9" i="152"/>
  <c r="E396" i="153"/>
  <c r="E255" i="154"/>
  <c r="E381" i="153"/>
  <c r="E241" i="155"/>
  <c r="E165" i="154"/>
  <c r="E306" i="153"/>
  <c r="E158" i="155"/>
  <c r="E346" i="153"/>
  <c r="E364" i="155"/>
  <c r="AC38" i="152"/>
  <c r="E117" i="153"/>
  <c r="E169" i="154"/>
  <c r="E236" i="153"/>
  <c r="H120" i="154"/>
  <c r="E399" i="155"/>
  <c r="E343" i="155"/>
  <c r="E175" i="153"/>
  <c r="E361" i="155"/>
  <c r="E186" i="154"/>
  <c r="E302" i="155"/>
  <c r="E285" i="154"/>
  <c r="E375" i="153"/>
  <c r="E127" i="154"/>
  <c r="E309" i="155"/>
  <c r="E352" i="154"/>
  <c r="E367" i="154"/>
  <c r="E230" i="154"/>
  <c r="E252" i="155"/>
  <c r="E214" i="153"/>
  <c r="E215" i="153"/>
  <c r="E204" i="154"/>
  <c r="E326" i="155"/>
  <c r="E163" i="153"/>
  <c r="E153" i="153"/>
  <c r="E213" i="154"/>
  <c r="E156" i="155"/>
  <c r="E186" i="155"/>
  <c r="E278" i="155"/>
  <c r="E341" i="154"/>
  <c r="E112" i="154"/>
  <c r="E325" i="155"/>
  <c r="E177" i="153"/>
  <c r="E279" i="154"/>
  <c r="E236" i="154"/>
  <c r="E182" i="153"/>
  <c r="E203" i="153"/>
  <c r="E323" i="155"/>
  <c r="E390" i="154"/>
  <c r="E134" i="154"/>
  <c r="E197" i="153"/>
  <c r="E111" i="154"/>
  <c r="E209" i="154"/>
  <c r="E394" i="154"/>
  <c r="E187" i="155"/>
  <c r="E394" i="153"/>
  <c r="E368" i="154"/>
  <c r="E262" i="155"/>
  <c r="E219" i="153"/>
  <c r="E132" i="155"/>
  <c r="H140" i="155"/>
  <c r="E400" i="153"/>
  <c r="E105" i="154"/>
  <c r="E107" i="155"/>
  <c r="E351" i="154"/>
  <c r="E360" i="153"/>
  <c r="E297" i="155"/>
  <c r="E211" i="154"/>
  <c r="E184" i="155"/>
  <c r="E250" i="154"/>
  <c r="E398" i="154"/>
  <c r="E378" i="154"/>
  <c r="E110" i="154"/>
  <c r="E363" i="153"/>
  <c r="E268" i="154"/>
  <c r="E271" i="153"/>
  <c r="E149" i="154"/>
  <c r="E161" i="153"/>
  <c r="E120" i="155"/>
  <c r="E108" i="153"/>
  <c r="E253" i="155"/>
  <c r="E113" i="155"/>
  <c r="E295" i="153"/>
  <c r="E201" i="155"/>
  <c r="E289" i="153"/>
  <c r="E162" i="154"/>
  <c r="E313" i="154"/>
  <c r="E362" i="155"/>
  <c r="E118" i="154"/>
  <c r="E322" i="153"/>
  <c r="E125" i="154"/>
  <c r="E245" i="155"/>
  <c r="E133" i="153"/>
  <c r="E136" i="154"/>
  <c r="E208" i="155"/>
  <c r="E280" i="155"/>
  <c r="E210" i="155"/>
  <c r="E274" i="155"/>
  <c r="AC25" i="152"/>
  <c r="E195" i="154"/>
  <c r="E216" i="155"/>
  <c r="E391" i="154"/>
  <c r="E132" i="153"/>
  <c r="E373" i="155"/>
  <c r="E185" i="155"/>
  <c r="E240" i="155"/>
  <c r="E243" i="154"/>
  <c r="E110" i="155"/>
  <c r="E291" i="155"/>
  <c r="E384" i="154"/>
  <c r="E223" i="154"/>
  <c r="E112" i="153"/>
  <c r="E169" i="155"/>
  <c r="E143" i="154"/>
  <c r="E263" i="153"/>
  <c r="E319" i="155"/>
  <c r="E306" i="155"/>
  <c r="E349" i="154"/>
  <c r="E257" i="154"/>
  <c r="E185" i="154"/>
  <c r="E113" i="153"/>
  <c r="E180" i="154"/>
  <c r="E354" i="154"/>
  <c r="E347" i="155"/>
  <c r="AC21" i="152"/>
  <c r="E305" i="154"/>
  <c r="E328" i="155"/>
  <c r="E209" i="155"/>
  <c r="E124" i="153"/>
  <c r="E105" i="153"/>
  <c r="E290" i="155"/>
  <c r="E291" i="154"/>
  <c r="E358" i="154"/>
  <c r="E274" i="153"/>
  <c r="E114" i="153"/>
  <c r="E183" i="153"/>
  <c r="E194" i="155"/>
  <c r="E316" i="154"/>
  <c r="E344" i="155"/>
  <c r="E178" i="155"/>
  <c r="E136" i="155"/>
  <c r="E157" i="155"/>
  <c r="E148" i="154"/>
  <c r="E277" i="154"/>
  <c r="E337" i="153"/>
  <c r="E211" i="153"/>
  <c r="E261" i="154"/>
  <c r="E330" i="153"/>
  <c r="E221" i="155"/>
  <c r="E107" i="153"/>
  <c r="E304" i="153"/>
  <c r="E339" i="155"/>
  <c r="E139" i="153"/>
  <c r="E345" i="155"/>
  <c r="AC15" i="152"/>
  <c r="H170" i="154"/>
  <c r="E168" i="154"/>
  <c r="E161" i="154"/>
  <c r="E258" i="153"/>
  <c r="E371" i="154"/>
  <c r="E110" i="153"/>
  <c r="E249" i="153"/>
  <c r="E133" i="154"/>
  <c r="E220" i="155"/>
  <c r="E152" i="155"/>
  <c r="E225" i="153"/>
  <c r="E320" i="154"/>
  <c r="E147" i="155"/>
  <c r="E348" i="155"/>
  <c r="E398" i="153"/>
  <c r="E301" i="154"/>
  <c r="E366" i="155"/>
  <c r="E117" i="154"/>
  <c r="E237" i="154"/>
  <c r="E166" i="155"/>
  <c r="E270" i="154"/>
  <c r="H140" i="154"/>
  <c r="E212" i="153"/>
  <c r="E242" i="153"/>
  <c r="E369" i="154"/>
  <c r="AC13" i="152"/>
  <c r="E304" i="155"/>
  <c r="E230" i="155"/>
  <c r="E316" i="153"/>
  <c r="E117" i="155"/>
  <c r="E374" i="155"/>
  <c r="E289" i="154"/>
  <c r="E324" i="154"/>
  <c r="E141" i="155"/>
  <c r="E267" i="155"/>
  <c r="E327" i="155"/>
  <c r="E196" i="153"/>
  <c r="E155" i="155"/>
  <c r="E388" i="154"/>
  <c r="E294" i="153"/>
  <c r="E115" i="154"/>
  <c r="E373" i="153"/>
  <c r="E136" i="153"/>
  <c r="E375" i="154"/>
  <c r="E100" i="154"/>
  <c r="E204" i="153"/>
  <c r="E113" i="154"/>
  <c r="E105" i="155"/>
  <c r="E293" i="155"/>
  <c r="E338" i="153"/>
  <c r="E200" i="154"/>
  <c r="AC19" i="152"/>
  <c r="E300" i="153"/>
  <c r="E247" i="154"/>
  <c r="E229" i="155"/>
  <c r="E374" i="153"/>
  <c r="E129" i="154"/>
  <c r="E164" i="153"/>
  <c r="E122" i="153"/>
  <c r="E195" i="153"/>
  <c r="E392" i="155"/>
  <c r="E261" i="155"/>
  <c r="E397" i="154"/>
  <c r="E372" i="153"/>
  <c r="E298" i="153"/>
  <c r="E120" i="153"/>
  <c r="E175" i="154"/>
  <c r="E303" i="155"/>
  <c r="E206" i="153"/>
  <c r="E327" i="154"/>
  <c r="E300" i="154"/>
  <c r="AC34" i="152"/>
  <c r="E389" i="154"/>
  <c r="E391" i="155"/>
  <c r="E193" i="155"/>
  <c r="E326" i="153"/>
  <c r="E191" i="154"/>
  <c r="E192" i="155"/>
  <c r="E188" i="154"/>
  <c r="E144" i="154"/>
  <c r="E191" i="153"/>
  <c r="E227" i="155"/>
  <c r="E142" i="155"/>
  <c r="E321" i="155"/>
  <c r="E173" i="153"/>
  <c r="E155" i="153"/>
  <c r="E380" i="153"/>
  <c r="E388" i="153"/>
  <c r="E176" i="155"/>
  <c r="E267" i="153"/>
  <c r="E331" i="155"/>
  <c r="E319" i="154"/>
  <c r="E179" i="153"/>
  <c r="E361" i="153"/>
  <c r="E400" i="154"/>
  <c r="E135" i="154"/>
  <c r="E118" i="153"/>
  <c r="E128" i="153"/>
  <c r="E307" i="153"/>
  <c r="E115" i="153"/>
  <c r="E286" i="153"/>
  <c r="E144" i="155"/>
  <c r="E224" i="153"/>
  <c r="E364" i="153"/>
  <c r="E369" i="155"/>
  <c r="E386" i="155"/>
  <c r="E336" i="155"/>
  <c r="E393" i="153"/>
  <c r="E325" i="154"/>
  <c r="E363" i="155"/>
  <c r="E385" i="154"/>
  <c r="E288" i="153"/>
  <c r="E310" i="154"/>
  <c r="E122" i="154"/>
  <c r="E178" i="154"/>
  <c r="E229" i="154"/>
  <c r="E282" i="155"/>
  <c r="E374" i="154"/>
  <c r="E355" i="154"/>
  <c r="E376" i="153"/>
  <c r="E248" i="154"/>
  <c r="E260" i="155"/>
  <c r="E285" i="155"/>
  <c r="E341" i="153"/>
  <c r="E273" i="154"/>
  <c r="E218" i="154"/>
  <c r="E346" i="155"/>
  <c r="E272" i="155"/>
  <c r="E344" i="154"/>
  <c r="E273" i="155"/>
  <c r="E284" i="153"/>
  <c r="E237" i="153"/>
  <c r="E264" i="155"/>
  <c r="E382" i="155"/>
  <c r="E219" i="154"/>
  <c r="E393" i="155"/>
  <c r="E370" i="155"/>
  <c r="E125" i="155"/>
  <c r="E292" i="154"/>
  <c r="E353" i="153"/>
  <c r="E153" i="154"/>
  <c r="E230" i="153"/>
  <c r="E239" i="153"/>
  <c r="E213" i="155"/>
  <c r="E106" i="154"/>
  <c r="E157" i="154"/>
  <c r="E207" i="154"/>
  <c r="E283" i="155"/>
  <c r="E241" i="153"/>
  <c r="H200" i="155"/>
  <c r="E137" i="155"/>
  <c r="E353" i="154"/>
  <c r="E224" i="154"/>
  <c r="H200" i="154"/>
  <c r="E376" i="155"/>
  <c r="E228" i="153"/>
  <c r="E159" i="153"/>
  <c r="E331" i="154"/>
  <c r="AC10" i="152"/>
  <c r="E376" i="154"/>
  <c r="E396" i="155"/>
  <c r="E396" i="154"/>
  <c r="E109" i="154"/>
  <c r="E259" i="155"/>
  <c r="E260" i="153"/>
  <c r="E116" i="154"/>
  <c r="E151" i="153"/>
  <c r="E101" i="154"/>
  <c r="E250" i="155"/>
  <c r="E399" i="154"/>
  <c r="E316" i="155"/>
  <c r="E140" i="153"/>
  <c r="E250" i="153"/>
  <c r="E311" i="154"/>
  <c r="E347" i="153"/>
  <c r="E349" i="153"/>
  <c r="E225" i="154"/>
  <c r="E145" i="154"/>
  <c r="E371" i="155"/>
  <c r="E101" i="155"/>
  <c r="H150" i="154"/>
  <c r="E312" i="154"/>
  <c r="E227" i="154"/>
  <c r="E311" i="155"/>
  <c r="E135" i="155"/>
  <c r="E333" i="154"/>
  <c r="E121" i="155"/>
  <c r="E348" i="153"/>
  <c r="E217" i="153"/>
  <c r="E346" i="154"/>
  <c r="E331" i="153"/>
  <c r="E281" i="155"/>
  <c r="E272" i="153"/>
  <c r="E130" i="154"/>
  <c r="E134" i="155"/>
  <c r="E332" i="155"/>
  <c r="E299" i="155"/>
  <c r="E163" i="154"/>
  <c r="E378" i="155"/>
  <c r="E214" i="155"/>
  <c r="E334" i="155"/>
  <c r="E227" i="153"/>
  <c r="E244" i="155"/>
  <c r="E365" i="153"/>
  <c r="H120" i="155"/>
  <c r="E339" i="154"/>
  <c r="E365" i="154"/>
  <c r="E180" i="155"/>
  <c r="E232" i="154"/>
  <c r="E359" i="153"/>
  <c r="E181" i="154"/>
  <c r="E151" i="155"/>
  <c r="E109" i="155"/>
  <c r="E185" i="153"/>
  <c r="E389" i="153"/>
  <c r="E178" i="153"/>
  <c r="E193" i="153"/>
  <c r="E287" i="153"/>
  <c r="E302" i="153"/>
  <c r="E371" i="153"/>
  <c r="E352" i="155"/>
  <c r="E194" i="153"/>
  <c r="E313" i="155"/>
  <c r="E387" i="155"/>
  <c r="H110" i="155"/>
  <c r="E324" i="153"/>
  <c r="E301" i="155"/>
  <c r="E364" i="154"/>
  <c r="E358" i="153"/>
  <c r="E198" i="153"/>
  <c r="E360" i="154"/>
  <c r="E174" i="154"/>
  <c r="E208" i="153"/>
  <c r="E162" i="153"/>
  <c r="E269" i="154"/>
  <c r="E351" i="155"/>
  <c r="E318" i="153"/>
  <c r="E314" i="154"/>
  <c r="E130" i="153"/>
  <c r="AC24" i="152"/>
  <c r="E294" i="155"/>
  <c r="E344" i="153"/>
  <c r="E356" i="153"/>
  <c r="AC31" i="152"/>
  <c r="E114" i="155"/>
  <c r="E297" i="154"/>
  <c r="E181" i="153"/>
  <c r="E373" i="154"/>
  <c r="E362" i="154"/>
  <c r="E291" i="153"/>
  <c r="E221" i="153"/>
  <c r="E141" i="154"/>
  <c r="AC14" i="152"/>
  <c r="E153" i="155"/>
  <c r="E140" i="155"/>
  <c r="E160" i="155"/>
  <c r="E385" i="153"/>
  <c r="E154" i="153"/>
  <c r="E384" i="155"/>
  <c r="E289" i="155"/>
  <c r="E145" i="155"/>
  <c r="E390" i="155"/>
  <c r="E246" i="153"/>
  <c r="E200" i="155"/>
  <c r="E248" i="155"/>
  <c r="E103" i="154"/>
  <c r="E222" i="155"/>
  <c r="E359" i="154"/>
  <c r="E199" i="155"/>
  <c r="E216" i="154"/>
  <c r="E200" i="153"/>
  <c r="E366" i="154"/>
  <c r="E121" i="153"/>
  <c r="E158" i="153"/>
  <c r="E266" i="153"/>
  <c r="E381" i="154"/>
  <c r="E342" i="154"/>
  <c r="E190" i="154"/>
  <c r="E245" i="153"/>
  <c r="E323" i="153"/>
  <c r="E303" i="154"/>
  <c r="E265" i="153"/>
  <c r="E161" i="155"/>
  <c r="E380" i="155"/>
  <c r="E172" i="153"/>
  <c r="E311" i="153"/>
  <c r="E226" i="153"/>
  <c r="E335" i="153"/>
  <c r="E382" i="153"/>
  <c r="E165" i="155"/>
  <c r="E263" i="155"/>
  <c r="E116" i="155"/>
  <c r="E335" i="154"/>
  <c r="E118" i="155"/>
  <c r="E212" i="154"/>
  <c r="E159" i="154"/>
  <c r="E241" i="154"/>
  <c r="E235" i="154"/>
  <c r="E277" i="155"/>
  <c r="H110" i="154"/>
  <c r="E285" i="153"/>
  <c r="E147" i="154"/>
  <c r="E379" i="153"/>
  <c r="E207" i="153"/>
  <c r="E224" i="155"/>
  <c r="E119" i="155"/>
  <c r="E165" i="153"/>
  <c r="E283" i="153"/>
  <c r="E123" i="153"/>
  <c r="E279" i="155"/>
  <c r="E151" i="154"/>
  <c r="E310" i="153"/>
  <c r="E226" i="155"/>
  <c r="E203" i="154"/>
  <c r="AC11" i="152"/>
  <c r="E262" i="153"/>
  <c r="E323" i="154"/>
  <c r="E233" i="154"/>
  <c r="E197" i="155"/>
  <c r="E135" i="153"/>
  <c r="E328" i="153"/>
  <c r="E156" i="153"/>
  <c r="E355" i="153"/>
  <c r="E279" i="153"/>
  <c r="E138" i="155"/>
  <c r="AC35" i="152"/>
  <c r="E111" i="155"/>
  <c r="E164" i="155"/>
  <c r="E357" i="153"/>
  <c r="E238" i="153"/>
  <c r="E220" i="153"/>
  <c r="E318" i="154"/>
  <c r="AC30" i="152"/>
  <c r="E121" i="154"/>
  <c r="E355" i="155"/>
  <c r="E252" i="154"/>
  <c r="E349" i="155"/>
  <c r="E104" i="155"/>
  <c r="AC12" i="152"/>
  <c r="E202" i="154"/>
  <c r="E329" i="154"/>
  <c r="E203" i="155"/>
  <c r="E297" i="153"/>
  <c r="E296" i="153"/>
  <c r="E293" i="154"/>
  <c r="E378" i="153"/>
  <c r="E210" i="154"/>
  <c r="E258" i="154"/>
  <c r="E292" i="153"/>
  <c r="AC8" i="152"/>
  <c r="E225" i="155"/>
  <c r="H170" i="155"/>
  <c r="E155" i="154"/>
  <c r="E357" i="155"/>
  <c r="E275" i="153"/>
  <c r="E233" i="153"/>
  <c r="E244" i="153"/>
  <c r="E146" i="154"/>
  <c r="E382" i="154"/>
  <c r="AC36" i="152"/>
  <c r="E317" i="153"/>
  <c r="E353" i="155"/>
  <c r="E320" i="153"/>
  <c r="E106" i="153"/>
  <c r="E333" i="155"/>
  <c r="E132" i="154"/>
  <c r="E393" i="154"/>
  <c r="E245" i="154"/>
  <c r="E303" i="153"/>
  <c r="E234" i="154"/>
  <c r="E182" i="155"/>
  <c r="E239" i="155"/>
  <c r="E387" i="153"/>
  <c r="E125" i="153"/>
  <c r="E202" i="155"/>
  <c r="E342" i="155"/>
  <c r="E146" i="153"/>
  <c r="E205" i="153"/>
  <c r="R342" i="155" l="1" a="1"/>
  <c r="R342" i="155" s="1"/>
  <c r="R202" i="155" a="1"/>
  <c r="R202" i="155" s="1"/>
  <c r="R239" i="155" a="1"/>
  <c r="R239" i="155" s="1"/>
  <c r="R182" i="155" a="1"/>
  <c r="R182" i="155" s="1"/>
  <c r="R333" i="155" a="1"/>
  <c r="R333" i="155" s="1"/>
  <c r="R353" i="155" a="1"/>
  <c r="R353" i="155" s="1"/>
  <c r="R357" i="155" a="1"/>
  <c r="R357" i="155" s="1"/>
  <c r="I170" i="155"/>
  <c r="R225" i="155" a="1"/>
  <c r="R225" i="155" s="1"/>
  <c r="R203" i="155" a="1"/>
  <c r="R203" i="155" s="1"/>
  <c r="R104" i="155" a="1"/>
  <c r="R104" i="155" s="1"/>
  <c r="R349" i="155" a="1"/>
  <c r="R349" i="155" s="1"/>
  <c r="R355" i="155" a="1"/>
  <c r="R355" i="155" s="1"/>
  <c r="R164" i="155" a="1"/>
  <c r="R164" i="155" s="1"/>
  <c r="R111" i="155" a="1"/>
  <c r="R111" i="155" s="1"/>
  <c r="R138" i="155" a="1"/>
  <c r="R138" i="155" s="1"/>
  <c r="R197" i="155" a="1"/>
  <c r="R197" i="155" s="1"/>
  <c r="R226" i="155" a="1"/>
  <c r="R226" i="155" s="1"/>
  <c r="S226" i="155" s="1"/>
  <c r="R279" i="155" a="1"/>
  <c r="R279" i="155" s="1"/>
  <c r="R119" i="155" a="1"/>
  <c r="R119" i="155" s="1"/>
  <c r="R224" i="155" a="1"/>
  <c r="R224" i="155" s="1"/>
  <c r="I110" i="154"/>
  <c r="R277" i="155" a="1"/>
  <c r="R277" i="155" s="1"/>
  <c r="R118" i="155" a="1"/>
  <c r="R118" i="155" s="1"/>
  <c r="R116" i="155" a="1"/>
  <c r="R116" i="155" s="1"/>
  <c r="R263" i="155" a="1"/>
  <c r="R263" i="155" s="1"/>
  <c r="R165" i="155" a="1"/>
  <c r="R165" i="155" s="1"/>
  <c r="R380" i="155" a="1"/>
  <c r="R380" i="155" s="1"/>
  <c r="R161" i="155" a="1"/>
  <c r="R161" i="155" s="1"/>
  <c r="R199" i="155" a="1"/>
  <c r="R199" i="155" s="1"/>
  <c r="R222" i="155" a="1"/>
  <c r="R222" i="155" s="1"/>
  <c r="R248" i="155" a="1"/>
  <c r="R248" i="155" s="1"/>
  <c r="R200" i="155" a="1"/>
  <c r="R200" i="155" s="1"/>
  <c r="G200" i="155"/>
  <c r="R390" i="155" a="1"/>
  <c r="R390" i="155" s="1"/>
  <c r="R145" i="155" a="1"/>
  <c r="R145" i="155" s="1"/>
  <c r="R289" i="155" a="1"/>
  <c r="R289" i="155" s="1"/>
  <c r="R384" i="155" a="1"/>
  <c r="R384" i="155" s="1"/>
  <c r="R160" i="155" a="1"/>
  <c r="R160" i="155" s="1"/>
  <c r="R140" i="155" a="1"/>
  <c r="R140" i="155" s="1"/>
  <c r="G140" i="155"/>
  <c r="R153" i="155" a="1"/>
  <c r="R153" i="155" s="1"/>
  <c r="R114" i="155" a="1"/>
  <c r="R114" i="155" s="1"/>
  <c r="R294" i="155" a="1"/>
  <c r="R294" i="155" s="1"/>
  <c r="R351" i="155" a="1"/>
  <c r="R351" i="155" s="1"/>
  <c r="R301" i="155" a="1"/>
  <c r="R301" i="155" s="1"/>
  <c r="I110" i="155"/>
  <c r="R387" i="155" a="1"/>
  <c r="R387" i="155" s="1"/>
  <c r="R313" i="155" a="1"/>
  <c r="R313" i="155" s="1"/>
  <c r="R352" i="155" a="1"/>
  <c r="R352" i="155" s="1"/>
  <c r="R109" i="155" a="1"/>
  <c r="R109" i="155" s="1"/>
  <c r="R151" i="155" a="1"/>
  <c r="R151" i="155" s="1"/>
  <c r="R180" i="155" a="1"/>
  <c r="R180" i="155" s="1"/>
  <c r="I120" i="155"/>
  <c r="R244" i="155" a="1"/>
  <c r="R244" i="155" s="1"/>
  <c r="R334" i="155" a="1"/>
  <c r="R334" i="155" s="1"/>
  <c r="R214" i="155" a="1"/>
  <c r="R214" i="155" s="1"/>
  <c r="R378" i="155" a="1"/>
  <c r="R378" i="155" s="1"/>
  <c r="R299" i="155" a="1"/>
  <c r="R299" i="155" s="1"/>
  <c r="R332" i="155" a="1"/>
  <c r="R332" i="155" s="1"/>
  <c r="S332" i="155" s="1"/>
  <c r="R134" i="155" a="1"/>
  <c r="R134" i="155" s="1"/>
  <c r="G130" i="154"/>
  <c r="R281" i="155" a="1"/>
  <c r="R281" i="155" s="1"/>
  <c r="R121" i="155" a="1"/>
  <c r="R121" i="155" s="1"/>
  <c r="R135" i="155" a="1"/>
  <c r="R135" i="155" s="1"/>
  <c r="R311" i="155" a="1"/>
  <c r="R311" i="155" s="1"/>
  <c r="I150" i="154"/>
  <c r="R101" i="155" a="1"/>
  <c r="R101" i="155" s="1"/>
  <c r="R371" i="155" a="1"/>
  <c r="R371" i="155" s="1"/>
  <c r="S371" i="155" s="1"/>
  <c r="R316" i="155" a="1"/>
  <c r="R316" i="155" s="1"/>
  <c r="R250" i="155" a="1"/>
  <c r="R250" i="155" s="1"/>
  <c r="R259" i="155" a="1"/>
  <c r="R259" i="155" s="1"/>
  <c r="R396" i="155" a="1"/>
  <c r="R396" i="155" s="1"/>
  <c r="R376" i="155" a="1"/>
  <c r="R376" i="155" s="1"/>
  <c r="I200" i="154"/>
  <c r="R137" i="155" a="1"/>
  <c r="R137" i="155" s="1"/>
  <c r="I200" i="155"/>
  <c r="R283" i="155" a="1"/>
  <c r="R283" i="155" s="1"/>
  <c r="S283" i="155" s="1"/>
  <c r="R213" i="155" a="1"/>
  <c r="R213" i="155" s="1"/>
  <c r="R125" i="155" a="1"/>
  <c r="R125" i="155" s="1"/>
  <c r="R370" i="155" a="1"/>
  <c r="R370" i="155" s="1"/>
  <c r="R393" i="155" a="1"/>
  <c r="R393" i="155" s="1"/>
  <c r="R382" i="155" a="1"/>
  <c r="R382" i="155" s="1"/>
  <c r="R264" i="155" a="1"/>
  <c r="R264" i="155" s="1"/>
  <c r="S264" i="155" s="1"/>
  <c r="R273" i="155" a="1"/>
  <c r="R273" i="155" s="1"/>
  <c r="R272" i="155" a="1"/>
  <c r="R272" i="155" s="1"/>
  <c r="R346" i="155" a="1"/>
  <c r="R346" i="155" s="1"/>
  <c r="R285" i="155" a="1"/>
  <c r="R285" i="155" s="1"/>
  <c r="R260" i="155" a="1"/>
  <c r="R260" i="155" s="1"/>
  <c r="R282" i="155" a="1"/>
  <c r="R282" i="155" s="1"/>
  <c r="R363" i="155" a="1"/>
  <c r="R363" i="155" s="1"/>
  <c r="R336" i="155" a="1"/>
  <c r="R336" i="155" s="1"/>
  <c r="R386" i="155" a="1"/>
  <c r="R386" i="155" s="1"/>
  <c r="S386" i="155" s="1"/>
  <c r="R369" i="155" a="1"/>
  <c r="R369" i="155" s="1"/>
  <c r="S369" i="155" s="1"/>
  <c r="R144" i="155" a="1"/>
  <c r="R144" i="155" s="1"/>
  <c r="G400" i="154"/>
  <c r="R331" i="155" a="1"/>
  <c r="R331" i="155" s="1"/>
  <c r="R176" i="155" a="1"/>
  <c r="R176" i="155" s="1"/>
  <c r="R321" i="155" a="1"/>
  <c r="R321" i="155" s="1"/>
  <c r="R142" i="155" a="1"/>
  <c r="R142" i="155" s="1"/>
  <c r="R227" i="155" a="1"/>
  <c r="R227" i="155" s="1"/>
  <c r="S227" i="155" s="1"/>
  <c r="T227" i="155" s="1"/>
  <c r="R192" i="155" a="1"/>
  <c r="R192" i="155" s="1"/>
  <c r="R193" i="155" a="1"/>
  <c r="R193" i="155" s="1"/>
  <c r="R391" i="155" a="1"/>
  <c r="R391" i="155" s="1"/>
  <c r="S391" i="155" s="1"/>
  <c r="R303" i="155" a="1"/>
  <c r="R303" i="155" s="1"/>
  <c r="R261" i="155" a="1"/>
  <c r="R261" i="155" s="1"/>
  <c r="R392" i="155" a="1"/>
  <c r="R392" i="155" s="1"/>
  <c r="R229" i="155" a="1"/>
  <c r="R229" i="155" s="1"/>
  <c r="G200" i="154"/>
  <c r="R293" i="155" a="1"/>
  <c r="R293" i="155" s="1"/>
  <c r="R105" i="155" a="1"/>
  <c r="R105" i="155" s="1"/>
  <c r="G100" i="154"/>
  <c r="R155" i="155" a="1"/>
  <c r="R155" i="155" s="1"/>
  <c r="R327" i="155" a="1"/>
  <c r="R327" i="155" s="1"/>
  <c r="R267" i="155" a="1"/>
  <c r="R267" i="155" s="1"/>
  <c r="R141" i="155" a="1"/>
  <c r="R141" i="155" s="1"/>
  <c r="R374" i="155" a="1"/>
  <c r="R374" i="155" s="1"/>
  <c r="R117" i="155" a="1"/>
  <c r="R117" i="155" s="1"/>
  <c r="S117" i="155" s="1"/>
  <c r="R230" i="155" a="1"/>
  <c r="R230" i="155" s="1"/>
  <c r="R304" i="155" a="1"/>
  <c r="R304" i="155" s="1"/>
  <c r="I140" i="154"/>
  <c r="R166" i="155" a="1"/>
  <c r="R166" i="155" s="1"/>
  <c r="R366" i="155" a="1"/>
  <c r="R366" i="155" s="1"/>
  <c r="R348" i="155" a="1"/>
  <c r="R348" i="155" s="1"/>
  <c r="R147" i="155" a="1"/>
  <c r="R147" i="155" s="1"/>
  <c r="R152" i="155" a="1"/>
  <c r="R152" i="155" s="1"/>
  <c r="R220" i="155" a="1"/>
  <c r="R220" i="155" s="1"/>
  <c r="I170" i="154"/>
  <c r="R345" i="155" a="1"/>
  <c r="R345" i="155" s="1"/>
  <c r="R339" i="155" a="1"/>
  <c r="R339" i="155" s="1"/>
  <c r="R221" i="155" a="1"/>
  <c r="R221" i="155" s="1"/>
  <c r="R157" i="155" a="1"/>
  <c r="R157" i="155" s="1"/>
  <c r="R136" i="155" a="1"/>
  <c r="R136" i="155" s="1"/>
  <c r="S136" i="155" s="1"/>
  <c r="R178" i="155" a="1"/>
  <c r="R178" i="155" s="1"/>
  <c r="R344" i="155" a="1"/>
  <c r="R344" i="155" s="1"/>
  <c r="R194" i="155" a="1"/>
  <c r="R194" i="155" s="1"/>
  <c r="R290" i="155" a="1"/>
  <c r="R290" i="155" s="1"/>
  <c r="R209" i="155" a="1"/>
  <c r="R209" i="155" s="1"/>
  <c r="R328" i="155" a="1"/>
  <c r="R328" i="155" s="1"/>
  <c r="R347" i="155" a="1"/>
  <c r="R347" i="155" s="1"/>
  <c r="R306" i="155" a="1"/>
  <c r="R306" i="155" s="1"/>
  <c r="R319" i="155" a="1"/>
  <c r="R319" i="155" s="1"/>
  <c r="R169" i="155" a="1"/>
  <c r="R169" i="155" s="1"/>
  <c r="R291" i="155" a="1"/>
  <c r="R291" i="155" s="1"/>
  <c r="R110" i="155" a="1"/>
  <c r="R110" i="155" s="1"/>
  <c r="G110" i="155"/>
  <c r="R240" i="155" a="1"/>
  <c r="R240" i="155" s="1"/>
  <c r="S240" i="155" s="1"/>
  <c r="R185" i="155" a="1"/>
  <c r="R185" i="155" s="1"/>
  <c r="S185" i="155" s="1"/>
  <c r="R373" i="155" a="1"/>
  <c r="R373" i="155" s="1"/>
  <c r="S373" i="155" s="1"/>
  <c r="R216" i="155" a="1"/>
  <c r="R216" i="155" s="1"/>
  <c r="R274" i="155" a="1"/>
  <c r="R274" i="155" s="1"/>
  <c r="R210" i="155" a="1"/>
  <c r="R210" i="155" s="1"/>
  <c r="S210" i="155" s="1"/>
  <c r="R280" i="155" a="1"/>
  <c r="R280" i="155" s="1"/>
  <c r="R208" i="155" a="1"/>
  <c r="R208" i="155" s="1"/>
  <c r="R245" i="155" a="1"/>
  <c r="R245" i="155" s="1"/>
  <c r="R362" i="155" a="1"/>
  <c r="R362" i="155" s="1"/>
  <c r="S362" i="155" s="1"/>
  <c r="R201" i="155" a="1"/>
  <c r="R201" i="155" s="1"/>
  <c r="S201" i="155" s="1"/>
  <c r="R113" i="155" a="1"/>
  <c r="R113" i="155" s="1"/>
  <c r="R253" i="155" a="1"/>
  <c r="R253" i="155" s="1"/>
  <c r="G120" i="155"/>
  <c r="R120" i="155" a="1"/>
  <c r="R120" i="155" s="1"/>
  <c r="G110" i="154"/>
  <c r="R184" i="155" a="1"/>
  <c r="R184" i="155" s="1"/>
  <c r="R297" i="155" a="1"/>
  <c r="R297" i="155" s="1"/>
  <c r="R107" i="155" a="1"/>
  <c r="R107" i="155" s="1"/>
  <c r="S107" i="155" s="1"/>
  <c r="I140" i="155"/>
  <c r="R132" i="155" a="1"/>
  <c r="R132" i="155" s="1"/>
  <c r="R262" i="155" a="1"/>
  <c r="R262" i="155" s="1"/>
  <c r="S262" i="155" s="1"/>
  <c r="R187" i="155" a="1"/>
  <c r="R187" i="155" s="1"/>
  <c r="R323" i="155" a="1"/>
  <c r="R323" i="155" s="1"/>
  <c r="R325" i="155" a="1"/>
  <c r="R325" i="155" s="1"/>
  <c r="R278" i="155" a="1"/>
  <c r="R278" i="155" s="1"/>
  <c r="R186" i="155" a="1"/>
  <c r="R186" i="155" s="1"/>
  <c r="S186" i="155" s="1"/>
  <c r="T186" i="155" s="1"/>
  <c r="R156" i="155" a="1"/>
  <c r="R156" i="155" s="1"/>
  <c r="S156" i="155" s="1"/>
  <c r="R326" i="155" a="1"/>
  <c r="R326" i="155" s="1"/>
  <c r="R252" i="155" a="1"/>
  <c r="R252" i="155" s="1"/>
  <c r="R309" i="155" a="1"/>
  <c r="R309" i="155" s="1"/>
  <c r="R302" i="155" a="1"/>
  <c r="R302" i="155" s="1"/>
  <c r="R361" i="155" a="1"/>
  <c r="R361" i="155" s="1"/>
  <c r="R343" i="155" a="1"/>
  <c r="R343" i="155" s="1"/>
  <c r="S343" i="155" s="1"/>
  <c r="R399" i="155" a="1"/>
  <c r="R399" i="155" s="1"/>
  <c r="S399" i="155" s="1"/>
  <c r="I120" i="154"/>
  <c r="R364" i="155" a="1"/>
  <c r="R364" i="155" s="1"/>
  <c r="R158" i="155" a="1"/>
  <c r="R158" i="155" s="1"/>
  <c r="R241" i="155" a="1"/>
  <c r="R241" i="155" s="1"/>
  <c r="R350" i="155" a="1"/>
  <c r="R350" i="155" s="1"/>
  <c r="R174" i="155" a="1"/>
  <c r="R174" i="155" s="1"/>
  <c r="R287" i="155" a="1"/>
  <c r="R287" i="155" s="1"/>
  <c r="S287" i="155" s="1"/>
  <c r="R329" i="155" a="1"/>
  <c r="R329" i="155" s="1"/>
  <c r="S329" i="155" s="1"/>
  <c r="R183" i="155" a="1"/>
  <c r="R183" i="155" s="1"/>
  <c r="I130" i="154"/>
  <c r="R232" i="155" a="1"/>
  <c r="R232" i="155" s="1"/>
  <c r="R181" i="155" a="1"/>
  <c r="R181" i="155" s="1"/>
  <c r="R219" i="155" a="1"/>
  <c r="R219" i="155" s="1"/>
  <c r="R173" i="155" a="1"/>
  <c r="R173" i="155" s="1"/>
  <c r="R115" i="155" a="1"/>
  <c r="R115" i="155" s="1"/>
  <c r="S115" i="155" s="1"/>
  <c r="R218" i="155" a="1"/>
  <c r="R218" i="155" s="1"/>
  <c r="R341" i="155" a="1"/>
  <c r="R341" i="155" s="1"/>
  <c r="R322" i="155" a="1"/>
  <c r="R322" i="155" s="1"/>
  <c r="R388" i="155" a="1"/>
  <c r="R388" i="155" s="1"/>
  <c r="S388" i="155" s="1"/>
  <c r="R205" i="155" a="1"/>
  <c r="R205" i="155" s="1"/>
  <c r="R204" i="155" a="1"/>
  <c r="R204" i="155" s="1"/>
  <c r="S204" i="155" s="1"/>
  <c r="R236" i="155" a="1"/>
  <c r="R236" i="155" s="1"/>
  <c r="G170" i="155"/>
  <c r="R170" i="155" a="1"/>
  <c r="R170" i="155" s="1"/>
  <c r="R395" i="155" a="1"/>
  <c r="R395" i="155" s="1"/>
  <c r="S395" i="155" s="1"/>
  <c r="T395" i="155" s="1"/>
  <c r="R247" i="155" a="1"/>
  <c r="R247" i="155" s="1"/>
  <c r="R243" i="155" a="1"/>
  <c r="R243" i="155" s="1"/>
  <c r="R383" i="155" a="1"/>
  <c r="R383" i="155" s="1"/>
  <c r="R314" i="155" a="1"/>
  <c r="R314" i="155" s="1"/>
  <c r="S314" i="155" s="1"/>
  <c r="G120" i="154"/>
  <c r="R149" i="155" a="1"/>
  <c r="R149" i="155" s="1"/>
  <c r="R379" i="155" a="1"/>
  <c r="R379" i="155" s="1"/>
  <c r="S379" i="155" s="1"/>
  <c r="R381" i="155" a="1"/>
  <c r="R381" i="155" s="1"/>
  <c r="R271" i="155" a="1"/>
  <c r="R271" i="155" s="1"/>
  <c r="R367" i="155" a="1"/>
  <c r="R367" i="155" s="1"/>
  <c r="S367" i="155" s="1"/>
  <c r="R265" i="155" a="1"/>
  <c r="R265" i="155" s="1"/>
  <c r="R276" i="155" a="1"/>
  <c r="R276" i="155" s="1"/>
  <c r="R139" i="155" a="1"/>
  <c r="R139" i="155" s="1"/>
  <c r="R275" i="155" a="1"/>
  <c r="R275" i="155" s="1"/>
  <c r="I150" i="155"/>
  <c r="R237" i="155" a="1"/>
  <c r="R237" i="155" s="1"/>
  <c r="S237" i="155" s="1"/>
  <c r="R269" i="155" a="1"/>
  <c r="R269" i="155" s="1"/>
  <c r="R270" i="155" a="1"/>
  <c r="R270" i="155" s="1"/>
  <c r="R337" i="155" a="1"/>
  <c r="R337" i="155" s="1"/>
  <c r="G400" i="155"/>
  <c r="R400" i="155" a="1"/>
  <c r="R400" i="155" s="1"/>
  <c r="R128" i="155" a="1"/>
  <c r="R128" i="155" s="1"/>
  <c r="R127" i="155" a="1"/>
  <c r="R127" i="155" s="1"/>
  <c r="R131" i="155" a="1"/>
  <c r="R131" i="155" s="1"/>
  <c r="S131" i="155" s="1"/>
  <c r="R257" i="155" a="1"/>
  <c r="R257" i="155" s="1"/>
  <c r="R217" i="155" a="1"/>
  <c r="R217" i="155" s="1"/>
  <c r="R268" i="155" a="1"/>
  <c r="R268" i="155" s="1"/>
  <c r="R106" i="155" a="1"/>
  <c r="R106" i="155" s="1"/>
  <c r="R162" i="155" a="1"/>
  <c r="R162" i="155" s="1"/>
  <c r="R255" i="155" a="1"/>
  <c r="R255" i="155" s="1"/>
  <c r="R191" i="155" a="1"/>
  <c r="R191" i="155" s="1"/>
  <c r="S191" i="155" s="1"/>
  <c r="R159" i="155" a="1"/>
  <c r="R159" i="155" s="1"/>
  <c r="R103" i="155" a="1"/>
  <c r="R103" i="155" s="1"/>
  <c r="R320" i="155" a="1"/>
  <c r="R320" i="155" s="1"/>
  <c r="R338" i="155" a="1"/>
  <c r="R338" i="155" s="1"/>
  <c r="S338" i="155" s="1"/>
  <c r="G150" i="154"/>
  <c r="I130" i="155"/>
  <c r="R335" i="155" a="1"/>
  <c r="R335" i="155" s="1"/>
  <c r="R397" i="155" a="1"/>
  <c r="R397" i="155" s="1"/>
  <c r="S397" i="155" s="1"/>
  <c r="R129" i="155" a="1"/>
  <c r="R129" i="155" s="1"/>
  <c r="R330" i="155" a="1"/>
  <c r="R330" i="155" s="1"/>
  <c r="R377" i="155" a="1"/>
  <c r="R377" i="155" s="1"/>
  <c r="S377" i="155" s="1"/>
  <c r="R235" i="155" a="1"/>
  <c r="R235" i="155" s="1"/>
  <c r="G130" i="155"/>
  <c r="R130" i="155" a="1"/>
  <c r="R130" i="155" s="1"/>
  <c r="R249" i="155" a="1"/>
  <c r="R249" i="155" s="1"/>
  <c r="R198" i="155" a="1"/>
  <c r="R198" i="155" s="1"/>
  <c r="S198" i="155" s="1"/>
  <c r="R246" i="155" a="1"/>
  <c r="R246" i="155" s="1"/>
  <c r="S246" i="155" s="1"/>
  <c r="R163" i="155" a="1"/>
  <c r="R163" i="155" s="1"/>
  <c r="R154" i="155" a="1"/>
  <c r="R154" i="155" s="1"/>
  <c r="S154" i="155" s="1"/>
  <c r="R175" i="155" a="1"/>
  <c r="R175" i="155" s="1"/>
  <c r="R307" i="155" a="1"/>
  <c r="R307" i="155" s="1"/>
  <c r="R359" i="155" a="1"/>
  <c r="R359" i="155" s="1"/>
  <c r="R100" i="155" a="1"/>
  <c r="R100" i="155" s="1"/>
  <c r="G100" i="155"/>
  <c r="R133" i="155" a="1"/>
  <c r="R133" i="155" s="1"/>
  <c r="R284" i="155" a="1"/>
  <c r="R284" i="155" s="1"/>
  <c r="R215" i="155" a="1"/>
  <c r="R215" i="155" s="1"/>
  <c r="S215" i="155" s="1"/>
  <c r="R172" i="155" a="1"/>
  <c r="R172" i="155" s="1"/>
  <c r="R356" i="155" a="1"/>
  <c r="R356" i="155" s="1"/>
  <c r="R123" i="155" a="1"/>
  <c r="R123" i="155" s="1"/>
  <c r="R228" i="155" a="1"/>
  <c r="R228" i="155" s="1"/>
  <c r="R189" i="155" a="1"/>
  <c r="R189" i="155" s="1"/>
  <c r="R360" i="155" a="1"/>
  <c r="R360" i="155" s="1"/>
  <c r="S360" i="155" s="1"/>
  <c r="R112" i="155" a="1"/>
  <c r="R112" i="155" s="1"/>
  <c r="S112" i="155" s="1"/>
  <c r="R150" i="155" a="1"/>
  <c r="R150" i="155" s="1"/>
  <c r="G150" i="155"/>
  <c r="R238" i="155" a="1"/>
  <c r="R238" i="155" s="1"/>
  <c r="R310" i="155" a="1"/>
  <c r="R310" i="155" s="1"/>
  <c r="S310" i="155" s="1"/>
  <c r="R254" i="155" a="1"/>
  <c r="R254" i="155" s="1"/>
  <c r="R148" i="155" a="1"/>
  <c r="R148" i="155" s="1"/>
  <c r="S148" i="155" s="1"/>
  <c r="R242" i="155" a="1"/>
  <c r="R242" i="155" s="1"/>
  <c r="S242" i="155" s="1"/>
  <c r="R266" i="155" a="1"/>
  <c r="R266" i="155" s="1"/>
  <c r="S266" i="155" s="1"/>
  <c r="R292" i="155" a="1"/>
  <c r="R292" i="155" s="1"/>
  <c r="S292" i="155" s="1"/>
  <c r="R368" i="155" a="1"/>
  <c r="R368" i="155" s="1"/>
  <c r="R179" i="155" a="1"/>
  <c r="R179" i="155" s="1"/>
  <c r="R365" i="155" a="1"/>
  <c r="R365" i="155" s="1"/>
  <c r="R231" i="155" a="1"/>
  <c r="R231" i="155" s="1"/>
  <c r="R102" i="155" a="1"/>
  <c r="R102" i="155" s="1"/>
  <c r="S102" i="155" s="1"/>
  <c r="R168" i="155" a="1"/>
  <c r="R168" i="155" s="1"/>
  <c r="R308" i="155" a="1"/>
  <c r="R308" i="155" s="1"/>
  <c r="S308" i="155" s="1"/>
  <c r="R196" i="155" a="1"/>
  <c r="R196" i="155" s="1"/>
  <c r="R385" i="155" a="1"/>
  <c r="R385" i="155" s="1"/>
  <c r="G140" i="154"/>
  <c r="R223" i="155" a="1"/>
  <c r="R223" i="155" s="1"/>
  <c r="R167" i="155" a="1"/>
  <c r="R167" i="155" s="1"/>
  <c r="S167" i="155" s="1"/>
  <c r="R389" i="155" a="1"/>
  <c r="R389" i="155" s="1"/>
  <c r="G170" i="154"/>
  <c r="R122" i="155" a="1"/>
  <c r="R122" i="155" s="1"/>
  <c r="R340" i="155" a="1"/>
  <c r="R340" i="155" s="1"/>
  <c r="S340" i="155" s="1"/>
  <c r="R372" i="155" a="1"/>
  <c r="R372" i="155" s="1"/>
  <c r="R315" i="155" a="1"/>
  <c r="R315" i="155" s="1"/>
  <c r="S315" i="155" s="1"/>
  <c r="T315" i="155" s="1"/>
  <c r="R251" i="155" a="1"/>
  <c r="R251" i="155" s="1"/>
  <c r="R177" i="155" a="1"/>
  <c r="R177" i="155" s="1"/>
  <c r="S177" i="155" s="1"/>
  <c r="R258" i="155" a="1"/>
  <c r="R258" i="155" s="1"/>
  <c r="R206" i="155" a="1"/>
  <c r="R206" i="155" s="1"/>
  <c r="S206" i="155" s="1"/>
  <c r="R324" i="155" a="1"/>
  <c r="R324" i="155" s="1"/>
  <c r="S324" i="155" s="1"/>
  <c r="R234" i="155" a="1"/>
  <c r="R234" i="155" s="1"/>
  <c r="R108" i="155" a="1"/>
  <c r="R108" i="155" s="1"/>
  <c r="R398" i="155" a="1"/>
  <c r="R398" i="155" s="1"/>
  <c r="R288" i="155" a="1"/>
  <c r="R288" i="155" s="1"/>
  <c r="R296" i="155" a="1"/>
  <c r="R296" i="155" s="1"/>
  <c r="R375" i="155" a="1"/>
  <c r="R375" i="155" s="1"/>
  <c r="S375" i="155" s="1"/>
  <c r="R256" i="155" a="1"/>
  <c r="R256" i="155" s="1"/>
  <c r="S256" i="155" s="1"/>
  <c r="R305" i="155" a="1"/>
  <c r="R305" i="155" s="1"/>
  <c r="R298" i="155" a="1"/>
  <c r="R298" i="155" s="1"/>
  <c r="R124" i="155" a="1"/>
  <c r="R124" i="155" s="1"/>
  <c r="R190" i="155" a="1"/>
  <c r="R190" i="155" s="1"/>
  <c r="R394" i="155" a="1"/>
  <c r="R394" i="155" s="1"/>
  <c r="S394" i="155" s="1"/>
  <c r="R295" i="155" a="1"/>
  <c r="R295" i="155" s="1"/>
  <c r="S295" i="155" s="1"/>
  <c r="R233" i="155" a="1"/>
  <c r="R233" i="155" s="1"/>
  <c r="R188" i="155" a="1"/>
  <c r="R188" i="155" s="1"/>
  <c r="S188" i="155" s="1"/>
  <c r="R171" i="155" a="1"/>
  <c r="R171" i="155" s="1"/>
  <c r="R195" i="155" a="1"/>
  <c r="R195" i="155" s="1"/>
  <c r="S195" i="155" s="1"/>
  <c r="R212" i="155" a="1"/>
  <c r="R212" i="155" s="1"/>
  <c r="R207" i="155" a="1"/>
  <c r="R207" i="155" s="1"/>
  <c r="R143" i="155" a="1"/>
  <c r="R143" i="155" s="1"/>
  <c r="R358" i="155" a="1"/>
  <c r="R358" i="155" s="1"/>
  <c r="R126" i="155" a="1"/>
  <c r="R126" i="155" s="1"/>
  <c r="R317" i="155" a="1"/>
  <c r="R317" i="155" s="1"/>
  <c r="S317" i="155" s="1"/>
  <c r="R300" i="155" a="1"/>
  <c r="R300" i="155" s="1"/>
  <c r="S300" i="155" s="1"/>
  <c r="R146" i="155" a="1"/>
  <c r="R146" i="155" s="1"/>
  <c r="R286" i="155" a="1"/>
  <c r="R286" i="155" s="1"/>
  <c r="R312" i="155" a="1"/>
  <c r="R312" i="155" s="1"/>
  <c r="S312" i="155" s="1"/>
  <c r="R318" i="155" a="1"/>
  <c r="R318" i="155" s="1"/>
  <c r="R354" i="155" a="1"/>
  <c r="R354" i="155" s="1"/>
  <c r="R211" i="155" a="1"/>
  <c r="R211" i="155" s="1"/>
  <c r="S203" i="155" l="1"/>
  <c r="T204" i="155" s="1"/>
  <c r="S328" i="155"/>
  <c r="T329" i="155" s="1"/>
  <c r="S261" i="155"/>
  <c r="T262" i="155" s="1"/>
  <c r="S168" i="155"/>
  <c r="T168" i="155" s="1"/>
  <c r="S129" i="155"/>
  <c r="S381" i="155"/>
  <c r="S183" i="155"/>
  <c r="S319" i="155"/>
  <c r="S152" i="155"/>
  <c r="S146" i="155"/>
  <c r="S291" i="155"/>
  <c r="T292" i="155" s="1"/>
  <c r="S304" i="155"/>
  <c r="S236" i="155"/>
  <c r="T237" i="155" s="1"/>
  <c r="S278" i="155"/>
  <c r="S298" i="155"/>
  <c r="S234" i="155"/>
  <c r="S150" i="155"/>
  <c r="S320" i="155"/>
  <c r="S217" i="155"/>
  <c r="S270" i="155"/>
  <c r="S232" i="155"/>
  <c r="S158" i="155"/>
  <c r="S252" i="155"/>
  <c r="S194" i="155"/>
  <c r="T195" i="155" s="1"/>
  <c r="S125" i="155"/>
  <c r="S121" i="155"/>
  <c r="S334" i="155"/>
  <c r="S387" i="155"/>
  <c r="T388" i="155" s="1"/>
  <c r="S248" i="155"/>
  <c r="S118" i="155"/>
  <c r="T118" i="155" s="1"/>
  <c r="S138" i="155"/>
  <c r="S354" i="155"/>
  <c r="S223" i="155"/>
  <c r="S173" i="155"/>
  <c r="S174" i="155"/>
  <c r="S358" i="155"/>
  <c r="S161" i="155"/>
  <c r="S133" i="155"/>
  <c r="S272" i="155"/>
  <c r="S233" i="155"/>
  <c r="S249" i="155"/>
  <c r="S145" i="155"/>
  <c r="T146" i="155" s="1"/>
  <c r="S196" i="155"/>
  <c r="T196" i="155" s="1"/>
  <c r="S113" i="155"/>
  <c r="T113" i="155" s="1"/>
  <c r="S211" i="155"/>
  <c r="T211" i="155" s="1"/>
  <c r="S170" i="155"/>
  <c r="S306" i="155"/>
  <c r="S231" i="155"/>
  <c r="S285" i="155"/>
  <c r="S159" i="155"/>
  <c r="S258" i="155"/>
  <c r="S228" i="155"/>
  <c r="T228" i="155" s="1"/>
  <c r="S275" i="155"/>
  <c r="S347" i="155"/>
  <c r="S251" i="155"/>
  <c r="S365" i="155"/>
  <c r="S139" i="155"/>
  <c r="S221" i="155"/>
  <c r="S267" i="155"/>
  <c r="T267" i="155" s="1"/>
  <c r="S350" i="155"/>
  <c r="S126" i="155"/>
  <c r="K101" i="155"/>
  <c r="S254" i="155"/>
  <c r="S335" i="155"/>
  <c r="S143" i="155"/>
  <c r="S123" i="155"/>
  <c r="S162" i="155"/>
  <c r="S325" i="155"/>
  <c r="T325" i="155" s="1"/>
  <c r="S245" i="155"/>
  <c r="T246" i="155" s="1"/>
  <c r="S165" i="155"/>
  <c r="S356" i="155"/>
  <c r="S106" i="155"/>
  <c r="T107" i="155" s="1"/>
  <c r="S282" i="155"/>
  <c r="T283" i="155" s="1"/>
  <c r="S372" i="155"/>
  <c r="T372" i="155" s="1"/>
  <c r="S385" i="155"/>
  <c r="S205" i="155"/>
  <c r="T205" i="155" s="1"/>
  <c r="S181" i="155"/>
  <c r="S120" i="155"/>
  <c r="S243" i="155"/>
  <c r="T243" i="155" s="1"/>
  <c r="K101" i="154"/>
  <c r="S259" i="155"/>
  <c r="S140" i="155"/>
  <c r="S171" i="155"/>
  <c r="S305" i="155"/>
  <c r="T305" i="155" s="1"/>
  <c r="S122" i="155"/>
  <c r="S284" i="155"/>
  <c r="T284" i="155" s="1"/>
  <c r="S163" i="155"/>
  <c r="S330" i="155"/>
  <c r="T330" i="155" s="1"/>
  <c r="S103" i="155"/>
  <c r="T103" i="155" s="1"/>
  <c r="S257" i="155"/>
  <c r="T257" i="155" s="1"/>
  <c r="S269" i="155"/>
  <c r="S271" i="155"/>
  <c r="S247" i="155"/>
  <c r="T247" i="155" s="1"/>
  <c r="S322" i="155"/>
  <c r="S364" i="155"/>
  <c r="S326" i="155"/>
  <c r="S132" i="155"/>
  <c r="T132" i="155" s="1"/>
  <c r="S253" i="155"/>
  <c r="S274" i="155"/>
  <c r="S169" i="155"/>
  <c r="T169" i="155" s="1"/>
  <c r="S344" i="155"/>
  <c r="T344" i="155" s="1"/>
  <c r="S220" i="155"/>
  <c r="S230" i="155"/>
  <c r="S105" i="155"/>
  <c r="S193" i="155"/>
  <c r="S144" i="155"/>
  <c r="S346" i="155"/>
  <c r="S213" i="155"/>
  <c r="S250" i="155"/>
  <c r="S281" i="155"/>
  <c r="S244" i="155"/>
  <c r="T244" i="155" s="1"/>
  <c r="M101" i="155"/>
  <c r="S160" i="155"/>
  <c r="S222" i="155"/>
  <c r="S277" i="155"/>
  <c r="S111" i="155"/>
  <c r="S357" i="155"/>
  <c r="S341" i="155"/>
  <c r="T341" i="155" s="1"/>
  <c r="S216" i="155"/>
  <c r="T216" i="155" s="1"/>
  <c r="S178" i="155"/>
  <c r="T178" i="155" s="1"/>
  <c r="S293" i="155"/>
  <c r="S192" i="155"/>
  <c r="T192" i="155" s="1"/>
  <c r="S316" i="155"/>
  <c r="T316" i="155" s="1"/>
  <c r="S301" i="155"/>
  <c r="T301" i="155" s="1"/>
  <c r="S384" i="155"/>
  <c r="S199" i="155"/>
  <c r="T199" i="155" s="1"/>
  <c r="M101" i="154"/>
  <c r="S164" i="155"/>
  <c r="S353" i="155"/>
  <c r="S189" i="155"/>
  <c r="T189" i="155" s="1"/>
  <c r="S147" i="155"/>
  <c r="S374" i="155"/>
  <c r="T374" i="155" s="1"/>
  <c r="S273" i="155"/>
  <c r="S134" i="155"/>
  <c r="S180" i="155"/>
  <c r="S351" i="155"/>
  <c r="S289" i="155"/>
  <c r="S224" i="155"/>
  <c r="S355" i="155"/>
  <c r="S333" i="155"/>
  <c r="T333" i="155" s="1"/>
  <c r="S157" i="155"/>
  <c r="T157" i="155" s="1"/>
  <c r="S348" i="155"/>
  <c r="S141" i="155"/>
  <c r="S229" i="155"/>
  <c r="S142" i="155"/>
  <c r="S336" i="155"/>
  <c r="S137" i="155"/>
  <c r="T137" i="155" s="1"/>
  <c r="S101" i="155"/>
  <c r="T102" i="155" s="1"/>
  <c r="S151" i="155"/>
  <c r="S294" i="155"/>
  <c r="T295" i="155" s="1"/>
  <c r="S380" i="155"/>
  <c r="T380" i="155" s="1"/>
  <c r="S119" i="155"/>
  <c r="S349" i="155"/>
  <c r="S182" i="155"/>
  <c r="S392" i="155"/>
  <c r="T392" i="155" s="1"/>
  <c r="S382" i="155"/>
  <c r="S299" i="155"/>
  <c r="S109" i="155"/>
  <c r="S114" i="155"/>
  <c r="T115" i="155" s="1"/>
  <c r="S390" i="155"/>
  <c r="S279" i="155"/>
  <c r="S104" i="155"/>
  <c r="S239" i="155"/>
  <c r="S389" i="155"/>
  <c r="T389" i="155" s="1"/>
  <c r="S127" i="155"/>
  <c r="S296" i="155"/>
  <c r="T296" i="155" s="1"/>
  <c r="S255" i="155"/>
  <c r="S297" i="155"/>
  <c r="S288" i="155"/>
  <c r="T288" i="155" s="1"/>
  <c r="S359" i="155"/>
  <c r="S321" i="155"/>
  <c r="S207" i="155"/>
  <c r="T207" i="155" s="1"/>
  <c r="S190" i="155"/>
  <c r="S398" i="155"/>
  <c r="T398" i="155" s="1"/>
  <c r="S179" i="155"/>
  <c r="S238" i="155"/>
  <c r="T238" i="155" s="1"/>
  <c r="S307" i="155"/>
  <c r="S276" i="155"/>
  <c r="S219" i="155"/>
  <c r="S302" i="155"/>
  <c r="S323" i="155"/>
  <c r="T324" i="155" s="1"/>
  <c r="S208" i="155"/>
  <c r="S209" i="155"/>
  <c r="S339" i="155"/>
  <c r="T339" i="155" s="1"/>
  <c r="S166" i="155"/>
  <c r="S327" i="155"/>
  <c r="T328" i="155" s="1"/>
  <c r="S176" i="155"/>
  <c r="S393" i="155"/>
  <c r="S376" i="155"/>
  <c r="T376" i="155" s="1"/>
  <c r="S311" i="155"/>
  <c r="S378" i="155"/>
  <c r="S352" i="155"/>
  <c r="S153" i="155"/>
  <c r="S263" i="155"/>
  <c r="S202" i="155"/>
  <c r="T202" i="155" s="1"/>
  <c r="S218" i="155"/>
  <c r="S128" i="155"/>
  <c r="S149" i="155"/>
  <c r="S318" i="155"/>
  <c r="T318" i="155" s="1"/>
  <c r="S130" i="155"/>
  <c r="S400" i="155"/>
  <c r="T400" i="155" s="1"/>
  <c r="S361" i="155"/>
  <c r="T361" i="155" s="1"/>
  <c r="S184" i="155"/>
  <c r="S366" i="155"/>
  <c r="S363" i="155"/>
  <c r="T363" i="155" s="1"/>
  <c r="S286" i="155"/>
  <c r="S212" i="155"/>
  <c r="S124" i="155"/>
  <c r="S108" i="155"/>
  <c r="T108" i="155" s="1"/>
  <c r="S368" i="155"/>
  <c r="T368" i="155" s="1"/>
  <c r="S172" i="155"/>
  <c r="S175" i="155"/>
  <c r="S235" i="155"/>
  <c r="S268" i="155"/>
  <c r="S337" i="155"/>
  <c r="T338" i="155" s="1"/>
  <c r="S265" i="155"/>
  <c r="T265" i="155" s="1"/>
  <c r="S383" i="155"/>
  <c r="S241" i="155"/>
  <c r="T241" i="155" s="1"/>
  <c r="S309" i="155"/>
  <c r="T309" i="155" s="1"/>
  <c r="S187" i="155"/>
  <c r="S280" i="155"/>
  <c r="S110" i="155"/>
  <c r="S290" i="155"/>
  <c r="S345" i="155"/>
  <c r="S155" i="155"/>
  <c r="T156" i="155" s="1"/>
  <c r="S303" i="155"/>
  <c r="S331" i="155"/>
  <c r="S260" i="155"/>
  <c r="S370" i="155"/>
  <c r="T370" i="155" s="1"/>
  <c r="S396" i="155"/>
  <c r="S135" i="155"/>
  <c r="S214" i="155"/>
  <c r="T215" i="155" s="1"/>
  <c r="S313" i="155"/>
  <c r="T313" i="155" s="1"/>
  <c r="S200" i="155"/>
  <c r="S116" i="155"/>
  <c r="T116" i="155" s="1"/>
  <c r="S197" i="155"/>
  <c r="S225" i="155"/>
  <c r="T226" i="155" s="1"/>
  <c r="S342" i="155"/>
  <c r="T343" i="155" s="1"/>
  <c r="T387" i="155" l="1"/>
  <c r="T255" i="155"/>
  <c r="T153" i="155"/>
  <c r="T130" i="155"/>
  <c r="T320" i="155"/>
  <c r="T147" i="155"/>
  <c r="T382" i="155"/>
  <c r="T347" i="155"/>
  <c r="T278" i="155"/>
  <c r="T172" i="155"/>
  <c r="T184" i="155"/>
  <c r="T120" i="155"/>
  <c r="T133" i="155"/>
  <c r="T249" i="155"/>
  <c r="T252" i="155"/>
  <c r="T251" i="155"/>
  <c r="T355" i="155"/>
  <c r="T232" i="155"/>
  <c r="T182" i="155"/>
  <c r="T286" i="155"/>
  <c r="T119" i="155"/>
  <c r="T298" i="155"/>
  <c r="T279" i="155"/>
  <c r="T250" i="155"/>
  <c r="T127" i="155"/>
  <c r="T259" i="155"/>
  <c r="T299" i="155"/>
  <c r="T230" i="155"/>
  <c r="T364" i="155"/>
  <c r="T335" i="155"/>
  <c r="T253" i="155"/>
  <c r="T393" i="155"/>
  <c r="T236" i="155"/>
  <c r="T282" i="155"/>
  <c r="T233" i="155"/>
  <c r="O101" i="155"/>
  <c r="O103" i="155" s="1"/>
  <c r="T143" i="155"/>
  <c r="T221" i="155"/>
  <c r="T183" i="155"/>
  <c r="T197" i="155"/>
  <c r="T336" i="155"/>
  <c r="T366" i="155"/>
  <c r="T271" i="155"/>
  <c r="T175" i="155"/>
  <c r="T126" i="155"/>
  <c r="T381" i="155"/>
  <c r="T145" i="155"/>
  <c r="T270" i="155"/>
  <c r="T234" i="155"/>
  <c r="T275" i="155"/>
  <c r="T170" i="155"/>
  <c r="T272" i="155"/>
  <c r="T214" i="155"/>
  <c r="T150" i="155"/>
  <c r="T359" i="155"/>
  <c r="T348" i="155"/>
  <c r="T385" i="155"/>
  <c r="T162" i="155"/>
  <c r="T128" i="155"/>
  <c r="T166" i="155"/>
  <c r="T307" i="155"/>
  <c r="T317" i="155"/>
  <c r="T151" i="155"/>
  <c r="T165" i="155"/>
  <c r="T161" i="155"/>
  <c r="T194" i="155"/>
  <c r="T140" i="155"/>
  <c r="T258" i="155"/>
  <c r="T200" i="155"/>
  <c r="T303" i="155"/>
  <c r="T375" i="155"/>
  <c r="T273" i="155"/>
  <c r="T354" i="155"/>
  <c r="T373" i="155"/>
  <c r="T174" i="155"/>
  <c r="T326" i="155"/>
  <c r="T321" i="155"/>
  <c r="T185" i="155"/>
  <c r="T220" i="155"/>
  <c r="T106" i="155"/>
  <c r="T139" i="155"/>
  <c r="T260" i="155"/>
  <c r="T148" i="155"/>
  <c r="T362" i="155"/>
  <c r="T399" i="155"/>
  <c r="T104" i="155"/>
  <c r="T160" i="155"/>
  <c r="T235" i="155"/>
  <c r="T218" i="155"/>
  <c r="T356" i="155"/>
  <c r="T340" i="155"/>
  <c r="T134" i="155"/>
  <c r="T121" i="155"/>
  <c r="T163" i="155"/>
  <c r="T331" i="155"/>
  <c r="T302" i="155"/>
  <c r="T386" i="155"/>
  <c r="T383" i="155"/>
  <c r="T190" i="155"/>
  <c r="T390" i="155"/>
  <c r="T164" i="155"/>
  <c r="T171" i="155"/>
  <c r="T222" i="155"/>
  <c r="T144" i="155"/>
  <c r="T300" i="155"/>
  <c r="T345" i="155"/>
  <c r="T327" i="155"/>
  <c r="T314" i="155"/>
  <c r="T276" i="155"/>
  <c r="T131" i="155"/>
  <c r="T159" i="155"/>
  <c r="T114" i="155"/>
  <c r="T142" i="155"/>
  <c r="T280" i="155"/>
  <c r="T268" i="155"/>
  <c r="T124" i="155"/>
  <c r="T173" i="155"/>
  <c r="T209" i="155"/>
  <c r="T256" i="155"/>
  <c r="T109" i="155"/>
  <c r="T229" i="155"/>
  <c r="T351" i="155"/>
  <c r="T306" i="155"/>
  <c r="T319" i="155"/>
  <c r="T206" i="155"/>
  <c r="T312" i="155"/>
  <c r="T311" i="155"/>
  <c r="T129" i="155"/>
  <c r="T332" i="155"/>
  <c r="T371" i="155"/>
  <c r="T201" i="155"/>
  <c r="T294" i="155"/>
  <c r="T293" i="155"/>
  <c r="T281" i="155"/>
  <c r="T323" i="155"/>
  <c r="T322" i="155"/>
  <c r="T138" i="155"/>
  <c r="T285" i="155"/>
  <c r="T367" i="155"/>
  <c r="T167" i="155"/>
  <c r="T297" i="155"/>
  <c r="T117" i="155"/>
  <c r="T358" i="155"/>
  <c r="T357" i="155"/>
  <c r="T266" i="155"/>
  <c r="T391" i="155"/>
  <c r="T379" i="155"/>
  <c r="T378" i="155"/>
  <c r="T349" i="155"/>
  <c r="T225" i="155"/>
  <c r="T224" i="155"/>
  <c r="T384" i="155"/>
  <c r="T152" i="155"/>
  <c r="T112" i="155"/>
  <c r="T111" i="155"/>
  <c r="T308" i="155"/>
  <c r="T248" i="155"/>
  <c r="O101" i="154"/>
  <c r="T217" i="155"/>
  <c r="T188" i="155"/>
  <c r="T187" i="155"/>
  <c r="T277" i="155"/>
  <c r="T346" i="155"/>
  <c r="T274" i="155"/>
  <c r="T269" i="155"/>
  <c r="T123" i="155"/>
  <c r="T122" i="155"/>
  <c r="T304" i="155"/>
  <c r="T377" i="155"/>
  <c r="T191" i="155"/>
  <c r="T289" i="155"/>
  <c r="T334" i="155"/>
  <c r="T154" i="155"/>
  <c r="T203" i="155"/>
  <c r="T365" i="155"/>
  <c r="T264" i="155"/>
  <c r="T263" i="155"/>
  <c r="T213" i="155"/>
  <c r="T212" i="155"/>
  <c r="T198" i="155"/>
  <c r="T208" i="155"/>
  <c r="T287" i="155"/>
  <c r="T245" i="155"/>
  <c r="T176" i="155"/>
  <c r="T239" i="155"/>
  <c r="T135" i="155"/>
  <c r="T291" i="155"/>
  <c r="T290" i="155"/>
  <c r="T394" i="155"/>
  <c r="T231" i="155"/>
  <c r="T261" i="155"/>
  <c r="T350" i="155"/>
  <c r="T179" i="155"/>
  <c r="T310" i="155"/>
  <c r="T149" i="155"/>
  <c r="T242" i="155"/>
  <c r="T193" i="155"/>
  <c r="T210" i="155"/>
  <c r="T155" i="155"/>
  <c r="T342" i="155"/>
  <c r="T397" i="155"/>
  <c r="T396" i="155"/>
  <c r="T110" i="155"/>
  <c r="T337" i="155"/>
  <c r="T177" i="155"/>
  <c r="T360" i="155"/>
  <c r="T352" i="155"/>
  <c r="T219" i="155"/>
  <c r="T223" i="155"/>
  <c r="T254" i="155"/>
  <c r="T240" i="155"/>
  <c r="T141" i="155"/>
  <c r="T181" i="155"/>
  <c r="T180" i="155"/>
  <c r="T136" i="155"/>
  <c r="T353" i="155"/>
  <c r="T369" i="155"/>
  <c r="T105" i="155"/>
  <c r="T125" i="155"/>
  <c r="T158" i="155"/>
  <c r="X101" i="155" l="1"/>
  <c r="AA101" i="155" l="1"/>
  <c r="AF101" i="15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<sst xmlns="http://schemas.openxmlformats.org/spreadsheetml/2006/main" count="2318" uniqueCount="563">
  <si>
    <t>yhat</t>
  </si>
  <si>
    <t>x2</t>
  </si>
  <si>
    <t>y</t>
  </si>
  <si>
    <t>x3</t>
  </si>
  <si>
    <t>Concept</t>
  </si>
  <si>
    <t>Iris_Data</t>
  </si>
  <si>
    <t>Iris_Fit</t>
  </si>
  <si>
    <t>Iris_Forecast_OOS</t>
  </si>
  <si>
    <t>R_Code</t>
  </si>
  <si>
    <t>Logistic Regression Concepts</t>
  </si>
  <si>
    <t>Videos</t>
  </si>
  <si>
    <t>Real Line</t>
  </si>
  <si>
    <t>Model the Probability</t>
  </si>
  <si>
    <t>Fit with Maximum Likelihood</t>
  </si>
  <si>
    <t>Tabs</t>
  </si>
  <si>
    <t>Your Turn</t>
  </si>
  <si>
    <t>Example</t>
  </si>
  <si>
    <t>b1</t>
  </si>
  <si>
    <t>b2</t>
  </si>
  <si>
    <t>n</t>
  </si>
  <si>
    <t>x1</t>
  </si>
  <si>
    <t>LL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</si>
  <si>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</si>
  <si>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</si>
  <si>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</si>
  <si>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</si>
  <si>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</si>
  <si>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</si>
  <si>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</si>
  <si>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</si>
  <si>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</si>
  <si>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</si>
  <si>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b3</t>
  </si>
  <si>
    <t>b4</t>
  </si>
  <si>
    <t>x4</t>
  </si>
  <si>
    <t>y_label</t>
  </si>
  <si>
    <t>Xb</t>
  </si>
  <si>
    <t>p = Sigmoid(Xb)</t>
  </si>
  <si>
    <t>p(Y = y)</t>
  </si>
  <si>
    <t>Question</t>
  </si>
  <si>
    <t>Points</t>
  </si>
  <si>
    <t>Cluster Analysis video</t>
  </si>
  <si>
    <t>mu_1</t>
  </si>
  <si>
    <t>sigma1</t>
  </si>
  <si>
    <t>mu_2</t>
  </si>
  <si>
    <t>sigma2</t>
  </si>
  <si>
    <t>dim1</t>
  </si>
  <si>
    <t>dim2</t>
  </si>
  <si>
    <t>This is a display of 1 iteration.</t>
  </si>
  <si>
    <t>X_1</t>
  </si>
  <si>
    <t>X_2</t>
  </si>
  <si>
    <t>X_3</t>
  </si>
  <si>
    <t>p_1</t>
  </si>
  <si>
    <t>p_2</t>
  </si>
  <si>
    <t>p_3</t>
  </si>
  <si>
    <t>p_4</t>
  </si>
  <si>
    <t>p_5</t>
  </si>
  <si>
    <t>p_6</t>
  </si>
  <si>
    <t>p_7</t>
  </si>
  <si>
    <t>p_8</t>
  </si>
  <si>
    <t>p_9</t>
  </si>
  <si>
    <t>Cluster</t>
  </si>
  <si>
    <t>Excel_Demo</t>
  </si>
  <si>
    <t>R_Demo</t>
  </si>
  <si>
    <t>Bernoulli Random Variable</t>
  </si>
  <si>
    <t>X ~ Bernoulli</t>
  </si>
  <si>
    <t>X</t>
  </si>
  <si>
    <t>P(X)</t>
  </si>
  <si>
    <t>p</t>
  </si>
  <si>
    <t>1-p</t>
  </si>
  <si>
    <t>E(X)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</si>
  <si>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X P(X)</t>
    </r>
  </si>
  <si>
    <t>V(X)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</si>
  <si>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(X-E(X))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P(X)</t>
    </r>
  </si>
  <si>
    <t>x</t>
  </si>
  <si>
    <t>xp3</t>
  </si>
  <si>
    <t>xp2</t>
  </si>
  <si>
    <t>xp1</t>
  </si>
  <si>
    <t>x_xp3</t>
  </si>
  <si>
    <t>x_xp2</t>
  </si>
  <si>
    <t>x_xp1</t>
  </si>
  <si>
    <t>x_xp6</t>
  </si>
  <si>
    <t>x_xp5</t>
  </si>
  <si>
    <t>x_xp4</t>
  </si>
  <si>
    <t>xp6</t>
  </si>
  <si>
    <t>xp5</t>
  </si>
  <si>
    <t>xp4</t>
  </si>
  <si>
    <t>xo2_xp2</t>
  </si>
  <si>
    <t>xo2_xp1</t>
  </si>
  <si>
    <t>Time</t>
  </si>
  <si>
    <t>Yield</t>
  </si>
  <si>
    <t>Label1</t>
  </si>
  <si>
    <t>Label2</t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</si>
  <si>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(2)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</si>
  <si>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</si>
  <si>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2</t>
    </r>
  </si>
  <si>
    <t>Label</t>
  </si>
  <si>
    <t>time</t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</si>
  <si>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</si>
  <si>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</si>
  <si>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</si>
  <si>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2</t>
    </r>
  </si>
  <si>
    <t>Coefficients</t>
  </si>
  <si>
    <t>Value</t>
  </si>
  <si>
    <t>line1</t>
  </si>
  <si>
    <r>
      <t>c</t>
    </r>
    <r>
      <rPr>
        <vertAlign val="subscript"/>
        <sz val="12"/>
        <color theme="1"/>
        <rFont val="Calibri (Body)"/>
      </rPr>
      <t>1</t>
    </r>
  </si>
  <si>
    <r>
      <t>d</t>
    </r>
    <r>
      <rPr>
        <vertAlign val="subscript"/>
        <sz val="12"/>
        <color theme="1"/>
        <rFont val="Calibri (Body)"/>
      </rPr>
      <t>1</t>
    </r>
  </si>
  <si>
    <t>=</t>
  </si>
  <si>
    <t>line2</t>
  </si>
  <si>
    <r>
      <t>c</t>
    </r>
    <r>
      <rPr>
        <vertAlign val="subscript"/>
        <sz val="12"/>
        <color theme="1"/>
        <rFont val="Calibri (Body)"/>
      </rPr>
      <t>2</t>
    </r>
  </si>
  <si>
    <r>
      <t>d</t>
    </r>
    <r>
      <rPr>
        <vertAlign val="subscript"/>
        <sz val="12"/>
        <color theme="1"/>
        <rFont val="Calibri (Body)"/>
      </rPr>
      <t>2</t>
    </r>
  </si>
  <si>
    <r>
      <t>y(t) =  at</t>
    </r>
    <r>
      <rPr>
        <vertAlign val="superscript"/>
        <sz val="20"/>
        <rFont val="Calibri (Body)"/>
      </rPr>
      <t>3</t>
    </r>
    <r>
      <rPr>
        <sz val="20"/>
        <rFont val="Calibri"/>
        <family val="2"/>
        <scheme val="minor"/>
      </rPr>
      <t xml:space="preserve"> + bt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ct + d</t>
    </r>
  </si>
  <si>
    <r>
      <t>y'(t) = 3at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+ 2bt + c + 1</t>
    </r>
    <r>
      <rPr>
        <sz val="12"/>
        <color theme="1"/>
        <rFont val="Calibri"/>
        <family val="2"/>
        <scheme val="minor"/>
      </rPr>
      <t/>
    </r>
  </si>
  <si>
    <t>y''(t) = 6at + 2b + 0 + 0</t>
  </si>
  <si>
    <t>label</t>
  </si>
  <si>
    <t>value</t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</si>
  <si>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</si>
  <si>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</si>
  <si>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</si>
  <si>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</si>
  <si>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</si>
  <si>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</si>
  <si>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</si>
  <si>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</si>
  <si>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</si>
  <si>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</si>
  <si>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</si>
  <si>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</si>
  <si>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</si>
  <si>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</si>
  <si>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</si>
  <si>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5</t>
    </r>
  </si>
  <si>
    <t>y(3)</t>
  </si>
  <si>
    <t>y'(3)</t>
  </si>
  <si>
    <t>y''(3)</t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</si>
  <si>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</si>
  <si>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</si>
  <si>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</si>
  <si>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</si>
  <si>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</si>
  <si>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</si>
  <si>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</si>
  <si>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</si>
  <si>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</si>
  <si>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</si>
  <si>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</si>
  <si>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3</t>
    </r>
  </si>
  <si>
    <r>
      <t>a</t>
    </r>
    <r>
      <rPr>
        <vertAlign val="subscript"/>
        <sz val="12"/>
        <color theme="1"/>
        <rFont val="Calibri (Body)"/>
      </rPr>
      <t>1</t>
    </r>
  </si>
  <si>
    <r>
      <t>b</t>
    </r>
    <r>
      <rPr>
        <vertAlign val="subscript"/>
        <sz val="12"/>
        <color theme="1"/>
        <rFont val="Calibri (Body)"/>
      </rPr>
      <t>1</t>
    </r>
  </si>
  <si>
    <t>y(4)</t>
  </si>
  <si>
    <r>
      <t>a</t>
    </r>
    <r>
      <rPr>
        <vertAlign val="subscript"/>
        <sz val="12"/>
        <color theme="1"/>
        <rFont val="Calibri (Body)"/>
      </rPr>
      <t>2</t>
    </r>
  </si>
  <si>
    <r>
      <t>b</t>
    </r>
    <r>
      <rPr>
        <vertAlign val="subscript"/>
        <sz val="12"/>
        <color theme="1"/>
        <rFont val="Calibri (Body)"/>
      </rPr>
      <t>2</t>
    </r>
  </si>
  <si>
    <t>y'(4)</t>
  </si>
  <si>
    <t>y''(4)</t>
  </si>
  <si>
    <t>y(2)</t>
  </si>
  <si>
    <r>
      <t>a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</si>
  <si>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y(5)</t>
  </si>
  <si>
    <r>
      <t>b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</si>
  <si>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y''(2)</t>
  </si>
  <si>
    <r>
      <t>c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</si>
  <si>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y''(5)</t>
  </si>
  <si>
    <r>
      <t>d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</si>
  <si>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 xml:space="preserve">   </t>
  </si>
  <si>
    <t>Index</t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</si>
  <si>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</si>
  <si>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</si>
  <si>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</si>
  <si>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</si>
  <si>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</si>
  <si>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</si>
  <si>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</si>
  <si>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</si>
  <si>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</si>
  <si>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</si>
  <si>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</si>
  <si>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</si>
  <si>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</si>
  <si>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</si>
  <si>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</si>
  <si>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</si>
  <si>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</si>
  <si>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</si>
  <si>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</si>
  <si>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</si>
  <si>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</si>
  <si>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</si>
  <si>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</si>
  <si>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</si>
  <si>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</si>
  <si>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</si>
  <si>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</si>
  <si>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</si>
  <si>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</si>
  <si>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</si>
  <si>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</si>
  <si>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8</t>
    </r>
  </si>
  <si>
    <t>Coeffs</t>
  </si>
  <si>
    <t>a_30</t>
  </si>
  <si>
    <t>b_30</t>
  </si>
  <si>
    <t>t</t>
  </si>
  <si>
    <t>Spline</t>
  </si>
  <si>
    <t>a_1</t>
  </si>
  <si>
    <t>b_1</t>
  </si>
  <si>
    <t>c_1</t>
  </si>
  <si>
    <t>d_1</t>
  </si>
  <si>
    <t>a_2</t>
  </si>
  <si>
    <t>b_2</t>
  </si>
  <si>
    <t>c_2</t>
  </si>
  <si>
    <t>d_2</t>
  </si>
  <si>
    <t>a_3</t>
  </si>
  <si>
    <t>b_3</t>
  </si>
  <si>
    <t>c_3</t>
  </si>
  <si>
    <t>d_3</t>
  </si>
  <si>
    <t>a_4</t>
  </si>
  <si>
    <t>b_4</t>
  </si>
  <si>
    <t>c_4</t>
  </si>
  <si>
    <t>d_4</t>
  </si>
  <si>
    <t>a_5</t>
  </si>
  <si>
    <t>b_5</t>
  </si>
  <si>
    <t>c_5</t>
  </si>
  <si>
    <t>d_5</t>
  </si>
  <si>
    <t>a_7</t>
  </si>
  <si>
    <t>b_7</t>
  </si>
  <si>
    <t>c_7</t>
  </si>
  <si>
    <t>d_7</t>
  </si>
  <si>
    <t>a_10</t>
  </si>
  <si>
    <t>b_10</t>
  </si>
  <si>
    <t>c_10</t>
  </si>
  <si>
    <t>d_10</t>
  </si>
  <si>
    <t>c_30</t>
  </si>
  <si>
    <t>d_30</t>
  </si>
  <si>
    <t>i_1</t>
  </si>
  <si>
    <t>sumsq</t>
  </si>
  <si>
    <t/>
  </si>
  <si>
    <t>f'</t>
  </si>
  <si>
    <t>f''</t>
  </si>
  <si>
    <t>Penalty</t>
  </si>
  <si>
    <t>lambda</t>
  </si>
  <si>
    <t>obj</t>
  </si>
  <si>
    <t>Data</t>
  </si>
  <si>
    <t>Fit_O3</t>
  </si>
  <si>
    <t>Fit_3Piece_O0</t>
  </si>
  <si>
    <t>Fit_3Piece_O1</t>
  </si>
  <si>
    <t>Fit_3Piece_O1_v2</t>
  </si>
  <si>
    <t>Fit_6Piece_O1</t>
  </si>
  <si>
    <t>Fit_2Piece_O2</t>
  </si>
  <si>
    <t>NoSpline1</t>
  </si>
  <si>
    <t>NoSpline2</t>
  </si>
  <si>
    <t>NoSpline3</t>
  </si>
  <si>
    <t>CubicSpline1</t>
  </si>
  <si>
    <t>CubicSpline2</t>
  </si>
  <si>
    <t>CubicSpline3</t>
  </si>
  <si>
    <t>CubicSpline_YC</t>
  </si>
  <si>
    <t>CubicSpline_YC_Optim</t>
  </si>
  <si>
    <t>CubicSpline_YC_Optim_Penalized</t>
  </si>
  <si>
    <t>Bernoulli</t>
  </si>
  <si>
    <t>Splines</t>
  </si>
  <si>
    <t>Piecewise Models</t>
  </si>
  <si>
    <t>Gini_Impurity</t>
  </si>
  <si>
    <t>Multinomial_LogisticRegression</t>
  </si>
  <si>
    <t>Silhouette</t>
  </si>
  <si>
    <t>sum</t>
  </si>
  <si>
    <t>mean</t>
  </si>
  <si>
    <t>2,1</t>
  </si>
  <si>
    <t>1,2</t>
  </si>
  <si>
    <t>2</t>
  </si>
  <si>
    <t>1</t>
  </si>
  <si>
    <t>Both</t>
  </si>
  <si>
    <t>Player2</t>
  </si>
  <si>
    <t>Player1</t>
  </si>
  <si>
    <t>Neither</t>
  </si>
  <si>
    <t>http://shapleyvalue.com/index.php</t>
  </si>
  <si>
    <t>123</t>
  </si>
  <si>
    <t>13</t>
  </si>
  <si>
    <t>12</t>
  </si>
  <si>
    <t>Contribution</t>
  </si>
  <si>
    <t>Coalition</t>
  </si>
  <si>
    <t>Weight</t>
  </si>
  <si>
    <t>Players123</t>
  </si>
  <si>
    <t>Players23</t>
  </si>
  <si>
    <t>Players13</t>
  </si>
  <si>
    <t>Players12</t>
  </si>
  <si>
    <t>Player3</t>
  </si>
  <si>
    <t>None</t>
  </si>
  <si>
    <t>f(1,2,3)</t>
  </si>
  <si>
    <t>f(2,3)</t>
  </si>
  <si>
    <t>E[y]</t>
  </si>
  <si>
    <t>f(1,3)</t>
  </si>
  <si>
    <t>f(1,2)</t>
  </si>
  <si>
    <t>f(3)</t>
  </si>
  <si>
    <t>f(2)</t>
  </si>
  <si>
    <t>f(1)</t>
  </si>
  <si>
    <t>a</t>
  </si>
  <si>
    <t>Additive_2Player</t>
  </si>
  <si>
    <t>Additive_2P_Cases</t>
  </si>
  <si>
    <t>Additive_2P_Expectation</t>
  </si>
  <si>
    <t>Website</t>
  </si>
  <si>
    <t>Additive_3Player</t>
  </si>
  <si>
    <t>https://en.wikipedia.org/wiki/Multinomial_logistic_regression</t>
  </si>
  <si>
    <t>https://en.wikipedia.org/wiki/Silhouette_(clustering)</t>
  </si>
  <si>
    <t>Gini Impurity</t>
  </si>
  <si>
    <t>Next class</t>
  </si>
  <si>
    <t>PCA</t>
  </si>
  <si>
    <t>GAMs</t>
  </si>
  <si>
    <t>Naïve Bayes: Text Data</t>
  </si>
  <si>
    <t>Diagnostics: Gini Impurity</t>
  </si>
  <si>
    <t>Logistic Regression: Multinomial Logistic Regression</t>
  </si>
  <si>
    <t>Cluster Analysis: Silhouette Plots</t>
  </si>
  <si>
    <t>Shapley: Game Theory</t>
  </si>
  <si>
    <t>With a dataset of your choice and using Excel, R, Python, or Matlab …</t>
  </si>
  <si>
    <t>Your answer should display the following in this tab.</t>
  </si>
  <si>
    <t>Code or Excel work</t>
  </si>
  <si>
    <t>Display of probabilities of categories.</t>
  </si>
  <si>
    <t>Enjoyment</t>
  </si>
  <si>
    <t>Genre</t>
  </si>
  <si>
    <t>Explosions</t>
  </si>
  <si>
    <t>LikedIt</t>
  </si>
  <si>
    <t>Action</t>
  </si>
  <si>
    <t>HasExplosions</t>
  </si>
  <si>
    <t>NoExplosions</t>
  </si>
  <si>
    <t>Romance</t>
  </si>
  <si>
    <t>DislikedIt</t>
  </si>
  <si>
    <t>isAction</t>
  </si>
  <si>
    <t>hasExplosions</t>
  </si>
  <si>
    <r>
      <t>P(c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</si>
  <si>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t>P(Liked)</t>
  </si>
  <si>
    <t>P(Disliked)</t>
  </si>
  <si>
    <t>P(ci|Liked)</t>
  </si>
  <si>
    <t>P(ci|Disliked)</t>
  </si>
  <si>
    <t>P(c|Liked)</t>
  </si>
  <si>
    <t>P(c|Disliked)</t>
  </si>
  <si>
    <t>P(c)</t>
  </si>
  <si>
    <t>train</t>
  </si>
  <si>
    <t>test</t>
  </si>
  <si>
    <t>fit_forecast</t>
  </si>
  <si>
    <t>Rcode</t>
  </si>
  <si>
    <t>Shapley: Model Interpretation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</si>
  <si>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</si>
  <si>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</si>
  <si>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</si>
  <si>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</si>
  <si>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</si>
  <si>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</si>
  <si>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</si>
  <si>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</si>
  <si>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</si>
  <si>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</si>
  <si>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r>
      <t>100 - 3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- 2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- 5</t>
    </r>
    <r>
      <rPr>
        <vertAlign val="superscript"/>
        <sz val="20"/>
        <color theme="1"/>
        <rFont val="Calibri (Body)"/>
      </rPr>
      <t>2</t>
    </r>
  </si>
  <si>
    <r>
      <t>100 - 1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* 10</t>
    </r>
  </si>
  <si>
    <r>
      <t>100 - 10</t>
    </r>
    <r>
      <rPr>
        <vertAlign val="superscript"/>
        <sz val="20"/>
        <color theme="1"/>
        <rFont val="Calibri (Body)"/>
      </rPr>
      <t>2</t>
    </r>
  </si>
  <si>
    <t>PAM</t>
  </si>
  <si>
    <t>Partitioning Around Mediods</t>
  </si>
  <si>
    <t>Benefits</t>
  </si>
  <si>
    <t>Costs</t>
  </si>
  <si>
    <t>More robust and possibly quicker to converge</t>
  </si>
  <si>
    <t>Memory Intensive</t>
  </si>
  <si>
    <t>https://en.wikipedia.org/wiki/K-medoids</t>
  </si>
  <si>
    <t>MultLogReg_RCode</t>
  </si>
  <si>
    <t>Multinomial Logistic Regression</t>
  </si>
  <si>
    <t>Silhouette Code</t>
  </si>
  <si>
    <t>Motivation</t>
  </si>
  <si>
    <t>Mechanics</t>
  </si>
  <si>
    <t>Constraints 2</t>
  </si>
  <si>
    <t>Constraints 1</t>
  </si>
  <si>
    <t>Cubic Splint 1</t>
  </si>
  <si>
    <t>Cubic Spline 2</t>
  </si>
  <si>
    <t>Silhouette 1</t>
  </si>
  <si>
    <t>Silhouette 2</t>
  </si>
  <si>
    <t>https://en.wikipedia.org/wiki/Ordered_logit</t>
  </si>
  <si>
    <t>type</t>
  </si>
  <si>
    <t>text</t>
  </si>
  <si>
    <t>Ham</t>
  </si>
  <si>
    <t>see this</t>
  </si>
  <si>
    <t>see here</t>
  </si>
  <si>
    <t>buy me a hat</t>
  </si>
  <si>
    <t>cat in the hat</t>
  </si>
  <si>
    <t>fat cat</t>
  </si>
  <si>
    <t>Spam</t>
  </si>
  <si>
    <t>buy this</t>
  </si>
  <si>
    <t>see this buy</t>
  </si>
  <si>
    <t>buy that</t>
  </si>
  <si>
    <t>sell your cat</t>
  </si>
  <si>
    <t>buy me a cat</t>
  </si>
  <si>
    <t>buy</t>
  </si>
  <si>
    <t>sell</t>
  </si>
  <si>
    <t>see</t>
  </si>
  <si>
    <t>ham</t>
  </si>
  <si>
    <t>buy a hat</t>
  </si>
  <si>
    <t>see the cat</t>
  </si>
  <si>
    <t>see the hat</t>
  </si>
  <si>
    <t>cat</t>
  </si>
  <si>
    <t>fat</t>
  </si>
  <si>
    <t>hat</t>
  </si>
  <si>
    <t>this</t>
  </si>
  <si>
    <t>here</t>
  </si>
  <si>
    <t>me</t>
  </si>
  <si>
    <t>in</t>
  </si>
  <si>
    <t>the</t>
  </si>
  <si>
    <t>that</t>
  </si>
  <si>
    <t>your</t>
  </si>
  <si>
    <t>P(Ham)</t>
  </si>
  <si>
    <t>P(Spam)</t>
  </si>
  <si>
    <r>
      <t>P(c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|Ham)</t>
    </r>
  </si>
  <si>
    <r>
      <t>P(c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|Spam)</t>
    </r>
  </si>
  <si>
    <t>P(c|Ham)</t>
  </si>
  <si>
    <t>P(c|Spam)</t>
  </si>
  <si>
    <r>
      <t>P(Ham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</si>
  <si>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r>
      <t>P(Spam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</si>
  <si>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t>Extra</t>
  </si>
  <si>
    <t>PCA_RCode</t>
  </si>
  <si>
    <t>Calculation</t>
  </si>
  <si>
    <t>Boxers4</t>
  </si>
  <si>
    <t>LimePaint</t>
  </si>
  <si>
    <t>GreenPaint2</t>
  </si>
  <si>
    <t>GreenPaint1</t>
  </si>
  <si>
    <t>Dimensions</t>
  </si>
  <si>
    <t>Boxers3</t>
  </si>
  <si>
    <t>Boxers2</t>
  </si>
  <si>
    <t>Boxers1</t>
  </si>
  <si>
    <t>Terminology</t>
  </si>
  <si>
    <t>ax + by + cz</t>
  </si>
  <si>
    <t>A linear combination of x, y, and z:</t>
  </si>
  <si>
    <t>Linear Combination</t>
  </si>
  <si>
    <t>Unhappy</t>
  </si>
  <si>
    <t>Mad</t>
  </si>
  <si>
    <t>Poor</t>
  </si>
  <si>
    <t>Reflexes</t>
  </si>
  <si>
    <t>Reach</t>
  </si>
  <si>
    <t>Tall</t>
  </si>
  <si>
    <t>Fast</t>
  </si>
  <si>
    <t>Strong</t>
  </si>
  <si>
    <t>Brutish</t>
  </si>
  <si>
    <t>10110001</t>
  </si>
  <si>
    <t>Aggressive</t>
  </si>
  <si>
    <t>01110111</t>
  </si>
  <si>
    <t>Athletic</t>
  </si>
  <si>
    <t>11111000</t>
  </si>
  <si>
    <t>Yellow</t>
  </si>
  <si>
    <t>Blue</t>
  </si>
  <si>
    <t>PC2</t>
  </si>
  <si>
    <t>PC1</t>
  </si>
  <si>
    <t>PC3</t>
  </si>
  <si>
    <t>White</t>
  </si>
  <si>
    <t xml:space="preserve">  </t>
  </si>
  <si>
    <t>Eigenvectors are the loadings.</t>
  </si>
  <si>
    <t>Eigenvalues are explained variance.</t>
  </si>
  <si>
    <t>Calculated eigenvalues of covariance matrix.</t>
  </si>
  <si>
    <t>Calculate the covariance matrix of the data.</t>
  </si>
  <si>
    <t>Scale and center your data if appropriate.</t>
  </si>
  <si>
    <t>https://www.youtube.com/watch?v=iib_imkZ5fk</t>
  </si>
  <si>
    <t>Youtube video about paint mixing.</t>
  </si>
  <si>
    <t>train_text</t>
  </si>
  <si>
    <t>test_text</t>
  </si>
  <si>
    <t>fit_forecast_text</t>
  </si>
  <si>
    <t>RCode_text</t>
  </si>
  <si>
    <t>HClust</t>
  </si>
  <si>
    <t>HClust_Rcode</t>
  </si>
  <si>
    <t>Ordinal_LogisticRegress</t>
  </si>
  <si>
    <t>OrdLogReg_RCode</t>
  </si>
  <si>
    <t>Flowers,Get_Well_Card,Soda</t>
  </si>
  <si>
    <t>Flowers,Stuffed_Animal,Balloons,Candy_Bar</t>
  </si>
  <si>
    <t>Flowers,Get_Well_Card,Candy_Bar</t>
  </si>
  <si>
    <t>Soda,Stuffed_Animal,Balloons</t>
  </si>
  <si>
    <t>Support</t>
  </si>
  <si>
    <t>Transaction</t>
  </si>
  <si>
    <t>Flowers</t>
  </si>
  <si>
    <t>Get_Well_Card</t>
  </si>
  <si>
    <t>Soda</t>
  </si>
  <si>
    <t>Stuffed_Animal</t>
  </si>
  <si>
    <t>Balloons</t>
  </si>
  <si>
    <t>Candy_Bar</t>
  </si>
  <si>
    <t>#1</t>
  </si>
  <si>
    <t>#2</t>
  </si>
  <si>
    <t>#3</t>
  </si>
  <si>
    <t>#4</t>
  </si>
  <si>
    <t>#5</t>
  </si>
  <si>
    <t>Count</t>
  </si>
  <si>
    <t>Confidence</t>
  </si>
  <si>
    <t>Lift</t>
  </si>
  <si>
    <t>TransactionID</t>
  </si>
  <si>
    <t>Item</t>
  </si>
  <si>
    <t>Transaction_101</t>
  </si>
  <si>
    <t>Transaction_102</t>
  </si>
  <si>
    <t>Transaction_103</t>
  </si>
  <si>
    <t>Transaction_104</t>
  </si>
  <si>
    <t>Transaction_105</t>
  </si>
  <si>
    <t>TransactionsData_v1</t>
  </si>
  <si>
    <t>TransactionsData_v2</t>
  </si>
  <si>
    <t>TransactionsData_v3</t>
  </si>
  <si>
    <t>BasketAnalysis</t>
  </si>
  <si>
    <t>AprioriAlgo_RCode1</t>
  </si>
  <si>
    <t>AprioriAlgo_RCode2</t>
  </si>
  <si>
    <t>Case</t>
  </si>
  <si>
    <t>Condition</t>
  </si>
  <si>
    <t>Alternative</t>
  </si>
  <si>
    <t>P{(Condition)</t>
  </si>
  <si>
    <t>P(Alternative)</t>
  </si>
  <si>
    <t>LogOdds</t>
  </si>
  <si>
    <t>Less than Level1</t>
  </si>
  <si>
    <t>&lt;= Level1</t>
  </si>
  <si>
    <t>&gt;Level1</t>
  </si>
  <si>
    <t>p1</t>
  </si>
  <si>
    <t>p2 + p3 + p4 + p5</t>
  </si>
  <si>
    <t>Less than Level2</t>
  </si>
  <si>
    <t>&lt;= Level2</t>
  </si>
  <si>
    <t>&gt;Level2</t>
  </si>
  <si>
    <t>p1 + p2</t>
  </si>
  <si>
    <t>p3 + p4 + p5</t>
  </si>
  <si>
    <t>Less than Level3</t>
  </si>
  <si>
    <t>&lt;= Level3</t>
  </si>
  <si>
    <t>&gt;Level3</t>
  </si>
  <si>
    <t>p1 + p2 + p3</t>
  </si>
  <si>
    <t>p4 + p5</t>
  </si>
  <si>
    <t>Less than Level4</t>
  </si>
  <si>
    <t>&lt;= Level4</t>
  </si>
  <si>
    <t>&gt;Level4</t>
  </si>
  <si>
    <t>p1 + p2 + p3 + p4</t>
  </si>
  <si>
    <t>p5</t>
  </si>
  <si>
    <t>P2</t>
  </si>
  <si>
    <t>P1</t>
  </si>
  <si>
    <t>P3</t>
  </si>
  <si>
    <t>P4</t>
  </si>
  <si>
    <t>p4</t>
  </si>
  <si>
    <t>p3</t>
  </si>
  <si>
    <t>p2</t>
  </si>
  <si>
    <t>P4-P3</t>
  </si>
  <si>
    <t>P2-P1</t>
  </si>
  <si>
    <t>P3-P2</t>
  </si>
  <si>
    <t xml:space="preserve"> 1 -P4</t>
  </si>
  <si>
    <t>Perform an ordinal logistic regression.</t>
  </si>
  <si>
    <t>With a data set of your choice with a categorical target …</t>
  </si>
  <si>
    <t>Perform a hierarchical cluster analysis.</t>
  </si>
  <si>
    <t>Download historical data of treasury yield curves.</t>
  </si>
  <si>
    <t>Calculated changes in yield by differencing the yields between perciods.</t>
  </si>
  <si>
    <t>Do not use percent returns.  Just different the yields.</t>
  </si>
  <si>
    <t>Perform a PCA analysis on the data set.</t>
  </si>
  <si>
    <t>Plot the first three loading vectors and interpret them.</t>
  </si>
  <si>
    <t>Ordinal Regression</t>
  </si>
  <si>
    <t>HCluster Analysis</t>
  </si>
  <si>
    <t>f(x1,E[x2],E[x3])</t>
  </si>
  <si>
    <t>f(E[x1],x2,E[x3])</t>
  </si>
  <si>
    <t>f(E[x1],E[x2],x3)</t>
  </si>
  <si>
    <t>f(x1,x2,E[x3])</t>
  </si>
  <si>
    <t>f(x1,E[x2],x3)</t>
  </si>
  <si>
    <t>f(E[x1],x2,x3)</t>
  </si>
  <si>
    <t>f(x1,x2,x3)</t>
  </si>
  <si>
    <t>f([x1],E[x2],E[x3])</t>
  </si>
  <si>
    <t>bhat</t>
  </si>
  <si>
    <t>E[x2]</t>
  </si>
  <si>
    <t>E[x3]</t>
  </si>
  <si>
    <t>E[x1]</t>
  </si>
  <si>
    <t>Theory2Models1</t>
  </si>
  <si>
    <t>Theory2Models2</t>
  </si>
  <si>
    <t>Theory2Models3</t>
  </si>
  <si>
    <t>Example1_Notation</t>
  </si>
  <si>
    <t>Example1_Indicator</t>
  </si>
  <si>
    <t>Example1_Values</t>
  </si>
  <si>
    <t>Additive_3Variable</t>
  </si>
  <si>
    <t>Additive_3Variable_Waterfall</t>
  </si>
  <si>
    <t>RCode_Shapley</t>
  </si>
  <si>
    <t>Optimization</t>
  </si>
  <si>
    <t>Take the derivative of the sigmoid function wrt z where z = Xb</t>
  </si>
  <si>
    <t>Insert a picture of your derivation.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</si>
</sst>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%"/>
    <numFmt numFmtId="165" formatCode="0.000000000000000000%"/>
    <numFmt numFmtId="166" formatCode="0.000"/>
    <numFmt numFmtId="167" formatCode="0.00000000000000%"/>
    <numFmt numFmtId="168" formatCode="0.0000"/>
    <numFmt numFmtId="169" formatCode="0.000000"/>
    <numFmt numFmtId="170" formatCode="0.0"/>
  </numFmts>
  <fonts count="35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theme="5"/>
      <name val="Calibri"/>
      <family val="2"/>
      <scheme val="minor"/>
    </font>
    <font>
      <vertAlign val="superscript"/>
      <sz val="20"/>
      <color theme="1"/>
      <name val="Calibri (Body)"/>
    </font>
    <font>
      <b/>
      <sz val="12"/>
      <color theme="1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sz val="14"/>
      <color theme="1"/>
      <name val="Calibri"/>
      <family val="2"/>
      <scheme val="minor"/>
    </font>
    <font>
      <vertAlign val="subscript"/>
      <sz val="12"/>
      <color theme="1"/>
      <name val="Calibri (Body)"/>
    </font>
    <font>
      <sz val="12"/>
      <color theme="0" tint="-0.249977111117893"/>
      <name val="Calibri"/>
      <family val="2"/>
      <scheme val="minor"/>
    </font>
    <font>
      <vertAlign val="superscript"/>
      <sz val="12"/>
      <color theme="1"/>
      <name val="Calibri (Body)"/>
    </font>
    <font>
      <sz val="12"/>
      <name val="Calibri"/>
      <family val="2"/>
      <scheme val="minor"/>
    </font>
    <font>
      <sz val="20"/>
      <name val="Calibri"/>
      <family val="2"/>
      <scheme val="minor"/>
    </font>
    <font>
      <vertAlign val="superscript"/>
      <sz val="20"/>
      <name val="Calibri (Body)"/>
    </font>
    <font>
      <b/>
      <sz val="12"/>
      <name val="Calibri"/>
      <family val="2"/>
      <scheme val="minor"/>
    </font>
    <font>
      <b/>
      <vertAlign val="superscript"/>
      <sz val="12"/>
      <color theme="1"/>
      <name val="Calibri (Body)"/>
    </font>
    <font>
      <b/>
      <vertAlign val="subscript"/>
      <sz val="12"/>
      <color theme="1"/>
      <name val="Calibri (Body)"/>
    </font>
    <font>
      <sz val="8"/>
      <color theme="1"/>
      <name val="Calibri"/>
      <family val="2"/>
      <scheme val="minor"/>
    </font>
    <font>
      <vertAlign val="superscript"/>
      <sz val="8"/>
      <color theme="1"/>
      <name val="Calibri (Body)"/>
    </font>
    <font>
      <vertAlign val="subscript"/>
      <sz val="8"/>
      <color theme="1"/>
      <name val="Calibri (Body)"/>
    </font>
    <font>
      <vertAlign val="subscript"/>
      <sz val="20"/>
      <color theme="1"/>
      <name val="Calibri (Body)"/>
    </font>
    <font>
      <sz val="7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2"/>
      <color rgb="FFFFFFFF"/>
      <name val="Arial"/>
      <family val="2"/>
    </font>
    <font>
      <sz val="12"/>
      <color rgb="FF000000"/>
      <name val="Arial"/>
      <family val="2"/>
    </font>
    <font>
      <sz val="20"/>
      <color theme="0" tint="-0.24997711111789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B4D07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089DA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171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1" fillId="2" borderId="0" xfId="2" applyFont="1" applyFill="1"/>
    <xf numFmtId="0" fontId="8" fillId="2" borderId="0" xfId="3" applyFont="1" applyFill="1"/>
    <xf numFmtId="0" fontId="5" fillId="0" borderId="0" xfId="4"/>
    <xf numFmtId="0" fontId="1" fillId="2" borderId="0" xfId="4" applyFont="1" applyFill="1" applyAlignment="1">
      <alignment horizontal="right"/>
    </xf>
    <xf numFmtId="0" fontId="1" fillId="2" borderId="0" xfId="4" applyFont="1" applyFill="1"/>
    <xf numFmtId="0" fontId="1" fillId="3" borderId="0" xfId="4" applyFont="1" applyFill="1"/>
    <xf numFmtId="0" fontId="9" fillId="2" borderId="0" xfId="0" applyFont="1" applyFill="1"/>
    <xf numFmtId="0" fontId="8" fillId="2" borderId="0" xfId="1" applyFont="1" applyFill="1"/>
    <xf numFmtId="0" fontId="1" fillId="2" borderId="0" xfId="0" applyFont="1" applyFill="1" applyAlignment="1">
      <alignment horizontal="right"/>
    </xf>
    <xf numFmtId="0" fontId="9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0" fillId="2" borderId="0" xfId="0" applyFill="1"/>
    <xf numFmtId="0" fontId="1" fillId="4" borderId="0" xfId="0" applyFont="1" applyFill="1" applyAlignment="1">
      <alignment horizontal="center"/>
    </xf>
    <xf numFmtId="0" fontId="15" fillId="2" borderId="0" xfId="0" applyFont="1" applyFill="1"/>
    <xf numFmtId="0" fontId="16" fillId="2" borderId="0" xfId="0" applyFont="1" applyFill="1"/>
    <xf numFmtId="0" fontId="16" fillId="2" borderId="0" xfId="0" applyFont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0" fontId="18" fillId="5" borderId="0" xfId="0" applyFont="1" applyFill="1"/>
    <xf numFmtId="0" fontId="20" fillId="5" borderId="0" xfId="0" applyFont="1" applyFill="1" applyAlignment="1">
      <alignment horizontal="right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 applyAlignment="1">
      <alignment horizontal="right"/>
    </xf>
    <xf numFmtId="0" fontId="0" fillId="5" borderId="8" xfId="0" applyFill="1" applyBorder="1"/>
    <xf numFmtId="0" fontId="0" fillId="5" borderId="9" xfId="0" applyFill="1" applyBorder="1"/>
    <xf numFmtId="0" fontId="0" fillId="5" borderId="1" xfId="0" applyFill="1" applyBorder="1"/>
    <xf numFmtId="0" fontId="0" fillId="5" borderId="10" xfId="0" applyFill="1" applyBorder="1"/>
    <xf numFmtId="0" fontId="0" fillId="5" borderId="11" xfId="0" applyFill="1" applyBorder="1" applyAlignment="1">
      <alignment horizontal="right"/>
    </xf>
    <xf numFmtId="0" fontId="0" fillId="5" borderId="11" xfId="0" applyFill="1" applyBorder="1"/>
    <xf numFmtId="0" fontId="20" fillId="2" borderId="0" xfId="0" applyFont="1" applyFill="1" applyAlignment="1">
      <alignment horizontal="right"/>
    </xf>
    <xf numFmtId="0" fontId="0" fillId="2" borderId="6" xfId="0" applyFill="1" applyBorder="1"/>
    <xf numFmtId="0" fontId="0" fillId="2" borderId="7" xfId="0" applyFill="1" applyBorder="1"/>
    <xf numFmtId="0" fontId="21" fillId="5" borderId="0" xfId="0" applyFont="1" applyFill="1"/>
    <xf numFmtId="0" fontId="20" fillId="5" borderId="0" xfId="0" applyFont="1" applyFill="1"/>
    <xf numFmtId="0" fontId="20" fillId="5" borderId="2" xfId="0" applyFont="1" applyFill="1" applyBorder="1"/>
    <xf numFmtId="0" fontId="20" fillId="5" borderId="3" xfId="0" applyFont="1" applyFill="1" applyBorder="1"/>
    <xf numFmtId="0" fontId="20" fillId="5" borderId="4" xfId="0" applyFont="1" applyFill="1" applyBorder="1"/>
    <xf numFmtId="0" fontId="20" fillId="5" borderId="6" xfId="0" applyFont="1" applyFill="1" applyBorder="1"/>
    <xf numFmtId="0" fontId="20" fillId="5" borderId="7" xfId="0" applyFont="1" applyFill="1" applyBorder="1"/>
    <xf numFmtId="0" fontId="20" fillId="5" borderId="9" xfId="0" applyFont="1" applyFill="1" applyBorder="1"/>
    <xf numFmtId="0" fontId="20" fillId="5" borderId="1" xfId="0" applyFont="1" applyFill="1" applyBorder="1"/>
    <xf numFmtId="0" fontId="20" fillId="5" borderId="10" xfId="0" applyFont="1" applyFill="1" applyBorder="1"/>
    <xf numFmtId="0" fontId="23" fillId="5" borderId="0" xfId="0" applyFont="1" applyFill="1" applyAlignment="1">
      <alignment horizontal="right"/>
    </xf>
    <xf numFmtId="0" fontId="13" fillId="5" borderId="0" xfId="0" applyFont="1" applyFill="1" applyAlignment="1">
      <alignment horizontal="right"/>
    </xf>
    <xf numFmtId="0" fontId="23" fillId="5" borderId="0" xfId="0" applyFont="1" applyFill="1"/>
    <xf numFmtId="0" fontId="20" fillId="5" borderId="12" xfId="0" applyFont="1" applyFill="1" applyBorder="1"/>
    <xf numFmtId="0" fontId="20" fillId="5" borderId="13" xfId="0" applyFont="1" applyFill="1" applyBorder="1"/>
    <xf numFmtId="0" fontId="20" fillId="5" borderId="14" xfId="0" applyFont="1" applyFill="1" applyBorder="1"/>
    <xf numFmtId="0" fontId="20" fillId="5" borderId="0" xfId="5" applyNumberFormat="1" applyFont="1" applyFill="1"/>
    <xf numFmtId="164" fontId="20" fillId="5" borderId="0" xfId="5" applyNumberFormat="1" applyFont="1" applyFill="1"/>
    <xf numFmtId="165" fontId="20" fillId="5" borderId="0" xfId="0" applyNumberFormat="1" applyFont="1" applyFill="1"/>
    <xf numFmtId="0" fontId="26" fillId="5" borderId="0" xfId="0" applyFont="1" applyFill="1" applyAlignment="1">
      <alignment horizontal="right"/>
    </xf>
    <xf numFmtId="0" fontId="7" fillId="5" borderId="0" xfId="0" applyFont="1" applyFill="1" applyAlignment="1">
      <alignment horizontal="center"/>
    </xf>
    <xf numFmtId="0" fontId="7" fillId="5" borderId="2" xfId="0" applyFont="1" applyFill="1" applyBorder="1"/>
    <xf numFmtId="0" fontId="7" fillId="5" borderId="3" xfId="0" applyFont="1" applyFill="1" applyBorder="1"/>
    <xf numFmtId="0" fontId="7" fillId="5" borderId="4" xfId="0" applyFont="1" applyFill="1" applyBorder="1"/>
    <xf numFmtId="0" fontId="26" fillId="5" borderId="3" xfId="0" applyFont="1" applyFill="1" applyBorder="1" applyAlignment="1">
      <alignment horizontal="right"/>
    </xf>
    <xf numFmtId="166" fontId="20" fillId="5" borderId="0" xfId="0" applyNumberFormat="1" applyFont="1" applyFill="1"/>
    <xf numFmtId="0" fontId="7" fillId="5" borderId="6" xfId="0" applyFont="1" applyFill="1" applyBorder="1"/>
    <xf numFmtId="0" fontId="7" fillId="5" borderId="0" xfId="0" applyFont="1" applyFill="1"/>
    <xf numFmtId="0" fontId="7" fillId="5" borderId="7" xfId="0" applyFont="1" applyFill="1" applyBorder="1"/>
    <xf numFmtId="0" fontId="7" fillId="5" borderId="9" xfId="0" applyFont="1" applyFill="1" applyBorder="1"/>
    <xf numFmtId="0" fontId="7" fillId="5" borderId="1" xfId="0" applyFont="1" applyFill="1" applyBorder="1"/>
    <xf numFmtId="0" fontId="7" fillId="5" borderId="10" xfId="0" applyFont="1" applyFill="1" applyBorder="1"/>
    <xf numFmtId="0" fontId="7" fillId="5" borderId="6" xfId="0" applyFont="1" applyFill="1" applyBorder="1" applyAlignment="1">
      <alignment horizontal="right"/>
    </xf>
    <xf numFmtId="0" fontId="7" fillId="5" borderId="0" xfId="0" applyFont="1" applyFill="1" applyAlignment="1">
      <alignment horizontal="right"/>
    </xf>
    <xf numFmtId="9" fontId="7" fillId="5" borderId="0" xfId="5" applyFont="1" applyFill="1" applyBorder="1"/>
    <xf numFmtId="0" fontId="7" fillId="5" borderId="7" xfId="0" applyFont="1" applyFill="1" applyBorder="1" applyAlignment="1">
      <alignment horizontal="right"/>
    </xf>
    <xf numFmtId="0" fontId="7" fillId="5" borderId="12" xfId="0" applyFont="1" applyFill="1" applyBorder="1"/>
    <xf numFmtId="0" fontId="7" fillId="5" borderId="13" xfId="0" applyFont="1" applyFill="1" applyBorder="1"/>
    <xf numFmtId="0" fontId="7" fillId="5" borderId="14" xfId="0" applyFont="1" applyFill="1" applyBorder="1"/>
    <xf numFmtId="9" fontId="7" fillId="5" borderId="1" xfId="5" applyFont="1" applyFill="1" applyBorder="1"/>
    <xf numFmtId="9" fontId="20" fillId="5" borderId="0" xfId="5" applyFont="1" applyFill="1"/>
    <xf numFmtId="10" fontId="20" fillId="5" borderId="0" xfId="5" applyNumberFormat="1" applyFont="1" applyFill="1"/>
    <xf numFmtId="167" fontId="20" fillId="5" borderId="0" xfId="0" applyNumberFormat="1" applyFont="1" applyFill="1"/>
    <xf numFmtId="0" fontId="26" fillId="5" borderId="0" xfId="0" applyFont="1" applyFill="1" applyAlignment="1">
      <alignment horizontal="center"/>
    </xf>
    <xf numFmtId="164" fontId="7" fillId="5" borderId="0" xfId="0" applyNumberFormat="1" applyFont="1" applyFill="1"/>
    <xf numFmtId="10" fontId="20" fillId="5" borderId="0" xfId="0" applyNumberFormat="1" applyFont="1" applyFill="1"/>
    <xf numFmtId="10" fontId="7" fillId="5" borderId="0" xfId="0" applyNumberFormat="1" applyFont="1" applyFill="1"/>
    <xf numFmtId="10" fontId="7" fillId="5" borderId="0" xfId="5" applyNumberFormat="1" applyFont="1" applyFill="1"/>
    <xf numFmtId="164" fontId="7" fillId="5" borderId="0" xfId="5" applyNumberFormat="1" applyFont="1" applyFill="1"/>
    <xf numFmtId="2" fontId="7" fillId="5" borderId="0" xfId="0" applyNumberFormat="1" applyFont="1" applyFill="1"/>
    <xf numFmtId="164" fontId="7" fillId="5" borderId="0" xfId="0" applyNumberFormat="1" applyFont="1" applyFill="1" applyAlignment="1">
      <alignment shrinkToFit="1"/>
    </xf>
    <xf numFmtId="0" fontId="1" fillId="4" borderId="0" xfId="0" applyFont="1" applyFill="1"/>
    <xf numFmtId="49" fontId="1" fillId="2" borderId="0" xfId="0" applyNumberFormat="1" applyFont="1" applyFill="1"/>
    <xf numFmtId="0" fontId="1" fillId="3" borderId="0" xfId="0" applyFont="1" applyFill="1"/>
    <xf numFmtId="49" fontId="1" fillId="4" borderId="0" xfId="0" applyNumberFormat="1" applyFont="1" applyFill="1"/>
    <xf numFmtId="0" fontId="0" fillId="2" borderId="0" xfId="0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6" borderId="0" xfId="0" applyFont="1" applyFill="1"/>
    <xf numFmtId="0" fontId="1" fillId="7" borderId="0" xfId="0" applyFont="1" applyFill="1"/>
    <xf numFmtId="0" fontId="1" fillId="7" borderId="2" xfId="0" applyFont="1" applyFill="1" applyBorder="1"/>
    <xf numFmtId="0" fontId="1" fillId="7" borderId="3" xfId="0" applyFont="1" applyFill="1" applyBorder="1"/>
    <xf numFmtId="0" fontId="1" fillId="7" borderId="4" xfId="0" applyFont="1" applyFill="1" applyBorder="1"/>
    <xf numFmtId="0" fontId="1" fillId="7" borderId="6" xfId="0" applyFont="1" applyFill="1" applyBorder="1"/>
    <xf numFmtId="0" fontId="1" fillId="7" borderId="7" xfId="0" applyFont="1" applyFill="1" applyBorder="1"/>
    <xf numFmtId="0" fontId="1" fillId="7" borderId="9" xfId="0" applyFont="1" applyFill="1" applyBorder="1"/>
    <xf numFmtId="0" fontId="1" fillId="7" borderId="1" xfId="0" applyFont="1" applyFill="1" applyBorder="1"/>
    <xf numFmtId="0" fontId="1" fillId="7" borderId="10" xfId="0" applyFont="1" applyFill="1" applyBorder="1"/>
    <xf numFmtId="2" fontId="1" fillId="2" borderId="0" xfId="0" applyNumberFormat="1" applyFont="1" applyFill="1"/>
    <xf numFmtId="0" fontId="1" fillId="8" borderId="0" xfId="0" applyFont="1" applyFill="1"/>
    <xf numFmtId="0" fontId="1" fillId="9" borderId="0" xfId="0" applyFont="1" applyFill="1"/>
    <xf numFmtId="0" fontId="1" fillId="9" borderId="2" xfId="0" applyFont="1" applyFill="1" applyBorder="1"/>
    <xf numFmtId="0" fontId="1" fillId="9" borderId="3" xfId="0" applyFont="1" applyFill="1" applyBorder="1"/>
    <xf numFmtId="0" fontId="1" fillId="9" borderId="4" xfId="0" applyFont="1" applyFill="1" applyBorder="1"/>
    <xf numFmtId="2" fontId="1" fillId="2" borderId="0" xfId="0" applyNumberFormat="1" applyFont="1" applyFill="1" applyAlignment="1">
      <alignment horizontal="center"/>
    </xf>
    <xf numFmtId="168" fontId="1" fillId="2" borderId="0" xfId="0" applyNumberFormat="1" applyFont="1" applyFill="1" applyAlignment="1">
      <alignment horizontal="center"/>
    </xf>
    <xf numFmtId="0" fontId="1" fillId="9" borderId="6" xfId="0" applyFont="1" applyFill="1" applyBorder="1"/>
    <xf numFmtId="0" fontId="1" fillId="9" borderId="7" xfId="0" applyFont="1" applyFill="1" applyBorder="1"/>
    <xf numFmtId="0" fontId="1" fillId="9" borderId="9" xfId="0" applyFont="1" applyFill="1" applyBorder="1"/>
    <xf numFmtId="0" fontId="1" fillId="9" borderId="1" xfId="0" applyFont="1" applyFill="1" applyBorder="1"/>
    <xf numFmtId="0" fontId="1" fillId="9" borderId="10" xfId="0" applyFont="1" applyFill="1" applyBorder="1"/>
    <xf numFmtId="0" fontId="1" fillId="10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30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6" borderId="0" xfId="0" applyFont="1" applyFill="1" applyBorder="1"/>
    <xf numFmtId="0" fontId="1" fillId="7" borderId="0" xfId="0" applyFont="1" applyFill="1" applyBorder="1"/>
    <xf numFmtId="0" fontId="1" fillId="2" borderId="0" xfId="0" applyFont="1" applyFill="1" applyBorder="1"/>
    <xf numFmtId="0" fontId="1" fillId="9" borderId="0" xfId="0" applyFont="1" applyFill="1" applyBorder="1"/>
    <xf numFmtId="0" fontId="3" fillId="2" borderId="0" xfId="1" applyFill="1" applyAlignment="1">
      <alignment horizontal="left"/>
    </xf>
    <xf numFmtId="0" fontId="3" fillId="5" borderId="0" xfId="1" applyFill="1"/>
    <xf numFmtId="0" fontId="1" fillId="2" borderId="0" xfId="0" applyFont="1" applyFill="1" applyAlignment="1">
      <alignment horizontal="center"/>
    </xf>
    <xf numFmtId="169" fontId="1" fillId="2" borderId="0" xfId="0" applyNumberFormat="1" applyFont="1" applyFill="1" applyAlignment="1">
      <alignment horizontal="center"/>
    </xf>
    <xf numFmtId="0" fontId="31" fillId="2" borderId="0" xfId="0" applyFont="1" applyFill="1"/>
    <xf numFmtId="170" fontId="1" fillId="2" borderId="0" xfId="0" applyNumberFormat="1" applyFont="1" applyFill="1" applyAlignment="1">
      <alignment horizontal="center"/>
    </xf>
    <xf numFmtId="0" fontId="0" fillId="2" borderId="11" xfId="0" applyFill="1" applyBorder="1"/>
    <xf numFmtId="0" fontId="0" fillId="6" borderId="0" xfId="0" applyFill="1"/>
    <xf numFmtId="0" fontId="0" fillId="3" borderId="0" xfId="0" applyFill="1"/>
    <xf numFmtId="0" fontId="0" fillId="7" borderId="0" xfId="0" applyFill="1"/>
    <xf numFmtId="0" fontId="0" fillId="2" borderId="8" xfId="0" applyFill="1" applyBorder="1"/>
    <xf numFmtId="0" fontId="0" fillId="2" borderId="5" xfId="0" applyFill="1" applyBorder="1"/>
    <xf numFmtId="0" fontId="0" fillId="2" borderId="10" xfId="0" applyFill="1" applyBorder="1"/>
    <xf numFmtId="0" fontId="0" fillId="2" borderId="9" xfId="0" applyFill="1" applyBorder="1"/>
    <xf numFmtId="0" fontId="0" fillId="11" borderId="0" xfId="0" applyFill="1"/>
    <xf numFmtId="0" fontId="0" fillId="12" borderId="0" xfId="0" applyFill="1"/>
    <xf numFmtId="0" fontId="0" fillId="2" borderId="4" xfId="0" applyFill="1" applyBorder="1"/>
    <xf numFmtId="0" fontId="0" fillId="2" borderId="2" xfId="0" applyFill="1" applyBorder="1"/>
    <xf numFmtId="170" fontId="1" fillId="2" borderId="0" xfId="0" applyNumberFormat="1" applyFont="1" applyFill="1" applyAlignment="1">
      <alignment horizontal="left"/>
    </xf>
    <xf numFmtId="0" fontId="1" fillId="5" borderId="0" xfId="0" applyFont="1" applyFill="1"/>
    <xf numFmtId="0" fontId="32" fillId="13" borderId="15" xfId="0" applyFont="1" applyFill="1" applyBorder="1" applyAlignment="1">
      <alignment horizontal="center" vertical="center" wrapText="1" readingOrder="1"/>
    </xf>
    <xf numFmtId="0" fontId="33" fillId="0" borderId="15" xfId="0" applyFont="1" applyBorder="1" applyAlignment="1">
      <alignment horizontal="center" vertical="center" wrapText="1" readingOrder="1"/>
    </xf>
    <xf numFmtId="0" fontId="1" fillId="5" borderId="0" xfId="0" applyFont="1" applyFill="1" applyAlignment="1">
      <alignment horizontal="center"/>
    </xf>
    <xf numFmtId="2" fontId="1" fillId="5" borderId="0" xfId="0" applyNumberFormat="1" applyFont="1" applyFill="1"/>
    <xf numFmtId="0" fontId="2" fillId="2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0" xfId="0" quotePrefix="1" applyFont="1" applyFill="1" applyAlignment="1">
      <alignment horizontal="center"/>
    </xf>
    <xf numFmtId="0" fontId="2" fillId="4" borderId="0" xfId="0" applyFont="1" applyFill="1" applyAlignment="1">
      <alignment horizontal="left"/>
    </xf>
    <xf numFmtId="0" fontId="2" fillId="4" borderId="0" xfId="0" applyFont="1" applyFill="1"/>
    <xf numFmtId="0" fontId="2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0" fontId="34" fillId="2" borderId="2" xfId="0" applyFont="1" applyFill="1" applyBorder="1" applyAlignment="1">
      <alignment horizontal="right"/>
    </xf>
    <xf numFmtId="0" fontId="34" fillId="2" borderId="3" xfId="0" applyFont="1" applyFill="1" applyBorder="1" applyAlignment="1">
      <alignment horizontal="right"/>
    </xf>
    <xf numFmtId="0" fontId="34" fillId="2" borderId="4" xfId="0" applyFont="1" applyFill="1" applyBorder="1" applyAlignment="1">
      <alignment horizontal="right"/>
    </xf>
    <xf numFmtId="2" fontId="34" fillId="2" borderId="9" xfId="0" applyNumberFormat="1" applyFont="1" applyFill="1" applyBorder="1"/>
    <xf numFmtId="2" fontId="34" fillId="2" borderId="1" xfId="0" applyNumberFormat="1" applyFont="1" applyFill="1" applyBorder="1"/>
    <xf numFmtId="2" fontId="34" fillId="2" borderId="10" xfId="0" applyNumberFormat="1" applyFont="1" applyFill="1" applyBorder="1"/>
    <xf numFmtId="0" fontId="1" fillId="2" borderId="0" xfId="0" applyFont="1" applyFill="1" applyAlignment="1">
      <alignment horizontal="center"/>
    </xf>
  </cellXfs>
  <cellStyles count="6"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calcChain" Target="calcChain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externalLink" Target="externalLinks/externalLink21.xml"/><Relationship Id="rId16" Type="http://schemas.openxmlformats.org/officeDocument/2006/relationships/worksheet" Target="worksheets/sheet16.xml"/><Relationship Id="rId107" Type="http://schemas.openxmlformats.org/officeDocument/2006/relationships/externalLink" Target="externalLinks/externalLink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externalLink" Target="externalLinks/externalLink11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externalLink" Target="externalLinks/externalLink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theme" Target="theme/theme1.xml"/><Relationship Id="rId118" Type="http://schemas.microsoft.com/office/2006/relationships/vbaProject" Target="vbaProject.bin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externalLink" Target="externalLinks/externalLink12.xml"/><Relationship Id="rId108" Type="http://schemas.openxmlformats.org/officeDocument/2006/relationships/externalLink" Target="externalLinks/externalLink17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externalLink" Target="externalLinks/externalLink3.xml"/><Relationship Id="rId99" Type="http://schemas.openxmlformats.org/officeDocument/2006/relationships/externalLink" Target="externalLinks/externalLink8.xml"/><Relationship Id="rId101" Type="http://schemas.openxmlformats.org/officeDocument/2006/relationships/externalLink" Target="externalLinks/externalLink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externalLink" Target="externalLinks/externalLink18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externalLink" Target="externalLinks/externalLink6.xml"/><Relationship Id="rId104" Type="http://schemas.openxmlformats.org/officeDocument/2006/relationships/externalLink" Target="externalLinks/externalLink13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externalLink" Target="externalLinks/externalLink19.xml"/><Relationship Id="rId115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externalLink" Target="externalLinks/externalLink9.xml"/><Relationship Id="rId105" Type="http://schemas.openxmlformats.org/officeDocument/2006/relationships/externalLink" Target="externalLinks/externalLink14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externalLink" Target="externalLinks/externalLink2.xml"/><Relationship Id="rId98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externalLink" Target="externalLinks/externalLink2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externalLink" Target="externalLinks/externalLink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3.8062921764388347</c:v>
                </c:pt>
                <c:pt idx="1">
                  <c:v>3.5623612864424397</c:v>
                </c:pt>
                <c:pt idx="2">
                  <c:v>3.0368228697036899</c:v>
                </c:pt>
                <c:pt idx="3">
                  <c:v>3.630033024298235</c:v>
                </c:pt>
                <c:pt idx="4">
                  <c:v>3.3674310474985303</c:v>
                </c:pt>
                <c:pt idx="5">
                  <c:v>4.2078054466770727</c:v>
                </c:pt>
                <c:pt idx="6">
                  <c:v>4.5669548768088459</c:v>
                </c:pt>
                <c:pt idx="7">
                  <c:v>3.3970205120813906</c:v>
                </c:pt>
                <c:pt idx="8">
                  <c:v>3.8758461830787381</c:v>
                </c:pt>
                <c:pt idx="9">
                  <c:v>4.3778884465064083</c:v>
                </c:pt>
                <c:pt idx="10">
                  <c:v>1.9964548291303827</c:v>
                </c:pt>
                <c:pt idx="11">
                  <c:v>1.896462329876812</c:v>
                </c:pt>
                <c:pt idx="12">
                  <c:v>2.1172672699847235</c:v>
                </c:pt>
                <c:pt idx="13">
                  <c:v>1.9951945419989634</c:v>
                </c:pt>
                <c:pt idx="14">
                  <c:v>2.0411784263857209</c:v>
                </c:pt>
                <c:pt idx="15">
                  <c:v>1.9786665401823884</c:v>
                </c:pt>
                <c:pt idx="16">
                  <c:v>2.1865426220419031</c:v>
                </c:pt>
                <c:pt idx="17">
                  <c:v>1.8037987546629604</c:v>
                </c:pt>
                <c:pt idx="18">
                  <c:v>1.8612376974297598</c:v>
                </c:pt>
                <c:pt idx="19">
                  <c:v>1.7796615380380907</c:v>
                </c:pt>
                <c:pt idx="20">
                  <c:v>2.0054139363851857</c:v>
                </c:pt>
                <c:pt idx="21">
                  <c:v>2.2383061754859352</c:v>
                </c:pt>
                <c:pt idx="22">
                  <c:v>2.1213690995851793</c:v>
                </c:pt>
                <c:pt idx="23">
                  <c:v>2.1243661004879937</c:v>
                </c:pt>
                <c:pt idx="24">
                  <c:v>1.731546471260937</c:v>
                </c:pt>
                <c:pt idx="25">
                  <c:v>1.9578903710571436</c:v>
                </c:pt>
                <c:pt idx="26">
                  <c:v>1.9434903282723945</c:v>
                </c:pt>
                <c:pt idx="27">
                  <c:v>1.4993834944127062</c:v>
                </c:pt>
                <c:pt idx="28">
                  <c:v>1.7752037739018913</c:v>
                </c:pt>
                <c:pt idx="29">
                  <c:v>1.4508357054109298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5.8973872518931394</c:v>
                </c:pt>
                <c:pt idx="1">
                  <c:v>5.7593904367177275</c:v>
                </c:pt>
                <c:pt idx="2">
                  <c:v>5.7433704747039718</c:v>
                </c:pt>
                <c:pt idx="3">
                  <c:v>6.1955581561790147</c:v>
                </c:pt>
                <c:pt idx="4">
                  <c:v>5.8998336204721804</c:v>
                </c:pt>
                <c:pt idx="5">
                  <c:v>6.1595287189581303</c:v>
                </c:pt>
                <c:pt idx="6">
                  <c:v>6.1959916177579313</c:v>
                </c:pt>
                <c:pt idx="7">
                  <c:v>6.0060586611690026</c:v>
                </c:pt>
                <c:pt idx="8">
                  <c:v>5.3508435619920798</c:v>
                </c:pt>
                <c:pt idx="9">
                  <c:v>5.3822747873646506</c:v>
                </c:pt>
                <c:pt idx="10">
                  <c:v>2.0257417984562234</c:v>
                </c:pt>
                <c:pt idx="11">
                  <c:v>2.6247158965838571</c:v>
                </c:pt>
                <c:pt idx="12">
                  <c:v>1.7268499065438538</c:v>
                </c:pt>
                <c:pt idx="13">
                  <c:v>2.1770535971024159</c:v>
                </c:pt>
                <c:pt idx="14">
                  <c:v>1.3791496942878056</c:v>
                </c:pt>
                <c:pt idx="15">
                  <c:v>1.8052345397614729</c:v>
                </c:pt>
                <c:pt idx="16">
                  <c:v>1.8388118478616555</c:v>
                </c:pt>
                <c:pt idx="17">
                  <c:v>1.8785362480150583</c:v>
                </c:pt>
                <c:pt idx="18">
                  <c:v>2.1613016257964022</c:v>
                </c:pt>
                <c:pt idx="19">
                  <c:v>1.73476275970081</c:v>
                </c:pt>
                <c:pt idx="20">
                  <c:v>7.4826232360310172</c:v>
                </c:pt>
                <c:pt idx="21">
                  <c:v>6.5608681553067578</c:v>
                </c:pt>
                <c:pt idx="22">
                  <c:v>8.4199727364618866</c:v>
                </c:pt>
                <c:pt idx="23">
                  <c:v>5.7388438946265463</c:v>
                </c:pt>
                <c:pt idx="24">
                  <c:v>6.6369613869029056</c:v>
                </c:pt>
                <c:pt idx="25">
                  <c:v>7.0620007698905747</c:v>
                </c:pt>
                <c:pt idx="26">
                  <c:v>7.6194768453603423</c:v>
                </c:pt>
                <c:pt idx="27">
                  <c:v>6.6672310383081204</c:v>
                </c:pt>
                <c:pt idx="28">
                  <c:v>7.5414842371531563</c:v>
                </c:pt>
                <c:pt idx="29">
                  <c:v>7.0212465549003698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3-074E-B56E-02CCA0220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3.8062921764388347</c:v>
                </c:pt>
                <c:pt idx="1">
                  <c:v>3.5623612864424397</c:v>
                </c:pt>
                <c:pt idx="2">
                  <c:v>3.0368228697036899</c:v>
                </c:pt>
                <c:pt idx="3">
                  <c:v>3.630033024298235</c:v>
                </c:pt>
                <c:pt idx="4">
                  <c:v>3.3674310474985303</c:v>
                </c:pt>
                <c:pt idx="5">
                  <c:v>4.2078054466770727</c:v>
                </c:pt>
                <c:pt idx="6">
                  <c:v>4.5669548768088459</c:v>
                </c:pt>
                <c:pt idx="7">
                  <c:v>3.3970205120813906</c:v>
                </c:pt>
                <c:pt idx="8">
                  <c:v>3.8758461830787381</c:v>
                </c:pt>
                <c:pt idx="9">
                  <c:v>4.3778884465064083</c:v>
                </c:pt>
                <c:pt idx="10">
                  <c:v>1.9964548291303827</c:v>
                </c:pt>
                <c:pt idx="11">
                  <c:v>1.896462329876812</c:v>
                </c:pt>
                <c:pt idx="12">
                  <c:v>2.1172672699847235</c:v>
                </c:pt>
                <c:pt idx="13">
                  <c:v>1.9951945419989634</c:v>
                </c:pt>
                <c:pt idx="14">
                  <c:v>2.0411784263857209</c:v>
                </c:pt>
                <c:pt idx="15">
                  <c:v>1.9786665401823884</c:v>
                </c:pt>
                <c:pt idx="16">
                  <c:v>2.1865426220419031</c:v>
                </c:pt>
                <c:pt idx="17">
                  <c:v>1.8037987546629604</c:v>
                </c:pt>
                <c:pt idx="18">
                  <c:v>1.8612376974297598</c:v>
                </c:pt>
                <c:pt idx="19">
                  <c:v>1.7796615380380907</c:v>
                </c:pt>
                <c:pt idx="20">
                  <c:v>2.0054139363851857</c:v>
                </c:pt>
                <c:pt idx="21">
                  <c:v>2.2383061754859352</c:v>
                </c:pt>
                <c:pt idx="22">
                  <c:v>2.1213690995851793</c:v>
                </c:pt>
                <c:pt idx="23">
                  <c:v>2.1243661004879937</c:v>
                </c:pt>
                <c:pt idx="24">
                  <c:v>1.731546471260937</c:v>
                </c:pt>
                <c:pt idx="25">
                  <c:v>1.9578903710571436</c:v>
                </c:pt>
                <c:pt idx="26">
                  <c:v>1.9434903282723945</c:v>
                </c:pt>
                <c:pt idx="27">
                  <c:v>1.4993834944127062</c:v>
                </c:pt>
                <c:pt idx="28">
                  <c:v>1.7752037739018913</c:v>
                </c:pt>
                <c:pt idx="29">
                  <c:v>1.4508357054109298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5.8973872518931394</c:v>
                </c:pt>
                <c:pt idx="1">
                  <c:v>5.7593904367177275</c:v>
                </c:pt>
                <c:pt idx="2">
                  <c:v>5.7433704747039718</c:v>
                </c:pt>
                <c:pt idx="3">
                  <c:v>6.1955581561790147</c:v>
                </c:pt>
                <c:pt idx="4">
                  <c:v>5.8998336204721804</c:v>
                </c:pt>
                <c:pt idx="5">
                  <c:v>6.1595287189581303</c:v>
                </c:pt>
                <c:pt idx="6">
                  <c:v>6.1959916177579313</c:v>
                </c:pt>
                <c:pt idx="7">
                  <c:v>6.0060586611690026</c:v>
                </c:pt>
                <c:pt idx="8">
                  <c:v>5.3508435619920798</c:v>
                </c:pt>
                <c:pt idx="9">
                  <c:v>5.3822747873646506</c:v>
                </c:pt>
                <c:pt idx="10">
                  <c:v>2.0257417984562234</c:v>
                </c:pt>
                <c:pt idx="11">
                  <c:v>2.6247158965838571</c:v>
                </c:pt>
                <c:pt idx="12">
                  <c:v>1.7268499065438538</c:v>
                </c:pt>
                <c:pt idx="13">
                  <c:v>2.1770535971024159</c:v>
                </c:pt>
                <c:pt idx="14">
                  <c:v>1.3791496942878056</c:v>
                </c:pt>
                <c:pt idx="15">
                  <c:v>1.8052345397614729</c:v>
                </c:pt>
                <c:pt idx="16">
                  <c:v>1.8388118478616555</c:v>
                </c:pt>
                <c:pt idx="17">
                  <c:v>1.8785362480150583</c:v>
                </c:pt>
                <c:pt idx="18">
                  <c:v>2.1613016257964022</c:v>
                </c:pt>
                <c:pt idx="19">
                  <c:v>1.73476275970081</c:v>
                </c:pt>
                <c:pt idx="20">
                  <c:v>7.4826232360310172</c:v>
                </c:pt>
                <c:pt idx="21">
                  <c:v>6.5608681553067578</c:v>
                </c:pt>
                <c:pt idx="22">
                  <c:v>8.4199727364618866</c:v>
                </c:pt>
                <c:pt idx="23">
                  <c:v>5.7388438946265463</c:v>
                </c:pt>
                <c:pt idx="24">
                  <c:v>6.6369613869029056</c:v>
                </c:pt>
                <c:pt idx="25">
                  <c:v>7.0620007698905747</c:v>
                </c:pt>
                <c:pt idx="26">
                  <c:v>7.6194768453603423</c:v>
                </c:pt>
                <c:pt idx="27">
                  <c:v>6.6672310383081204</c:v>
                </c:pt>
                <c:pt idx="28">
                  <c:v>7.5414842371531563</c:v>
                </c:pt>
                <c:pt idx="29">
                  <c:v>7.0212465549003698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18-F648-843B-0D17D73B3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3.8062921764388347</c:v>
                </c:pt>
                <c:pt idx="1">
                  <c:v>3.5623612864424397</c:v>
                </c:pt>
                <c:pt idx="2">
                  <c:v>3.0368228697036899</c:v>
                </c:pt>
                <c:pt idx="3">
                  <c:v>3.630033024298235</c:v>
                </c:pt>
                <c:pt idx="4">
                  <c:v>3.3674310474985303</c:v>
                </c:pt>
                <c:pt idx="5">
                  <c:v>4.2078054466770727</c:v>
                </c:pt>
                <c:pt idx="6">
                  <c:v>4.5669548768088459</c:v>
                </c:pt>
                <c:pt idx="7">
                  <c:v>3.3970205120813906</c:v>
                </c:pt>
                <c:pt idx="8">
                  <c:v>3.8758461830787381</c:v>
                </c:pt>
                <c:pt idx="9">
                  <c:v>4.3778884465064083</c:v>
                </c:pt>
                <c:pt idx="10">
                  <c:v>1.9964548291303827</c:v>
                </c:pt>
                <c:pt idx="11">
                  <c:v>1.896462329876812</c:v>
                </c:pt>
                <c:pt idx="12">
                  <c:v>2.1172672699847235</c:v>
                </c:pt>
                <c:pt idx="13">
                  <c:v>1.9951945419989634</c:v>
                </c:pt>
                <c:pt idx="14">
                  <c:v>2.0411784263857209</c:v>
                </c:pt>
                <c:pt idx="15">
                  <c:v>1.9786665401823884</c:v>
                </c:pt>
                <c:pt idx="16">
                  <c:v>2.1865426220419031</c:v>
                </c:pt>
                <c:pt idx="17">
                  <c:v>1.8037987546629604</c:v>
                </c:pt>
                <c:pt idx="18">
                  <c:v>1.8612376974297598</c:v>
                </c:pt>
                <c:pt idx="19">
                  <c:v>1.7796615380380907</c:v>
                </c:pt>
                <c:pt idx="20">
                  <c:v>2.0054139363851857</c:v>
                </c:pt>
                <c:pt idx="21">
                  <c:v>2.2383061754859352</c:v>
                </c:pt>
                <c:pt idx="22">
                  <c:v>2.1213690995851793</c:v>
                </c:pt>
                <c:pt idx="23">
                  <c:v>2.1243661004879937</c:v>
                </c:pt>
                <c:pt idx="24">
                  <c:v>1.731546471260937</c:v>
                </c:pt>
                <c:pt idx="25">
                  <c:v>1.9578903710571436</c:v>
                </c:pt>
                <c:pt idx="26">
                  <c:v>1.9434903282723945</c:v>
                </c:pt>
                <c:pt idx="27">
                  <c:v>1.4993834944127062</c:v>
                </c:pt>
                <c:pt idx="28">
                  <c:v>1.7752037739018913</c:v>
                </c:pt>
                <c:pt idx="29">
                  <c:v>1.4508357054109298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5.8973872518931394</c:v>
                </c:pt>
                <c:pt idx="1">
                  <c:v>5.7593904367177275</c:v>
                </c:pt>
                <c:pt idx="2">
                  <c:v>5.7433704747039718</c:v>
                </c:pt>
                <c:pt idx="3">
                  <c:v>6.1955581561790147</c:v>
                </c:pt>
                <c:pt idx="4">
                  <c:v>5.8998336204721804</c:v>
                </c:pt>
                <c:pt idx="5">
                  <c:v>6.1595287189581303</c:v>
                </c:pt>
                <c:pt idx="6">
                  <c:v>6.1959916177579313</c:v>
                </c:pt>
                <c:pt idx="7">
                  <c:v>6.0060586611690026</c:v>
                </c:pt>
                <c:pt idx="8">
                  <c:v>5.3508435619920798</c:v>
                </c:pt>
                <c:pt idx="9">
                  <c:v>5.3822747873646506</c:v>
                </c:pt>
                <c:pt idx="10">
                  <c:v>2.0257417984562234</c:v>
                </c:pt>
                <c:pt idx="11">
                  <c:v>2.6247158965838571</c:v>
                </c:pt>
                <c:pt idx="12">
                  <c:v>1.7268499065438538</c:v>
                </c:pt>
                <c:pt idx="13">
                  <c:v>2.1770535971024159</c:v>
                </c:pt>
                <c:pt idx="14">
                  <c:v>1.3791496942878056</c:v>
                </c:pt>
                <c:pt idx="15">
                  <c:v>1.8052345397614729</c:v>
                </c:pt>
                <c:pt idx="16">
                  <c:v>1.8388118478616555</c:v>
                </c:pt>
                <c:pt idx="17">
                  <c:v>1.8785362480150583</c:v>
                </c:pt>
                <c:pt idx="18">
                  <c:v>2.1613016257964022</c:v>
                </c:pt>
                <c:pt idx="19">
                  <c:v>1.73476275970081</c:v>
                </c:pt>
                <c:pt idx="20">
                  <c:v>7.4826232360310172</c:v>
                </c:pt>
                <c:pt idx="21">
                  <c:v>6.5608681553067578</c:v>
                </c:pt>
                <c:pt idx="22">
                  <c:v>8.4199727364618866</c:v>
                </c:pt>
                <c:pt idx="23">
                  <c:v>5.7388438946265463</c:v>
                </c:pt>
                <c:pt idx="24">
                  <c:v>6.6369613869029056</c:v>
                </c:pt>
                <c:pt idx="25">
                  <c:v>7.0620007698905747</c:v>
                </c:pt>
                <c:pt idx="26">
                  <c:v>7.6194768453603423</c:v>
                </c:pt>
                <c:pt idx="27">
                  <c:v>6.6672310383081204</c:v>
                </c:pt>
                <c:pt idx="28">
                  <c:v>7.5414842371531563</c:v>
                </c:pt>
                <c:pt idx="29">
                  <c:v>7.0212465549003698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3-BB42-AF20-C10527318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3.8062921764388347</c:v>
                </c:pt>
                <c:pt idx="1">
                  <c:v>3.5623612864424397</c:v>
                </c:pt>
                <c:pt idx="2">
                  <c:v>3.0368228697036899</c:v>
                </c:pt>
                <c:pt idx="3">
                  <c:v>3.630033024298235</c:v>
                </c:pt>
                <c:pt idx="4">
                  <c:v>3.3674310474985303</c:v>
                </c:pt>
                <c:pt idx="5">
                  <c:v>4.2078054466770727</c:v>
                </c:pt>
                <c:pt idx="6">
                  <c:v>4.5669548768088459</c:v>
                </c:pt>
                <c:pt idx="7">
                  <c:v>3.3970205120813906</c:v>
                </c:pt>
                <c:pt idx="8">
                  <c:v>3.8758461830787381</c:v>
                </c:pt>
                <c:pt idx="9">
                  <c:v>4.3778884465064083</c:v>
                </c:pt>
                <c:pt idx="10">
                  <c:v>1.9964548291303827</c:v>
                </c:pt>
                <c:pt idx="11">
                  <c:v>1.896462329876812</c:v>
                </c:pt>
                <c:pt idx="12">
                  <c:v>2.1172672699847235</c:v>
                </c:pt>
                <c:pt idx="13">
                  <c:v>1.9951945419989634</c:v>
                </c:pt>
                <c:pt idx="14">
                  <c:v>2.0411784263857209</c:v>
                </c:pt>
                <c:pt idx="15">
                  <c:v>1.9786665401823884</c:v>
                </c:pt>
                <c:pt idx="16">
                  <c:v>2.1865426220419031</c:v>
                </c:pt>
                <c:pt idx="17">
                  <c:v>1.8037987546629604</c:v>
                </c:pt>
                <c:pt idx="18">
                  <c:v>1.8612376974297598</c:v>
                </c:pt>
                <c:pt idx="19">
                  <c:v>1.7796615380380907</c:v>
                </c:pt>
                <c:pt idx="20">
                  <c:v>2.0054139363851857</c:v>
                </c:pt>
                <c:pt idx="21">
                  <c:v>2.2383061754859352</c:v>
                </c:pt>
                <c:pt idx="22">
                  <c:v>2.1213690995851793</c:v>
                </c:pt>
                <c:pt idx="23">
                  <c:v>2.1243661004879937</c:v>
                </c:pt>
                <c:pt idx="24">
                  <c:v>1.731546471260937</c:v>
                </c:pt>
                <c:pt idx="25">
                  <c:v>1.9578903710571436</c:v>
                </c:pt>
                <c:pt idx="26">
                  <c:v>1.9434903282723945</c:v>
                </c:pt>
                <c:pt idx="27">
                  <c:v>1.4993834944127062</c:v>
                </c:pt>
                <c:pt idx="28">
                  <c:v>1.7752037739018913</c:v>
                </c:pt>
                <c:pt idx="29">
                  <c:v>1.4508357054109298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5.8973872518931394</c:v>
                </c:pt>
                <c:pt idx="1">
                  <c:v>5.7593904367177275</c:v>
                </c:pt>
                <c:pt idx="2">
                  <c:v>5.7433704747039718</c:v>
                </c:pt>
                <c:pt idx="3">
                  <c:v>6.1955581561790147</c:v>
                </c:pt>
                <c:pt idx="4">
                  <c:v>5.8998336204721804</c:v>
                </c:pt>
                <c:pt idx="5">
                  <c:v>6.1595287189581303</c:v>
                </c:pt>
                <c:pt idx="6">
                  <c:v>6.1959916177579313</c:v>
                </c:pt>
                <c:pt idx="7">
                  <c:v>6.0060586611690026</c:v>
                </c:pt>
                <c:pt idx="8">
                  <c:v>5.3508435619920798</c:v>
                </c:pt>
                <c:pt idx="9">
                  <c:v>5.3822747873646506</c:v>
                </c:pt>
                <c:pt idx="10">
                  <c:v>2.0257417984562234</c:v>
                </c:pt>
                <c:pt idx="11">
                  <c:v>2.6247158965838571</c:v>
                </c:pt>
                <c:pt idx="12">
                  <c:v>1.7268499065438538</c:v>
                </c:pt>
                <c:pt idx="13">
                  <c:v>2.1770535971024159</c:v>
                </c:pt>
                <c:pt idx="14">
                  <c:v>1.3791496942878056</c:v>
                </c:pt>
                <c:pt idx="15">
                  <c:v>1.8052345397614729</c:v>
                </c:pt>
                <c:pt idx="16">
                  <c:v>1.8388118478616555</c:v>
                </c:pt>
                <c:pt idx="17">
                  <c:v>1.8785362480150583</c:v>
                </c:pt>
                <c:pt idx="18">
                  <c:v>2.1613016257964022</c:v>
                </c:pt>
                <c:pt idx="19">
                  <c:v>1.73476275970081</c:v>
                </c:pt>
                <c:pt idx="20">
                  <c:v>7.4826232360310172</c:v>
                </c:pt>
                <c:pt idx="21">
                  <c:v>6.5608681553067578</c:v>
                </c:pt>
                <c:pt idx="22">
                  <c:v>8.4199727364618866</c:v>
                </c:pt>
                <c:pt idx="23">
                  <c:v>5.7388438946265463</c:v>
                </c:pt>
                <c:pt idx="24">
                  <c:v>6.6369613869029056</c:v>
                </c:pt>
                <c:pt idx="25">
                  <c:v>7.0620007698905747</c:v>
                </c:pt>
                <c:pt idx="26">
                  <c:v>7.6194768453603423</c:v>
                </c:pt>
                <c:pt idx="27">
                  <c:v>6.6672310383081204</c:v>
                </c:pt>
                <c:pt idx="28">
                  <c:v>7.5414842371531563</c:v>
                </c:pt>
                <c:pt idx="29">
                  <c:v>7.0212465549003698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05-4947-AD3B-D3C80C7E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3.8062921764388347</c:v>
                </c:pt>
                <c:pt idx="1">
                  <c:v>3.5623612864424397</c:v>
                </c:pt>
                <c:pt idx="2">
                  <c:v>3.0368228697036899</c:v>
                </c:pt>
                <c:pt idx="3">
                  <c:v>3.630033024298235</c:v>
                </c:pt>
                <c:pt idx="4">
                  <c:v>3.3674310474985303</c:v>
                </c:pt>
                <c:pt idx="5">
                  <c:v>4.2078054466770727</c:v>
                </c:pt>
                <c:pt idx="6">
                  <c:v>4.5669548768088459</c:v>
                </c:pt>
                <c:pt idx="7">
                  <c:v>3.3970205120813906</c:v>
                </c:pt>
                <c:pt idx="8">
                  <c:v>3.8758461830787381</c:v>
                </c:pt>
                <c:pt idx="9">
                  <c:v>4.3778884465064083</c:v>
                </c:pt>
                <c:pt idx="10">
                  <c:v>1.9964548291303827</c:v>
                </c:pt>
                <c:pt idx="11">
                  <c:v>1.896462329876812</c:v>
                </c:pt>
                <c:pt idx="12">
                  <c:v>2.1172672699847235</c:v>
                </c:pt>
                <c:pt idx="13">
                  <c:v>1.9951945419989634</c:v>
                </c:pt>
                <c:pt idx="14">
                  <c:v>2.0411784263857209</c:v>
                </c:pt>
                <c:pt idx="15">
                  <c:v>1.9786665401823884</c:v>
                </c:pt>
                <c:pt idx="16">
                  <c:v>2.1865426220419031</c:v>
                </c:pt>
                <c:pt idx="17">
                  <c:v>1.8037987546629604</c:v>
                </c:pt>
                <c:pt idx="18">
                  <c:v>1.8612376974297598</c:v>
                </c:pt>
                <c:pt idx="19">
                  <c:v>1.7796615380380907</c:v>
                </c:pt>
                <c:pt idx="20">
                  <c:v>2.0054139363851857</c:v>
                </c:pt>
                <c:pt idx="21">
                  <c:v>2.2383061754859352</c:v>
                </c:pt>
                <c:pt idx="22">
                  <c:v>2.1213690995851793</c:v>
                </c:pt>
                <c:pt idx="23">
                  <c:v>2.1243661004879937</c:v>
                </c:pt>
                <c:pt idx="24">
                  <c:v>1.731546471260937</c:v>
                </c:pt>
                <c:pt idx="25">
                  <c:v>1.9578903710571436</c:v>
                </c:pt>
                <c:pt idx="26">
                  <c:v>1.9434903282723945</c:v>
                </c:pt>
                <c:pt idx="27">
                  <c:v>1.4993834944127062</c:v>
                </c:pt>
                <c:pt idx="28">
                  <c:v>1.7752037739018913</c:v>
                </c:pt>
                <c:pt idx="29">
                  <c:v>1.4508357054109298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5.8973872518931394</c:v>
                </c:pt>
                <c:pt idx="1">
                  <c:v>5.7593904367177275</c:v>
                </c:pt>
                <c:pt idx="2">
                  <c:v>5.7433704747039718</c:v>
                </c:pt>
                <c:pt idx="3">
                  <c:v>6.1955581561790147</c:v>
                </c:pt>
                <c:pt idx="4">
                  <c:v>5.8998336204721804</c:v>
                </c:pt>
                <c:pt idx="5">
                  <c:v>6.1595287189581303</c:v>
                </c:pt>
                <c:pt idx="6">
                  <c:v>6.1959916177579313</c:v>
                </c:pt>
                <c:pt idx="7">
                  <c:v>6.0060586611690026</c:v>
                </c:pt>
                <c:pt idx="8">
                  <c:v>5.3508435619920798</c:v>
                </c:pt>
                <c:pt idx="9">
                  <c:v>5.3822747873646506</c:v>
                </c:pt>
                <c:pt idx="10">
                  <c:v>2.0257417984562234</c:v>
                </c:pt>
                <c:pt idx="11">
                  <c:v>2.6247158965838571</c:v>
                </c:pt>
                <c:pt idx="12">
                  <c:v>1.7268499065438538</c:v>
                </c:pt>
                <c:pt idx="13">
                  <c:v>2.1770535971024159</c:v>
                </c:pt>
                <c:pt idx="14">
                  <c:v>1.3791496942878056</c:v>
                </c:pt>
                <c:pt idx="15">
                  <c:v>1.8052345397614729</c:v>
                </c:pt>
                <c:pt idx="16">
                  <c:v>1.8388118478616555</c:v>
                </c:pt>
                <c:pt idx="17">
                  <c:v>1.8785362480150583</c:v>
                </c:pt>
                <c:pt idx="18">
                  <c:v>2.1613016257964022</c:v>
                </c:pt>
                <c:pt idx="19">
                  <c:v>1.73476275970081</c:v>
                </c:pt>
                <c:pt idx="20">
                  <c:v>7.4826232360310172</c:v>
                </c:pt>
                <c:pt idx="21">
                  <c:v>6.5608681553067578</c:v>
                </c:pt>
                <c:pt idx="22">
                  <c:v>8.4199727364618866</c:v>
                </c:pt>
                <c:pt idx="23">
                  <c:v>5.7388438946265463</c:v>
                </c:pt>
                <c:pt idx="24">
                  <c:v>6.6369613869029056</c:v>
                </c:pt>
                <c:pt idx="25">
                  <c:v>7.0620007698905747</c:v>
                </c:pt>
                <c:pt idx="26">
                  <c:v>7.6194768453603423</c:v>
                </c:pt>
                <c:pt idx="27">
                  <c:v>6.6672310383081204</c:v>
                </c:pt>
                <c:pt idx="28">
                  <c:v>7.5414842371531563</c:v>
                </c:pt>
                <c:pt idx="29">
                  <c:v>7.0212465549003698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33-6344-A8B7-076B52431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Excel_Demo!$C$9:$C$17</c:f>
              <c:numCache>
                <c:formatCode>General</c:formatCode>
                <c:ptCount val="9"/>
                <c:pt idx="0">
                  <c:v>2.038624669952688</c:v>
                </c:pt>
                <c:pt idx="1">
                  <c:v>2.5763397420812044</c:v>
                </c:pt>
                <c:pt idx="2">
                  <c:v>2.1315833476532986</c:v>
                </c:pt>
                <c:pt idx="3">
                  <c:v>4.8373737218182482</c:v>
                </c:pt>
                <c:pt idx="4">
                  <c:v>4.4342869958718687</c:v>
                </c:pt>
                <c:pt idx="5">
                  <c:v>4.3885089236927186</c:v>
                </c:pt>
                <c:pt idx="6">
                  <c:v>7.534280400625204</c:v>
                </c:pt>
                <c:pt idx="7">
                  <c:v>8.7133545147571763</c:v>
                </c:pt>
                <c:pt idx="8">
                  <c:v>8.5690519066987392</c:v>
                </c:pt>
              </c:numCache>
            </c:numRef>
          </c:xVal>
          <c:yVal>
            <c:numRef>
              <c:f>Excel_Demo!$D$9:$D$17</c:f>
              <c:numCache>
                <c:formatCode>General</c:formatCode>
                <c:ptCount val="9"/>
                <c:pt idx="0">
                  <c:v>3.0844120916649311</c:v>
                </c:pt>
                <c:pt idx="1">
                  <c:v>0.45773287111072114</c:v>
                </c:pt>
                <c:pt idx="2">
                  <c:v>0.68892958011682204</c:v>
                </c:pt>
                <c:pt idx="3">
                  <c:v>1.5765437895367489</c:v>
                </c:pt>
                <c:pt idx="4">
                  <c:v>3.5870008731928746</c:v>
                </c:pt>
                <c:pt idx="5">
                  <c:v>2.8277950292029583</c:v>
                </c:pt>
                <c:pt idx="6">
                  <c:v>9.6486103596379049</c:v>
                </c:pt>
                <c:pt idx="7">
                  <c:v>8.5783979227837204</c:v>
                </c:pt>
                <c:pt idx="8">
                  <c:v>9.8616834421061306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1D-2048-9F4A-623132313EFA}"/>
            </c:ext>
          </c:extLst>
        </c:ser>
        <c:ser>
          <c:idx val="1"/>
          <c:order val="1"/>
          <c:tx>
            <c:v>Centroids0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9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Excel_Demo!$C$5:$C$7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Excel_Demo!$D$5:$D$7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1D-2048-9F4A-623132313EFA}"/>
            </c:ext>
          </c:extLst>
        </c:ser>
        <c:ser>
          <c:idx val="2"/>
          <c:order val="2"/>
          <c:tx>
            <c:v>Centroids1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C0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Excel_Demo!$C$19:$C$21</c:f>
              <c:numCache>
                <c:formatCode>General</c:formatCode>
                <c:ptCount val="3"/>
                <c:pt idx="0">
                  <c:v>2.2488492532290638</c:v>
                </c:pt>
                <c:pt idx="1">
                  <c:v>4.5533898804609452</c:v>
                </c:pt>
                <c:pt idx="2">
                  <c:v>8.2722289406937062</c:v>
                </c:pt>
              </c:numCache>
            </c:numRef>
          </c:xVal>
          <c:yVal>
            <c:numRef>
              <c:f>Excel_Demo!$D$19:$D$21</c:f>
              <c:numCache>
                <c:formatCode>General</c:formatCode>
                <c:ptCount val="3"/>
                <c:pt idx="0">
                  <c:v>1.4103581809641581</c:v>
                </c:pt>
                <c:pt idx="1">
                  <c:v>2.6637798973108606</c:v>
                </c:pt>
                <c:pt idx="2">
                  <c:v>9.362897241509252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1D-2048-9F4A-623132313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721040"/>
        <c:axId val="1546231584"/>
      </c:scatterChart>
      <c:valAx>
        <c:axId val="1545721040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231584"/>
        <c:crosses val="autoZero"/>
        <c:crossBetween val="midCat"/>
      </c:valAx>
      <c:valAx>
        <c:axId val="1546231584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72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Data!$C$2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Data!$C$3:$C$92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2D-9642-944B-F006685E5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Fit_O3!$E$2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Fit_O3!$B$3:$B$92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Fit_O3!$E$3:$E$92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E1-E545-8C31-97342118AC85}"/>
            </c:ext>
          </c:extLst>
        </c:ser>
        <c:ser>
          <c:idx val="1"/>
          <c:order val="1"/>
          <c:tx>
            <c:strRef>
              <c:f>Fit_O3!$F$2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Fit_O3!$B$3:$B$32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Fit_O3!$F$3:$F$32</c:f>
              <c:numCache>
                <c:formatCode>General</c:formatCode>
                <c:ptCount val="30"/>
                <c:pt idx="0">
                  <c:v>-1.2888007502634404</c:v>
                </c:pt>
                <c:pt idx="1">
                  <c:v>-0.77641715278641943</c:v>
                </c:pt>
                <c:pt idx="2">
                  <c:v>-0.35772455206706644</c:v>
                </c:pt>
                <c:pt idx="3">
                  <c:v>-2.5516989726627637E-2</c:v>
                </c:pt>
                <c:pt idx="4">
                  <c:v>0.22741149261365079</c:v>
                </c:pt>
                <c:pt idx="5">
                  <c:v>0.40826685333252311</c:v>
                </c:pt>
                <c:pt idx="6">
                  <c:v>0.52425505080874224</c:v>
                </c:pt>
                <c:pt idx="7">
                  <c:v>0.58258204342106357</c:v>
                </c:pt>
                <c:pt idx="8">
                  <c:v>0.59045378954824024</c:v>
                </c:pt>
                <c:pt idx="9">
                  <c:v>0.5550762475690254</c:v>
                </c:pt>
                <c:pt idx="10">
                  <c:v>0.48365537586217577</c:v>
                </c:pt>
                <c:pt idx="11">
                  <c:v>0.38339713280644183</c:v>
                </c:pt>
                <c:pt idx="12">
                  <c:v>0.26150747678057851</c:v>
                </c:pt>
                <c:pt idx="13">
                  <c:v>0.12519236616333984</c:v>
                </c:pt>
                <c:pt idx="14">
                  <c:v>-1.8342240666517462E-2</c:v>
                </c:pt>
                <c:pt idx="15">
                  <c:v>-0.16189038533024558</c:v>
                </c:pt>
                <c:pt idx="16">
                  <c:v>-0.29824610944908514</c:v>
                </c:pt>
                <c:pt idx="17">
                  <c:v>-0.4202034546442821</c:v>
                </c:pt>
                <c:pt idx="18">
                  <c:v>-0.52055646253708687</c:v>
                </c:pt>
                <c:pt idx="19">
                  <c:v>-0.59209917474874629</c:v>
                </c:pt>
                <c:pt idx="20">
                  <c:v>-0.62762563290049656</c:v>
                </c:pt>
                <c:pt idx="21">
                  <c:v>-0.61992987861359516</c:v>
                </c:pt>
                <c:pt idx="22">
                  <c:v>-0.56180595350928364</c:v>
                </c:pt>
                <c:pt idx="23">
                  <c:v>-0.4460478992088035</c:v>
                </c:pt>
                <c:pt idx="24">
                  <c:v>-0.26544975733341403</c:v>
                </c:pt>
                <c:pt idx="25">
                  <c:v>-1.2805569504340752E-2</c:v>
                </c:pt>
                <c:pt idx="26">
                  <c:v>0.31909062265715349</c:v>
                </c:pt>
                <c:pt idx="27">
                  <c:v>0.73744477752982007</c:v>
                </c:pt>
                <c:pt idx="28">
                  <c:v>1.2494628534924281</c:v>
                </c:pt>
                <c:pt idx="29">
                  <c:v>1.8623508089237184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E1-E545-8C31-97342118A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Fit_3Piece_O0!$F$2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Fit_3Piece_O0!$B$3:$B$92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Fit_3Piece_O0!$F$3:$F$92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6-6342-A603-76F9EAF55FD8}"/>
            </c:ext>
          </c:extLst>
        </c:ser>
        <c:ser>
          <c:idx val="1"/>
          <c:order val="1"/>
          <c:tx>
            <c:strRef>
              <c:f>Fit_3Piece_O0!$G$2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Fit_3Piece_O0!$B$3:$B$32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Fit_3Piece_O0!$G$3:$G$32</c:f>
              <c:numCache>
                <c:formatCode>General</c:formatCode>
                <c:ptCount val="30"/>
                <c:pt idx="0">
                  <c:v>0.10299523902023984</c:v>
                </c:pt>
                <c:pt idx="1">
                  <c:v>0.10299523902023984</c:v>
                </c:pt>
                <c:pt idx="2">
                  <c:v>0.10299523902023984</c:v>
                </c:pt>
                <c:pt idx="3">
                  <c:v>0.10299523902023984</c:v>
                </c:pt>
                <c:pt idx="4">
                  <c:v>0.10299523902023984</c:v>
                </c:pt>
                <c:pt idx="5">
                  <c:v>0.10299523902023984</c:v>
                </c:pt>
                <c:pt idx="6">
                  <c:v>0.10299523902023984</c:v>
                </c:pt>
                <c:pt idx="7">
                  <c:v>0.10299523902023984</c:v>
                </c:pt>
                <c:pt idx="8">
                  <c:v>0.10299523902023984</c:v>
                </c:pt>
                <c:pt idx="9">
                  <c:v>0.10299523902023984</c:v>
                </c:pt>
                <c:pt idx="10">
                  <c:v>-0.11631460411492099</c:v>
                </c:pt>
                <c:pt idx="11">
                  <c:v>-0.11631460411492099</c:v>
                </c:pt>
                <c:pt idx="12">
                  <c:v>-0.11631460411492099</c:v>
                </c:pt>
                <c:pt idx="13">
                  <c:v>-0.11631460411492099</c:v>
                </c:pt>
                <c:pt idx="14">
                  <c:v>-0.11631460411492099</c:v>
                </c:pt>
                <c:pt idx="15">
                  <c:v>-0.11631460411492099</c:v>
                </c:pt>
                <c:pt idx="16">
                  <c:v>-0.11631460411492099</c:v>
                </c:pt>
                <c:pt idx="17">
                  <c:v>-0.11631460411492099</c:v>
                </c:pt>
                <c:pt idx="18">
                  <c:v>-0.11631460411492099</c:v>
                </c:pt>
                <c:pt idx="19">
                  <c:v>-0.11631460411492099</c:v>
                </c:pt>
                <c:pt idx="20">
                  <c:v>0.14498785791662738</c:v>
                </c:pt>
                <c:pt idx="21">
                  <c:v>0.14498785791662738</c:v>
                </c:pt>
                <c:pt idx="22">
                  <c:v>0.14498785791662738</c:v>
                </c:pt>
                <c:pt idx="23">
                  <c:v>0.14498785791662738</c:v>
                </c:pt>
                <c:pt idx="24">
                  <c:v>0.14498785791662738</c:v>
                </c:pt>
                <c:pt idx="25">
                  <c:v>0.14498785791662738</c:v>
                </c:pt>
                <c:pt idx="26">
                  <c:v>0.14498785791662738</c:v>
                </c:pt>
                <c:pt idx="27">
                  <c:v>0.14498785791662738</c:v>
                </c:pt>
                <c:pt idx="28">
                  <c:v>0.14498785791662738</c:v>
                </c:pt>
                <c:pt idx="29">
                  <c:v>0.14498785791662738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6-6342-A603-76F9EAF55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Fit_3Piece_O1!$I$2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Fit_3Piece_O1!$B$3:$B$92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C2-B140-814B-93DCBC4B999A}"/>
            </c:ext>
          </c:extLst>
        </c:ser>
        <c:ser>
          <c:idx val="1"/>
          <c:order val="1"/>
          <c:tx>
            <c:strRef>
              <c:f>Fit_3Piece_O1!$J$2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Fit_3Piece_O1!$J$3:$J$32</c:f>
              <c:numCache>
                <c:formatCode>General</c:formatCode>
                <c:ptCount val="30"/>
                <c:pt idx="0">
                  <c:v>-0.94946760961501697</c:v>
                </c:pt>
                <c:pt idx="1">
                  <c:v>-0.71558697658496018</c:v>
                </c:pt>
                <c:pt idx="2">
                  <c:v>-0.48170634355490327</c:v>
                </c:pt>
                <c:pt idx="3">
                  <c:v>-0.24782571052484648</c:v>
                </c:pt>
                <c:pt idx="4">
                  <c:v>-1.3945077494789571E-2</c:v>
                </c:pt>
                <c:pt idx="5">
                  <c:v>0.21993555553526734</c:v>
                </c:pt>
                <c:pt idx="6">
                  <c:v>0.45381618856532424</c:v>
                </c:pt>
                <c:pt idx="7">
                  <c:v>0.68769682159538092</c:v>
                </c:pt>
                <c:pt idx="8">
                  <c:v>0.92157745462543783</c:v>
                </c:pt>
                <c:pt idx="9">
                  <c:v>1.1554580876554947</c:v>
                </c:pt>
                <c:pt idx="10">
                  <c:v>0.2772519263294112</c:v>
                </c:pt>
                <c:pt idx="11">
                  <c:v>0.18979269734178184</c:v>
                </c:pt>
                <c:pt idx="12">
                  <c:v>0.10233346835415236</c:v>
                </c:pt>
                <c:pt idx="13">
                  <c:v>1.4874239366523101E-2</c:v>
                </c:pt>
                <c:pt idx="14">
                  <c:v>-7.2584989621106155E-2</c:v>
                </c:pt>
                <c:pt idx="15">
                  <c:v>-0.16004421860873541</c:v>
                </c:pt>
                <c:pt idx="16">
                  <c:v>-0.24750344759636489</c:v>
                </c:pt>
                <c:pt idx="17">
                  <c:v>-0.33496267658399415</c:v>
                </c:pt>
                <c:pt idx="18">
                  <c:v>-0.4224219055716234</c:v>
                </c:pt>
                <c:pt idx="19">
                  <c:v>-0.50988113455925266</c:v>
                </c:pt>
                <c:pt idx="20">
                  <c:v>-1.1571913656355504</c:v>
                </c:pt>
                <c:pt idx="21">
                  <c:v>-0.867818204846178</c:v>
                </c:pt>
                <c:pt idx="22">
                  <c:v>-0.57844504405680475</c:v>
                </c:pt>
                <c:pt idx="23">
                  <c:v>-0.2890718832674315</c:v>
                </c:pt>
                <c:pt idx="24">
                  <c:v>3.0127752194175628E-4</c:v>
                </c:pt>
                <c:pt idx="25">
                  <c:v>0.28967443831131501</c:v>
                </c:pt>
                <c:pt idx="26">
                  <c:v>0.57904759910068648</c:v>
                </c:pt>
                <c:pt idx="27">
                  <c:v>0.86842075989006062</c:v>
                </c:pt>
                <c:pt idx="28">
                  <c:v>1.157793920679433</c:v>
                </c:pt>
                <c:pt idx="29">
                  <c:v>1.4471670814688036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C2-B140-814B-93DCBC4B9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Fit_6Piece_O1!$O$2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Fit_6Piece_O1!$B$3:$B$91</c:f>
              <c:numCache>
                <c:formatCode>General</c:formatCode>
                <c:ptCount val="89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Fit_6Piece_O1!$O$3:$O$91</c:f>
              <c:numCache>
                <c:formatCode>General</c:formatCode>
                <c:ptCount val="89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57-1A47-8D08-F2C03E22C85F}"/>
            </c:ext>
          </c:extLst>
        </c:ser>
        <c:ser>
          <c:idx val="1"/>
          <c:order val="1"/>
          <c:tx>
            <c:strRef>
              <c:f>Fit_6Piece_O1!$P$2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Fit_6Piece_O1!$B$3:$B$32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Fit_6Piece_O1!$P$3:$P$32</c:f>
              <c:numCache>
                <c:formatCode>General</c:formatCode>
                <c:ptCount val="30"/>
                <c:pt idx="0">
                  <c:v>-1.2125948508733759</c:v>
                </c:pt>
                <c:pt idx="1">
                  <c:v>-0.86888243162333156</c:v>
                </c:pt>
                <c:pt idx="2">
                  <c:v>-0.5251700123732872</c:v>
                </c:pt>
                <c:pt idx="3">
                  <c:v>-0.18145759312324294</c:v>
                </c:pt>
                <c:pt idx="4">
                  <c:v>0.16225482612680131</c:v>
                </c:pt>
                <c:pt idx="5">
                  <c:v>0.70038114088554237</c:v>
                </c:pt>
                <c:pt idx="6">
                  <c:v>0.71577081564965417</c:v>
                </c:pt>
                <c:pt idx="7">
                  <c:v>0.73116049041376596</c:v>
                </c:pt>
                <c:pt idx="8">
                  <c:v>0.74655016517787776</c:v>
                </c:pt>
                <c:pt idx="9">
                  <c:v>0.76193983994198955</c:v>
                </c:pt>
                <c:pt idx="10">
                  <c:v>0.27655816127728228</c:v>
                </c:pt>
                <c:pt idx="11">
                  <c:v>0.16850558316432962</c:v>
                </c:pt>
                <c:pt idx="12">
                  <c:v>6.0453005051376962E-2</c:v>
                </c:pt>
                <c:pt idx="13">
                  <c:v>-4.7599573061575473E-2</c:v>
                </c:pt>
                <c:pt idx="14">
                  <c:v>-0.15565215117452746</c:v>
                </c:pt>
                <c:pt idx="15">
                  <c:v>5.00518629572686E-2</c:v>
                </c:pt>
                <c:pt idx="16">
                  <c:v>-0.12151517516197519</c:v>
                </c:pt>
                <c:pt idx="17">
                  <c:v>-0.29308221328121853</c:v>
                </c:pt>
                <c:pt idx="18">
                  <c:v>-0.46464925140046232</c:v>
                </c:pt>
                <c:pt idx="19">
                  <c:v>-0.63621628951970566</c:v>
                </c:pt>
                <c:pt idx="20">
                  <c:v>-1.0117773438347601</c:v>
                </c:pt>
                <c:pt idx="21">
                  <c:v>-0.79737812857391965</c:v>
                </c:pt>
                <c:pt idx="22">
                  <c:v>-0.58297891331307827</c:v>
                </c:pt>
                <c:pt idx="23">
                  <c:v>-0.368579698052236</c:v>
                </c:pt>
                <c:pt idx="24">
                  <c:v>-0.15418048279139462</c:v>
                </c:pt>
                <c:pt idx="25">
                  <c:v>0.16692976279188443</c:v>
                </c:pt>
                <c:pt idx="26">
                  <c:v>0.51994219596910796</c:v>
                </c:pt>
                <c:pt idx="27">
                  <c:v>0.87295462914633326</c:v>
                </c:pt>
                <c:pt idx="28">
                  <c:v>1.2259670623235568</c:v>
                </c:pt>
                <c:pt idx="29">
                  <c:v>1.5789794955007785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57-1A47-8D08-F2C03E22C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Fit_2Piece_O2!$I$2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Fit_2Piece_O2!$B$3:$B$92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99-D04C-9443-EF31AFFF18B1}"/>
            </c:ext>
          </c:extLst>
        </c:ser>
        <c:ser>
          <c:idx val="1"/>
          <c:order val="1"/>
          <c:tx>
            <c:strRef>
              <c:f>Fit_2Piece_O2!$J$2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Fit_2Piece_O2!$B$3:$B$32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Fit_2Piece_O2!$J$3:$J$32</c:f>
              <c:numCache>
                <c:formatCode>General</c:formatCode>
                <c:ptCount val="30"/>
                <c:pt idx="0">
                  <c:v>-1.0760110124151598</c:v>
                </c:pt>
                <c:pt idx="1">
                  <c:v>-0.75497527995230318</c:v>
                </c:pt>
                <c:pt idx="2">
                  <c:v>-0.44821327874827138</c:v>
                </c:pt>
                <c:pt idx="3">
                  <c:v>-0.16286187443247691</c:v>
                </c:pt>
                <c:pt idx="4">
                  <c:v>9.394206736566782E-2</c:v>
                </c:pt>
                <c:pt idx="5">
                  <c:v>0.31506168101675086</c:v>
                </c:pt>
                <c:pt idx="6">
                  <c:v>0.49336010089135923</c:v>
                </c:pt>
                <c:pt idx="7">
                  <c:v>0.6217004613600805</c:v>
                </c:pt>
                <c:pt idx="8">
                  <c:v>0.69294589679350282</c:v>
                </c:pt>
                <c:pt idx="9">
                  <c:v>0.69995954156221285</c:v>
                </c:pt>
                <c:pt idx="10">
                  <c:v>0.6356045300367994</c:v>
                </c:pt>
                <c:pt idx="11">
                  <c:v>0.49274399658784906</c:v>
                </c:pt>
                <c:pt idx="12">
                  <c:v>0.26424107558594923</c:v>
                </c:pt>
                <c:pt idx="13">
                  <c:v>-5.7041098598310747E-2</c:v>
                </c:pt>
                <c:pt idx="14">
                  <c:v>-0.47823939159434437</c:v>
                </c:pt>
                <c:pt idx="15">
                  <c:v>9.3338481297851494E-2</c:v>
                </c:pt>
                <c:pt idx="16">
                  <c:v>-0.18360299006434566</c:v>
                </c:pt>
                <c:pt idx="17">
                  <c:v>-0.39974612123682185</c:v>
                </c:pt>
                <c:pt idx="18">
                  <c:v>-0.55509091221957618</c:v>
                </c:pt>
                <c:pt idx="19">
                  <c:v>-0.64963736301261044</c:v>
                </c:pt>
                <c:pt idx="20">
                  <c:v>-0.68338547361592639</c:v>
                </c:pt>
                <c:pt idx="21">
                  <c:v>-0.65633524402951693</c:v>
                </c:pt>
                <c:pt idx="22">
                  <c:v>-0.56848667425338562</c:v>
                </c:pt>
                <c:pt idx="23">
                  <c:v>-0.41983976428753422</c:v>
                </c:pt>
                <c:pt idx="24">
                  <c:v>-0.21039451413196275</c:v>
                </c:pt>
                <c:pt idx="25">
                  <c:v>5.98490762133288E-2</c:v>
                </c:pt>
                <c:pt idx="26">
                  <c:v>0.39089100674834043</c:v>
                </c:pt>
                <c:pt idx="27">
                  <c:v>0.78273127747307214</c:v>
                </c:pt>
                <c:pt idx="28">
                  <c:v>1.235369888387531</c:v>
                </c:pt>
                <c:pt idx="29">
                  <c:v>1.7488068394917029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99-D04C-9443-EF31AFFF1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NoSpline1!$E$5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{A06077AF-86FB-8340-9140-A3CC0762D206}</c15:txfldGUID>
                      <c15:f>NoSpline1!$E$5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CFD-7045-A9C6-4D5173CFA48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CFD-7045-A9C6-4D5173CFA48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FD-7045-A9C6-4D5173CFA48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FD-7045-A9C6-4D5173CFA48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FD-7045-A9C6-4D5173CFA48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CFD-7045-A9C6-4D5173CFA48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FD-7045-A9C6-4D5173CFA48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FD-7045-A9C6-4D5173CFA48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FD-7045-A9C6-4D5173CFA48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CFD-7045-A9C6-4D5173CFA48D}"/>
                </c:ext>
              </c:extLst>
            </c:dLbl>
            <c:dLbl>
              <c:idx val="10"/>
              <c:tx>
                <c:strRef>
                  <c:f>NoSpline1!$E$15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7702089009990904E-2"/>
                      <c:h val="5.3162544169611303E-2"/>
                    </c:manualLayout>
                  </c15:layout>
                  <c15:dlblFieldTable>
                    <c15:dlblFTEntry>
                      <c15:txfldGUID>{71E4FB2E-830F-5A4D-AF83-0E5B594D7BE0}</c15:txfldGUID>
                      <c15:f>NoSpline1!$E$15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3CFD-7045-A9C6-4D5173CFA48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FD-7045-A9C6-4D5173CFA48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FD-7045-A9C6-4D5173CFA48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CFD-7045-A9C6-4D5173CFA48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CFD-7045-A9C6-4D5173CFA48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CFD-7045-A9C6-4D5173CFA48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CFD-7045-A9C6-4D5173CFA48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CFD-7045-A9C6-4D5173CFA48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CFD-7045-A9C6-4D5173CFA48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CFD-7045-A9C6-4D5173CFA48D}"/>
                </c:ext>
              </c:extLst>
            </c:dLbl>
            <c:dLbl>
              <c:idx val="20"/>
              <c:tx>
                <c:strRef>
                  <c:f>NoSpline1!$E$25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{1F3FCB2F-39AE-3245-9C88-3EFA8BC27DE4}</c15:txfldGUID>
                      <c15:f>NoSpline1!$E$25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3CFD-7045-A9C6-4D5173CFA4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NoSpline1!$C$5:$C$25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NoSpline1!$D$5:$D$25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6.3000000000000007</c:v>
                </c:pt>
                <c:pt idx="12">
                  <c:v>6.6000000000000014</c:v>
                </c:pt>
                <c:pt idx="13">
                  <c:v>6.8999999999999986</c:v>
                </c:pt>
                <c:pt idx="14">
                  <c:v>7.1999999999999993</c:v>
                </c:pt>
                <c:pt idx="15">
                  <c:v>7.5</c:v>
                </c:pt>
                <c:pt idx="16">
                  <c:v>7.8000000000000007</c:v>
                </c:pt>
                <c:pt idx="17">
                  <c:v>8.1000000000000014</c:v>
                </c:pt>
                <c:pt idx="18">
                  <c:v>8.3999999999999986</c:v>
                </c:pt>
                <c:pt idx="19">
                  <c:v>8.6999999999999993</c:v>
                </c:pt>
                <c:pt idx="20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CFD-7045-A9C6-4D5173CFA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191920"/>
        <c:axId val="2134194240"/>
      </c:scatterChart>
      <c:valAx>
        <c:axId val="213419192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4240"/>
        <c:crosses val="autoZero"/>
        <c:crossBetween val="midCat"/>
        <c:majorUnit val="1"/>
      </c:valAx>
      <c:valAx>
        <c:axId val="213419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NoSpline2!$E$5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{84728B3A-389E-9443-84D9-245EB5B3EFEC}</c15:txfldGUID>
                      <c15:f>NoSpline2!$E$5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F972-7541-B1E6-32DF7D4A1ED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972-7541-B1E6-32DF7D4A1ED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972-7541-B1E6-32DF7D4A1ED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72-7541-B1E6-32DF7D4A1ED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972-7541-B1E6-32DF7D4A1ED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972-7541-B1E6-32DF7D4A1ED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972-7541-B1E6-32DF7D4A1ED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972-7541-B1E6-32DF7D4A1ED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972-7541-B1E6-32DF7D4A1ED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972-7541-B1E6-32DF7D4A1EDD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NoSpline2!$E$15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>
                    <c15:dlblFTEntry>
                      <c15:txfldGUID>{34FCE01D-FDEA-DC44-A91F-8FAF30B02E89}</c15:txfldGUID>
                      <c15:f>NoSpline2!$E$15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F972-7541-B1E6-32DF7D4A1ED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972-7541-B1E6-32DF7D4A1ED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972-7541-B1E6-32DF7D4A1ED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972-7541-B1E6-32DF7D4A1ED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972-7541-B1E6-32DF7D4A1ED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972-7541-B1E6-32DF7D4A1ED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972-7541-B1E6-32DF7D4A1ED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972-7541-B1E6-32DF7D4A1ED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972-7541-B1E6-32DF7D4A1ED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972-7541-B1E6-32DF7D4A1EDD}"/>
                </c:ext>
              </c:extLst>
            </c:dLbl>
            <c:dLbl>
              <c:idx val="20"/>
              <c:tx>
                <c:strRef>
                  <c:f>NoSpline2!$E$25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{60650B42-5C73-2A49-96B7-195B185541DB}</c15:txfldGUID>
                      <c15:f>NoSpline2!$E$25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F972-7541-B1E6-32DF7D4A1E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NoSpline2!$C$5:$C$25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NoSpline2!$D$5:$D$25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972-7541-B1E6-32DF7D4A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56080"/>
        <c:axId val="2134058400"/>
      </c:scatterChart>
      <c:valAx>
        <c:axId val="213405608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8400"/>
        <c:crosses val="autoZero"/>
        <c:crossBetween val="midCat"/>
        <c:majorUnit val="1"/>
      </c:valAx>
      <c:valAx>
        <c:axId val="213405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NoSpline3!$E$5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{865DA1F7-7439-614D-96AD-3F8967D1D743}</c15:txfldGUID>
                      <c15:f>NoSpline3!$E$5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7A44-A949-A42D-A331FE17F0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44-A949-A42D-A331FE17F0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44-A949-A42D-A331FE17F05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44-A949-A42D-A331FE17F05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A44-A949-A42D-A331FE17F05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44-A949-A42D-A331FE17F05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44-A949-A42D-A331FE17F05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A44-A949-A42D-A331FE17F055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A44-A949-A42D-A331FE17F05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A44-A949-A42D-A331FE17F055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NoSpline3!$E$15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>
                    <c15:dlblFTEntry>
                      <c15:txfldGUID>{6443A1D8-EAC9-F549-8219-8B23CBD9C8D6}</c15:txfldGUID>
                      <c15:f>NoSpline3!$E$15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7A44-A949-A42D-A331FE17F05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A44-A949-A42D-A331FE17F05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A44-A949-A42D-A331FE17F05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A44-A949-A42D-A331FE17F05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A44-A949-A42D-A331FE17F05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A44-A949-A42D-A331FE17F05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A44-A949-A42D-A331FE17F05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A44-A949-A42D-A331FE17F05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A44-A949-A42D-A331FE17F05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A44-A949-A42D-A331FE17F055}"/>
                </c:ext>
              </c:extLst>
            </c:dLbl>
            <c:dLbl>
              <c:idx val="20"/>
              <c:tx>
                <c:strRef>
                  <c:f>NoSpline3!$E$25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{E448AFE3-7619-784C-84D4-06C4A1E6D51F}</c15:txfldGUID>
                      <c15:f>NoSpline3!$E$25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7A44-A949-A42D-A331FE17F0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NoSpline3!$C$5:$C$25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NoSpline3!$D$5:$D$25</c:f>
              <c:numCache>
                <c:formatCode>General</c:formatCode>
                <c:ptCount val="21"/>
                <c:pt idx="0">
                  <c:v>5</c:v>
                </c:pt>
                <c:pt idx="1">
                  <c:v>5.0999999999999996</c:v>
                </c:pt>
                <c:pt idx="2">
                  <c:v>5.2</c:v>
                </c:pt>
                <c:pt idx="3">
                  <c:v>5.3</c:v>
                </c:pt>
                <c:pt idx="4">
                  <c:v>5.4</c:v>
                </c:pt>
                <c:pt idx="5">
                  <c:v>5.5</c:v>
                </c:pt>
                <c:pt idx="6">
                  <c:v>5.6</c:v>
                </c:pt>
                <c:pt idx="7">
                  <c:v>5.7</c:v>
                </c:pt>
                <c:pt idx="8">
                  <c:v>5.8</c:v>
                </c:pt>
                <c:pt idx="9">
                  <c:v>5.9</c:v>
                </c:pt>
                <c:pt idx="10">
                  <c:v>6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A44-A949-A42D-A331FE17F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17296"/>
        <c:axId val="2134019616"/>
      </c:scatterChart>
      <c:valAx>
        <c:axId val="213401729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9616"/>
        <c:crosses val="autoZero"/>
        <c:crossBetween val="midCat"/>
        <c:majorUnit val="1"/>
      </c:valAx>
      <c:valAx>
        <c:axId val="21340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7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CubicSpline1!$D$12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{C0DBEE9A-903C-E84C-9939-447AD036E194}</c15:txfldGUID>
                      <c15:f>CubicSpline1!$D$12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8FDA-6046-A727-2EE150EF1D5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DA-6046-A727-2EE150EF1D5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DA-6046-A727-2EE150EF1D5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DA-6046-A727-2EE150EF1D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CubicSpline1!$B$12:$B$15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CubicSpline1!$C$12:$C$15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DA-6046-A727-2EE150EF1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71184"/>
        <c:axId val="2133973232"/>
      </c:scatterChart>
      <c:valAx>
        <c:axId val="213397118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3232"/>
        <c:crosses val="autoZero"/>
        <c:crossBetween val="midCat"/>
        <c:majorUnit val="1"/>
      </c:valAx>
      <c:valAx>
        <c:axId val="213397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CubicSpline2!$D$12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{A73AFBCC-CE5E-C647-9D74-DDADCC8DA9BE}</c15:txfldGUID>
                      <c15:f>CubicSpline2!$D$12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ACE-2F4C-89DA-59705C2C623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CE-2F4C-89DA-59705C2C623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CE-2F4C-89DA-59705C2C623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CE-2F4C-89DA-59705C2C62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CubicSpline2!$B$12:$B$15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CubicSpline2!$C$12:$C$15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CE-2F4C-89DA-59705C2C6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32528"/>
        <c:axId val="2133934848"/>
      </c:scatterChart>
      <c:valAx>
        <c:axId val="2133932528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4848"/>
        <c:crosses val="autoZero"/>
        <c:crossBetween val="midCat"/>
        <c:majorUnit val="1"/>
      </c:valAx>
      <c:valAx>
        <c:axId val="213393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2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CubicSpline3!$D$12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{9179BA83-32CD-924B-AD35-906CDFA3A8B7}</c15:txfldGUID>
                      <c15:f>CubicSpline3!$D$12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5B1-3A42-82FE-1743177B9A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B1-3A42-82FE-1743177B9AB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B1-3A42-82FE-1743177B9AB1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B1-3A42-82FE-1743177B9A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CubicSpline3!$B$12:$B$15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CubicSpline3!$C$12:$C$15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5B1-3A42-82FE-1743177B9AB1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CubicSpline3!$AB$8:$AB$38</c:f>
              <c:numCache>
                <c:formatCode>General</c:formatCode>
                <c:ptCount val="3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  <c:pt idx="21">
                  <c:v>4.0999999999999996</c:v>
                </c:pt>
                <c:pt idx="22">
                  <c:v>4.2</c:v>
                </c:pt>
                <c:pt idx="23">
                  <c:v>4.3</c:v>
                </c:pt>
                <c:pt idx="24">
                  <c:v>4.4000000000000004</c:v>
                </c:pt>
                <c:pt idx="25">
                  <c:v>4.5</c:v>
                </c:pt>
                <c:pt idx="26">
                  <c:v>4.5999999999999996</c:v>
                </c:pt>
                <c:pt idx="27">
                  <c:v>4.7</c:v>
                </c:pt>
                <c:pt idx="28">
                  <c:v>4.8</c:v>
                </c:pt>
                <c:pt idx="29">
                  <c:v>4.9000000000000004</c:v>
                </c:pt>
                <c:pt idx="30">
                  <c:v>5</c:v>
                </c:pt>
              </c:numCache>
            </c:numRef>
          </c:xVal>
          <c:yVal>
            <c:numRef>
              <c:f>CubicSpline3!$AC$8:$AC$38</c:f>
              <c:numCache>
                <c:formatCode>General</c:formatCode>
                <c:ptCount val="31"/>
                <c:pt idx="0">
                  <c:v>1.0000000000000129</c:v>
                </c:pt>
                <c:pt idx="1">
                  <c:v>1.9706000000000174</c:v>
                </c:pt>
                <c:pt idx="2">
                  <c:v>2.9248000000000105</c:v>
                </c:pt>
                <c:pt idx="3">
                  <c:v>3.8462000000000161</c:v>
                </c:pt>
                <c:pt idx="4">
                  <c:v>4.718400000000015</c:v>
                </c:pt>
                <c:pt idx="5">
                  <c:v>5.5250000000000181</c:v>
                </c:pt>
                <c:pt idx="6">
                  <c:v>6.2496000000000063</c:v>
                </c:pt>
                <c:pt idx="7">
                  <c:v>6.8758000000000177</c:v>
                </c:pt>
                <c:pt idx="8">
                  <c:v>7.3871999999999982</c:v>
                </c:pt>
                <c:pt idx="9">
                  <c:v>7.7674000000000145</c:v>
                </c:pt>
                <c:pt idx="10">
                  <c:v>8.0000000000001137</c:v>
                </c:pt>
                <c:pt idx="11">
                  <c:v>8.075999999999965</c:v>
                </c:pt>
                <c:pt idx="12">
                  <c:v>8.0160000000000196</c:v>
                </c:pt>
                <c:pt idx="13">
                  <c:v>7.84800000000007</c:v>
                </c:pt>
                <c:pt idx="14">
                  <c:v>7.5999999999999659</c:v>
                </c:pt>
                <c:pt idx="15">
                  <c:v>7.3000000000000682</c:v>
                </c:pt>
                <c:pt idx="16">
                  <c:v>6.9759999999999991</c:v>
                </c:pt>
                <c:pt idx="17">
                  <c:v>6.6560000000001196</c:v>
                </c:pt>
                <c:pt idx="18">
                  <c:v>6.367999999999995</c:v>
                </c:pt>
                <c:pt idx="19">
                  <c:v>6.1399999999999864</c:v>
                </c:pt>
                <c:pt idx="20">
                  <c:v>5.9999999999999716</c:v>
                </c:pt>
                <c:pt idx="21">
                  <c:v>5.9694000000000926</c:v>
                </c:pt>
                <c:pt idx="22">
                  <c:v>6.0431999999999277</c:v>
                </c:pt>
                <c:pt idx="23">
                  <c:v>6.2098000000000013</c:v>
                </c:pt>
                <c:pt idx="24">
                  <c:v>6.4575999999999851</c:v>
                </c:pt>
                <c:pt idx="25">
                  <c:v>6.774999999999892</c:v>
                </c:pt>
                <c:pt idx="26">
                  <c:v>7.1503999999999053</c:v>
                </c:pt>
                <c:pt idx="27">
                  <c:v>7.5721999999998673</c:v>
                </c:pt>
                <c:pt idx="28">
                  <c:v>8.0287999999999045</c:v>
                </c:pt>
                <c:pt idx="29">
                  <c:v>8.5085999999998592</c:v>
                </c:pt>
                <c:pt idx="30">
                  <c:v>8.999999999999801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5B1-3A42-82FE-1743177B9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65216"/>
        <c:axId val="2133867536"/>
      </c:scatterChart>
      <c:valAx>
        <c:axId val="213386521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7536"/>
        <c:crosses val="autoZero"/>
        <c:crossBetween val="midCat"/>
        <c:majorUnit val="1"/>
      </c:valAx>
      <c:valAx>
        <c:axId val="21338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2C-BD4A-9113-16494D2FC425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CubicSpline_YC!$E$100:$E$400</c:f>
              <c:numCache>
                <c:formatCode>0.00%</c:formatCode>
                <c:ptCount val="301"/>
                <c:pt idx="0">
                  <c:v>-7.839151029209042E-17</c:v>
                </c:pt>
                <c:pt idx="1">
                  <c:v>1.9782185860547689E-3</c:v>
                </c:pt>
                <c:pt idx="2">
                  <c:v>3.9577572578032632E-3</c:v>
                </c:pt>
                <c:pt idx="3">
                  <c:v>5.9399361009390495E-3</c:v>
                </c:pt>
                <c:pt idx="4">
                  <c:v>7.926075201155772E-3</c:v>
                </c:pt>
                <c:pt idx="5">
                  <c:v>9.9174946441470818E-3</c:v>
                </c:pt>
                <c:pt idx="6">
                  <c:v>1.191551451560662E-2</c:v>
                </c:pt>
                <c:pt idx="7">
                  <c:v>1.3921454901228035E-2</c:v>
                </c:pt>
                <c:pt idx="8">
                  <c:v>1.5936635886704971E-2</c:v>
                </c:pt>
                <c:pt idx="9">
                  <c:v>1.7962377557731078E-2</c:v>
                </c:pt>
                <c:pt idx="10">
                  <c:v>1.9999999999999959E-2</c:v>
                </c:pt>
                <c:pt idx="11">
                  <c:v>2.2047372509591698E-2</c:v>
                </c:pt>
                <c:pt idx="12">
                  <c:v>2.4088561224131659E-2</c:v>
                </c:pt>
                <c:pt idx="13">
                  <c:v>2.6104181491631628E-2</c:v>
                </c:pt>
                <c:pt idx="14">
                  <c:v>2.807484866010336E-2</c:v>
                </c:pt>
                <c:pt idx="15">
                  <c:v>2.9981178077558637E-2</c:v>
                </c:pt>
                <c:pt idx="16">
                  <c:v>3.1803785092009228E-2</c:v>
                </c:pt>
                <c:pt idx="17">
                  <c:v>3.3523285051466879E-2</c:v>
                </c:pt>
                <c:pt idx="18">
                  <c:v>3.5120293303943388E-2</c:v>
                </c:pt>
                <c:pt idx="19">
                  <c:v>3.6575425197450516E-2</c:v>
                </c:pt>
                <c:pt idx="20">
                  <c:v>3.7869296079999969E-2</c:v>
                </c:pt>
                <c:pt idx="21">
                  <c:v>3.8989532279398241E-2</c:v>
                </c:pt>
                <c:pt idx="22">
                  <c:v>3.9951804042629969E-2</c:v>
                </c:pt>
                <c:pt idx="23">
                  <c:v>4.0778792596474399E-2</c:v>
                </c:pt>
                <c:pt idx="24">
                  <c:v>4.1493179167710774E-2</c:v>
                </c:pt>
                <c:pt idx="25">
                  <c:v>4.2117644983118423E-2</c:v>
                </c:pt>
                <c:pt idx="26">
                  <c:v>4.2674871269476632E-2</c:v>
                </c:pt>
                <c:pt idx="27">
                  <c:v>4.3187539253564604E-2</c:v>
                </c:pt>
                <c:pt idx="28">
                  <c:v>4.3678330162161737E-2</c:v>
                </c:pt>
                <c:pt idx="29">
                  <c:v>4.4169925222047123E-2</c:v>
                </c:pt>
                <c:pt idx="30">
                  <c:v>4.4685005660000235E-2</c:v>
                </c:pt>
                <c:pt idx="31">
                  <c:v>4.5241636042315486E-2</c:v>
                </c:pt>
                <c:pt idx="32">
                  <c:v>4.5839414293348757E-2</c:v>
                </c:pt>
                <c:pt idx="33">
                  <c:v>4.6473321676971199E-2</c:v>
                </c:pt>
                <c:pt idx="34">
                  <c:v>4.7138339457053938E-2</c:v>
                </c:pt>
                <c:pt idx="35">
                  <c:v>4.7829448897468096E-2</c:v>
                </c:pt>
                <c:pt idx="36">
                  <c:v>4.8541631262084828E-2</c:v>
                </c:pt>
                <c:pt idx="37">
                  <c:v>4.9269867814775201E-2</c:v>
                </c:pt>
                <c:pt idx="38">
                  <c:v>5.0009139819410409E-2</c:v>
                </c:pt>
                <c:pt idx="39">
                  <c:v>5.0754428539861535E-2</c:v>
                </c:pt>
                <c:pt idx="40">
                  <c:v>5.1500715239999349E-2</c:v>
                </c:pt>
                <c:pt idx="41">
                  <c:v>5.2243383259339998E-2</c:v>
                </c:pt>
                <c:pt idx="42">
                  <c:v>5.2979424239975044E-2</c:v>
                </c:pt>
                <c:pt idx="43">
                  <c:v>5.370623189964073E-2</c:v>
                </c:pt>
                <c:pt idx="44">
                  <c:v>5.4421199956073252E-2</c:v>
                </c:pt>
                <c:pt idx="45">
                  <c:v>5.5121722127008832E-2</c:v>
                </c:pt>
                <c:pt idx="46">
                  <c:v>5.580519213018368E-2</c:v>
                </c:pt>
                <c:pt idx="47">
                  <c:v>5.6469003683334011E-2</c:v>
                </c:pt>
                <c:pt idx="48">
                  <c:v>5.7110550504196007E-2</c:v>
                </c:pt>
                <c:pt idx="49">
                  <c:v>5.7727226310505947E-2</c:v>
                </c:pt>
                <c:pt idx="50">
                  <c:v>5.8316424820001503E-2</c:v>
                </c:pt>
                <c:pt idx="51">
                  <c:v>5.88761417062168E-2</c:v>
                </c:pt>
                <c:pt idx="52">
                  <c:v>5.9406780465894385E-2</c:v>
                </c:pt>
                <c:pt idx="53">
                  <c:v>5.9909346551576231E-2</c:v>
                </c:pt>
                <c:pt idx="54">
                  <c:v>6.0384845415804397E-2</c:v>
                </c:pt>
                <c:pt idx="55">
                  <c:v>6.0834282511120788E-2</c:v>
                </c:pt>
                <c:pt idx="56">
                  <c:v>6.1258663290067378E-2</c:v>
                </c:pt>
                <c:pt idx="57">
                  <c:v>6.1658993205186183E-2</c:v>
                </c:pt>
                <c:pt idx="58">
                  <c:v>6.2036277709019177E-2</c:v>
                </c:pt>
                <c:pt idx="59">
                  <c:v>6.2391522254108378E-2</c:v>
                </c:pt>
                <c:pt idx="60">
                  <c:v>6.2725732292995676E-2</c:v>
                </c:pt>
                <c:pt idx="61">
                  <c:v>6.3039913278223128E-2</c:v>
                </c:pt>
                <c:pt idx="62">
                  <c:v>6.3335070662332696E-2</c:v>
                </c:pt>
                <c:pt idx="63">
                  <c:v>6.361220989786634E-2</c:v>
                </c:pt>
                <c:pt idx="64">
                  <c:v>6.3872336437366062E-2</c:v>
                </c:pt>
                <c:pt idx="65">
                  <c:v>6.4116455733373809E-2</c:v>
                </c:pt>
                <c:pt idx="66">
                  <c:v>6.4345573238431611E-2</c:v>
                </c:pt>
                <c:pt idx="67">
                  <c:v>6.4560694405081456E-2</c:v>
                </c:pt>
                <c:pt idx="68">
                  <c:v>6.4762824685865264E-2</c:v>
                </c:pt>
                <c:pt idx="69">
                  <c:v>6.4952969533325008E-2</c:v>
                </c:pt>
                <c:pt idx="70">
                  <c:v>6.5132134399999694E-2</c:v>
                </c:pt>
                <c:pt idx="71">
                  <c:v>6.5301215193002277E-2</c:v>
                </c:pt>
                <c:pt idx="72">
                  <c:v>6.5460669637696811E-2</c:v>
                </c:pt>
                <c:pt idx="73">
                  <c:v>6.5610845914015281E-2</c:v>
                </c:pt>
                <c:pt idx="74">
                  <c:v>6.5752092201889684E-2</c:v>
                </c:pt>
                <c:pt idx="75">
                  <c:v>6.5884756681252016E-2</c:v>
                </c:pt>
                <c:pt idx="76">
                  <c:v>6.6009187532034302E-2</c:v>
                </c:pt>
                <c:pt idx="77">
                  <c:v>6.6125732934168541E-2</c:v>
                </c:pt>
                <c:pt idx="78">
                  <c:v>6.6234741067586742E-2</c:v>
                </c:pt>
                <c:pt idx="79">
                  <c:v>6.6336560112220874E-2</c:v>
                </c:pt>
                <c:pt idx="80">
                  <c:v>6.6431538248002978E-2</c:v>
                </c:pt>
                <c:pt idx="81">
                  <c:v>6.6520023654865035E-2</c:v>
                </c:pt>
                <c:pt idx="82">
                  <c:v>6.6602364512739043E-2</c:v>
                </c:pt>
                <c:pt idx="83">
                  <c:v>6.6678909001557013E-2</c:v>
                </c:pt>
                <c:pt idx="84">
                  <c:v>6.675000530125097E-2</c:v>
                </c:pt>
                <c:pt idx="85">
                  <c:v>6.6816001591752883E-2</c:v>
                </c:pt>
                <c:pt idx="86">
                  <c:v>6.6877246052994735E-2</c:v>
                </c:pt>
                <c:pt idx="87">
                  <c:v>6.6934086864908579E-2</c:v>
                </c:pt>
                <c:pt idx="88">
                  <c:v>6.6986872207426412E-2</c:v>
                </c:pt>
                <c:pt idx="89">
                  <c:v>6.7035950260480176E-2</c:v>
                </c:pt>
                <c:pt idx="90">
                  <c:v>6.7081669204001965E-2</c:v>
                </c:pt>
                <c:pt idx="91">
                  <c:v>6.712437721792372E-2</c:v>
                </c:pt>
                <c:pt idx="92">
                  <c:v>6.7164422482177466E-2</c:v>
                </c:pt>
                <c:pt idx="93">
                  <c:v>6.7202153176695145E-2</c:v>
                </c:pt>
                <c:pt idx="94">
                  <c:v>6.7237917481408851E-2</c:v>
                </c:pt>
                <c:pt idx="95">
                  <c:v>6.727206357625054E-2</c:v>
                </c:pt>
                <c:pt idx="96">
                  <c:v>6.7304939641152223E-2</c:v>
                </c:pt>
                <c:pt idx="97">
                  <c:v>6.733689385604591E-2</c:v>
                </c:pt>
                <c:pt idx="98">
                  <c:v>6.7368274400863584E-2</c:v>
                </c:pt>
                <c:pt idx="99">
                  <c:v>6.7399429455537285E-2</c:v>
                </c:pt>
                <c:pt idx="100">
                  <c:v>6.743070719999894E-2</c:v>
                </c:pt>
                <c:pt idx="101">
                  <c:v>6.7462397391801696E-2</c:v>
                </c:pt>
                <c:pt idx="102">
                  <c:v>6.7494556098974728E-2</c:v>
                </c:pt>
                <c:pt idx="103">
                  <c:v>6.7527180967170544E-2</c:v>
                </c:pt>
                <c:pt idx="104">
                  <c:v>6.756026964204058E-2</c:v>
                </c:pt>
                <c:pt idx="105">
                  <c:v>6.7593819769236202E-2</c:v>
                </c:pt>
                <c:pt idx="106">
                  <c:v>6.7627828994408848E-2</c:v>
                </c:pt>
                <c:pt idx="107">
                  <c:v>6.7662294963209885E-2</c:v>
                </c:pt>
                <c:pt idx="108">
                  <c:v>6.7697215321290735E-2</c:v>
                </c:pt>
                <c:pt idx="109">
                  <c:v>6.773258771430278E-2</c:v>
                </c:pt>
                <c:pt idx="110">
                  <c:v>6.776840978789743E-2</c:v>
                </c:pt>
                <c:pt idx="111">
                  <c:v>6.7804679187726091E-2</c:v>
                </c:pt>
                <c:pt idx="112">
                  <c:v>6.7841393559440161E-2</c:v>
                </c:pt>
                <c:pt idx="113">
                  <c:v>6.7878550548691019E-2</c:v>
                </c:pt>
                <c:pt idx="114">
                  <c:v>6.7916147801130089E-2</c:v>
                </c:pt>
                <c:pt idx="115">
                  <c:v>6.7954182962408766E-2</c:v>
                </c:pt>
                <c:pt idx="116">
                  <c:v>6.7992653678178444E-2</c:v>
                </c:pt>
                <c:pt idx="117">
                  <c:v>6.8031557594090533E-2</c:v>
                </c:pt>
                <c:pt idx="118">
                  <c:v>6.8070892355796414E-2</c:v>
                </c:pt>
                <c:pt idx="119">
                  <c:v>6.811065560894751E-2</c:v>
                </c:pt>
                <c:pt idx="120">
                  <c:v>6.8150844999195201E-2</c:v>
                </c:pt>
                <c:pt idx="121">
                  <c:v>6.8191458172190897E-2</c:v>
                </c:pt>
                <c:pt idx="122">
                  <c:v>6.8232492773585993E-2</c:v>
                </c:pt>
                <c:pt idx="123">
                  <c:v>6.8273946449031897E-2</c:v>
                </c:pt>
                <c:pt idx="124">
                  <c:v>6.8315816844180005E-2</c:v>
                </c:pt>
                <c:pt idx="125">
                  <c:v>6.8358101604681726E-2</c:v>
                </c:pt>
                <c:pt idx="126">
                  <c:v>6.840079837618844E-2</c:v>
                </c:pt>
                <c:pt idx="127">
                  <c:v>6.8443904804351557E-2</c:v>
                </c:pt>
                <c:pt idx="128">
                  <c:v>6.8487418534822486E-2</c:v>
                </c:pt>
                <c:pt idx="129">
                  <c:v>6.8531337213252622E-2</c:v>
                </c:pt>
                <c:pt idx="130">
                  <c:v>6.8575658485293345E-2</c:v>
                </c:pt>
                <c:pt idx="131">
                  <c:v>6.8620379996596079E-2</c:v>
                </c:pt>
                <c:pt idx="132">
                  <c:v>6.8665499392812218E-2</c:v>
                </c:pt>
                <c:pt idx="133">
                  <c:v>6.8711014319593172E-2</c:v>
                </c:pt>
                <c:pt idx="134">
                  <c:v>6.8756922422590308E-2</c:v>
                </c:pt>
                <c:pt idx="135">
                  <c:v>6.8803221347455062E-2</c:v>
                </c:pt>
                <c:pt idx="136">
                  <c:v>6.8849908739838817E-2</c:v>
                </c:pt>
                <c:pt idx="137">
                  <c:v>6.8896982245392965E-2</c:v>
                </c:pt>
                <c:pt idx="138">
                  <c:v>6.8944439509768932E-2</c:v>
                </c:pt>
                <c:pt idx="139">
                  <c:v>6.8992278178618097E-2</c:v>
                </c:pt>
                <c:pt idx="140">
                  <c:v>6.9040495897591869E-2</c:v>
                </c:pt>
                <c:pt idx="141">
                  <c:v>6.9089090312341631E-2</c:v>
                </c:pt>
                <c:pt idx="142">
                  <c:v>6.9138059068518817E-2</c:v>
                </c:pt>
                <c:pt idx="143">
                  <c:v>6.9187399811774783E-2</c:v>
                </c:pt>
                <c:pt idx="144">
                  <c:v>6.9237110187760964E-2</c:v>
                </c:pt>
                <c:pt idx="145">
                  <c:v>6.9287187842128756E-2</c:v>
                </c:pt>
                <c:pt idx="146">
                  <c:v>6.9337630420529539E-2</c:v>
                </c:pt>
                <c:pt idx="147">
                  <c:v>6.9388435568614737E-2</c:v>
                </c:pt>
                <c:pt idx="148">
                  <c:v>6.943960093203573E-2</c:v>
                </c:pt>
                <c:pt idx="149">
                  <c:v>6.9491124156443929E-2</c:v>
                </c:pt>
                <c:pt idx="150">
                  <c:v>6.9543002887490726E-2</c:v>
                </c:pt>
                <c:pt idx="151">
                  <c:v>6.9595234770827533E-2</c:v>
                </c:pt>
                <c:pt idx="152">
                  <c:v>6.9647817452105742E-2</c:v>
                </c:pt>
                <c:pt idx="153">
                  <c:v>6.9700748576976751E-2</c:v>
                </c:pt>
                <c:pt idx="154">
                  <c:v>6.9754025791091967E-2</c:v>
                </c:pt>
                <c:pt idx="155">
                  <c:v>6.9807646740102786E-2</c:v>
                </c:pt>
                <c:pt idx="156">
                  <c:v>6.9861609069660602E-2</c:v>
                </c:pt>
                <c:pt idx="157">
                  <c:v>6.9915910425416838E-2</c:v>
                </c:pt>
                <c:pt idx="158">
                  <c:v>6.9970548453022863E-2</c:v>
                </c:pt>
                <c:pt idx="159">
                  <c:v>7.0025520798130084E-2</c:v>
                </c:pt>
                <c:pt idx="160">
                  <c:v>7.0080825106389924E-2</c:v>
                </c:pt>
                <c:pt idx="161">
                  <c:v>7.0136459023453751E-2</c:v>
                </c:pt>
                <c:pt idx="162">
                  <c:v>7.0192420194973001E-2</c:v>
                </c:pt>
                <c:pt idx="163">
                  <c:v>7.0248706266599042E-2</c:v>
                </c:pt>
                <c:pt idx="164">
                  <c:v>7.0305314883983283E-2</c:v>
                </c:pt>
                <c:pt idx="165">
                  <c:v>7.0362243692777132E-2</c:v>
                </c:pt>
                <c:pt idx="166">
                  <c:v>7.0419490338631985E-2</c:v>
                </c:pt>
                <c:pt idx="167">
                  <c:v>7.0477052467199236E-2</c:v>
                </c:pt>
                <c:pt idx="168">
                  <c:v>7.0534927724130295E-2</c:v>
                </c:pt>
                <c:pt idx="169">
                  <c:v>7.0593113755076556E-2</c:v>
                </c:pt>
                <c:pt idx="170">
                  <c:v>7.0651608205689415E-2</c:v>
                </c:pt>
                <c:pt idx="171">
                  <c:v>7.071040872162028E-2</c:v>
                </c:pt>
                <c:pt idx="172">
                  <c:v>7.0769512948520547E-2</c:v>
                </c:pt>
                <c:pt idx="173">
                  <c:v>7.0828918532041624E-2</c:v>
                </c:pt>
                <c:pt idx="174">
                  <c:v>7.0888623117834892E-2</c:v>
                </c:pt>
                <c:pt idx="175">
                  <c:v>7.0948624351551776E-2</c:v>
                </c:pt>
                <c:pt idx="176">
                  <c:v>7.100891987884364E-2</c:v>
                </c:pt>
                <c:pt idx="177">
                  <c:v>7.1069507345361924E-2</c:v>
                </c:pt>
                <c:pt idx="178">
                  <c:v>7.113038439675802E-2</c:v>
                </c:pt>
                <c:pt idx="179">
                  <c:v>7.1191548678683297E-2</c:v>
                </c:pt>
                <c:pt idx="180">
                  <c:v>7.1252997836789192E-2</c:v>
                </c:pt>
                <c:pt idx="181">
                  <c:v>7.1314729516727085E-2</c:v>
                </c:pt>
                <c:pt idx="182">
                  <c:v>7.1376741364148372E-2</c:v>
                </c:pt>
                <c:pt idx="183">
                  <c:v>7.1439031024704475E-2</c:v>
                </c:pt>
                <c:pt idx="184">
                  <c:v>7.1501596144046775E-2</c:v>
                </c:pt>
                <c:pt idx="185">
                  <c:v>7.1564434367826682E-2</c:v>
                </c:pt>
                <c:pt idx="186">
                  <c:v>7.162754334169559E-2</c:v>
                </c:pt>
                <c:pt idx="187">
                  <c:v>7.1690920711304895E-2</c:v>
                </c:pt>
                <c:pt idx="188">
                  <c:v>7.1754564122306005E-2</c:v>
                </c:pt>
                <c:pt idx="189">
                  <c:v>7.1818471220350316E-2</c:v>
                </c:pt>
                <c:pt idx="190">
                  <c:v>7.1882639651089222E-2</c:v>
                </c:pt>
                <c:pt idx="191">
                  <c:v>7.1947067060174147E-2</c:v>
                </c:pt>
                <c:pt idx="192">
                  <c:v>7.2011751093256471E-2</c:v>
                </c:pt>
                <c:pt idx="193">
                  <c:v>7.2076689395987589E-2</c:v>
                </c:pt>
                <c:pt idx="194">
                  <c:v>7.2141879614018911E-2</c:v>
                </c:pt>
                <c:pt idx="195">
                  <c:v>7.2207319393001845E-2</c:v>
                </c:pt>
                <c:pt idx="196">
                  <c:v>7.2273006378587773E-2</c:v>
                </c:pt>
                <c:pt idx="197">
                  <c:v>7.2338938216428103E-2</c:v>
                </c:pt>
                <c:pt idx="198">
                  <c:v>7.2405112552174231E-2</c:v>
                </c:pt>
                <c:pt idx="199">
                  <c:v>7.2471527031477564E-2</c:v>
                </c:pt>
                <c:pt idx="200">
                  <c:v>7.25381792999895E-2</c:v>
                </c:pt>
                <c:pt idx="201">
                  <c:v>7.2605067003361445E-2</c:v>
                </c:pt>
                <c:pt idx="202">
                  <c:v>7.2672187787244782E-2</c:v>
                </c:pt>
                <c:pt idx="203">
                  <c:v>7.2739539297290934E-2</c:v>
                </c:pt>
                <c:pt idx="204">
                  <c:v>7.2807119179151281E-2</c:v>
                </c:pt>
                <c:pt idx="205">
                  <c:v>7.2874925078477232E-2</c:v>
                </c:pt>
                <c:pt idx="206">
                  <c:v>7.2942954640920182E-2</c:v>
                </c:pt>
                <c:pt idx="207">
                  <c:v>7.3011205512131527E-2</c:v>
                </c:pt>
                <c:pt idx="208">
                  <c:v>7.307967533776269E-2</c:v>
                </c:pt>
                <c:pt idx="209">
                  <c:v>7.3148361763465036E-2</c:v>
                </c:pt>
                <c:pt idx="210">
                  <c:v>7.3217262434890004E-2</c:v>
                </c:pt>
                <c:pt idx="211">
                  <c:v>7.3286374997688961E-2</c:v>
                </c:pt>
                <c:pt idx="212">
                  <c:v>7.3355697097513328E-2</c:v>
                </c:pt>
                <c:pt idx="213">
                  <c:v>7.3425226380014488E-2</c:v>
                </c:pt>
                <c:pt idx="214">
                  <c:v>7.349496049084385E-2</c:v>
                </c:pt>
                <c:pt idx="215">
                  <c:v>7.3564897075652821E-2</c:v>
                </c:pt>
                <c:pt idx="216">
                  <c:v>7.3635033780092798E-2</c:v>
                </c:pt>
                <c:pt idx="217">
                  <c:v>7.3705368249815162E-2</c:v>
                </c:pt>
                <c:pt idx="218">
                  <c:v>7.3775898130471335E-2</c:v>
                </c:pt>
                <c:pt idx="219">
                  <c:v>7.3846621067712712E-2</c:v>
                </c:pt>
                <c:pt idx="220">
                  <c:v>7.3917534707190688E-2</c:v>
                </c:pt>
                <c:pt idx="221">
                  <c:v>7.3988636694556673E-2</c:v>
                </c:pt>
                <c:pt idx="222">
                  <c:v>7.4059924675462047E-2</c:v>
                </c:pt>
                <c:pt idx="223">
                  <c:v>7.4131396295558233E-2</c:v>
                </c:pt>
                <c:pt idx="224">
                  <c:v>7.4203049200496626E-2</c:v>
                </c:pt>
                <c:pt idx="225">
                  <c:v>7.4274881035928608E-2</c:v>
                </c:pt>
                <c:pt idx="226">
                  <c:v>7.4346889447505601E-2</c:v>
                </c:pt>
                <c:pt idx="227">
                  <c:v>7.4419072080878987E-2</c:v>
                </c:pt>
                <c:pt idx="228">
                  <c:v>7.4491426581700174E-2</c:v>
                </c:pt>
                <c:pt idx="229">
                  <c:v>7.4563950595620571E-2</c:v>
                </c:pt>
                <c:pt idx="230">
                  <c:v>7.4636641768291559E-2</c:v>
                </c:pt>
                <c:pt idx="231">
                  <c:v>7.4709497745364561E-2</c:v>
                </c:pt>
                <c:pt idx="232">
                  <c:v>7.4782516172490959E-2</c:v>
                </c:pt>
                <c:pt idx="233">
                  <c:v>7.4855694695322147E-2</c:v>
                </c:pt>
                <c:pt idx="234">
                  <c:v>7.4929030959509549E-2</c:v>
                </c:pt>
                <c:pt idx="235">
                  <c:v>7.5002522610704558E-2</c:v>
                </c:pt>
                <c:pt idx="236">
                  <c:v>7.5076167294558557E-2</c:v>
                </c:pt>
                <c:pt idx="237">
                  <c:v>7.5149962656722955E-2</c:v>
                </c:pt>
                <c:pt idx="238">
                  <c:v>7.5223906342849173E-2</c:v>
                </c:pt>
                <c:pt idx="239">
                  <c:v>7.5297995998588579E-2</c:v>
                </c:pt>
                <c:pt idx="240">
                  <c:v>7.5372229269592583E-2</c:v>
                </c:pt>
                <c:pt idx="241">
                  <c:v>7.5446603801512593E-2</c:v>
                </c:pt>
                <c:pt idx="242">
                  <c:v>7.5521117240000005E-2</c:v>
                </c:pt>
                <c:pt idx="243">
                  <c:v>7.5595767230706212E-2</c:v>
                </c:pt>
                <c:pt idx="244">
                  <c:v>7.5670551419282625E-2</c:v>
                </c:pt>
                <c:pt idx="245">
                  <c:v>7.5745467451380652E-2</c:v>
                </c:pt>
                <c:pt idx="246">
                  <c:v>7.582051297265166E-2</c:v>
                </c:pt>
                <c:pt idx="247">
                  <c:v>7.5895685628747073E-2</c:v>
                </c:pt>
                <c:pt idx="248">
                  <c:v>7.5970983065318298E-2</c:v>
                </c:pt>
                <c:pt idx="249">
                  <c:v>7.6046402928016718E-2</c:v>
                </c:pt>
                <c:pt idx="250">
                  <c:v>7.6121942862493741E-2</c:v>
                </c:pt>
                <c:pt idx="251">
                  <c:v>7.6197600514400762E-2</c:v>
                </c:pt>
                <c:pt idx="252">
                  <c:v>7.6273373529389177E-2</c:v>
                </c:pt>
                <c:pt idx="253">
                  <c:v>7.6349259553110407E-2</c:v>
                </c:pt>
                <c:pt idx="254">
                  <c:v>7.6425256231215835E-2</c:v>
                </c:pt>
                <c:pt idx="255">
                  <c:v>7.6501361209356855E-2</c:v>
                </c:pt>
                <c:pt idx="256">
                  <c:v>7.657757213318489E-2</c:v>
                </c:pt>
                <c:pt idx="257">
                  <c:v>7.6653886648351321E-2</c:v>
                </c:pt>
                <c:pt idx="258">
                  <c:v>7.6730302400507544E-2</c:v>
                </c:pt>
                <c:pt idx="259">
                  <c:v>7.6806817035304981E-2</c:v>
                </c:pt>
                <c:pt idx="260">
                  <c:v>7.6883428198394999E-2</c:v>
                </c:pt>
                <c:pt idx="261">
                  <c:v>7.6960133535429034E-2</c:v>
                </c:pt>
                <c:pt idx="262">
                  <c:v>7.703693069205847E-2</c:v>
                </c:pt>
                <c:pt idx="263">
                  <c:v>7.7113817313934713E-2</c:v>
                </c:pt>
                <c:pt idx="264">
                  <c:v>7.7190791046709131E-2</c:v>
                </c:pt>
                <c:pt idx="265">
                  <c:v>7.7267849536033176E-2</c:v>
                </c:pt>
                <c:pt idx="266">
                  <c:v>7.7344990427558213E-2</c:v>
                </c:pt>
                <c:pt idx="267">
                  <c:v>7.7422211366935639E-2</c:v>
                </c:pt>
                <c:pt idx="268">
                  <c:v>7.749950999981689E-2</c:v>
                </c:pt>
                <c:pt idx="269">
                  <c:v>7.7576883971853319E-2</c:v>
                </c:pt>
                <c:pt idx="270">
                  <c:v>7.7654330928696363E-2</c:v>
                </c:pt>
                <c:pt idx="271">
                  <c:v>7.7731848515997404E-2</c:v>
                </c:pt>
                <c:pt idx="272">
                  <c:v>7.7809434379407835E-2</c:v>
                </c:pt>
                <c:pt idx="273">
                  <c:v>7.7887086164579081E-2</c:v>
                </c:pt>
                <c:pt idx="274">
                  <c:v>7.7964801517162521E-2</c:v>
                </c:pt>
                <c:pt idx="275">
                  <c:v>7.8042578082809566E-2</c:v>
                </c:pt>
                <c:pt idx="276">
                  <c:v>7.812041350717161E-2</c:v>
                </c:pt>
                <c:pt idx="277">
                  <c:v>7.8198305435900048E-2</c:v>
                </c:pt>
                <c:pt idx="278">
                  <c:v>7.8276251514646303E-2</c:v>
                </c:pt>
                <c:pt idx="279">
                  <c:v>7.8354249389061742E-2</c:v>
                </c:pt>
                <c:pt idx="280">
                  <c:v>7.8432296704797788E-2</c:v>
                </c:pt>
                <c:pt idx="281">
                  <c:v>7.8510391107505836E-2</c:v>
                </c:pt>
                <c:pt idx="282">
                  <c:v>7.8588530242837268E-2</c:v>
                </c:pt>
                <c:pt idx="283">
                  <c:v>7.8666711756443519E-2</c:v>
                </c:pt>
                <c:pt idx="284">
                  <c:v>7.8744933293975972E-2</c:v>
                </c:pt>
                <c:pt idx="285">
                  <c:v>7.882319250108602E-2</c:v>
                </c:pt>
                <c:pt idx="286">
                  <c:v>7.890148702342506E-2</c:v>
                </c:pt>
                <c:pt idx="287">
                  <c:v>7.8979814506644513E-2</c:v>
                </c:pt>
                <c:pt idx="288">
                  <c:v>7.9058172596395762E-2</c:v>
                </c:pt>
                <c:pt idx="289">
                  <c:v>7.9136558938330215E-2</c:v>
                </c:pt>
                <c:pt idx="290">
                  <c:v>7.9214971178099253E-2</c:v>
                </c:pt>
                <c:pt idx="291">
                  <c:v>7.9293406961354312E-2</c:v>
                </c:pt>
                <c:pt idx="292">
                  <c:v>7.9371863933746761E-2</c:v>
                </c:pt>
                <c:pt idx="293">
                  <c:v>7.9450339740928008E-2</c:v>
                </c:pt>
                <c:pt idx="294">
                  <c:v>7.9528832028549448E-2</c:v>
                </c:pt>
                <c:pt idx="295">
                  <c:v>7.9607338442262504E-2</c:v>
                </c:pt>
                <c:pt idx="296">
                  <c:v>7.9685856627718557E-2</c:v>
                </c:pt>
                <c:pt idx="297">
                  <c:v>7.9764384230569002E-2</c:v>
                </c:pt>
                <c:pt idx="298">
                  <c:v>7.9842918896465262E-2</c:v>
                </c:pt>
                <c:pt idx="299">
                  <c:v>7.9921458271058704E-2</c:v>
                </c:pt>
                <c:pt idx="300">
                  <c:v>8.0000000000000751E-2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2C-BD4A-9113-16494D2F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4C-2F4A-8A4D-D0A54EC182E9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CubicSpline_YC_Optim!$E$100:$E$400</c:f>
              <c:numCache>
                <c:formatCode>0.00%</c:formatCode>
                <c:ptCount val="301"/>
                <c:pt idx="0">
                  <c:v>-5.8829694944846243E-7</c:v>
                </c:pt>
                <c:pt idx="1">
                  <c:v>1.0694010842698678E-3</c:v>
                </c:pt>
                <c:pt idx="2">
                  <c:v>2.3900186088378528E-3</c:v>
                </c:pt>
                <c:pt idx="3">
                  <c:v>4.0191015406041983E-3</c:v>
                </c:pt>
                <c:pt idx="4">
                  <c:v>6.0144871434185988E-3</c:v>
                </c:pt>
                <c:pt idx="5">
                  <c:v>8.434012681130745E-3</c:v>
                </c:pt>
                <c:pt idx="6">
                  <c:v>1.1335515417590333E-2</c:v>
                </c:pt>
                <c:pt idx="7">
                  <c:v>1.4776832616647051E-2</c:v>
                </c:pt>
                <c:pt idx="8">
                  <c:v>1.8815801542150602E-2</c:v>
                </c:pt>
                <c:pt idx="9">
                  <c:v>2.3510259457950662E-2</c:v>
                </c:pt>
                <c:pt idx="10">
                  <c:v>1.4171324913022434E-2</c:v>
                </c:pt>
                <c:pt idx="11">
                  <c:v>1.5814821678283405E-2</c:v>
                </c:pt>
                <c:pt idx="12">
                  <c:v>1.7623509777488552E-2</c:v>
                </c:pt>
                <c:pt idx="13">
                  <c:v>1.9606186988430925E-2</c:v>
                </c:pt>
                <c:pt idx="14">
                  <c:v>2.1771651088903568E-2</c:v>
                </c:pt>
                <c:pt idx="15">
                  <c:v>2.4128699856699538E-2</c:v>
                </c:pt>
                <c:pt idx="16">
                  <c:v>2.6686131069611881E-2</c:v>
                </c:pt>
                <c:pt idx="17">
                  <c:v>2.9452742505433626E-2</c:v>
                </c:pt>
                <c:pt idx="18">
                  <c:v>3.2437331941957845E-2</c:v>
                </c:pt>
                <c:pt idx="19">
                  <c:v>3.5648697156977577E-2</c:v>
                </c:pt>
                <c:pt idx="20">
                  <c:v>3.5138657720086279E-2</c:v>
                </c:pt>
                <c:pt idx="21">
                  <c:v>3.7131580235566147E-2</c:v>
                </c:pt>
                <c:pt idx="22">
                  <c:v>3.9186392923636744E-2</c:v>
                </c:pt>
                <c:pt idx="23">
                  <c:v>4.1302992030313568E-2</c:v>
                </c:pt>
                <c:pt idx="24">
                  <c:v>4.3481273801612139E-2</c:v>
                </c:pt>
                <c:pt idx="25">
                  <c:v>4.5721134483547948E-2</c:v>
                </c:pt>
                <c:pt idx="26">
                  <c:v>4.8022470322136496E-2</c:v>
                </c:pt>
                <c:pt idx="27">
                  <c:v>5.0385177563393307E-2</c:v>
                </c:pt>
                <c:pt idx="28">
                  <c:v>5.2809152453333848E-2</c:v>
                </c:pt>
                <c:pt idx="29">
                  <c:v>5.5294291237973664E-2</c:v>
                </c:pt>
                <c:pt idx="30">
                  <c:v>4.0606542525608039E-2</c:v>
                </c:pt>
                <c:pt idx="31">
                  <c:v>4.2150106003778026E-2</c:v>
                </c:pt>
                <c:pt idx="32">
                  <c:v>4.3734737110745082E-2</c:v>
                </c:pt>
                <c:pt idx="33">
                  <c:v>4.5361301271642354E-2</c:v>
                </c:pt>
                <c:pt idx="34">
                  <c:v>4.7030663911603002E-2</c:v>
                </c:pt>
                <c:pt idx="35">
                  <c:v>4.8743690455760158E-2</c:v>
                </c:pt>
                <c:pt idx="36">
                  <c:v>5.0501246329246977E-2</c:v>
                </c:pt>
                <c:pt idx="37">
                  <c:v>5.2304196957196597E-2</c:v>
                </c:pt>
                <c:pt idx="38">
                  <c:v>5.4153407764742159E-2</c:v>
                </c:pt>
                <c:pt idx="39">
                  <c:v>5.6049744177016823E-2</c:v>
                </c:pt>
                <c:pt idx="40">
                  <c:v>4.7605921251351442E-2</c:v>
                </c:pt>
                <c:pt idx="41">
                  <c:v>4.8608583561805502E-2</c:v>
                </c:pt>
                <c:pt idx="42">
                  <c:v>4.9606813951797224E-2</c:v>
                </c:pt>
                <c:pt idx="43">
                  <c:v>5.0600127595653695E-2</c:v>
                </c:pt>
                <c:pt idx="44">
                  <c:v>5.1588039667702014E-2</c:v>
                </c:pt>
                <c:pt idx="45">
                  <c:v>5.2570065342269261E-2</c:v>
                </c:pt>
                <c:pt idx="46">
                  <c:v>5.3545719793682535E-2</c:v>
                </c:pt>
                <c:pt idx="47">
                  <c:v>5.451451819626893E-2</c:v>
                </c:pt>
                <c:pt idx="48">
                  <c:v>5.5475975724355524E-2</c:v>
                </c:pt>
                <c:pt idx="49">
                  <c:v>5.642960755226941E-2</c:v>
                </c:pt>
                <c:pt idx="50">
                  <c:v>4.938641839179482E-2</c:v>
                </c:pt>
                <c:pt idx="51">
                  <c:v>5.0119371280569744E-2</c:v>
                </c:pt>
                <c:pt idx="52">
                  <c:v>5.0847414841411316E-2</c:v>
                </c:pt>
                <c:pt idx="53">
                  <c:v>5.1570411652793351E-2</c:v>
                </c:pt>
                <c:pt idx="54">
                  <c:v>5.228822429318971E-2</c:v>
                </c:pt>
                <c:pt idx="55">
                  <c:v>5.3000715341074207E-2</c:v>
                </c:pt>
                <c:pt idx="56">
                  <c:v>5.3707747374920699E-2</c:v>
                </c:pt>
                <c:pt idx="57">
                  <c:v>5.4409182973203012E-2</c:v>
                </c:pt>
                <c:pt idx="58">
                  <c:v>5.5104884714394987E-2</c:v>
                </c:pt>
                <c:pt idx="59">
                  <c:v>5.5794715176970468E-2</c:v>
                </c:pt>
                <c:pt idx="60">
                  <c:v>5.6478536939403287E-2</c:v>
                </c:pt>
                <c:pt idx="61">
                  <c:v>5.7156212580167273E-2</c:v>
                </c:pt>
                <c:pt idx="62">
                  <c:v>5.7827604677736288E-2</c:v>
                </c:pt>
                <c:pt idx="63">
                  <c:v>5.849257581058414E-2</c:v>
                </c:pt>
                <c:pt idx="64">
                  <c:v>5.9150988557184682E-2</c:v>
                </c:pt>
                <c:pt idx="65">
                  <c:v>5.980270549601175E-2</c:v>
                </c:pt>
                <c:pt idx="66">
                  <c:v>6.0447589205539179E-2</c:v>
                </c:pt>
                <c:pt idx="67">
                  <c:v>6.1085502264240817E-2</c:v>
                </c:pt>
                <c:pt idx="68">
                  <c:v>6.1716307250590491E-2</c:v>
                </c:pt>
                <c:pt idx="69">
                  <c:v>6.2339866743062043E-2</c:v>
                </c:pt>
                <c:pt idx="70">
                  <c:v>5.6733211202020149E-2</c:v>
                </c:pt>
                <c:pt idx="71">
                  <c:v>5.7427542188259392E-2</c:v>
                </c:pt>
                <c:pt idx="72">
                  <c:v>5.8122843963081053E-2</c:v>
                </c:pt>
                <c:pt idx="73">
                  <c:v>5.8819124605721342E-2</c:v>
                </c:pt>
                <c:pt idx="74">
                  <c:v>5.9516392195416469E-2</c:v>
                </c:pt>
                <c:pt idx="75">
                  <c:v>6.0214654811402667E-2</c:v>
                </c:pt>
                <c:pt idx="76">
                  <c:v>6.0913920532916138E-2</c:v>
                </c:pt>
                <c:pt idx="77">
                  <c:v>6.1614197439193108E-2</c:v>
                </c:pt>
                <c:pt idx="78">
                  <c:v>6.231549360946978E-2</c:v>
                </c:pt>
                <c:pt idx="79">
                  <c:v>6.3017817122982378E-2</c:v>
                </c:pt>
                <c:pt idx="80">
                  <c:v>6.3721176058967127E-2</c:v>
                </c:pt>
                <c:pt idx="81">
                  <c:v>6.442557849666021E-2</c:v>
                </c:pt>
                <c:pt idx="82">
                  <c:v>6.5131032515297879E-2</c:v>
                </c:pt>
                <c:pt idx="83">
                  <c:v>6.5837546194116331E-2</c:v>
                </c:pt>
                <c:pt idx="84">
                  <c:v>6.654512761235179E-2</c:v>
                </c:pt>
                <c:pt idx="85">
                  <c:v>6.7253784849240453E-2</c:v>
                </c:pt>
                <c:pt idx="86">
                  <c:v>6.7963525984018558E-2</c:v>
                </c:pt>
                <c:pt idx="87">
                  <c:v>6.8674359095922288E-2</c:v>
                </c:pt>
                <c:pt idx="88">
                  <c:v>6.9386292264187924E-2</c:v>
                </c:pt>
                <c:pt idx="89">
                  <c:v>7.0099333568051606E-2</c:v>
                </c:pt>
                <c:pt idx="90">
                  <c:v>7.08134910867496E-2</c:v>
                </c:pt>
                <c:pt idx="91">
                  <c:v>7.1528772899518089E-2</c:v>
                </c:pt>
                <c:pt idx="92">
                  <c:v>7.2245187085593313E-2</c:v>
                </c:pt>
                <c:pt idx="93">
                  <c:v>7.296274172421148E-2</c:v>
                </c:pt>
                <c:pt idx="94">
                  <c:v>7.3681444894608802E-2</c:v>
                </c:pt>
                <c:pt idx="95">
                  <c:v>7.440130467602149E-2</c:v>
                </c:pt>
                <c:pt idx="96">
                  <c:v>7.5122329147685768E-2</c:v>
                </c:pt>
                <c:pt idx="97">
                  <c:v>7.584452638883786E-2</c:v>
                </c:pt>
                <c:pt idx="98">
                  <c:v>7.656790447871395E-2</c:v>
                </c:pt>
                <c:pt idx="99">
                  <c:v>7.7292471496550288E-2</c:v>
                </c:pt>
                <c:pt idx="100">
                  <c:v>7.2977427273393639E-2</c:v>
                </c:pt>
                <c:pt idx="101">
                  <c:v>7.3789944503083627E-2</c:v>
                </c:pt>
                <c:pt idx="102">
                  <c:v>7.4602217691051312E-2</c:v>
                </c:pt>
                <c:pt idx="103">
                  <c:v>7.5414132139774756E-2</c:v>
                </c:pt>
                <c:pt idx="104">
                  <c:v>7.6225573151732048E-2</c:v>
                </c:pt>
                <c:pt idx="105">
                  <c:v>7.7036426029401278E-2</c:v>
                </c:pt>
                <c:pt idx="106">
                  <c:v>7.7846576075260535E-2</c:v>
                </c:pt>
                <c:pt idx="107">
                  <c:v>7.8655908591787865E-2</c:v>
                </c:pt>
                <c:pt idx="108">
                  <c:v>7.9464308881461415E-2</c:v>
                </c:pt>
                <c:pt idx="109">
                  <c:v>8.0271662246759204E-2</c:v>
                </c:pt>
                <c:pt idx="110">
                  <c:v>8.1077853990159363E-2</c:v>
                </c:pt>
                <c:pt idx="111">
                  <c:v>8.1882769414139939E-2</c:v>
                </c:pt>
                <c:pt idx="112">
                  <c:v>8.2686293821179035E-2</c:v>
                </c:pt>
                <c:pt idx="113">
                  <c:v>8.3488312513754714E-2</c:v>
                </c:pt>
                <c:pt idx="114">
                  <c:v>8.4288710794345093E-2</c:v>
                </c:pt>
                <c:pt idx="115">
                  <c:v>8.5087373965428217E-2</c:v>
                </c:pt>
                <c:pt idx="116">
                  <c:v>8.5884187329482192E-2</c:v>
                </c:pt>
                <c:pt idx="117">
                  <c:v>8.6679036188985106E-2</c:v>
                </c:pt>
                <c:pt idx="118">
                  <c:v>8.7471805846415035E-2</c:v>
                </c:pt>
                <c:pt idx="119">
                  <c:v>8.826238160425004E-2</c:v>
                </c:pt>
                <c:pt idx="120">
                  <c:v>8.9050648764968238E-2</c:v>
                </c:pt>
                <c:pt idx="121">
                  <c:v>8.983649263104769E-2</c:v>
                </c:pt>
                <c:pt idx="122">
                  <c:v>9.0619798504966487E-2</c:v>
                </c:pt>
                <c:pt idx="123">
                  <c:v>9.1400451689202716E-2</c:v>
                </c:pt>
                <c:pt idx="124">
                  <c:v>9.2178337486234441E-2</c:v>
                </c:pt>
                <c:pt idx="125">
                  <c:v>9.2953341198539763E-2</c:v>
                </c:pt>
                <c:pt idx="126">
                  <c:v>9.3725348128596758E-2</c:v>
                </c:pt>
                <c:pt idx="127">
                  <c:v>9.4494243578883502E-2</c:v>
                </c:pt>
                <c:pt idx="128">
                  <c:v>9.5259912851878126E-2</c:v>
                </c:pt>
                <c:pt idx="129">
                  <c:v>9.6022241250058621E-2</c:v>
                </c:pt>
                <c:pt idx="130">
                  <c:v>9.6781114075903146E-2</c:v>
                </c:pt>
                <c:pt idx="131">
                  <c:v>9.753641663188975E-2</c:v>
                </c:pt>
                <c:pt idx="132">
                  <c:v>9.8288034220496534E-2</c:v>
                </c:pt>
                <c:pt idx="133">
                  <c:v>9.9035852144201575E-2</c:v>
                </c:pt>
                <c:pt idx="134">
                  <c:v>9.9779755705482948E-2</c:v>
                </c:pt>
                <c:pt idx="135">
                  <c:v>0.10051963020681876</c:v>
                </c:pt>
                <c:pt idx="136">
                  <c:v>0.10125536095068705</c:v>
                </c:pt>
                <c:pt idx="137">
                  <c:v>0.10198683323956592</c:v>
                </c:pt>
                <c:pt idx="138">
                  <c:v>0.1027139323759335</c:v>
                </c:pt>
                <c:pt idx="139">
                  <c:v>0.1034365436622678</c:v>
                </c:pt>
                <c:pt idx="140">
                  <c:v>0.10415455240104693</c:v>
                </c:pt>
                <c:pt idx="141">
                  <c:v>0.10486784389474899</c:v>
                </c:pt>
                <c:pt idx="142">
                  <c:v>0.10557630344585203</c:v>
                </c:pt>
                <c:pt idx="143">
                  <c:v>0.1062798163568342</c:v>
                </c:pt>
                <c:pt idx="144">
                  <c:v>0.1069782679301735</c:v>
                </c:pt>
                <c:pt idx="145">
                  <c:v>0.10767154346834806</c:v>
                </c:pt>
                <c:pt idx="146">
                  <c:v>0.10835952827383594</c:v>
                </c:pt>
                <c:pt idx="147">
                  <c:v>0.10904210764911523</c:v>
                </c:pt>
                <c:pt idx="148">
                  <c:v>0.10971916689666406</c:v>
                </c:pt>
                <c:pt idx="149">
                  <c:v>0.11039059131896042</c:v>
                </c:pt>
                <c:pt idx="150">
                  <c:v>0.11105626621848246</c:v>
                </c:pt>
                <c:pt idx="151">
                  <c:v>0.11171607689770825</c:v>
                </c:pt>
                <c:pt idx="152">
                  <c:v>0.11236990865911584</c:v>
                </c:pt>
                <c:pt idx="153">
                  <c:v>0.11301764680518339</c:v>
                </c:pt>
                <c:pt idx="154">
                  <c:v>0.11365917663838893</c:v>
                </c:pt>
                <c:pt idx="155">
                  <c:v>0.1142943834612105</c:v>
                </c:pt>
                <c:pt idx="156">
                  <c:v>0.11492315257612626</c:v>
                </c:pt>
                <c:pt idx="157">
                  <c:v>0.11554536928561428</c:v>
                </c:pt>
                <c:pt idx="158">
                  <c:v>0.1161609188921526</c:v>
                </c:pt>
                <c:pt idx="159">
                  <c:v>0.11676968669821933</c:v>
                </c:pt>
                <c:pt idx="160">
                  <c:v>0.11737155800629256</c:v>
                </c:pt>
                <c:pt idx="161">
                  <c:v>0.11796641811885036</c:v>
                </c:pt>
                <c:pt idx="162">
                  <c:v>0.11855415233837081</c:v>
                </c:pt>
                <c:pt idx="163">
                  <c:v>0.11913464596733202</c:v>
                </c:pt>
                <c:pt idx="164">
                  <c:v>0.11970778430821202</c:v>
                </c:pt>
                <c:pt idx="165">
                  <c:v>0.12027345266348898</c:v>
                </c:pt>
                <c:pt idx="166">
                  <c:v>0.12083153633564091</c:v>
                </c:pt>
                <c:pt idx="167">
                  <c:v>0.12138192062714587</c:v>
                </c:pt>
                <c:pt idx="168">
                  <c:v>0.12192449084048201</c:v>
                </c:pt>
                <c:pt idx="169">
                  <c:v>0.12245913227812737</c:v>
                </c:pt>
                <c:pt idx="170">
                  <c:v>0.1229857302425601</c:v>
                </c:pt>
                <c:pt idx="171">
                  <c:v>0.12350417003625819</c:v>
                </c:pt>
                <c:pt idx="172">
                  <c:v>0.12401433696169978</c:v>
                </c:pt>
                <c:pt idx="173">
                  <c:v>0.12451611632136295</c:v>
                </c:pt>
                <c:pt idx="174">
                  <c:v>0.12500939341772571</c:v>
                </c:pt>
                <c:pt idx="175">
                  <c:v>0.12549405355326629</c:v>
                </c:pt>
                <c:pt idx="176">
                  <c:v>0.12596998203046264</c:v>
                </c:pt>
                <c:pt idx="177">
                  <c:v>0.1264370641517929</c:v>
                </c:pt>
                <c:pt idx="178">
                  <c:v>0.12689518521973514</c:v>
                </c:pt>
                <c:pt idx="179">
                  <c:v>0.12734423053676747</c:v>
                </c:pt>
                <c:pt idx="180">
                  <c:v>0.12778408540536793</c:v>
                </c:pt>
                <c:pt idx="181">
                  <c:v>0.12821463512801462</c:v>
                </c:pt>
                <c:pt idx="182">
                  <c:v>0.1286357650071856</c:v>
                </c:pt>
                <c:pt idx="183">
                  <c:v>0.12904736034535902</c:v>
                </c:pt>
                <c:pt idx="184">
                  <c:v>0.12944930644501287</c:v>
                </c:pt>
                <c:pt idx="185">
                  <c:v>0.12984148860862532</c:v>
                </c:pt>
                <c:pt idx="186">
                  <c:v>0.13022379213867441</c:v>
                </c:pt>
                <c:pt idx="187">
                  <c:v>0.13059610233763824</c:v>
                </c:pt>
                <c:pt idx="188">
                  <c:v>0.13095830450799487</c:v>
                </c:pt>
                <c:pt idx="189">
                  <c:v>0.13131028395222236</c:v>
                </c:pt>
                <c:pt idx="190">
                  <c:v>0.13165192597279887</c:v>
                </c:pt>
                <c:pt idx="191">
                  <c:v>0.13198311587220243</c:v>
                </c:pt>
                <c:pt idx="192">
                  <c:v>0.13230373895291112</c:v>
                </c:pt>
                <c:pt idx="193">
                  <c:v>0.13261368051740305</c:v>
                </c:pt>
                <c:pt idx="194">
                  <c:v>0.13291282586815628</c:v>
                </c:pt>
                <c:pt idx="195">
                  <c:v>0.13320106030764892</c:v>
                </c:pt>
                <c:pt idx="196">
                  <c:v>0.13347826913835906</c:v>
                </c:pt>
                <c:pt idx="197">
                  <c:v>0.13374433766276467</c:v>
                </c:pt>
                <c:pt idx="198">
                  <c:v>0.13399915118334396</c:v>
                </c:pt>
                <c:pt idx="199">
                  <c:v>0.13424259500257499</c:v>
                </c:pt>
                <c:pt idx="200">
                  <c:v>0.13447455442293582</c:v>
                </c:pt>
                <c:pt idx="201">
                  <c:v>0.13469491474690454</c:v>
                </c:pt>
                <c:pt idx="202">
                  <c:v>0.13490356127695921</c:v>
                </c:pt>
                <c:pt idx="203">
                  <c:v>0.13510037931557795</c:v>
                </c:pt>
                <c:pt idx="204">
                  <c:v>0.13528525416523884</c:v>
                </c:pt>
                <c:pt idx="205">
                  <c:v>0.13545807112841995</c:v>
                </c:pt>
                <c:pt idx="206">
                  <c:v>0.13561871550759932</c:v>
                </c:pt>
                <c:pt idx="207">
                  <c:v>0.13576707260525511</c:v>
                </c:pt>
                <c:pt idx="208">
                  <c:v>0.13590302772386537</c:v>
                </c:pt>
                <c:pt idx="209">
                  <c:v>0.13602646616590822</c:v>
                </c:pt>
                <c:pt idx="210">
                  <c:v>0.13613727323386163</c:v>
                </c:pt>
                <c:pt idx="211">
                  <c:v>0.13623533423020381</c:v>
                </c:pt>
                <c:pt idx="212">
                  <c:v>0.13632053445741274</c:v>
                </c:pt>
                <c:pt idx="213">
                  <c:v>0.13639275921796654</c:v>
                </c:pt>
                <c:pt idx="214">
                  <c:v>0.13645189381434336</c:v>
                </c:pt>
                <c:pt idx="215">
                  <c:v>0.13649782354902121</c:v>
                </c:pt>
                <c:pt idx="216">
                  <c:v>0.13653043372447821</c:v>
                </c:pt>
                <c:pt idx="217">
                  <c:v>0.13654960964319238</c:v>
                </c:pt>
                <c:pt idx="218">
                  <c:v>0.13655523660764188</c:v>
                </c:pt>
                <c:pt idx="219">
                  <c:v>0.13654719992030476</c:v>
                </c:pt>
                <c:pt idx="220">
                  <c:v>0.13652538488365912</c:v>
                </c:pt>
                <c:pt idx="221">
                  <c:v>0.13648967680018298</c:v>
                </c:pt>
                <c:pt idx="222">
                  <c:v>0.13643996097235453</c:v>
                </c:pt>
                <c:pt idx="223">
                  <c:v>0.13637612270265173</c:v>
                </c:pt>
                <c:pt idx="224">
                  <c:v>0.13629804729355274</c:v>
                </c:pt>
                <c:pt idx="225">
                  <c:v>0.13620562004753564</c:v>
                </c:pt>
                <c:pt idx="226">
                  <c:v>0.1360987262670785</c:v>
                </c:pt>
                <c:pt idx="227">
                  <c:v>0.13597725125465934</c:v>
                </c:pt>
                <c:pt idx="228">
                  <c:v>0.13584108031275638</c:v>
                </c:pt>
                <c:pt idx="229">
                  <c:v>0.13569009874384766</c:v>
                </c:pt>
                <c:pt idx="230">
                  <c:v>0.13552419185041112</c:v>
                </c:pt>
                <c:pt idx="231">
                  <c:v>0.13534324493492503</c:v>
                </c:pt>
                <c:pt idx="232">
                  <c:v>0.13514714329986738</c:v>
                </c:pt>
                <c:pt idx="233">
                  <c:v>0.13493577224771625</c:v>
                </c:pt>
                <c:pt idx="234">
                  <c:v>0.13470901708094976</c:v>
                </c:pt>
                <c:pt idx="235">
                  <c:v>0.13446676310204603</c:v>
                </c:pt>
                <c:pt idx="236">
                  <c:v>0.13420889561348304</c:v>
                </c:pt>
                <c:pt idx="237">
                  <c:v>0.13393529991773884</c:v>
                </c:pt>
                <c:pt idx="238">
                  <c:v>0.1336458613172917</c:v>
                </c:pt>
                <c:pt idx="239">
                  <c:v>0.13334046511461956</c:v>
                </c:pt>
                <c:pt idx="240">
                  <c:v>0.13301899661220054</c:v>
                </c:pt>
                <c:pt idx="241">
                  <c:v>0.13268134111251273</c:v>
                </c:pt>
                <c:pt idx="242">
                  <c:v>0.1323273839180342</c:v>
                </c:pt>
                <c:pt idx="243">
                  <c:v>0.13195701033124307</c:v>
                </c:pt>
                <c:pt idx="244">
                  <c:v>0.13157010565461738</c:v>
                </c:pt>
                <c:pt idx="245">
                  <c:v>0.13116655519063519</c:v>
                </c:pt>
                <c:pt idx="246">
                  <c:v>0.13074624424177464</c:v>
                </c:pt>
                <c:pt idx="247">
                  <c:v>0.1303090581105138</c:v>
                </c:pt>
                <c:pt idx="248">
                  <c:v>0.12985488209933069</c:v>
                </c:pt>
                <c:pt idx="249">
                  <c:v>0.12938360151070347</c:v>
                </c:pt>
                <c:pt idx="250">
                  <c:v>0.12889510164711021</c:v>
                </c:pt>
                <c:pt idx="251">
                  <c:v>0.12838926781102897</c:v>
                </c:pt>
                <c:pt idx="252">
                  <c:v>0.12786598530493787</c:v>
                </c:pt>
                <c:pt idx="253">
                  <c:v>0.12732513943131493</c:v>
                </c:pt>
                <c:pt idx="254">
                  <c:v>0.12676661549263835</c:v>
                </c:pt>
                <c:pt idx="255">
                  <c:v>0.12619029879138602</c:v>
                </c:pt>
                <c:pt idx="256">
                  <c:v>0.12559607463003625</c:v>
                </c:pt>
                <c:pt idx="257">
                  <c:v>0.12498382831106689</c:v>
                </c:pt>
                <c:pt idx="258">
                  <c:v>0.12435344513695623</c:v>
                </c:pt>
                <c:pt idx="259">
                  <c:v>0.12370481041018219</c:v>
                </c:pt>
                <c:pt idx="260">
                  <c:v>0.12303780943322296</c:v>
                </c:pt>
                <c:pt idx="261">
                  <c:v>0.1223523275085566</c:v>
                </c:pt>
                <c:pt idx="262">
                  <c:v>0.12164824993866123</c:v>
                </c:pt>
                <c:pt idx="263">
                  <c:v>0.12092546202601487</c:v>
                </c:pt>
                <c:pt idx="264">
                  <c:v>0.12018384907309553</c:v>
                </c:pt>
                <c:pt idx="265">
                  <c:v>0.11942329638238143</c:v>
                </c:pt>
                <c:pt idx="266">
                  <c:v>0.11864368925635059</c:v>
                </c:pt>
                <c:pt idx="267">
                  <c:v>0.11784491299748114</c:v>
                </c:pt>
                <c:pt idx="268">
                  <c:v>0.11702685290825109</c:v>
                </c:pt>
                <c:pt idx="269">
                  <c:v>0.11618939429113861</c:v>
                </c:pt>
                <c:pt idx="270">
                  <c:v>0.11533242244862171</c:v>
                </c:pt>
                <c:pt idx="271">
                  <c:v>0.1144558226831785</c:v>
                </c:pt>
                <c:pt idx="272">
                  <c:v>0.1135594802972871</c:v>
                </c:pt>
                <c:pt idx="273">
                  <c:v>0.11264328059342549</c:v>
                </c:pt>
                <c:pt idx="274">
                  <c:v>0.11170710887407177</c:v>
                </c:pt>
                <c:pt idx="275">
                  <c:v>0.11075085044170419</c:v>
                </c:pt>
                <c:pt idx="276">
                  <c:v>0.10977439059880065</c:v>
                </c:pt>
                <c:pt idx="277">
                  <c:v>0.10877761464783935</c:v>
                </c:pt>
                <c:pt idx="278">
                  <c:v>0.10776040789129827</c:v>
                </c:pt>
                <c:pt idx="279">
                  <c:v>0.10672265563165549</c:v>
                </c:pt>
                <c:pt idx="280">
                  <c:v>0.10566424317138924</c:v>
                </c:pt>
                <c:pt idx="281">
                  <c:v>0.10458505581297743</c:v>
                </c:pt>
                <c:pt idx="282">
                  <c:v>0.10348497885889829</c:v>
                </c:pt>
                <c:pt idx="283">
                  <c:v>0.10236389761162977</c:v>
                </c:pt>
                <c:pt idx="284">
                  <c:v>0.10122169737365005</c:v>
                </c:pt>
                <c:pt idx="285">
                  <c:v>0.10005826344743721</c:v>
                </c:pt>
                <c:pt idx="286">
                  <c:v>9.8873481135469232E-2</c:v>
                </c:pt>
                <c:pt idx="287">
                  <c:v>9.7667235740224317E-2</c:v>
                </c:pt>
                <c:pt idx="288">
                  <c:v>9.6439412564180427E-2</c:v>
                </c:pt>
                <c:pt idx="289">
                  <c:v>9.5189896909815788E-2</c:v>
                </c:pt>
                <c:pt idx="290">
                  <c:v>9.391857407960845E-2</c:v>
                </c:pt>
                <c:pt idx="291">
                  <c:v>9.2625329376036375E-2</c:v>
                </c:pt>
                <c:pt idx="292">
                  <c:v>9.1310048101577709E-2</c:v>
                </c:pt>
                <c:pt idx="293">
                  <c:v>8.997261555871057E-2</c:v>
                </c:pt>
                <c:pt idx="294">
                  <c:v>8.8612917049913073E-2</c:v>
                </c:pt>
                <c:pt idx="295">
                  <c:v>8.7230837877663239E-2</c:v>
                </c:pt>
                <c:pt idx="296">
                  <c:v>8.5826263344439199E-2</c:v>
                </c:pt>
                <c:pt idx="297">
                  <c:v>8.4399078752718959E-2</c:v>
                </c:pt>
                <c:pt idx="298">
                  <c:v>8.2949169404980622E-2</c:v>
                </c:pt>
                <c:pt idx="299">
                  <c:v>8.1476420603702415E-2</c:v>
                </c:pt>
                <c:pt idx="300">
                  <c:v>7.9980717651362082E-2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4C-2F4A-8A4D-D0A54EC18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CubicSpline_YC_Optim_Penalized!$C$11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CubicSpline_YC_Optim_Penalized!$B$12:$B$20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CubicSpline_YC_Optim_Penalized!$C$12:$C$20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1-AA45-96A9-543B5256330C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CubicSpline_YC_Optim_Penalized!$D$100:$D$400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CubicSpline_YC_Optim_Penalized!$E$100:$E$400</c:f>
              <c:numCache>
                <c:formatCode>0.00%</c:formatCode>
                <c:ptCount val="301"/>
                <c:pt idx="0">
                  <c:v>9.0339808310368851E-5</c:v>
                </c:pt>
                <c:pt idx="1">
                  <c:v>9.9889815989002203E-5</c:v>
                </c:pt>
                <c:pt idx="2">
                  <c:v>1.1154595122730811E-4</c:v>
                </c:pt>
                <c:pt idx="3">
                  <c:v>1.2577234069893495E-4</c:v>
                </c:pt>
                <c:pt idx="4">
                  <c:v>1.4303311107753111E-4</c:v>
                </c:pt>
                <c:pt idx="5">
                  <c:v>1.6379238903674494E-4</c:v>
                </c:pt>
                <c:pt idx="6">
                  <c:v>1.8851430125022488E-4</c:v>
                </c:pt>
                <c:pt idx="7">
                  <c:v>2.1766297439161926E-4</c:v>
                </c:pt>
                <c:pt idx="8">
                  <c:v>2.5170253513457654E-4</c:v>
                </c:pt>
                <c:pt idx="9">
                  <c:v>2.9109711015274503E-4</c:v>
                </c:pt>
                <c:pt idx="10">
                  <c:v>2.2321793959202609E-3</c:v>
                </c:pt>
                <c:pt idx="11">
                  <c:v>2.6512360360174815E-3</c:v>
                </c:pt>
                <c:pt idx="12">
                  <c:v>3.1320206866302081E-3</c:v>
                </c:pt>
                <c:pt idx="13">
                  <c:v>3.6791149726074532E-3</c:v>
                </c:pt>
                <c:pt idx="14">
                  <c:v>4.2971005187982282E-3</c:v>
                </c:pt>
                <c:pt idx="15">
                  <c:v>4.9905589500515478E-3</c:v>
                </c:pt>
                <c:pt idx="16">
                  <c:v>5.7640718912164218E-3</c:v>
                </c:pt>
                <c:pt idx="17">
                  <c:v>6.6222209671418604E-3</c:v>
                </c:pt>
                <c:pt idx="18">
                  <c:v>7.5695878026768824E-3</c:v>
                </c:pt>
                <c:pt idx="19">
                  <c:v>8.6107540226704939E-3</c:v>
                </c:pt>
                <c:pt idx="20">
                  <c:v>9.9653807571155051E-3</c:v>
                </c:pt>
                <c:pt idx="21">
                  <c:v>1.1040437143893793E-2</c:v>
                </c:pt>
                <c:pt idx="22">
                  <c:v>1.2192083517249463E-2</c:v>
                </c:pt>
                <c:pt idx="23">
                  <c:v>1.3422941702643286E-2</c:v>
                </c:pt>
                <c:pt idx="24">
                  <c:v>1.4735633525536068E-2</c:v>
                </c:pt>
                <c:pt idx="25">
                  <c:v>1.6132780811388584E-2</c:v>
                </c:pt>
                <c:pt idx="26">
                  <c:v>1.7617005385661622E-2</c:v>
                </c:pt>
                <c:pt idx="27">
                  <c:v>1.9190929073815966E-2</c:v>
                </c:pt>
                <c:pt idx="28">
                  <c:v>2.0857173701312397E-2</c:v>
                </c:pt>
                <c:pt idx="29">
                  <c:v>2.2618361093611716E-2</c:v>
                </c:pt>
                <c:pt idx="30">
                  <c:v>2.4408119503578071E-2</c:v>
                </c:pt>
                <c:pt idx="31">
                  <c:v>2.60393401890586E-2</c:v>
                </c:pt>
                <c:pt idx="32">
                  <c:v>2.7732531686749582E-2</c:v>
                </c:pt>
                <c:pt idx="33">
                  <c:v>2.9488461498573884E-2</c:v>
                </c:pt>
                <c:pt idx="34">
                  <c:v>3.130789712645439E-2</c:v>
                </c:pt>
                <c:pt idx="35">
                  <c:v>3.3191606072313959E-2</c:v>
                </c:pt>
                <c:pt idx="36">
                  <c:v>3.5140355838075468E-2</c:v>
                </c:pt>
                <c:pt idx="37">
                  <c:v>3.7154913925661781E-2</c:v>
                </c:pt>
                <c:pt idx="38">
                  <c:v>3.923604783699576E-2</c:v>
                </c:pt>
                <c:pt idx="39">
                  <c:v>4.1384525074000283E-2</c:v>
                </c:pt>
                <c:pt idx="40">
                  <c:v>4.3422870167228809E-2</c:v>
                </c:pt>
                <c:pt idx="41">
                  <c:v>4.5264915783906345E-2</c:v>
                </c:pt>
                <c:pt idx="42">
                  <c:v>4.7134188939616045E-2</c:v>
                </c:pt>
                <c:pt idx="43">
                  <c:v>4.9029961276608872E-2</c:v>
                </c:pt>
                <c:pt idx="44">
                  <c:v>5.0951504437135808E-2</c:v>
                </c:pt>
                <c:pt idx="45">
                  <c:v>5.289809006344779E-2</c:v>
                </c:pt>
                <c:pt idx="46">
                  <c:v>5.4868989797795815E-2</c:v>
                </c:pt>
                <c:pt idx="47">
                  <c:v>5.6863475282430853E-2</c:v>
                </c:pt>
                <c:pt idx="48">
                  <c:v>5.8880818159603825E-2</c:v>
                </c:pt>
                <c:pt idx="49">
                  <c:v>6.0920290071565762E-2</c:v>
                </c:pt>
                <c:pt idx="50">
                  <c:v>6.1870647806183662E-2</c:v>
                </c:pt>
                <c:pt idx="51">
                  <c:v>6.162909402331495E-2</c:v>
                </c:pt>
                <c:pt idx="52">
                  <c:v>6.1230604196407218E-2</c:v>
                </c:pt>
                <c:pt idx="53">
                  <c:v>6.066944399525788E-2</c:v>
                </c:pt>
                <c:pt idx="54">
                  <c:v>5.9939879089664187E-2</c:v>
                </c:pt>
                <c:pt idx="55">
                  <c:v>5.9036175149423553E-2</c:v>
                </c:pt>
                <c:pt idx="56">
                  <c:v>5.7952597844333278E-2</c:v>
                </c:pt>
                <c:pt idx="57">
                  <c:v>5.6683412844190782E-2</c:v>
                </c:pt>
                <c:pt idx="58">
                  <c:v>5.5222885818793366E-2</c:v>
                </c:pt>
                <c:pt idx="59">
                  <c:v>5.3565282437938386E-2</c:v>
                </c:pt>
                <c:pt idx="60">
                  <c:v>5.1704868371423178E-2</c:v>
                </c:pt>
                <c:pt idx="61">
                  <c:v>4.9635909289045183E-2</c:v>
                </c:pt>
                <c:pt idx="62">
                  <c:v>4.7352670860601589E-2</c:v>
                </c:pt>
                <c:pt idx="63">
                  <c:v>4.4849418755889901E-2</c:v>
                </c:pt>
                <c:pt idx="64">
                  <c:v>4.2120418644707364E-2</c:v>
                </c:pt>
                <c:pt idx="65">
                  <c:v>3.9159936196851382E-2</c:v>
                </c:pt>
                <c:pt idx="66">
                  <c:v>3.596223708211925E-2</c:v>
                </c:pt>
                <c:pt idx="67">
                  <c:v>3.2521586970308408E-2</c:v>
                </c:pt>
                <c:pt idx="68">
                  <c:v>2.8832251531216165E-2</c:v>
                </c:pt>
                <c:pt idx="69">
                  <c:v>2.4888496434639796E-2</c:v>
                </c:pt>
                <c:pt idx="70">
                  <c:v>2.3085336908491388E-2</c:v>
                </c:pt>
                <c:pt idx="71">
                  <c:v>2.3502569016597696E-2</c:v>
                </c:pt>
                <c:pt idx="72">
                  <c:v>2.3914680443427698E-2</c:v>
                </c:pt>
                <c:pt idx="73">
                  <c:v>2.4321356116057149E-2</c:v>
                </c:pt>
                <c:pt idx="74">
                  <c:v>2.4722280961561809E-2</c:v>
                </c:pt>
                <c:pt idx="75">
                  <c:v>2.5117139907017437E-2</c:v>
                </c:pt>
                <c:pt idx="76">
                  <c:v>2.5505617879499797E-2</c:v>
                </c:pt>
                <c:pt idx="77">
                  <c:v>2.5887399806084638E-2</c:v>
                </c:pt>
                <c:pt idx="78">
                  <c:v>2.6262170613847721E-2</c:v>
                </c:pt>
                <c:pt idx="79">
                  <c:v>2.6629615229864814E-2</c:v>
                </c:pt>
                <c:pt idx="80">
                  <c:v>2.698941858121166E-2</c:v>
                </c:pt>
                <c:pt idx="81">
                  <c:v>2.7341265594964033E-2</c:v>
                </c:pt>
                <c:pt idx="82">
                  <c:v>2.7684841198197672E-2</c:v>
                </c:pt>
                <c:pt idx="83">
                  <c:v>2.8019830317988357E-2</c:v>
                </c:pt>
                <c:pt idx="84">
                  <c:v>2.8345917881411827E-2</c:v>
                </c:pt>
                <c:pt idx="85">
                  <c:v>2.8662788815543856E-2</c:v>
                </c:pt>
                <c:pt idx="86">
                  <c:v>2.89701280474602E-2</c:v>
                </c:pt>
                <c:pt idx="87">
                  <c:v>2.9267620504236602E-2</c:v>
                </c:pt>
                <c:pt idx="88">
                  <c:v>2.9554951112948841E-2</c:v>
                </c:pt>
                <c:pt idx="89">
                  <c:v>2.9831804800672674E-2</c:v>
                </c:pt>
                <c:pt idx="90">
                  <c:v>3.009786649448384E-2</c:v>
                </c:pt>
                <c:pt idx="91">
                  <c:v>3.035282112145811E-2</c:v>
                </c:pt>
                <c:pt idx="92">
                  <c:v>3.0596353608671242E-2</c:v>
                </c:pt>
                <c:pt idx="93">
                  <c:v>3.0828148883198993E-2</c:v>
                </c:pt>
                <c:pt idx="94">
                  <c:v>3.104789187211713E-2</c:v>
                </c:pt>
                <c:pt idx="95">
                  <c:v>3.1255267502501405E-2</c:v>
                </c:pt>
                <c:pt idx="96">
                  <c:v>3.1449960701427568E-2</c:v>
                </c:pt>
                <c:pt idx="97">
                  <c:v>3.1631656395971389E-2</c:v>
                </c:pt>
                <c:pt idx="98">
                  <c:v>3.1800039513208617E-2</c:v>
                </c:pt>
                <c:pt idx="99">
                  <c:v>3.1954794980215015E-2</c:v>
                </c:pt>
                <c:pt idx="100">
                  <c:v>3.3252768995313382E-2</c:v>
                </c:pt>
                <c:pt idx="101">
                  <c:v>3.5723712483732635E-2</c:v>
                </c:pt>
                <c:pt idx="102">
                  <c:v>3.8214451788676336E-2</c:v>
                </c:pt>
                <c:pt idx="103">
                  <c:v>4.0724345634054922E-2</c:v>
                </c:pt>
                <c:pt idx="104">
                  <c:v>4.3252752743779162E-2</c:v>
                </c:pt>
                <c:pt idx="105">
                  <c:v>4.5799031841759603E-2</c:v>
                </c:pt>
                <c:pt idx="106">
                  <c:v>4.8362541651906961E-2</c:v>
                </c:pt>
                <c:pt idx="107">
                  <c:v>5.0942640898131726E-2</c:v>
                </c:pt>
                <c:pt idx="108">
                  <c:v>5.3538688304344724E-2</c:v>
                </c:pt>
                <c:pt idx="109">
                  <c:v>5.6150042594456447E-2</c:v>
                </c:pt>
                <c:pt idx="110">
                  <c:v>5.8776062492377441E-2</c:v>
                </c:pt>
                <c:pt idx="111">
                  <c:v>6.1416106722018589E-2</c:v>
                </c:pt>
                <c:pt idx="112">
                  <c:v>6.4069534007290374E-2</c:v>
                </c:pt>
                <c:pt idx="113">
                  <c:v>6.6735703072103414E-2</c:v>
                </c:pt>
                <c:pt idx="114">
                  <c:v>6.9413972640368415E-2</c:v>
                </c:pt>
                <c:pt idx="115">
                  <c:v>7.2103701435995926E-2</c:v>
                </c:pt>
                <c:pt idx="116">
                  <c:v>7.480424818289666E-2</c:v>
                </c:pt>
                <c:pt idx="117">
                  <c:v>7.7514971604981109E-2</c:v>
                </c:pt>
                <c:pt idx="118">
                  <c:v>8.0235230426160042E-2</c:v>
                </c:pt>
                <c:pt idx="119">
                  <c:v>8.2964383370344064E-2</c:v>
                </c:pt>
                <c:pt idx="120">
                  <c:v>8.570178916144372E-2</c:v>
                </c:pt>
                <c:pt idx="121">
                  <c:v>8.844680652336967E-2</c:v>
                </c:pt>
                <c:pt idx="122">
                  <c:v>9.1198794180032572E-2</c:v>
                </c:pt>
                <c:pt idx="123">
                  <c:v>9.3957110855343251E-2</c:v>
                </c:pt>
                <c:pt idx="124">
                  <c:v>9.6721115273211866E-2</c:v>
                </c:pt>
                <c:pt idx="125">
                  <c:v>9.9490166157549353E-2</c:v>
                </c:pt>
                <c:pt idx="126">
                  <c:v>0.10226362223226654</c:v>
                </c:pt>
                <c:pt idx="127">
                  <c:v>0.10504084222127374</c:v>
                </c:pt>
                <c:pt idx="128">
                  <c:v>0.10782118484848158</c:v>
                </c:pt>
                <c:pt idx="129">
                  <c:v>0.11060400883780086</c:v>
                </c:pt>
                <c:pt idx="130">
                  <c:v>0.11338867291314214</c:v>
                </c:pt>
                <c:pt idx="131">
                  <c:v>0.11617453579841602</c:v>
                </c:pt>
                <c:pt idx="132">
                  <c:v>0.11896095621753316</c:v>
                </c:pt>
                <c:pt idx="133">
                  <c:v>0.12174729289440428</c:v>
                </c:pt>
                <c:pt idx="134">
                  <c:v>0.12453290455293969</c:v>
                </c:pt>
                <c:pt idx="135">
                  <c:v>0.12731714991705045</c:v>
                </c:pt>
                <c:pt idx="136">
                  <c:v>0.13009938771064694</c:v>
                </c:pt>
                <c:pt idx="137">
                  <c:v>0.13287897665763981</c:v>
                </c:pt>
                <c:pt idx="138">
                  <c:v>0.1356552754819399</c:v>
                </c:pt>
                <c:pt idx="139">
                  <c:v>0.13842764290745746</c:v>
                </c:pt>
                <c:pt idx="140">
                  <c:v>0.14119543765810333</c:v>
                </c:pt>
                <c:pt idx="141">
                  <c:v>0.14395801845778811</c:v>
                </c:pt>
                <c:pt idx="142">
                  <c:v>0.14671474403042245</c:v>
                </c:pt>
                <c:pt idx="143">
                  <c:v>0.14946497309991708</c:v>
                </c:pt>
                <c:pt idx="144">
                  <c:v>0.15220806439018253</c:v>
                </c:pt>
                <c:pt idx="145">
                  <c:v>0.1549433766251293</c:v>
                </c:pt>
                <c:pt idx="146">
                  <c:v>0.15767026852866839</c:v>
                </c:pt>
                <c:pt idx="147">
                  <c:v>0.16038809882470989</c:v>
                </c:pt>
                <c:pt idx="148">
                  <c:v>0.16309622623716497</c:v>
                </c:pt>
                <c:pt idx="149">
                  <c:v>0.16579400948994405</c:v>
                </c:pt>
                <c:pt idx="150">
                  <c:v>0.16848080730695741</c:v>
                </c:pt>
                <c:pt idx="151">
                  <c:v>0.17115597841211627</c:v>
                </c:pt>
                <c:pt idx="152">
                  <c:v>0.17381888152933095</c:v>
                </c:pt>
                <c:pt idx="153">
                  <c:v>0.17646887538251216</c:v>
                </c:pt>
                <c:pt idx="154">
                  <c:v>0.17910531869557028</c:v>
                </c:pt>
                <c:pt idx="155">
                  <c:v>0.18172757019241637</c:v>
                </c:pt>
                <c:pt idx="156">
                  <c:v>0.18433498859696068</c:v>
                </c:pt>
                <c:pt idx="157">
                  <c:v>0.18692693263311422</c:v>
                </c:pt>
                <c:pt idx="158">
                  <c:v>0.18950276102478725</c:v>
                </c:pt>
                <c:pt idx="159">
                  <c:v>0.19206183249589076</c:v>
                </c:pt>
                <c:pt idx="160">
                  <c:v>0.19460350577033492</c:v>
                </c:pt>
                <c:pt idx="161">
                  <c:v>0.19712713957203076</c:v>
                </c:pt>
                <c:pt idx="162">
                  <c:v>0.19963209262488879</c:v>
                </c:pt>
                <c:pt idx="163">
                  <c:v>0.20211772365281933</c:v>
                </c:pt>
                <c:pt idx="164">
                  <c:v>0.2045833913797338</c:v>
                </c:pt>
                <c:pt idx="165">
                  <c:v>0.20702845452954199</c:v>
                </c:pt>
                <c:pt idx="166">
                  <c:v>0.209452271826155</c:v>
                </c:pt>
                <c:pt idx="167">
                  <c:v>0.2118542019934832</c:v>
                </c:pt>
                <c:pt idx="168">
                  <c:v>0.21423360375543726</c:v>
                </c:pt>
                <c:pt idx="169">
                  <c:v>0.216589835835928</c:v>
                </c:pt>
                <c:pt idx="170">
                  <c:v>0.21892225695886619</c:v>
                </c:pt>
                <c:pt idx="171">
                  <c:v>0.22123022584816182</c:v>
                </c:pt>
                <c:pt idx="172">
                  <c:v>0.22351310122772633</c:v>
                </c:pt>
                <c:pt idx="173">
                  <c:v>0.2257702418214696</c:v>
                </c:pt>
                <c:pt idx="174">
                  <c:v>0.22800100635330273</c:v>
                </c:pt>
                <c:pt idx="175">
                  <c:v>0.23020475354713638</c:v>
                </c:pt>
                <c:pt idx="176">
                  <c:v>0.23238084212688065</c:v>
                </c:pt>
                <c:pt idx="177">
                  <c:v>0.23452863081644687</c:v>
                </c:pt>
                <c:pt idx="178">
                  <c:v>0.23664747833974537</c:v>
                </c:pt>
                <c:pt idx="179">
                  <c:v>0.23873674342068646</c:v>
                </c:pt>
                <c:pt idx="180">
                  <c:v>0.24079578478318125</c:v>
                </c:pt>
                <c:pt idx="181">
                  <c:v>0.24282396115114019</c:v>
                </c:pt>
                <c:pt idx="182">
                  <c:v>0.2448206312484737</c:v>
                </c:pt>
                <c:pt idx="183">
                  <c:v>0.24678515379909299</c:v>
                </c:pt>
                <c:pt idx="184">
                  <c:v>0.24871688752690807</c:v>
                </c:pt>
                <c:pt idx="185">
                  <c:v>0.25061519115582981</c:v>
                </c:pt>
                <c:pt idx="186">
                  <c:v>0.25247942340976887</c:v>
                </c:pt>
                <c:pt idx="187">
                  <c:v>0.2543089430126359</c:v>
                </c:pt>
                <c:pt idx="188">
                  <c:v>0.25610310868834146</c:v>
                </c:pt>
                <c:pt idx="189">
                  <c:v>0.25786127916079588</c:v>
                </c:pt>
                <c:pt idx="190">
                  <c:v>0.25958281315391069</c:v>
                </c:pt>
                <c:pt idx="191">
                  <c:v>0.26126706939159566</c:v>
                </c:pt>
                <c:pt idx="192">
                  <c:v>0.26291340659776169</c:v>
                </c:pt>
                <c:pt idx="193">
                  <c:v>0.26452118349631953</c:v>
                </c:pt>
                <c:pt idx="194">
                  <c:v>0.26608975881117974</c:v>
                </c:pt>
                <c:pt idx="195">
                  <c:v>0.26761849126625264</c:v>
                </c:pt>
                <c:pt idx="196">
                  <c:v>0.26910673958544956</c:v>
                </c:pt>
                <c:pt idx="197">
                  <c:v>0.27055386249268026</c:v>
                </c:pt>
                <c:pt idx="198">
                  <c:v>0.27195921871185619</c:v>
                </c:pt>
                <c:pt idx="199">
                  <c:v>0.27332216696688733</c:v>
                </c:pt>
                <c:pt idx="200">
                  <c:v>0.27464206598168478</c:v>
                </c:pt>
                <c:pt idx="201">
                  <c:v>0.27591827448015899</c:v>
                </c:pt>
                <c:pt idx="202">
                  <c:v>0.27715015118622038</c:v>
                </c:pt>
                <c:pt idx="203">
                  <c:v>0.27833705482377996</c:v>
                </c:pt>
                <c:pt idx="204">
                  <c:v>0.27947834411674827</c:v>
                </c:pt>
                <c:pt idx="205">
                  <c:v>0.28057337778903552</c:v>
                </c:pt>
                <c:pt idx="206">
                  <c:v>0.28162151456455281</c:v>
                </c:pt>
                <c:pt idx="207">
                  <c:v>0.2826221131672107</c:v>
                </c:pt>
                <c:pt idx="208">
                  <c:v>0.28357453232091973</c:v>
                </c:pt>
                <c:pt idx="209">
                  <c:v>0.28447813074959066</c:v>
                </c:pt>
                <c:pt idx="210">
                  <c:v>0.28533226717713395</c:v>
                </c:pt>
                <c:pt idx="211">
                  <c:v>0.28613630032746035</c:v>
                </c:pt>
                <c:pt idx="212">
                  <c:v>0.2868895889244803</c:v>
                </c:pt>
                <c:pt idx="213">
                  <c:v>0.28759149169210457</c:v>
                </c:pt>
                <c:pt idx="214">
                  <c:v>0.28824136735424361</c:v>
                </c:pt>
                <c:pt idx="215">
                  <c:v>0.2888385746348085</c:v>
                </c:pt>
                <c:pt idx="216">
                  <c:v>0.28938247225770958</c:v>
                </c:pt>
                <c:pt idx="217">
                  <c:v>0.28987241894685739</c:v>
                </c:pt>
                <c:pt idx="218">
                  <c:v>0.29030777342616282</c:v>
                </c:pt>
                <c:pt idx="219">
                  <c:v>0.29068789441953619</c:v>
                </c:pt>
                <c:pt idx="220">
                  <c:v>0.29101214065088793</c:v>
                </c:pt>
                <c:pt idx="221">
                  <c:v>0.29127987084412982</c:v>
                </c:pt>
                <c:pt idx="222">
                  <c:v>0.29149044372317107</c:v>
                </c:pt>
                <c:pt idx="223">
                  <c:v>0.29164321801192344</c:v>
                </c:pt>
                <c:pt idx="224">
                  <c:v>0.29173755243429672</c:v>
                </c:pt>
                <c:pt idx="225">
                  <c:v>0.291772805714202</c:v>
                </c:pt>
                <c:pt idx="226">
                  <c:v>0.29174833657554938</c:v>
                </c:pt>
                <c:pt idx="227">
                  <c:v>0.29166350374225031</c:v>
                </c:pt>
                <c:pt idx="228">
                  <c:v>0.29151766593821499</c:v>
                </c:pt>
                <c:pt idx="229">
                  <c:v>0.2913101818873543</c:v>
                </c:pt>
                <c:pt idx="230">
                  <c:v>0.29104041031357802</c:v>
                </c:pt>
                <c:pt idx="231">
                  <c:v>0.29070770994079803</c:v>
                </c:pt>
                <c:pt idx="232">
                  <c:v>0.29031143949292398</c:v>
                </c:pt>
                <c:pt idx="233">
                  <c:v>0.28985095769386676</c:v>
                </c:pt>
                <c:pt idx="234">
                  <c:v>0.28932562326753747</c:v>
                </c:pt>
                <c:pt idx="235">
                  <c:v>0.28873479493784587</c:v>
                </c:pt>
                <c:pt idx="236">
                  <c:v>0.28807783142870363</c:v>
                </c:pt>
                <c:pt idx="237">
                  <c:v>0.28735409146402041</c:v>
                </c:pt>
                <c:pt idx="238">
                  <c:v>0.28656293376770775</c:v>
                </c:pt>
                <c:pt idx="239">
                  <c:v>0.28570371706367498</c:v>
                </c:pt>
                <c:pt idx="240">
                  <c:v>0.28477580007583431</c:v>
                </c:pt>
                <c:pt idx="241">
                  <c:v>0.28377854152809495</c:v>
                </c:pt>
                <c:pt idx="242">
                  <c:v>0.28271130014436879</c:v>
                </c:pt>
                <c:pt idx="243">
                  <c:v>0.2815734346485656</c:v>
                </c:pt>
                <c:pt idx="244">
                  <c:v>0.28036430376459626</c:v>
                </c:pt>
                <c:pt idx="245">
                  <c:v>0.27908326621637142</c:v>
                </c:pt>
                <c:pt idx="246">
                  <c:v>0.27772968072780185</c:v>
                </c:pt>
                <c:pt idx="247">
                  <c:v>0.27630290602279733</c:v>
                </c:pt>
                <c:pt idx="248">
                  <c:v>0.27480230082527007</c:v>
                </c:pt>
                <c:pt idx="249">
                  <c:v>0.27322722385912951</c:v>
                </c:pt>
                <c:pt idx="250">
                  <c:v>0.27157703384828608</c:v>
                </c:pt>
                <c:pt idx="251">
                  <c:v>0.26985108951665143</c:v>
                </c:pt>
                <c:pt idx="252">
                  <c:v>0.2680487495881359</c:v>
                </c:pt>
                <c:pt idx="253">
                  <c:v>0.26616937278664948</c:v>
                </c:pt>
                <c:pt idx="254">
                  <c:v>0.26421231783610372</c:v>
                </c:pt>
                <c:pt idx="255">
                  <c:v>0.26217694346040793</c:v>
                </c:pt>
                <c:pt idx="256">
                  <c:v>0.260062608383474</c:v>
                </c:pt>
                <c:pt idx="257">
                  <c:v>0.25786867132921204</c:v>
                </c:pt>
                <c:pt idx="258">
                  <c:v>0.25559449102153314</c:v>
                </c:pt>
                <c:pt idx="259">
                  <c:v>0.25323942618434708</c:v>
                </c:pt>
                <c:pt idx="260">
                  <c:v>0.25080283554156518</c:v>
                </c:pt>
                <c:pt idx="261">
                  <c:v>0.24828407781709777</c:v>
                </c:pt>
                <c:pt idx="262">
                  <c:v>0.24568251173485561</c:v>
                </c:pt>
                <c:pt idx="263">
                  <c:v>0.24299749601874959</c:v>
                </c:pt>
                <c:pt idx="264">
                  <c:v>0.24022838939268926</c:v>
                </c:pt>
                <c:pt idx="265">
                  <c:v>0.2373745505805866</c:v>
                </c:pt>
                <c:pt idx="266">
                  <c:v>0.23443533830635171</c:v>
                </c:pt>
                <c:pt idx="267">
                  <c:v>0.23141011129389449</c:v>
                </c:pt>
                <c:pt idx="268">
                  <c:v>0.2282982282671267</c:v>
                </c:pt>
                <c:pt idx="269">
                  <c:v>0.225099047949959</c:v>
                </c:pt>
                <c:pt idx="270">
                  <c:v>0.22181192906630071</c:v>
                </c:pt>
                <c:pt idx="271">
                  <c:v>0.21843623034006415</c:v>
                </c:pt>
                <c:pt idx="272">
                  <c:v>0.21497131049515855</c:v>
                </c:pt>
                <c:pt idx="273">
                  <c:v>0.21141652825549545</c:v>
                </c:pt>
                <c:pt idx="274">
                  <c:v>0.20777124234498417</c:v>
                </c:pt>
                <c:pt idx="275">
                  <c:v>0.20403481148753716</c:v>
                </c:pt>
                <c:pt idx="276">
                  <c:v>0.20020659440706406</c:v>
                </c:pt>
                <c:pt idx="277">
                  <c:v>0.19628594982747577</c:v>
                </c:pt>
                <c:pt idx="278">
                  <c:v>0.19227223647268227</c:v>
                </c:pt>
                <c:pt idx="279">
                  <c:v>0.18816481306659455</c:v>
                </c:pt>
                <c:pt idx="280">
                  <c:v>0.18396303833312416</c:v>
                </c:pt>
                <c:pt idx="281">
                  <c:v>0.17966627099618032</c:v>
                </c:pt>
                <c:pt idx="282">
                  <c:v>0.17527386977967446</c:v>
                </c:pt>
                <c:pt idx="283">
                  <c:v>0.1707851934075168</c:v>
                </c:pt>
                <c:pt idx="284">
                  <c:v>0.16619960060361888</c:v>
                </c:pt>
                <c:pt idx="285">
                  <c:v>0.16151645009189047</c:v>
                </c:pt>
                <c:pt idx="286">
                  <c:v>0.15673510059624168</c:v>
                </c:pt>
                <c:pt idx="287">
                  <c:v>0.15185491084058439</c:v>
                </c:pt>
                <c:pt idx="288">
                  <c:v>0.14687523954882881</c:v>
                </c:pt>
                <c:pt idx="289">
                  <c:v>0.14179544544488515</c:v>
                </c:pt>
                <c:pt idx="290">
                  <c:v>0.13661488725266452</c:v>
                </c:pt>
                <c:pt idx="291">
                  <c:v>0.13133292369607746</c:v>
                </c:pt>
                <c:pt idx="292">
                  <c:v>0.12594891349903453</c:v>
                </c:pt>
                <c:pt idx="293">
                  <c:v>0.12046221538544594</c:v>
                </c:pt>
                <c:pt idx="294">
                  <c:v>0.11487218807922278</c:v>
                </c:pt>
                <c:pt idx="295">
                  <c:v>0.10917819030427617</c:v>
                </c:pt>
                <c:pt idx="296">
                  <c:v>0.10337958078451531</c:v>
                </c:pt>
                <c:pt idx="297">
                  <c:v>9.7475718243852538E-2</c:v>
                </c:pt>
                <c:pt idx="298">
                  <c:v>9.1465961406197616E-2</c:v>
                </c:pt>
                <c:pt idx="299">
                  <c:v>8.5349668995460759E-2</c:v>
                </c:pt>
                <c:pt idx="300">
                  <c:v>7.9126199735553071E-2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11-AA45-96A9-543B52563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GreenPaint1!$C$2</c:f>
              <c:strCache>
                <c:ptCount val="1"/>
                <c:pt idx="0">
                  <c:v>Yellow</c:v>
                </c:pt>
              </c:strCache>
            </c:strRef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GreenPaint1!$B$3:$B$24</c:f>
              <c:numCache>
                <c:formatCode>General</c:formatCode>
                <c:ptCount val="22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1</c:v>
                </c:pt>
                <c:pt idx="9">
                  <c:v>5</c:v>
                </c:pt>
                <c:pt idx="10">
                  <c:v>1</c:v>
                </c:pt>
                <c:pt idx="11">
                  <c:v>3</c:v>
                </c:pt>
                <c:pt idx="12">
                  <c:v>2</c:v>
                </c:pt>
                <c:pt idx="13">
                  <c:v>1</c:v>
                </c:pt>
                <c:pt idx="14">
                  <c:v>3</c:v>
                </c:pt>
                <c:pt idx="15">
                  <c:v>4</c:v>
                </c:pt>
                <c:pt idx="16">
                  <c:v>3</c:v>
                </c:pt>
                <c:pt idx="17">
                  <c:v>1</c:v>
                </c:pt>
                <c:pt idx="18">
                  <c:v>1</c:v>
                </c:pt>
                <c:pt idx="19">
                  <c:v>5</c:v>
                </c:pt>
                <c:pt idx="20">
                  <c:v>2</c:v>
                </c:pt>
                <c:pt idx="21">
                  <c:v>5</c:v>
                </c:pt>
              </c:numCache>
            </c:numRef>
          </c:xVal>
          <c:yVal>
            <c:numRef>
              <c:f>GreenPaint1!$C$3:$C$24</c:f>
              <c:numCache>
                <c:formatCode>General</c:formatCode>
                <c:ptCount val="22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1</c:v>
                </c:pt>
                <c:pt idx="9">
                  <c:v>5</c:v>
                </c:pt>
                <c:pt idx="10">
                  <c:v>1</c:v>
                </c:pt>
                <c:pt idx="11">
                  <c:v>3</c:v>
                </c:pt>
                <c:pt idx="12">
                  <c:v>2</c:v>
                </c:pt>
                <c:pt idx="13">
                  <c:v>1</c:v>
                </c:pt>
                <c:pt idx="14">
                  <c:v>3</c:v>
                </c:pt>
                <c:pt idx="15">
                  <c:v>4</c:v>
                </c:pt>
                <c:pt idx="16">
                  <c:v>3</c:v>
                </c:pt>
                <c:pt idx="17">
                  <c:v>1</c:v>
                </c:pt>
                <c:pt idx="18">
                  <c:v>1</c:v>
                </c:pt>
                <c:pt idx="19">
                  <c:v>5</c:v>
                </c:pt>
                <c:pt idx="20">
                  <c:v>2</c:v>
                </c:pt>
                <c:pt idx="2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5E-E04A-9F2E-096180EDC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3932112"/>
        <c:axId val="1403933472"/>
      </c:scatterChart>
      <c:valAx>
        <c:axId val="140393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33472"/>
        <c:crosses val="autoZero"/>
        <c:crossBetween val="midCat"/>
      </c:valAx>
      <c:valAx>
        <c:axId val="140393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32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GreenPaint2!$E$2</c:f>
              <c:strCache>
                <c:ptCount val="1"/>
                <c:pt idx="0">
                  <c:v>PC1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GreenPaint2!$E$3:$E$24</c:f>
              <c:numCache>
                <c:formatCode>General</c:formatCode>
                <c:ptCount val="22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4</c:v>
                </c:pt>
                <c:pt idx="11">
                  <c:v>2</c:v>
                </c:pt>
                <c:pt idx="12">
                  <c:v>3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5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  <c:pt idx="20">
                  <c:v>3</c:v>
                </c:pt>
                <c:pt idx="21">
                  <c:v>2</c:v>
                </c:pt>
              </c:numCache>
            </c:numRef>
          </c:xVal>
          <c:yVal>
            <c:numRef>
              <c:f>GreenPaint2!$F$3:$F$24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B-6C48-9C38-78E1EC1BB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8858320"/>
        <c:axId val="1408720416"/>
      </c:scatterChart>
      <c:valAx>
        <c:axId val="1408858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720416"/>
        <c:crosses val="autoZero"/>
        <c:crossBetween val="midCat"/>
      </c:valAx>
      <c:valAx>
        <c:axId val="140872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858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_xlchart.v5.0</cx:f>
      </cx:strDim>
      <cx:numDim type="val">
        <cx:f dir="row">_xlchart.v5.1</cx:f>
      </cx:numDim>
    </cx:data>
  </cx:chartData>
  <cx:chart>
    <cx:title pos="t" align="ctr" overlay="0">
      <cx:tx>
        <cx:txData>
          <cx:v>Waterfall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Waterfall</a:t>
          </a:r>
        </a:p>
      </cx:txPr>
    </cx:title>
    <cx:plotArea>
      <cx:plotAreaRegion>
        <cx:series layoutId="waterfall" uniqueId="{59085E14-B1F6-AB42-A988-59B3E404527E}">
          <cx:dataPt idx="0">
            <cx:spPr>
              <a:solidFill>
                <a:srgbClr val="00B050"/>
              </a:solidFill>
            </cx:spPr>
          </cx:dataPt>
          <cx:dataPt idx="1">
            <cx:spPr>
              <a:solidFill>
                <a:srgbClr val="FF0000"/>
              </a:solidFill>
            </cx:spPr>
          </cx:dataPt>
          <cx:dataPt idx="2">
            <cx:spPr>
              <a:solidFill>
                <a:srgbClr val="00B050"/>
              </a:solidFill>
            </cx:spPr>
          </cx:dataPt>
          <cx:dataPt idx="3">
            <cx:spPr>
              <a:solidFill>
                <a:srgbClr val="FF0000"/>
              </a:solidFill>
            </cx:spPr>
          </cx:dataPt>
          <cx:dataLabels/>
          <cx:dataId val="0"/>
          <cx:layoutPr>
            <cx:visibility connectorLines="1"/>
            <cx:subtotals/>
          </cx:layoutPr>
        </cx:series>
      </cx:plotAreaRegion>
      <cx:axis id="0">
        <cx:catScaling gapWidth="0.5"/>
        <cx:majorTickMarks type="out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endParaRPr lang="en-US" sz="9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majorTickMarks type="out"/>
        <cx:tickLabels/>
      </cx:axis>
    </cx:plotArea>
    <cx:legend pos="b" align="ctr" overlay="0">
      <cx:spPr>
        <a:noFill/>
      </cx:spPr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chart" Target="../charts/chart2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chart" Target="../charts/chart2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0</xdr:rowOff>
    </xdr:from>
    <xdr:to>
      <xdr:col>11</xdr:col>
      <xdr:colOff>381000</xdr:colOff>
      <xdr:row>5</xdr:row>
      <xdr:rowOff>177800</xdr:rowOff>
    </xdr:to>
    <xdr:pic>
      <xdr:nvPicPr>
        <xdr:cNvPr id="2" name="Picture 1" descr="What is Gini Impurity? How is it used to construct decision trees?">
          <a:extLst>
            <a:ext uri="{FF2B5EF4-FFF2-40B4-BE49-F238E27FC236}">
              <a16:creationId xmlns:a16="http://schemas.microsoft.com/office/drawing/2014/main" id="{DC772BEF-F144-B49A-8E83-EB4390CF04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7400" y="330200"/>
          <a:ext cx="3924300" cy="149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F196B-A861-9F4A-A3C0-0B1A13B06035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4</xdr:col>
      <xdr:colOff>342900</xdr:colOff>
      <xdr:row>19</xdr:row>
      <xdr:rowOff>214630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46B3AFB-4FCD-8845-1311-6B503D8D6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5500" y="990600"/>
          <a:ext cx="2819400" cy="54978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9</xdr:col>
      <xdr:colOff>812800</xdr:colOff>
      <xdr:row>19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A30A804-93C6-2883-54F7-6578865BD344}"/>
            </a:ext>
          </a:extLst>
        </xdr:cNvPr>
        <xdr:cNvSpPr txBox="1"/>
      </xdr:nvSpPr>
      <xdr:spPr>
        <a:xfrm>
          <a:off x="850900" y="355600"/>
          <a:ext cx="7391400" cy="6210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library(stats4)</a:t>
          </a:r>
        </a:p>
        <a:p>
          <a:r>
            <a:rPr lang="en-US" sz="2000"/>
            <a:t>library(splines)</a:t>
          </a:r>
        </a:p>
        <a:p>
          <a:r>
            <a:rPr lang="en-US" sz="2000"/>
            <a:t>library(VGAM) </a:t>
          </a:r>
        </a:p>
        <a:p>
          <a:endParaRPr lang="en-US" sz="2000"/>
        </a:p>
        <a:p>
          <a:r>
            <a:rPr lang="en-US" sz="2000"/>
            <a:t>data('iris',package = 'datasets')</a:t>
          </a:r>
        </a:p>
        <a:p>
          <a:r>
            <a:rPr lang="en-US" sz="2000"/>
            <a:t>d = iris</a:t>
          </a:r>
        </a:p>
        <a:p>
          <a:r>
            <a:rPr lang="en-US" sz="2000"/>
            <a:t>y_name = 'Species'</a:t>
          </a:r>
        </a:p>
        <a:p>
          <a:r>
            <a:rPr lang="en-US" sz="2000"/>
            <a:t>ind_iss = c(1:25,76:100,101:125)</a:t>
          </a:r>
        </a:p>
        <a:p>
          <a:r>
            <a:rPr lang="en-US" sz="2000"/>
            <a:t>ind_oos = setdiff(1:150,ind_iss)</a:t>
          </a:r>
        </a:p>
        <a:p>
          <a:r>
            <a:rPr lang="en-US" sz="2000"/>
            <a:t>d_iss = d[ind_iss,]</a:t>
          </a:r>
        </a:p>
        <a:p>
          <a:r>
            <a:rPr lang="en-US" sz="2000"/>
            <a:t>d_oos = d[ind_oos,]</a:t>
          </a:r>
        </a:p>
        <a:p>
          <a:r>
            <a:rPr lang="en-US" sz="2000"/>
            <a:t>fstring = paste(y_name,'~ .')</a:t>
          </a:r>
        </a:p>
        <a:p>
          <a:r>
            <a:rPr lang="en-US" sz="2000"/>
            <a:t>myformula = formula(fstring)</a:t>
          </a:r>
        </a:p>
        <a:p>
          <a:endParaRPr lang="en-US" sz="2000"/>
        </a:p>
        <a:p>
          <a:r>
            <a:rPr lang="en-US" sz="2000"/>
            <a:t>fit_mLogReg &lt;- vglm(myformula, family=multinomial,data = d_iss)</a:t>
          </a:r>
        </a:p>
        <a:p>
          <a:r>
            <a:rPr lang="en-US" sz="2000"/>
            <a:t>phat = predict(object = fit_mLogReg,newdata = d_oos, type="response")</a:t>
          </a:r>
        </a:p>
        <a:p>
          <a:r>
            <a:rPr lang="en-US" sz="2000"/>
            <a:t>chat &lt;- apply(phat, 1, which.max)</a:t>
          </a:r>
        </a:p>
        <a:p>
          <a:r>
            <a:rPr lang="en-US" sz="2000"/>
            <a:t>barplot(chat)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4</xdr:col>
      <xdr:colOff>816296</xdr:colOff>
      <xdr:row>8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CEA6C96-424F-FDF1-4F33-A836F8BD6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5500" y="990600"/>
          <a:ext cx="3292796" cy="16891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4</xdr:col>
      <xdr:colOff>816296</xdr:colOff>
      <xdr:row>15</xdr:row>
      <xdr:rowOff>38100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BFDBAF8-E85F-4C41-844C-C21AB2C8A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5500" y="3302000"/>
          <a:ext cx="3292796" cy="16891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9</xdr:col>
      <xdr:colOff>812800</xdr:colOff>
      <xdr:row>19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EA0D241-2320-664F-AB42-32444CA49EAB}"/>
            </a:ext>
          </a:extLst>
        </xdr:cNvPr>
        <xdr:cNvSpPr txBox="1"/>
      </xdr:nvSpPr>
      <xdr:spPr>
        <a:xfrm>
          <a:off x="850900" y="355600"/>
          <a:ext cx="7391400" cy="6210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Setup ####</a:t>
          </a:r>
        </a:p>
        <a:p>
          <a:r>
            <a:rPr lang="en-US" sz="1400"/>
            <a:t>library(carData)</a:t>
          </a:r>
        </a:p>
        <a:p>
          <a:r>
            <a:rPr lang="en-US" sz="1400"/>
            <a:t>library(MASS)</a:t>
          </a:r>
        </a:p>
        <a:p>
          <a:r>
            <a:rPr lang="en-US" sz="1400"/>
            <a:t>data(WVS)</a:t>
          </a:r>
        </a:p>
        <a:p>
          <a:endParaRPr lang="en-US" sz="1400"/>
        </a:p>
        <a:p>
          <a:r>
            <a:rPr lang="en-US" sz="1400"/>
            <a:t># Inputs ####</a:t>
          </a:r>
        </a:p>
        <a:p>
          <a:r>
            <a:rPr lang="en-US" sz="1400"/>
            <a:t>d = WVS</a:t>
          </a:r>
        </a:p>
        <a:p>
          <a:r>
            <a:rPr lang="en-US" sz="1400"/>
            <a:t>INSAMPLE_FRACTION  = .5</a:t>
          </a:r>
        </a:p>
        <a:p>
          <a:r>
            <a:rPr lang="en-US" sz="1400"/>
            <a:t>SEED = 1</a:t>
          </a:r>
        </a:p>
        <a:p>
          <a:r>
            <a:rPr lang="en-US" sz="1400"/>
            <a:t>set.seed(SEED)</a:t>
          </a:r>
        </a:p>
        <a:p>
          <a:r>
            <a:rPr lang="en-US" sz="1400"/>
            <a:t>TARGET_FIELD = 'poverty'</a:t>
          </a:r>
        </a:p>
        <a:p>
          <a:endParaRPr lang="en-US" sz="1400"/>
        </a:p>
        <a:p>
          <a:r>
            <a:rPr lang="en-US" sz="1400"/>
            <a:t># Construction  ####</a:t>
          </a:r>
        </a:p>
        <a:p>
          <a:r>
            <a:rPr lang="en-US" sz="1400"/>
            <a:t>preds_names = setdiff(names(d),TARGET_FIELD)</a:t>
          </a:r>
        </a:p>
        <a:p>
          <a:r>
            <a:rPr lang="en-US" sz="1400"/>
            <a:t>n = dim(d)[1]</a:t>
          </a:r>
        </a:p>
        <a:p>
          <a:r>
            <a:rPr lang="en-US" sz="1400"/>
            <a:t>idx_iss = sample(n,n*INSAMPLE_FRACTION)</a:t>
          </a:r>
        </a:p>
        <a:p>
          <a:r>
            <a:rPr lang="en-US" sz="1400"/>
            <a:t>idx_oos = setdiff(1:n,idx_iss)</a:t>
          </a:r>
        </a:p>
        <a:p>
          <a:r>
            <a:rPr lang="en-US" sz="1400"/>
            <a:t>d_iss = d[idx_iss,]</a:t>
          </a:r>
        </a:p>
        <a:p>
          <a:r>
            <a:rPr lang="en-US" sz="1400"/>
            <a:t>d_oos = d[idx_oos,]</a:t>
          </a:r>
        </a:p>
        <a:p>
          <a:r>
            <a:rPr lang="en-US" sz="1400"/>
            <a:t>X_iss = as.matrix(d[idx_iss,preds_names])</a:t>
          </a:r>
        </a:p>
        <a:p>
          <a:r>
            <a:rPr lang="en-US" sz="1400"/>
            <a:t>y_iss = d[idx_iss,TARGET_FIELD]</a:t>
          </a:r>
        </a:p>
        <a:p>
          <a:r>
            <a:rPr lang="en-US" sz="1400"/>
            <a:t>X_oos = as.matrix(d[idx_oos,preds_names])</a:t>
          </a:r>
        </a:p>
        <a:p>
          <a:r>
            <a:rPr lang="en-US" sz="1400"/>
            <a:t>y_oos = d[idx_oos,TARGET_FIELD]</a:t>
          </a:r>
        </a:p>
        <a:p>
          <a:r>
            <a:rPr lang="en-US" sz="1400"/>
            <a:t>p = dim(X_iss)[2]</a:t>
          </a:r>
        </a:p>
        <a:p>
          <a:r>
            <a:rPr lang="en-US" sz="1400"/>
            <a:t>fstring = paste(TARGET_FIELD,'~ .')</a:t>
          </a:r>
        </a:p>
        <a:p>
          <a:r>
            <a:rPr lang="en-US" sz="1400"/>
            <a:t>myformula = formula(fstring)</a:t>
          </a:r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19</xdr:col>
      <xdr:colOff>787400</xdr:colOff>
      <xdr:row>19</xdr:row>
      <xdr:rowOff>266700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BCFCF66-BA88-F243-8FA9-E574A1FAA6CB}"/>
            </a:ext>
          </a:extLst>
        </xdr:cNvPr>
        <xdr:cNvSpPr txBox="1"/>
      </xdr:nvSpPr>
      <xdr:spPr>
        <a:xfrm>
          <a:off x="9080500" y="330200"/>
          <a:ext cx="7391400" cy="6210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Fit ####</a:t>
          </a:r>
        </a:p>
        <a:p>
          <a:r>
            <a:rPr lang="en-US" sz="1400"/>
            <a:t>fit_OrgLogReg &lt;- polr(myformula, data = d_iss, Hess = TRUE)</a:t>
          </a:r>
        </a:p>
        <a:p>
          <a:r>
            <a:rPr lang="en-US" sz="1400"/>
            <a:t>summary(fit_OrgLogReg)</a:t>
          </a:r>
        </a:p>
        <a:p>
          <a:endParaRPr lang="en-US" sz="1400"/>
        </a:p>
        <a:p>
          <a:r>
            <a:rPr lang="en-US" sz="1400"/>
            <a:t># Forecast ####</a:t>
          </a:r>
        </a:p>
        <a:p>
          <a:r>
            <a:rPr lang="en-US" sz="1400"/>
            <a:t>phat = predict(fit_OrgLogReg,new_data=d_oos,type = "p")</a:t>
          </a:r>
        </a:p>
        <a:p>
          <a:r>
            <a:rPr lang="en-US" sz="1400"/>
            <a:t>chat = predict(fit_OrgLogReg,new_data=d_oos,type = "class")</a:t>
          </a:r>
        </a:p>
        <a:p>
          <a:endParaRPr lang="en-US" sz="1400"/>
        </a:p>
        <a:p>
          <a:r>
            <a:rPr lang="en-US" sz="1400"/>
            <a:t># Interpret ####</a:t>
          </a:r>
        </a:p>
        <a:p>
          <a:r>
            <a:rPr lang="en-US" sz="1400"/>
            <a:t>level_list = lapply(X = d[,preds_names],levels)</a:t>
          </a:r>
        </a:p>
        <a:p>
          <a:r>
            <a:rPr lang="en-US" sz="1400"/>
            <a:t>ind_non0 = unlist(lapply(level_list,length)) != 0</a:t>
          </a:r>
        </a:p>
        <a:p>
          <a:r>
            <a:rPr lang="en-US" sz="1400"/>
            <a:t>df_combinations = expand.grid(level_list[ind_non0])</a:t>
          </a:r>
        </a:p>
        <a:p>
          <a:r>
            <a:rPr lang="en-US" sz="1400"/>
            <a:t>phat_combinations = predict(fit_OrgLogReg, new_data=df_combinations, type = "p")</a:t>
          </a:r>
        </a:p>
        <a:p>
          <a:r>
            <a:rPr lang="en-US" sz="1400"/>
            <a:t>chat_combinations = predict(fit_OrgLogReg, new_data=df_combinations, type = "class")</a:t>
          </a:r>
        </a:p>
        <a:p>
          <a:endParaRPr lang="en-US" sz="12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19</xdr:col>
      <xdr:colOff>781050</xdr:colOff>
      <xdr:row>22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0B0B55-9921-E94E-AC7A-6CD705590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23</xdr:row>
      <xdr:rowOff>0</xdr:rowOff>
    </xdr:from>
    <xdr:to>
      <xdr:col>19</xdr:col>
      <xdr:colOff>781050</xdr:colOff>
      <xdr:row>42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20582C-5F4C-C243-9E52-85C3F3C6E0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43</xdr:row>
      <xdr:rowOff>0</xdr:rowOff>
    </xdr:from>
    <xdr:to>
      <xdr:col>19</xdr:col>
      <xdr:colOff>781050</xdr:colOff>
      <xdr:row>62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639B5F-D808-B945-9A1C-5A369EDB5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63</xdr:row>
      <xdr:rowOff>0</xdr:rowOff>
    </xdr:from>
    <xdr:to>
      <xdr:col>19</xdr:col>
      <xdr:colOff>781050</xdr:colOff>
      <xdr:row>82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9AF43D8-9C53-0A4F-9E2D-50989E0AB4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83</xdr:row>
      <xdr:rowOff>0</xdr:rowOff>
    </xdr:from>
    <xdr:to>
      <xdr:col>19</xdr:col>
      <xdr:colOff>781050</xdr:colOff>
      <xdr:row>102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B497B7-1DEF-EA4B-82CF-DC8180A94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3</xdr:row>
      <xdr:rowOff>279400</xdr:rowOff>
    </xdr:from>
    <xdr:to>
      <xdr:col>16</xdr:col>
      <xdr:colOff>139700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B5DCD8-BA6E-B14E-BBCB-C8E8435DB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3</xdr:row>
      <xdr:rowOff>25400</xdr:rowOff>
    </xdr:from>
    <xdr:to>
      <xdr:col>11</xdr:col>
      <xdr:colOff>12700</xdr:colOff>
      <xdr:row>23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77456DD-EB8D-51F9-54F0-BBCD7F43546E}"/>
            </a:ext>
          </a:extLst>
        </xdr:cNvPr>
        <xdr:cNvSpPr txBox="1"/>
      </xdr:nvSpPr>
      <xdr:spPr>
        <a:xfrm>
          <a:off x="838200" y="1016000"/>
          <a:ext cx="7429500" cy="665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MakeClusterData = function(centers,pointsPerCluster){</a:t>
          </a:r>
        </a:p>
        <a:p>
          <a:r>
            <a:rPr lang="en-US" sz="2000"/>
            <a:t>  k = length(centers)</a:t>
          </a:r>
        </a:p>
        <a:p>
          <a:r>
            <a:rPr lang="en-US" sz="2000"/>
            <a:t>  n = k*pointsPerCluster</a:t>
          </a:r>
        </a:p>
        <a:p>
          <a:r>
            <a:rPr lang="en-US" sz="2000"/>
            <a:t>  x = rnorm(n = n,mean = rep(centers,rep(pointsPerCluster,k)))</a:t>
          </a:r>
        </a:p>
        <a:p>
          <a:r>
            <a:rPr lang="en-US" sz="2000"/>
            <a:t>  y = rnorm(n = n,mean = rep(centers,rep(pointsPerCluster,k)))</a:t>
          </a:r>
        </a:p>
        <a:p>
          <a:r>
            <a:rPr lang="en-US" sz="2000"/>
            <a:t>  d = data.frame(x,y)</a:t>
          </a:r>
        </a:p>
        <a:p>
          <a:r>
            <a:rPr lang="en-US" sz="2000"/>
            <a:t>  plot(d)</a:t>
          </a:r>
        </a:p>
        <a:p>
          <a:r>
            <a:rPr lang="en-US" sz="2000"/>
            <a:t>  return(d)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MyCENTERS = c(0,4,4.5,15)</a:t>
          </a:r>
        </a:p>
        <a:p>
          <a:r>
            <a:rPr lang="en-US" sz="2000"/>
            <a:t>MyPOINTS_PER_Cluster = 3</a:t>
          </a:r>
        </a:p>
        <a:p>
          <a:r>
            <a:rPr lang="en-US" sz="2000"/>
            <a:t>k = length(MyCENTERS)</a:t>
          </a:r>
        </a:p>
        <a:p>
          <a:r>
            <a:rPr lang="en-US" sz="2000"/>
            <a:t>d = MakeClusterData(MyCENTERS,MyPOINTS_PER_Cluster)</a:t>
          </a:r>
        </a:p>
        <a:p>
          <a:endParaRPr lang="en-US" sz="2000"/>
        </a:p>
        <a:p>
          <a:r>
            <a:rPr lang="en-US" sz="2000"/>
            <a:t>fit_pam = pam(d,k)</a:t>
          </a:r>
        </a:p>
        <a:p>
          <a:r>
            <a:rPr lang="en-US" sz="2000"/>
            <a:t>plot(d,cex=2)</a:t>
          </a:r>
        </a:p>
        <a:p>
          <a:r>
            <a:rPr lang="en-US" sz="2000"/>
            <a:t>text(x = d$x,y = d$y,labels = rownames(d),col=fit_pam$clustering,cex=.5)</a:t>
          </a:r>
        </a:p>
        <a:p>
          <a:r>
            <a:rPr lang="en-US" sz="2000"/>
            <a:t>sil_pam = silhouette(fit_pam)</a:t>
          </a:r>
        </a:p>
        <a:p>
          <a:r>
            <a:rPr lang="en-US" sz="2000"/>
            <a:t>plot(sil_pam,col = 1:k)</a:t>
          </a:r>
        </a:p>
        <a:p>
          <a:endParaRPr lang="en-US" sz="20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0</xdr:rowOff>
    </xdr:from>
    <xdr:to>
      <xdr:col>12</xdr:col>
      <xdr:colOff>660400</xdr:colOff>
      <xdr:row>19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44263C-5EEE-1E4A-2A34-6F21D0D4BDD1}"/>
            </a:ext>
          </a:extLst>
        </xdr:cNvPr>
        <xdr:cNvSpPr txBox="1"/>
      </xdr:nvSpPr>
      <xdr:spPr>
        <a:xfrm>
          <a:off x="838200" y="330200"/>
          <a:ext cx="9728200" cy="6019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fit_hclust &lt;- hclust(dist(iris[, 3:4]), method = 'average')</a:t>
          </a:r>
        </a:p>
        <a:p>
          <a:endParaRPr lang="en-US" sz="2000"/>
        </a:p>
        <a:p>
          <a:r>
            <a:rPr lang="en-US" sz="2000"/>
            <a:t>plot(fit_hclust)</a:t>
          </a:r>
        </a:p>
        <a:p>
          <a:endParaRPr lang="en-US" sz="2000"/>
        </a:p>
        <a:p>
          <a:r>
            <a:rPr lang="en-US" sz="2000"/>
            <a:t>fit_hclust_cuts &lt;- cutree(fit_hclust, 3)</a:t>
          </a:r>
        </a:p>
        <a:p>
          <a:endParaRPr lang="en-US" sz="2000"/>
        </a:p>
        <a:p>
          <a:r>
            <a:rPr lang="en-US" sz="2000"/>
            <a:t>table(fit_hclust_cuts, iris$Species)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19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9DA448-C6FF-A543-8F04-655D678F9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292100</xdr:colOff>
      <xdr:row>2</xdr:row>
      <xdr:rowOff>0</xdr:rowOff>
    </xdr:from>
    <xdr:to>
      <xdr:col>21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42784A-93E3-3140-9877-029B2941D1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2</xdr:row>
      <xdr:rowOff>0</xdr:rowOff>
    </xdr:from>
    <xdr:to>
      <xdr:col>17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8E3C4D-2FE5-A54A-941F-A2BC2C94DB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FE531-E79F-024E-9C00-E7840D0C85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381000</xdr:colOff>
      <xdr:row>2</xdr:row>
      <xdr:rowOff>0</xdr:rowOff>
    </xdr:from>
    <xdr:to>
      <xdr:col>26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4A2A25-09AB-7540-AE4B-22AD6D17B2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18FB40-CBDB-3D43-B98C-69AB3E0B8E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967F5F-D3C9-8D4D-B2A3-430B4C511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3BB311-975C-E349-AEFC-781C4FB78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D84CBF-77E3-EF4E-9E5B-3474ED29AC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177800</xdr:rowOff>
    </xdr:from>
    <xdr:to>
      <xdr:col>23</xdr:col>
      <xdr:colOff>25400</xdr:colOff>
      <xdr:row>18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3D8D94-1054-AE4A-BC75-0B85F9684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DDB834-AFEC-AF4F-81E1-712F373CC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DB859A-80AC-A74A-899E-02869B7561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9AB79B-B6DD-944F-ABD6-9041DC661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279BC0-CCA0-BC41-AC4C-B11DF59CE1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861A9D-59A6-0145-968A-CBEAB523BE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127000</xdr:rowOff>
    </xdr:from>
    <xdr:to>
      <xdr:col>19</xdr:col>
      <xdr:colOff>38100</xdr:colOff>
      <xdr:row>9</xdr:row>
      <xdr:rowOff>279400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0171EE6-FB4E-F4A8-67AA-CDBC571507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05950" y="457200"/>
              <a:ext cx="6635750" cy="279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10</xdr:col>
      <xdr:colOff>812800</xdr:colOff>
      <xdr:row>20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914230E-5C7A-8E0E-4E10-8F303218CE74}"/>
            </a:ext>
          </a:extLst>
        </xdr:cNvPr>
        <xdr:cNvSpPr txBox="1"/>
      </xdr:nvSpPr>
      <xdr:spPr>
        <a:xfrm>
          <a:off x="850900" y="355600"/>
          <a:ext cx="8216900" cy="6527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df_X &lt;- read_excel("ML4RM_Class7_1.xlsm",</a:t>
          </a:r>
        </a:p>
        <a:p>
          <a:r>
            <a:rPr lang="en-US" sz="1400"/>
            <a:t>                   sheet = "Example1_Notation", </a:t>
          </a:r>
        </a:p>
        <a:p>
          <a:r>
            <a:rPr lang="en-US" sz="1400"/>
            <a:t>                   range = "c3:e23")</a:t>
          </a:r>
        </a:p>
        <a:p>
          <a:endParaRPr lang="en-US" sz="1400"/>
        </a:p>
        <a:p>
          <a:r>
            <a:rPr lang="en-US" sz="1400"/>
            <a:t>df_y &lt;- read_excel("ML4RM_Class7_1.xlsm",</a:t>
          </a:r>
        </a:p>
        <a:p>
          <a:r>
            <a:rPr lang="en-US" sz="1400"/>
            <a:t>                   sheet = "Example1_Notation", </a:t>
          </a:r>
        </a:p>
        <a:p>
          <a:r>
            <a:rPr lang="en-US" sz="1400"/>
            <a:t>                   range = "g3:g23")</a:t>
          </a:r>
        </a:p>
        <a:p>
          <a:endParaRPr lang="en-US" sz="1400"/>
        </a:p>
        <a:p>
          <a:r>
            <a:rPr lang="en-US" sz="1400"/>
            <a:t>d = cbind(df_X,df_y)</a:t>
          </a:r>
        </a:p>
        <a:p>
          <a:endParaRPr lang="en-US" sz="1400"/>
        </a:p>
        <a:p>
          <a:r>
            <a:rPr lang="en-US" sz="1400"/>
            <a:t>fit_lm = lm(formula = y ~ x1 + x2 + x3 -1,data = d)</a:t>
          </a:r>
        </a:p>
        <a:p>
          <a:endParaRPr lang="en-US" sz="1400"/>
        </a:p>
        <a:p>
          <a:r>
            <a:rPr lang="en-US" sz="1400"/>
            <a:t>explainer = shapr::shapr(x = X,fit_lm)</a:t>
          </a:r>
        </a:p>
        <a:p>
          <a:endParaRPr lang="en-US" sz="1400"/>
        </a:p>
        <a:p>
          <a:r>
            <a:rPr lang="en-US" sz="1400"/>
            <a:t>Ey &lt;- mean(d$y)</a:t>
          </a:r>
        </a:p>
        <a:p>
          <a:endParaRPr lang="en-US" sz="1400"/>
        </a:p>
        <a:p>
          <a:r>
            <a:rPr lang="en-US" sz="1400"/>
            <a:t>explanation &lt;- explain(</a:t>
          </a:r>
        </a:p>
        <a:p>
          <a:r>
            <a:rPr lang="en-US" sz="1400"/>
            <a:t>  X,</a:t>
          </a:r>
        </a:p>
        <a:p>
          <a:r>
            <a:rPr lang="en-US" sz="1400"/>
            <a:t>  explainer = explainer,</a:t>
          </a:r>
        </a:p>
        <a:p>
          <a:r>
            <a:rPr lang="en-US" sz="1400"/>
            <a:t>  approach = "gaussian",</a:t>
          </a:r>
        </a:p>
        <a:p>
          <a:r>
            <a:rPr lang="en-US" sz="1400"/>
            <a:t>  prediction_zero = Ey</a:t>
          </a:r>
        </a:p>
        <a:p>
          <a:r>
            <a:rPr lang="en-US" sz="1400"/>
            <a:t>)</a:t>
          </a:r>
        </a:p>
        <a:p>
          <a:endParaRPr lang="en-US" sz="1400"/>
        </a:p>
        <a:p>
          <a:r>
            <a:rPr lang="en-US" sz="1400"/>
            <a:t>print(explanation$dt)</a:t>
          </a:r>
        </a:p>
        <a:p>
          <a:r>
            <a:rPr lang="en-US" sz="1400"/>
            <a:t>rowSums(explanation$dt)</a:t>
          </a:r>
        </a:p>
        <a:p>
          <a:endParaRPr lang="en-US" sz="1400"/>
        </a:p>
        <a:p>
          <a:r>
            <a:rPr lang="en-US" sz="1400"/>
            <a:t>plot(explanation, plot_phi0 = T, index_x_test = c(13))</a:t>
          </a:r>
        </a:p>
        <a:p>
          <a:endParaRPr lang="en-US" sz="14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31750</xdr:colOff>
      <xdr:row>3</xdr:row>
      <xdr:rowOff>31750</xdr:rowOff>
    </xdr:from>
    <xdr:to>
      <xdr:col>10</xdr:col>
      <xdr:colOff>95250</xdr:colOff>
      <xdr:row>26</xdr:row>
      <xdr:rowOff>301625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AECC29-14FD-BD20-0E65-51C9D8C21285}"/>
            </a:ext>
          </a:extLst>
        </xdr:cNvPr>
        <xdr:cNvSpPr txBox="1"/>
      </xdr:nvSpPr>
      <xdr:spPr>
        <a:xfrm>
          <a:off x="1301750" y="1031875"/>
          <a:ext cx="8572500" cy="793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Get Data ####</a:t>
          </a:r>
        </a:p>
        <a:p>
          <a:r>
            <a:rPr lang="en-US" sz="2000"/>
            <a:t>library(readxl)</a:t>
          </a:r>
        </a:p>
        <a:p>
          <a:endParaRPr lang="en-US" sz="2000"/>
        </a:p>
        <a:p>
          <a:r>
            <a:rPr lang="en-US" sz="2000"/>
            <a:t>d &lt;- read_excel("ML4RM_Class6.xlsm", sheet = "train",col_types = 'text')</a:t>
          </a:r>
        </a:p>
        <a:p>
          <a:r>
            <a:rPr lang="en-US" sz="2000"/>
            <a:t>df_train = as.data.frame(d)</a:t>
          </a:r>
        </a:p>
        <a:p>
          <a:r>
            <a:rPr lang="en-US" sz="2000"/>
            <a:t>df_train</a:t>
          </a:r>
        </a:p>
        <a:p>
          <a:r>
            <a:rPr lang="en-US" sz="2000"/>
            <a:t>d &lt;- read_excel("ML4RM_Class6.xlsm", sheet = "test" ,col_types = 'text')</a:t>
          </a:r>
        </a:p>
        <a:p>
          <a:r>
            <a:rPr lang="en-US" sz="2000"/>
            <a:t>df__test = as.data.frame(d)</a:t>
          </a:r>
        </a:p>
        <a:p>
          <a:r>
            <a:rPr lang="en-US" sz="2000"/>
            <a:t>df__test</a:t>
          </a:r>
        </a:p>
        <a:p>
          <a:endParaRPr lang="en-US" sz="2000"/>
        </a:p>
        <a:p>
          <a:r>
            <a:rPr lang="en-US" sz="2000"/>
            <a:t># Fit ####</a:t>
          </a:r>
        </a:p>
        <a:p>
          <a:r>
            <a:rPr lang="en-US" sz="2000"/>
            <a:t>fit_nb &lt;- naiveBayes(Enjoyment ~ .,df_train)</a:t>
          </a:r>
        </a:p>
        <a:p>
          <a:r>
            <a:rPr lang="en-US" sz="2000"/>
            <a:t>fit_nb</a:t>
          </a:r>
        </a:p>
        <a:p>
          <a:endParaRPr lang="en-US" sz="2000"/>
        </a:p>
        <a:p>
          <a:r>
            <a:rPr lang="en-US" sz="2000"/>
            <a:t># Forecast ####</a:t>
          </a:r>
        </a:p>
        <a:p>
          <a:r>
            <a:rPr lang="en-US" sz="2000"/>
            <a:t>predict(object = fit_nb,newdata = df__test,type = 'raw')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127000</xdr:colOff>
      <xdr:row>1</xdr:row>
      <xdr:rowOff>317499</xdr:rowOff>
    </xdr:from>
    <xdr:to>
      <xdr:col>8</xdr:col>
      <xdr:colOff>381000</xdr:colOff>
      <xdr:row>29</xdr:row>
      <xdr:rowOff>111124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3764FDC-A732-B240-902C-68A2C9F86BA5}"/>
            </a:ext>
          </a:extLst>
        </xdr:cNvPr>
        <xdr:cNvSpPr txBox="1"/>
      </xdr:nvSpPr>
      <xdr:spPr>
        <a:xfrm>
          <a:off x="127000" y="650874"/>
          <a:ext cx="5905500" cy="912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Get Data ####</a:t>
          </a:r>
        </a:p>
        <a:p>
          <a:r>
            <a:rPr lang="en-US" sz="1600"/>
            <a:t>library(readxl)</a:t>
          </a:r>
        </a:p>
        <a:p>
          <a:r>
            <a:rPr lang="en-US" sz="1600"/>
            <a:t>d &lt;- read_excel("ML4RM_Class7.xlsm", </a:t>
          </a:r>
        </a:p>
        <a:p>
          <a:r>
            <a:rPr lang="en-US" sz="1600"/>
            <a:t>                col_types = c("text", "text"), </a:t>
          </a:r>
        </a:p>
        <a:p>
          <a:r>
            <a:rPr lang="en-US" sz="1600"/>
            <a:t>                sheet = "train_text")</a:t>
          </a:r>
        </a:p>
        <a:p>
          <a:r>
            <a:rPr lang="en-US" sz="1600"/>
            <a:t>d = as.data.frame(d)</a:t>
          </a:r>
        </a:p>
        <a:p>
          <a:r>
            <a:rPr lang="en-US" sz="1600"/>
            <a:t>d$type = as.factor(d$type)</a:t>
          </a:r>
        </a:p>
        <a:p>
          <a:r>
            <a:rPr lang="en-US" sz="1600"/>
            <a:t>dtrain = d</a:t>
          </a:r>
        </a:p>
        <a:p>
          <a:endParaRPr lang="en-US" sz="1600"/>
        </a:p>
        <a:p>
          <a:r>
            <a:rPr lang="en-US" sz="1600"/>
            <a:t>d &lt;- read_excel("ML4RM_Class7.xlsm", </a:t>
          </a:r>
        </a:p>
        <a:p>
          <a:r>
            <a:rPr lang="en-US" sz="1600"/>
            <a:t>                col_types = c("text", "text"), </a:t>
          </a:r>
        </a:p>
        <a:p>
          <a:r>
            <a:rPr lang="en-US" sz="1600"/>
            <a:t>                sheet = "test_text")</a:t>
          </a:r>
        </a:p>
        <a:p>
          <a:r>
            <a:rPr lang="en-US" sz="1600"/>
            <a:t>d = as.data.frame(d)</a:t>
          </a:r>
        </a:p>
        <a:p>
          <a:r>
            <a:rPr lang="en-US" sz="1600"/>
            <a:t>d$type = as.factor(d$type)</a:t>
          </a:r>
        </a:p>
        <a:p>
          <a:r>
            <a:rPr lang="en-US" sz="1600"/>
            <a:t>d_test = d</a:t>
          </a:r>
        </a:p>
      </xdr:txBody>
    </xdr:sp>
    <xdr:clientData/>
  </xdr:twoCellAnchor>
  <xdr:twoCellAnchor>
    <xdr:from>
      <xdr:col>17</xdr:col>
      <xdr:colOff>47624</xdr:colOff>
      <xdr:row>1</xdr:row>
      <xdr:rowOff>317500</xdr:rowOff>
    </xdr:from>
    <xdr:to>
      <xdr:col>24</xdr:col>
      <xdr:colOff>698500</xdr:colOff>
      <xdr:row>29</xdr:row>
      <xdr:rowOff>158750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A552204-2749-834B-89F4-F67E73BA6FED}"/>
            </a:ext>
          </a:extLst>
        </xdr:cNvPr>
        <xdr:cNvSpPr txBox="1"/>
      </xdr:nvSpPr>
      <xdr:spPr>
        <a:xfrm>
          <a:off x="13255624" y="650875"/>
          <a:ext cx="6429376" cy="917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Fit ####</a:t>
          </a:r>
        </a:p>
        <a:p>
          <a:r>
            <a:rPr lang="en-US" sz="1600"/>
            <a:t>library(e1071)</a:t>
          </a:r>
        </a:p>
        <a:p>
          <a:r>
            <a:rPr lang="en-US" sz="1600"/>
            <a:t>sms_classifier = naiveBayes(x = sms_mat_train,y =  dtrain$type)</a:t>
          </a:r>
        </a:p>
        <a:p>
          <a:r>
            <a:rPr lang="en-US" sz="1600"/>
            <a:t>sms_classifier</a:t>
          </a:r>
        </a:p>
        <a:p>
          <a:endParaRPr lang="en-US" sz="1600"/>
        </a:p>
        <a:p>
          <a:r>
            <a:rPr lang="en-US" sz="1600"/>
            <a:t># Forecast ####</a:t>
          </a:r>
        </a:p>
        <a:p>
          <a:r>
            <a:rPr lang="en-US" sz="1600"/>
            <a:t>predict(object = sms_classifier,newdata = sms_mat_test_,type = 'raw')</a:t>
          </a:r>
        </a:p>
        <a:p>
          <a:r>
            <a:rPr lang="en-US" sz="1600"/>
            <a:t>predict(object = sms_classifier,newdata = sms_mat_test_)</a:t>
          </a:r>
        </a:p>
        <a:p>
          <a:endParaRPr lang="en-US" sz="1600"/>
        </a:p>
        <a:p>
          <a:endParaRPr lang="en-US" sz="1600"/>
        </a:p>
      </xdr:txBody>
    </xdr:sp>
    <xdr:clientData/>
  </xdr:twoCellAnchor>
  <xdr:twoCellAnchor>
    <xdr:from>
      <xdr:col>8</xdr:col>
      <xdr:colOff>755649</xdr:colOff>
      <xdr:row>1</xdr:row>
      <xdr:rowOff>327024</xdr:rowOff>
    </xdr:from>
    <xdr:to>
      <xdr:col>16</xdr:col>
      <xdr:colOff>428625</xdr:colOff>
      <xdr:row>29</xdr:row>
      <xdr:rowOff>120649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D4E25F3-815C-0443-B187-ACE49952E664}"/>
            </a:ext>
          </a:extLst>
        </xdr:cNvPr>
        <xdr:cNvSpPr txBox="1"/>
      </xdr:nvSpPr>
      <xdr:spPr>
        <a:xfrm>
          <a:off x="6534149" y="660399"/>
          <a:ext cx="6276976" cy="912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Create Document Term Matrix ####</a:t>
          </a:r>
        </a:p>
        <a:p>
          <a:r>
            <a:rPr lang="en-US" sz="1600"/>
            <a:t>library(tm)</a:t>
          </a:r>
        </a:p>
        <a:p>
          <a:r>
            <a:rPr lang="en-US" sz="1600"/>
            <a:t>sms_corpus_train = Corpus(VectorSource(dtrain$text))</a:t>
          </a:r>
        </a:p>
        <a:p>
          <a:r>
            <a:rPr lang="en-US" sz="1600"/>
            <a:t>sms_dtm_train = DocumentTermMatrix(sms_corpus_train, control = list(</a:t>
          </a:r>
        </a:p>
        <a:p>
          <a:r>
            <a:rPr lang="en-US" sz="1600"/>
            <a:t>  tolower = TRUE,</a:t>
          </a:r>
        </a:p>
        <a:p>
          <a:r>
            <a:rPr lang="en-US" sz="1600"/>
            <a:t>  removeNumbers = TRUE,</a:t>
          </a:r>
        </a:p>
        <a:p>
          <a:r>
            <a:rPr lang="en-US" sz="1600"/>
            <a:t>  stopwords = TRUE,</a:t>
          </a:r>
        </a:p>
        <a:p>
          <a:r>
            <a:rPr lang="en-US" sz="1600"/>
            <a:t>  removePunctuation = TRUE,</a:t>
          </a:r>
        </a:p>
        <a:p>
          <a:r>
            <a:rPr lang="en-US" sz="1600"/>
            <a:t>  stemming = TRUE</a:t>
          </a:r>
        </a:p>
        <a:p>
          <a:r>
            <a:rPr lang="en-US" sz="1600"/>
            <a:t>))</a:t>
          </a:r>
        </a:p>
        <a:p>
          <a:endParaRPr lang="en-US" sz="1600"/>
        </a:p>
        <a:p>
          <a:r>
            <a:rPr lang="en-US" sz="1600"/>
            <a:t>sms_corpus_test_ = Corpus(VectorSource(d_test$text))</a:t>
          </a:r>
        </a:p>
        <a:p>
          <a:r>
            <a:rPr lang="en-US" sz="1600"/>
            <a:t>sms_dtm_test_ = DocumentTermMatrix(sms_corpus_test_, control = list(</a:t>
          </a:r>
        </a:p>
        <a:p>
          <a:r>
            <a:rPr lang="en-US" sz="1600"/>
            <a:t>  tolower = TRUE,</a:t>
          </a:r>
        </a:p>
        <a:p>
          <a:r>
            <a:rPr lang="en-US" sz="1600"/>
            <a:t>  removeNumbers = TRUE,</a:t>
          </a:r>
        </a:p>
        <a:p>
          <a:r>
            <a:rPr lang="en-US" sz="1600"/>
            <a:t>  stopwords = TRUE,</a:t>
          </a:r>
        </a:p>
        <a:p>
          <a:r>
            <a:rPr lang="en-US" sz="1600"/>
            <a:t>  removePunctuation = TRUE,</a:t>
          </a:r>
        </a:p>
        <a:p>
          <a:r>
            <a:rPr lang="en-US" sz="1600"/>
            <a:t>  stemming = TRUE</a:t>
          </a:r>
        </a:p>
        <a:p>
          <a:r>
            <a:rPr lang="en-US" sz="1600"/>
            <a:t>))</a:t>
          </a:r>
        </a:p>
        <a:p>
          <a:endParaRPr lang="en-US" sz="1600"/>
        </a:p>
        <a:p>
          <a:r>
            <a:rPr lang="en-US" sz="1600"/>
            <a:t>sms_mat_train = as.matrix(sms_dtm_train)</a:t>
          </a:r>
        </a:p>
        <a:p>
          <a:r>
            <a:rPr lang="en-US" sz="1600"/>
            <a:t>sms_mat_test_ = as.matrix(sms_dtm_test_)</a:t>
          </a:r>
        </a:p>
        <a:p>
          <a:endParaRPr lang="en-US" sz="1600"/>
        </a:p>
        <a:p>
          <a:r>
            <a:rPr lang="en-US" sz="1600"/>
            <a:t>sms_mat_train = apply(as.data.frame(sms_mat_train), 2, factor)</a:t>
          </a:r>
        </a:p>
        <a:p>
          <a:r>
            <a:rPr lang="en-US" sz="1600"/>
            <a:t>sms_mat_test_ = apply(as.data.frame(sms_mat_test_), 2, factor</a:t>
          </a:r>
          <a:r>
            <a:rPr lang="en-US" sz="1400"/>
            <a:t>)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3</xdr:row>
      <xdr:rowOff>0</xdr:rowOff>
    </xdr:from>
    <xdr:ext cx="4470400" cy="4425696"/>
    <xdr:pic>
      <xdr:nvPicPr>
        <xdr:cNvPr id="2" name="Picture 1">
          <a:extLst>
            <a:ext uri="{FF2B5EF4-FFF2-40B4-BE49-F238E27FC236}">
              <a16:creationId xmlns:a16="http://schemas.microsoft.com/office/drawing/2014/main" id="{821E781F-A352-AE4B-9F04-5BF4CF265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609600"/>
          <a:ext cx="4470400" cy="442569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6111478" cy="4419600"/>
    <xdr:pic>
      <xdr:nvPicPr>
        <xdr:cNvPr id="3" name="Picture 2">
          <a:extLst>
            <a:ext uri="{FF2B5EF4-FFF2-40B4-BE49-F238E27FC236}">
              <a16:creationId xmlns:a16="http://schemas.microsoft.com/office/drawing/2014/main" id="{035F32EF-18EE-8045-B1EA-885DFAED5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8500" y="609600"/>
          <a:ext cx="6111478" cy="4419600"/>
        </a:xfrm>
        <a:prstGeom prst="rect">
          <a:avLst/>
        </a:prstGeom>
      </xdr:spPr>
    </xdr:pic>
    <xdr:clientData/>
  </xdr:one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1</xdr:row>
      <xdr:rowOff>196850</xdr:rowOff>
    </xdr:from>
    <xdr:to>
      <xdr:col>9</xdr:col>
      <xdr:colOff>558800</xdr:colOff>
      <xdr:row>15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5DC7AE-7D1C-1142-B3FA-63D7FB22D4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0</xdr:colOff>
      <xdr:row>2</xdr:row>
      <xdr:rowOff>0</xdr:rowOff>
    </xdr:from>
    <xdr:ext cx="4470400" cy="4425696"/>
    <xdr:pic>
      <xdr:nvPicPr>
        <xdr:cNvPr id="3" name="Picture 2">
          <a:extLst>
            <a:ext uri="{FF2B5EF4-FFF2-40B4-BE49-F238E27FC236}">
              <a16:creationId xmlns:a16="http://schemas.microsoft.com/office/drawing/2014/main" id="{26D1357B-DC0F-254F-9CD8-9B7C5FF4A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0" y="406400"/>
          <a:ext cx="4470400" cy="4425696"/>
        </a:xfrm>
        <a:prstGeom prst="rect">
          <a:avLst/>
        </a:prstGeom>
      </xdr:spPr>
    </xdr:pic>
    <xdr:clientData/>
  </xdr:one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</xdr:row>
      <xdr:rowOff>196850</xdr:rowOff>
    </xdr:from>
    <xdr:to>
      <xdr:col>12</xdr:col>
      <xdr:colOff>558800</xdr:colOff>
      <xdr:row>15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A2CEA2-8998-D34E-B9D6-E9EC228CC6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660399</xdr:colOff>
      <xdr:row>3</xdr:row>
      <xdr:rowOff>176302</xdr:rowOff>
    </xdr:from>
    <xdr:ext cx="4470400" cy="4425696"/>
    <xdr:pic>
      <xdr:nvPicPr>
        <xdr:cNvPr id="3" name="Picture 2">
          <a:extLst>
            <a:ext uri="{FF2B5EF4-FFF2-40B4-BE49-F238E27FC236}">
              <a16:creationId xmlns:a16="http://schemas.microsoft.com/office/drawing/2014/main" id="{73C10D30-AA28-814B-8F58-B71E980A5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80283">
          <a:off x="11391899" y="785902"/>
          <a:ext cx="4470400" cy="4425696"/>
        </a:xfrm>
        <a:prstGeom prst="rect">
          <a:avLst/>
        </a:prstGeom>
      </xdr:spPr>
    </xdr:pic>
    <xdr:clientData/>
  </xdr:oneCellAnchor>
</xdr:wsDr>
</file>

<file path=xl/drawings/drawing33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372972</xdr:colOff>
      <xdr:row>13</xdr:row>
      <xdr:rowOff>25400</xdr:rowOff>
    </xdr:from>
    <xdr:ext cx="2802028" cy="2197100"/>
    <xdr:pic>
      <xdr:nvPicPr>
        <xdr:cNvPr id="2" name="Picture 1">
          <a:extLst>
            <a:ext uri="{FF2B5EF4-FFF2-40B4-BE49-F238E27FC236}">
              <a16:creationId xmlns:a16="http://schemas.microsoft.com/office/drawing/2014/main" id="{1222DC98-6A9E-F242-887A-137135B0D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27972" y="2667000"/>
          <a:ext cx="2802028" cy="219710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1</xdr:row>
      <xdr:rowOff>162412</xdr:rowOff>
    </xdr:from>
    <xdr:ext cx="2806700" cy="2161855"/>
    <xdr:pic>
      <xdr:nvPicPr>
        <xdr:cNvPr id="3" name="Picture 2">
          <a:extLst>
            <a:ext uri="{FF2B5EF4-FFF2-40B4-BE49-F238E27FC236}">
              <a16:creationId xmlns:a16="http://schemas.microsoft.com/office/drawing/2014/main" id="{7DD9ADE1-CF4D-354C-B977-394FFF142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7900" y="365612"/>
          <a:ext cx="2806700" cy="2161855"/>
        </a:xfrm>
        <a:prstGeom prst="rect">
          <a:avLst/>
        </a:prstGeom>
      </xdr:spPr>
    </xdr:pic>
    <xdr:clientData/>
  </xdr:one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279400</xdr:rowOff>
    </xdr:from>
    <xdr:to>
      <xdr:col>9</xdr:col>
      <xdr:colOff>152400</xdr:colOff>
      <xdr:row>15</xdr:row>
      <xdr:rowOff>317500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6A709F7-BD56-4A4A-A9FF-64CF46BA29FF}"/>
            </a:ext>
          </a:extLst>
        </xdr:cNvPr>
        <xdr:cNvSpPr txBox="1"/>
      </xdr:nvSpPr>
      <xdr:spPr>
        <a:xfrm>
          <a:off x="863600" y="203200"/>
          <a:ext cx="6718300" cy="3048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aseline="0"/>
            <a:t>d = &lt; Some data set &gt;</a:t>
          </a:r>
        </a:p>
        <a:p>
          <a:endParaRPr lang="en-US" sz="2000" baseline="0"/>
        </a:p>
        <a:p>
          <a:r>
            <a:rPr lang="en-US" sz="2000" baseline="0"/>
            <a:t>d_centered = scale(d, center=TRUE, scale=FALSE)</a:t>
          </a:r>
        </a:p>
        <a:p>
          <a:endParaRPr lang="en-US" sz="2000" baseline="0"/>
        </a:p>
        <a:p>
          <a:r>
            <a:rPr lang="en-US" sz="2000" baseline="0"/>
            <a:t>covmat = cov(d_centered)</a:t>
          </a:r>
        </a:p>
        <a:p>
          <a:endParaRPr lang="en-US" sz="2000" baseline="0"/>
        </a:p>
        <a:p>
          <a:r>
            <a:rPr lang="en-US" sz="2000" baseline="0"/>
            <a:t>e = eigen(covmat)</a:t>
          </a:r>
        </a:p>
        <a:p>
          <a:endParaRPr lang="en-US" sz="2000" baseline="0"/>
        </a:p>
        <a:p>
          <a:r>
            <a:rPr lang="en-US" sz="2000" baseline="0"/>
            <a:t>loadings = e$vectors</a:t>
          </a:r>
        </a:p>
        <a:p>
          <a:endParaRPr lang="en-US" sz="2000" baseline="0"/>
        </a:p>
        <a:p>
          <a:r>
            <a:rPr lang="en-US" sz="2000" baseline="0"/>
            <a:t>values = e$values</a:t>
          </a:r>
        </a:p>
        <a:p>
          <a:endParaRPr lang="en-US" sz="2000" baseline="0"/>
        </a:p>
        <a:p>
          <a:r>
            <a:rPr lang="en-US" sz="2000" baseline="0"/>
            <a:t>k = &lt; selected number of components &gt;</a:t>
          </a:r>
        </a:p>
        <a:p>
          <a:endParaRPr lang="en-US" sz="2000" baseline="0"/>
        </a:p>
        <a:p>
          <a:r>
            <a:rPr lang="en-US" sz="2000" baseline="0"/>
            <a:t>pc = as.matrix(d) %*% loadings[,1:k]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25400</xdr:rowOff>
    </xdr:from>
    <xdr:to>
      <xdr:col>7</xdr:col>
      <xdr:colOff>444500</xdr:colOff>
      <xdr:row>21</xdr:row>
      <xdr:rowOff>203200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4510090-B534-AC4F-AD5A-B2CB13FFDF18}"/>
            </a:ext>
          </a:extLst>
        </xdr:cNvPr>
        <xdr:cNvSpPr txBox="1"/>
      </xdr:nvSpPr>
      <xdr:spPr>
        <a:xfrm>
          <a:off x="673100" y="355600"/>
          <a:ext cx="51816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Get Data ####</a:t>
          </a:r>
        </a:p>
        <a:p>
          <a:r>
            <a:rPr lang="en-US" sz="1400"/>
            <a:t>library(arules)</a:t>
          </a:r>
        </a:p>
        <a:p>
          <a:r>
            <a:rPr lang="en-US" sz="1400"/>
            <a:t>library(readxl)</a:t>
          </a:r>
        </a:p>
        <a:p>
          <a:endParaRPr lang="en-US" sz="1400"/>
        </a:p>
        <a:p>
          <a:r>
            <a:rPr lang="en-US" sz="1400"/>
            <a:t># Reading Method: Single ####</a:t>
          </a:r>
        </a:p>
        <a:p>
          <a:r>
            <a:rPr lang="en-US" sz="1400"/>
            <a:t>d &lt;- read_excel("ML4RM_Class7.xlsm", </a:t>
          </a:r>
        </a:p>
        <a:p>
          <a:r>
            <a:rPr lang="en-US" sz="1400"/>
            <a:t>                sheet = "TransactionsData_v1")</a:t>
          </a:r>
        </a:p>
        <a:p>
          <a:r>
            <a:rPr lang="en-US" sz="1400"/>
            <a:t>cnames = colnames(d)</a:t>
          </a:r>
        </a:p>
        <a:p>
          <a:endParaRPr lang="en-US" sz="1400"/>
        </a:p>
        <a:p>
          <a:r>
            <a:rPr lang="en-US" sz="1400"/>
            <a:t>write.csv(d,'d_single_temp.csv',row.names = F)</a:t>
          </a:r>
        </a:p>
        <a:p>
          <a:r>
            <a:rPr lang="en-US" sz="1400"/>
            <a:t>transactions_data = read.transactions(file = 'd_single_temp.csv',</a:t>
          </a:r>
        </a:p>
        <a:p>
          <a:r>
            <a:rPr lang="en-US" sz="1400"/>
            <a:t>                                      format = 'single',</a:t>
          </a:r>
        </a:p>
        <a:p>
          <a:r>
            <a:rPr lang="en-US" sz="1400"/>
            <a:t>                                      sep = ',',</a:t>
          </a:r>
        </a:p>
        <a:p>
          <a:r>
            <a:rPr lang="en-US" sz="1400"/>
            <a:t>                                      header = T,</a:t>
          </a:r>
        </a:p>
        <a:p>
          <a:r>
            <a:rPr lang="en-US" sz="1400"/>
            <a:t>                                      cols = cnames)</a:t>
          </a:r>
        </a:p>
        <a:p>
          <a:r>
            <a:rPr lang="en-US" sz="1400"/>
            <a:t>inspect(transactions_data)</a:t>
          </a:r>
        </a:p>
        <a:p>
          <a:endParaRPr lang="en-US" sz="1400"/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14</xdr:col>
      <xdr:colOff>228600</xdr:colOff>
      <xdr:row>21</xdr:row>
      <xdr:rowOff>177800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E541F92-26F7-8B49-8110-B16662A8A235}"/>
            </a:ext>
          </a:extLst>
        </xdr:cNvPr>
        <xdr:cNvSpPr txBox="1"/>
      </xdr:nvSpPr>
      <xdr:spPr>
        <a:xfrm>
          <a:off x="6235700" y="330200"/>
          <a:ext cx="51816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Get Data ####</a:t>
          </a:r>
        </a:p>
        <a:p>
          <a:r>
            <a:rPr lang="en-US" sz="1400"/>
            <a:t>library(arules)</a:t>
          </a:r>
        </a:p>
        <a:p>
          <a:r>
            <a:rPr lang="en-US" sz="1400"/>
            <a:t>library(readxl)</a:t>
          </a:r>
        </a:p>
        <a:p>
          <a:endParaRPr lang="en-US" sz="1400"/>
        </a:p>
        <a:p>
          <a:r>
            <a:rPr lang="en-US" sz="1400"/>
            <a:t># Reading Method: Basket ####</a:t>
          </a:r>
        </a:p>
        <a:p>
          <a:r>
            <a:rPr lang="en-US" sz="1400"/>
            <a:t>d &lt;- read_excel("ML4RM_Class7.xlsm", </a:t>
          </a:r>
        </a:p>
        <a:p>
          <a:r>
            <a:rPr lang="en-US" sz="1400"/>
            <a:t>                sheet = "TransactionsData_v2",col_names = F)</a:t>
          </a:r>
        </a:p>
        <a:p>
          <a:endParaRPr lang="en-US" sz="1400"/>
        </a:p>
        <a:p>
          <a:r>
            <a:rPr lang="en-US" sz="1400"/>
            <a:t>write.csv(d,'d_basket_temp.csv',row.names = F)</a:t>
          </a:r>
        </a:p>
        <a:p>
          <a:r>
            <a:rPr lang="en-US" sz="1400"/>
            <a:t>transactions_data = read.transactions(file = 'd_basket_temp.csv',</a:t>
          </a:r>
        </a:p>
        <a:p>
          <a:r>
            <a:rPr lang="en-US" sz="1400"/>
            <a:t>                                      format = 'basket',</a:t>
          </a:r>
        </a:p>
        <a:p>
          <a:r>
            <a:rPr lang="en-US" sz="1400"/>
            <a:t>                                      sep = ',',</a:t>
          </a:r>
        </a:p>
        <a:p>
          <a:r>
            <a:rPr lang="en-US" sz="1400"/>
            <a:t>                                      header = T)</a:t>
          </a:r>
        </a:p>
        <a:p>
          <a:r>
            <a:rPr lang="en-US" sz="1400"/>
            <a:t>inspect(transactions_data)</a:t>
          </a:r>
        </a:p>
        <a:p>
          <a:endParaRPr lang="en-US" sz="1400"/>
        </a:p>
      </xdr:txBody>
    </xdr:sp>
    <xdr:clientData/>
  </xdr:twoCellAnchor>
  <xdr:twoCellAnchor>
    <xdr:from>
      <xdr:col>14</xdr:col>
      <xdr:colOff>457200</xdr:colOff>
      <xdr:row>1</xdr:row>
      <xdr:rowOff>0</xdr:rowOff>
    </xdr:from>
    <xdr:to>
      <xdr:col>20</xdr:col>
      <xdr:colOff>685800</xdr:colOff>
      <xdr:row>21</xdr:row>
      <xdr:rowOff>177800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3CA837E-CE88-2F45-82A0-F39E11C9510A}"/>
            </a:ext>
          </a:extLst>
        </xdr:cNvPr>
        <xdr:cNvSpPr txBox="1"/>
      </xdr:nvSpPr>
      <xdr:spPr>
        <a:xfrm>
          <a:off x="11645900" y="330200"/>
          <a:ext cx="51816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Fit ####</a:t>
          </a:r>
        </a:p>
        <a:p>
          <a:r>
            <a:rPr lang="en-US" sz="1400"/>
            <a:t>fit_aa &lt;- apriori(transactions_data,</a:t>
          </a:r>
        </a:p>
        <a:p>
          <a:r>
            <a:rPr lang="en-US" sz="1400"/>
            <a:t>                  parameter = list(support = 0.001,</a:t>
          </a:r>
        </a:p>
        <a:p>
          <a:r>
            <a:rPr lang="en-US" sz="1400"/>
            <a:t>                                   confidence = 0.001))</a:t>
          </a:r>
        </a:p>
        <a:p>
          <a:r>
            <a:rPr lang="en-US" sz="1400"/>
            <a:t>inspect(fit_aa)</a:t>
          </a:r>
        </a:p>
        <a:p>
          <a:r>
            <a:rPr lang="en-US" sz="1400"/>
            <a:t>inspect(sort(fit_aa, by = "confidence"))</a:t>
          </a:r>
        </a:p>
        <a:p>
          <a:endParaRPr lang="en-US" sz="14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25400</xdr:rowOff>
    </xdr:from>
    <xdr:to>
      <xdr:col>10</xdr:col>
      <xdr:colOff>25400</xdr:colOff>
      <xdr:row>21</xdr:row>
      <xdr:rowOff>203200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71321D3-6673-DCB4-0320-B143EDAD2716}"/>
            </a:ext>
          </a:extLst>
        </xdr:cNvPr>
        <xdr:cNvSpPr txBox="1"/>
      </xdr:nvSpPr>
      <xdr:spPr>
        <a:xfrm>
          <a:off x="673100" y="355600"/>
          <a:ext cx="72390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# install.packages("arules")</a:t>
          </a:r>
        </a:p>
        <a:p>
          <a:r>
            <a:rPr lang="en-US" sz="2000"/>
            <a:t># install.packages("arulesViz")</a:t>
          </a:r>
        </a:p>
        <a:p>
          <a:endParaRPr lang="en-US" sz="2000"/>
        </a:p>
        <a:p>
          <a:r>
            <a:rPr lang="en-US" sz="2000"/>
            <a:t>library(arules)</a:t>
          </a:r>
        </a:p>
        <a:p>
          <a:r>
            <a:rPr lang="en-US" sz="2000"/>
            <a:t>data('Groceries',package = 'arules')</a:t>
          </a:r>
        </a:p>
        <a:p>
          <a:r>
            <a:rPr lang="en-US" sz="2000"/>
            <a:t>class(Groceries)</a:t>
          </a:r>
        </a:p>
        <a:p>
          <a:r>
            <a:rPr lang="en-US" sz="2000"/>
            <a:t>inspect(head(Groceries))</a:t>
          </a:r>
        </a:p>
        <a:p>
          <a:endParaRPr lang="en-US" sz="2000"/>
        </a:p>
        <a:p>
          <a:r>
            <a:rPr lang="en-US" sz="2000"/>
            <a:t># Fit ####</a:t>
          </a:r>
        </a:p>
        <a:p>
          <a:r>
            <a:rPr lang="en-US" sz="2000"/>
            <a:t>fit_aa &lt;- apriori(Groceries,</a:t>
          </a:r>
        </a:p>
        <a:p>
          <a:r>
            <a:rPr lang="en-US" sz="2000"/>
            <a:t>                  parameter = list(support = 0.01,</a:t>
          </a:r>
        </a:p>
        <a:p>
          <a:r>
            <a:rPr lang="en-US" sz="2000"/>
            <a:t>                                   confidence = 0.5))</a:t>
          </a:r>
        </a:p>
        <a:p>
          <a:endParaRPr lang="en-US" sz="2000"/>
        </a:p>
        <a:p>
          <a:r>
            <a:rPr lang="en-US" sz="2000"/>
            <a:t>inspect(head(sort(fit_aa, by = "confidence"), 15))</a:t>
          </a:r>
        </a:p>
        <a:p>
          <a:endParaRPr lang="en-US" sz="2000"/>
        </a:p>
        <a:p>
          <a:r>
            <a:rPr lang="en-US" sz="2000"/>
            <a:t>fit_aa_butter &lt;- apriori(data=Groceries, </a:t>
          </a:r>
        </a:p>
        <a:p>
          <a:r>
            <a:rPr lang="en-US" sz="2000"/>
            <a:t>                           parameter=list(supp = 0.001,</a:t>
          </a:r>
        </a:p>
        <a:p>
          <a:r>
            <a:rPr lang="en-US" sz="2000"/>
            <a:t>                                          conf = 0.08), </a:t>
          </a:r>
        </a:p>
        <a:p>
          <a:r>
            <a:rPr lang="en-US" sz="2000"/>
            <a:t>                           appearance = list(rhs="butter"))</a:t>
          </a:r>
        </a:p>
        <a:p>
          <a:endParaRPr lang="en-US" sz="2000"/>
        </a:p>
        <a:p>
          <a:endParaRPr lang="en-US" sz="2000"/>
        </a:p>
        <a:p>
          <a:endParaRPr lang="en-US" sz="20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ML4RM_Class1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2">
          <cell r="C12">
            <v>10</v>
          </cell>
        </row>
      </sheetData>
      <sheetData sheetId="5" refreshError="1"/>
      <sheetData sheetId="6" refreshError="1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  <sheetName val="DataTypes_ASCII"/>
      <sheetName val="NextTi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open?id=1RZpmwl3eANQZfoJp1KNWAC9vVHdVixHm&amp;authuser=davethemovie%40gmail.com&amp;usp=drive_fs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drive.google.com/open?id=1RciSUmER40HYycOiLrulrVU0OFjLvDKF&amp;authuser=davethemovie%40gmail.com&amp;usp=drive_fs" TargetMode="External"/><Relationship Id="rId1" Type="http://schemas.openxmlformats.org/officeDocument/2006/relationships/hyperlink" Target="https://en.wikipedia.org/wiki/Multinomial_logistic_regression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en.wikipedia.org/wiki/Ordered_logit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file/d/1C7BdJB7j0bcYuz1IwC5BCR2_GZp96dmO/view?usp=sharing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1RSp88UKs3JVsuwxkpvn2NPGzTJma-f5F&amp;authuser=davethemovie%40gmail.com&amp;usp=drive_fs" TargetMode="External"/><Relationship Id="rId1" Type="http://schemas.openxmlformats.org/officeDocument/2006/relationships/hyperlink" Target="https://en.wikipedia.org/wiki/K-medoids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Rt9qH8sNpj7_UmZX8Cej2UEdTivXEoCe&amp;authuser=davethemovie%40gmail.com&amp;usp=drive_fs" TargetMode="External"/><Relationship Id="rId2" Type="http://schemas.openxmlformats.org/officeDocument/2006/relationships/hyperlink" Target="https://drive.google.com/open?id=1RZu4DJ1nTrNkFLy02epsKL0UDFvoEusQ&amp;authuser=davethemovie%40gmail.com&amp;usp=drive_fs" TargetMode="External"/><Relationship Id="rId1" Type="http://schemas.openxmlformats.org/officeDocument/2006/relationships/hyperlink" Target="https://en.wikipedia.org/wiki/Silhouette_(clustering)" TargetMode="External"/><Relationship Id="rId5" Type="http://schemas.openxmlformats.org/officeDocument/2006/relationships/drawing" Target="../drawings/drawing9.xml"/><Relationship Id="rId4" Type="http://schemas.openxmlformats.org/officeDocument/2006/relationships/hyperlink" Target="https://drive.google.com/open?id=1Ro6Xp8Hdy2TlpuqM1e7Bn9gt9Iq67vf0&amp;authuser=davethemovie%40gmail.com&amp;usp=drive_fs" TargetMode="Externa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drive.google.com/open?id=1RDyX3JCLHiDN3tlWmpjeiGBcYQBS9b8g&amp;authuser=davethemovie%40gmail.com&amp;usp=drive_fs" TargetMode="Externa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hyperlink" Target="https://drive.google.com/open?id=1RFPQTq2c3iWtPWhFU7B1-yYK1mJvKlqN&amp;authuser=davethemovie%40gmail.com&amp;usp=drive_fs" TargetMode="External"/><Relationship Id="rId1" Type="http://schemas.openxmlformats.org/officeDocument/2006/relationships/hyperlink" Target="https://drive.google.com/open?id=1RWmhZVZvQzcpToDfTwXsam9vQGj4oB1j&amp;authuser=davethemovie%40gmail.com&amp;usp=drive_fs" TargetMode="Externa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https://drive.google.com/open?id=1RcdttFsKy242EBhAe-QiYU3QnzMUwv5I&amp;authuser=davethemovie%40gmail.com&amp;usp=drive_fs" TargetMode="Externa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hyperlink" Target="https://drive.google.com/open?id=1RJZf6kJ-AuW1xKGvLNXxtKpS7yJo6fnj&amp;authuser=davethemovie%40gmail.com&amp;usp=drive_fs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hyperlink" Target="https://drive.google.com/open?id=1Rcf5Pe3TGGE-n_bFBT9-uP-eXj3uBvrS&amp;authuser=davethemovie%40gmail.com&amp;usp=drive_fs" TargetMode="Externa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hyperlink" Target="https://drive.google.com/open?id=1RV6YmRmu4ELZSJ8p0nixWQCpdPZjMYxP&amp;authuser=davethemovie%40gmail.com&amp;usp=drive_fs" TargetMode="Externa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hyperlink" Target="http://shapleyvalue.com/index.php" TargetMode="Externa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youtube.com/watch?v=iib_imkZ5fk" TargetMode="Externa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B12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305</v>
      </c>
    </row>
    <row r="4" spans="2:2" x14ac:dyDescent="0.3">
      <c r="B4" s="1" t="s">
        <v>306</v>
      </c>
    </row>
    <row r="6" spans="2:2" x14ac:dyDescent="0.3">
      <c r="B6" s="1" t="s">
        <v>307</v>
      </c>
    </row>
    <row r="8" spans="2:2" x14ac:dyDescent="0.3">
      <c r="B8" s="1" t="s">
        <v>257</v>
      </c>
    </row>
    <row r="10" spans="2:2" x14ac:dyDescent="0.3">
      <c r="B10" s="1" t="s">
        <v>256</v>
      </c>
    </row>
    <row r="12" spans="2:2" x14ac:dyDescent="0.3">
      <c r="B12" s="1" t="s">
        <v>308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8F263-70EC-2447-8BC4-F5F0BFDAEE77}">
  <sheetPr codeName="Sheet24">
    <tabColor rgb="FF002060"/>
  </sheetPr>
  <dimension ref="A1:A2"/>
  <sheetViews>
    <sheetView workbookViewId="0"/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x14ac:dyDescent="0.25">
      <c r="A1" s="2" t="s">
        <v>255</v>
      </c>
    </row>
    <row r="2" spans="1:1" x14ac:dyDescent="0.25">
      <c r="A2" s="2" t="s">
        <v>258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F0A43-D95A-1248-AB13-4187ABA0CF79}">
  <sheetPr codeName="Sheet9">
    <tabColor rgb="FFC00000"/>
  </sheetPr>
  <dimension ref="B2:D12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64</v>
      </c>
    </row>
    <row r="4" spans="2:4" x14ac:dyDescent="0.3">
      <c r="B4" s="1" t="s">
        <v>65</v>
      </c>
    </row>
    <row r="6" spans="2:4" x14ac:dyDescent="0.3">
      <c r="C6" s="15" t="s">
        <v>66</v>
      </c>
      <c r="D6" s="15" t="s">
        <v>67</v>
      </c>
    </row>
    <row r="7" spans="2:4" x14ac:dyDescent="0.3">
      <c r="C7" s="19">
        <v>1</v>
      </c>
      <c r="D7" s="19" t="s">
        <v>68</v>
      </c>
    </row>
    <row r="8" spans="2:4" x14ac:dyDescent="0.3">
      <c r="C8" s="19">
        <v>0</v>
      </c>
      <c r="D8" s="19" t="s">
        <v>69</v>
      </c>
    </row>
    <row r="11" spans="2:4" x14ac:dyDescent="0.3">
      <c r="B11" s="1" t="s">
        <v>70</v>
      </c>
      <c r="C11" s="20" t="s">
        <v>71</v>
      </c>
    </row>
    <row r="12" spans="2:4" ht="29" x14ac:dyDescent="0.3">
      <c r="B12" s="1" t="s">
        <v>72</v>
      </c>
      <c r="C12" s="20" t="s">
        <v>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A15DD-1E06-0E4D-B79C-7521F40BC2F7}">
  <sheetPr codeName="Sheet3">
    <tabColor rgb="FFFF0000"/>
  </sheetPr>
  <dimension ref="A1:AK20"/>
  <sheetViews>
    <sheetView workbookViewId="0">
      <selection activeCell="A3" sqref="A3"/>
    </sheetView>
  </sheetViews>
  <sheetFormatPr baseColWidth="10" defaultColWidth="5.1640625" defaultRowHeight="26" x14ac:dyDescent="0.3"/>
  <cols>
    <col min="1" max="16384" width="5.1640625" style="15"/>
  </cols>
  <sheetData>
    <row r="1" spans="1:36" x14ac:dyDescent="0.3">
      <c r="A1" s="133" t="s">
        <v>300</v>
      </c>
    </row>
    <row r="2" spans="1:36" x14ac:dyDescent="0.3">
      <c r="C2"/>
    </row>
    <row r="8" spans="1:36" x14ac:dyDescent="0.3">
      <c r="C8" s="15" t="s">
        <v>337</v>
      </c>
      <c r="D8" s="15" t="s">
        <v>337</v>
      </c>
      <c r="E8" s="15" t="s">
        <v>337</v>
      </c>
      <c r="F8" s="15" t="s">
        <v>338</v>
      </c>
      <c r="G8" s="15" t="s">
        <v>338</v>
      </c>
      <c r="H8" s="15" t="s">
        <v>339</v>
      </c>
      <c r="I8" s="15" t="s">
        <v>339</v>
      </c>
      <c r="J8" s="15" t="s">
        <v>339</v>
      </c>
      <c r="K8" s="15" t="s">
        <v>339</v>
      </c>
      <c r="L8" s="15" t="s">
        <v>339</v>
      </c>
      <c r="O8" s="127" t="s">
        <v>337</v>
      </c>
      <c r="P8" s="127" t="s">
        <v>338</v>
      </c>
      <c r="Q8" s="127" t="s">
        <v>339</v>
      </c>
      <c r="R8" s="127" t="s">
        <v>340</v>
      </c>
      <c r="S8" s="127" t="s">
        <v>341</v>
      </c>
      <c r="T8" s="127" t="s">
        <v>342</v>
      </c>
      <c r="U8" s="127" t="s">
        <v>343</v>
      </c>
      <c r="V8" s="127" t="s">
        <v>344</v>
      </c>
      <c r="W8" s="127" t="s">
        <v>345</v>
      </c>
      <c r="X8" s="127" t="s">
        <v>346</v>
      </c>
      <c r="AA8" s="127" t="s">
        <v>337</v>
      </c>
      <c r="AB8" s="127" t="s">
        <v>337</v>
      </c>
      <c r="AC8" s="127" t="s">
        <v>337</v>
      </c>
      <c r="AD8" s="127" t="s">
        <v>337</v>
      </c>
      <c r="AE8" s="127" t="s">
        <v>337</v>
      </c>
      <c r="AF8" s="127" t="s">
        <v>337</v>
      </c>
      <c r="AG8" s="127" t="s">
        <v>337</v>
      </c>
      <c r="AH8" s="127" t="s">
        <v>337</v>
      </c>
      <c r="AI8" s="127" t="s">
        <v>337</v>
      </c>
      <c r="AJ8" s="127" t="s">
        <v>337</v>
      </c>
    </row>
    <row r="9" spans="1:36" x14ac:dyDescent="0.3">
      <c r="B9" s="15" t="s">
        <v>337</v>
      </c>
      <c r="C9" s="125"/>
      <c r="D9" s="125"/>
      <c r="E9" s="125"/>
      <c r="F9" s="124"/>
      <c r="G9" s="124"/>
      <c r="H9" s="124"/>
      <c r="I9" s="124"/>
      <c r="J9" s="124"/>
      <c r="K9" s="124"/>
      <c r="L9" s="124"/>
      <c r="N9" s="15" t="s">
        <v>337</v>
      </c>
      <c r="O9" s="125"/>
      <c r="P9" s="124"/>
      <c r="Q9" s="124"/>
      <c r="R9" s="124"/>
      <c r="S9" s="124"/>
      <c r="T9" s="124"/>
      <c r="U9" s="124"/>
      <c r="V9" s="124"/>
      <c r="W9" s="124"/>
      <c r="X9" s="124"/>
      <c r="Z9" s="15" t="s">
        <v>337</v>
      </c>
      <c r="AA9" s="125"/>
      <c r="AB9" s="125"/>
      <c r="AC9" s="125"/>
      <c r="AD9" s="125"/>
      <c r="AE9" s="125"/>
      <c r="AF9" s="125"/>
      <c r="AG9" s="125"/>
      <c r="AH9" s="125"/>
      <c r="AI9" s="125"/>
      <c r="AJ9" s="125"/>
    </row>
    <row r="10" spans="1:36" x14ac:dyDescent="0.3">
      <c r="B10" s="15" t="s">
        <v>337</v>
      </c>
      <c r="C10" s="125"/>
      <c r="D10" s="125"/>
      <c r="E10" s="125"/>
      <c r="F10" s="124"/>
      <c r="G10" s="124"/>
      <c r="H10" s="124"/>
      <c r="I10" s="124"/>
      <c r="J10" s="124"/>
      <c r="K10" s="124"/>
      <c r="L10" s="124"/>
      <c r="N10" s="15" t="s">
        <v>338</v>
      </c>
      <c r="O10" s="124"/>
      <c r="P10" s="125"/>
      <c r="Q10" s="124"/>
      <c r="R10" s="124"/>
      <c r="S10" s="124"/>
      <c r="T10" s="124"/>
      <c r="U10" s="124"/>
      <c r="V10" s="124"/>
      <c r="W10" s="124"/>
      <c r="X10" s="124"/>
      <c r="Z10" s="127" t="s">
        <v>337</v>
      </c>
      <c r="AA10" s="125"/>
      <c r="AB10" s="125"/>
      <c r="AC10" s="125"/>
      <c r="AD10" s="125"/>
      <c r="AE10" s="125"/>
      <c r="AF10" s="125"/>
      <c r="AG10" s="125"/>
      <c r="AH10" s="125"/>
      <c r="AI10" s="125"/>
      <c r="AJ10" s="125"/>
    </row>
    <row r="11" spans="1:36" x14ac:dyDescent="0.3">
      <c r="B11" s="15" t="s">
        <v>337</v>
      </c>
      <c r="C11" s="125"/>
      <c r="D11" s="125"/>
      <c r="E11" s="125"/>
      <c r="F11" s="124"/>
      <c r="G11" s="124"/>
      <c r="H11" s="124"/>
      <c r="I11" s="124"/>
      <c r="J11" s="124"/>
      <c r="K11" s="124"/>
      <c r="L11" s="124"/>
      <c r="N11" s="15" t="s">
        <v>339</v>
      </c>
      <c r="O11" s="124"/>
      <c r="P11" s="124"/>
      <c r="Q11" s="125"/>
      <c r="R11" s="124"/>
      <c r="S11" s="124"/>
      <c r="T11" s="124"/>
      <c r="U11" s="124"/>
      <c r="V11" s="124"/>
      <c r="W11" s="124"/>
      <c r="X11" s="124"/>
      <c r="Z11" s="127" t="s">
        <v>337</v>
      </c>
      <c r="AA11" s="125"/>
      <c r="AB11" s="125"/>
      <c r="AC11" s="125"/>
      <c r="AD11" s="125"/>
      <c r="AE11" s="125"/>
      <c r="AF11" s="125"/>
      <c r="AG11" s="125"/>
      <c r="AH11" s="125"/>
      <c r="AI11" s="125"/>
      <c r="AJ11" s="125"/>
    </row>
    <row r="12" spans="1:36" x14ac:dyDescent="0.3">
      <c r="B12" s="15" t="s">
        <v>338</v>
      </c>
      <c r="C12" s="124"/>
      <c r="D12" s="124"/>
      <c r="E12" s="124"/>
      <c r="F12" s="125"/>
      <c r="G12" s="125"/>
      <c r="H12" s="124"/>
      <c r="I12" s="124"/>
      <c r="J12" s="124"/>
      <c r="K12" s="124"/>
      <c r="L12" s="124"/>
      <c r="N12" s="15" t="s">
        <v>340</v>
      </c>
      <c r="O12" s="124"/>
      <c r="P12" s="124"/>
      <c r="Q12" s="124"/>
      <c r="R12" s="125"/>
      <c r="S12" s="124"/>
      <c r="T12" s="124"/>
      <c r="U12" s="124"/>
      <c r="V12" s="124"/>
      <c r="W12" s="124"/>
      <c r="X12" s="124"/>
      <c r="Z12" s="127" t="s">
        <v>337</v>
      </c>
      <c r="AA12" s="125"/>
      <c r="AB12" s="125"/>
      <c r="AC12" s="125"/>
      <c r="AD12" s="125"/>
      <c r="AE12" s="125"/>
      <c r="AF12" s="125"/>
      <c r="AG12" s="125"/>
      <c r="AH12" s="125"/>
      <c r="AI12" s="125"/>
      <c r="AJ12" s="125"/>
    </row>
    <row r="13" spans="1:36" x14ac:dyDescent="0.3">
      <c r="B13" s="15" t="s">
        <v>338</v>
      </c>
      <c r="C13" s="124"/>
      <c r="D13" s="124"/>
      <c r="E13" s="124"/>
      <c r="F13" s="125"/>
      <c r="G13" s="125"/>
      <c r="H13" s="124"/>
      <c r="I13" s="124"/>
      <c r="J13" s="124"/>
      <c r="K13" s="124"/>
      <c r="L13" s="124"/>
      <c r="N13" s="15" t="s">
        <v>341</v>
      </c>
      <c r="O13" s="124"/>
      <c r="P13" s="124"/>
      <c r="Q13" s="124"/>
      <c r="R13" s="124"/>
      <c r="S13" s="125"/>
      <c r="T13" s="124"/>
      <c r="U13" s="124"/>
      <c r="V13" s="124"/>
      <c r="W13" s="124"/>
      <c r="X13" s="124"/>
      <c r="Z13" s="127" t="s">
        <v>337</v>
      </c>
      <c r="AA13" s="125"/>
      <c r="AB13" s="125"/>
      <c r="AC13" s="125"/>
      <c r="AD13" s="125"/>
      <c r="AE13" s="125"/>
      <c r="AF13" s="125"/>
      <c r="AG13" s="125"/>
      <c r="AH13" s="125"/>
      <c r="AI13" s="125"/>
      <c r="AJ13" s="125"/>
    </row>
    <row r="14" spans="1:36" x14ac:dyDescent="0.3">
      <c r="B14" s="15" t="s">
        <v>339</v>
      </c>
      <c r="C14" s="124"/>
      <c r="D14" s="124"/>
      <c r="E14" s="124"/>
      <c r="F14" s="124"/>
      <c r="G14" s="124"/>
      <c r="H14" s="125"/>
      <c r="I14" s="125"/>
      <c r="J14" s="125"/>
      <c r="K14" s="125"/>
      <c r="L14" s="125"/>
      <c r="N14" s="15" t="s">
        <v>342</v>
      </c>
      <c r="O14" s="124"/>
      <c r="P14" s="124"/>
      <c r="Q14" s="124"/>
      <c r="R14" s="124"/>
      <c r="S14" s="124"/>
      <c r="T14" s="125"/>
      <c r="U14" s="124"/>
      <c r="V14" s="124"/>
      <c r="W14" s="124"/>
      <c r="X14" s="124"/>
      <c r="Z14" s="127" t="s">
        <v>337</v>
      </c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</row>
    <row r="15" spans="1:36" x14ac:dyDescent="0.3">
      <c r="B15" s="15" t="s">
        <v>339</v>
      </c>
      <c r="C15" s="124"/>
      <c r="D15" s="124"/>
      <c r="E15" s="124"/>
      <c r="F15" s="124"/>
      <c r="G15" s="124"/>
      <c r="H15" s="125"/>
      <c r="I15" s="125"/>
      <c r="J15" s="125"/>
      <c r="K15" s="125"/>
      <c r="L15" s="125"/>
      <c r="N15" s="15" t="s">
        <v>343</v>
      </c>
      <c r="O15" s="124"/>
      <c r="P15" s="124"/>
      <c r="Q15" s="124"/>
      <c r="R15" s="124"/>
      <c r="S15" s="124"/>
      <c r="T15" s="124"/>
      <c r="U15" s="125"/>
      <c r="V15" s="124"/>
      <c r="W15" s="124"/>
      <c r="X15" s="124"/>
      <c r="Z15" s="127" t="s">
        <v>337</v>
      </c>
      <c r="AA15" s="125"/>
      <c r="AB15" s="125"/>
      <c r="AC15" s="125"/>
      <c r="AD15" s="125"/>
      <c r="AE15" s="125"/>
      <c r="AF15" s="125"/>
      <c r="AG15" s="125"/>
      <c r="AH15" s="125"/>
      <c r="AI15" s="125"/>
      <c r="AJ15" s="125"/>
    </row>
    <row r="16" spans="1:36" x14ac:dyDescent="0.3">
      <c r="B16" s="15" t="s">
        <v>339</v>
      </c>
      <c r="C16" s="124"/>
      <c r="D16" s="124"/>
      <c r="E16" s="124"/>
      <c r="F16" s="124"/>
      <c r="G16" s="124"/>
      <c r="H16" s="125"/>
      <c r="I16" s="125"/>
      <c r="J16" s="125"/>
      <c r="K16" s="125"/>
      <c r="L16" s="125"/>
      <c r="N16" s="15" t="s">
        <v>344</v>
      </c>
      <c r="O16" s="124"/>
      <c r="P16" s="124"/>
      <c r="Q16" s="124"/>
      <c r="R16" s="124"/>
      <c r="S16" s="124"/>
      <c r="T16" s="124"/>
      <c r="U16" s="124"/>
      <c r="V16" s="125"/>
      <c r="W16" s="124"/>
      <c r="X16" s="124"/>
      <c r="Z16" s="127" t="s">
        <v>337</v>
      </c>
      <c r="AA16" s="125"/>
      <c r="AB16" s="125"/>
      <c r="AC16" s="125"/>
      <c r="AD16" s="125"/>
      <c r="AE16" s="125"/>
      <c r="AF16" s="125"/>
      <c r="AG16" s="125"/>
      <c r="AH16" s="125"/>
      <c r="AI16" s="125"/>
      <c r="AJ16" s="125"/>
    </row>
    <row r="17" spans="2:37" x14ac:dyDescent="0.3">
      <c r="B17" s="15" t="s">
        <v>339</v>
      </c>
      <c r="C17" s="124"/>
      <c r="D17" s="124"/>
      <c r="E17" s="124"/>
      <c r="F17" s="124"/>
      <c r="G17" s="124"/>
      <c r="H17" s="125"/>
      <c r="I17" s="125"/>
      <c r="J17" s="125"/>
      <c r="K17" s="125"/>
      <c r="L17" s="125"/>
      <c r="N17" s="15" t="s">
        <v>345</v>
      </c>
      <c r="O17" s="124"/>
      <c r="P17" s="124"/>
      <c r="Q17" s="124"/>
      <c r="R17" s="124"/>
      <c r="S17" s="124"/>
      <c r="T17" s="124"/>
      <c r="U17" s="124"/>
      <c r="V17" s="124"/>
      <c r="W17" s="125"/>
      <c r="X17" s="124"/>
      <c r="Z17" s="127" t="s">
        <v>337</v>
      </c>
      <c r="AA17" s="125"/>
      <c r="AB17" s="125"/>
      <c r="AC17" s="125"/>
      <c r="AD17" s="125"/>
      <c r="AE17" s="125"/>
      <c r="AF17" s="125"/>
      <c r="AG17" s="125"/>
      <c r="AH17" s="125"/>
      <c r="AI17" s="125"/>
      <c r="AJ17" s="125"/>
    </row>
    <row r="18" spans="2:37" x14ac:dyDescent="0.3">
      <c r="B18" s="15" t="s">
        <v>339</v>
      </c>
      <c r="C18" s="124"/>
      <c r="D18" s="124"/>
      <c r="E18" s="124"/>
      <c r="F18" s="124"/>
      <c r="G18" s="124"/>
      <c r="H18" s="125"/>
      <c r="I18" s="125"/>
      <c r="J18" s="125"/>
      <c r="K18" s="125"/>
      <c r="L18" s="125"/>
      <c r="N18" s="15" t="s">
        <v>346</v>
      </c>
      <c r="O18" s="124"/>
      <c r="P18" s="124"/>
      <c r="Q18" s="124"/>
      <c r="R18" s="124"/>
      <c r="S18" s="124"/>
      <c r="T18" s="124"/>
      <c r="U18" s="124"/>
      <c r="V18" s="124"/>
      <c r="W18" s="124"/>
      <c r="X18" s="125"/>
      <c r="Z18" s="127" t="s">
        <v>337</v>
      </c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</row>
    <row r="20" spans="2:37" ht="29" x14ac:dyDescent="0.3">
      <c r="C20" s="170" t="s">
        <v>347</v>
      </c>
      <c r="D20" s="170"/>
      <c r="E20" s="170"/>
      <c r="F20" s="170"/>
      <c r="G20" s="170"/>
      <c r="H20" s="170"/>
      <c r="I20" s="170"/>
      <c r="J20" s="170"/>
      <c r="K20" s="170"/>
      <c r="L20" s="170"/>
      <c r="O20" s="170" t="s">
        <v>348</v>
      </c>
      <c r="P20" s="170"/>
      <c r="Q20" s="170"/>
      <c r="R20" s="170"/>
      <c r="S20" s="170"/>
      <c r="T20" s="170"/>
      <c r="U20" s="170"/>
      <c r="V20" s="170"/>
      <c r="W20" s="170"/>
      <c r="X20" s="170"/>
      <c r="AB20" s="170" t="s">
        <v>349</v>
      </c>
      <c r="AC20" s="170"/>
      <c r="AD20" s="170"/>
      <c r="AE20" s="170"/>
      <c r="AF20" s="170"/>
      <c r="AG20" s="170"/>
      <c r="AH20" s="170"/>
      <c r="AI20" s="170"/>
      <c r="AJ20" s="170"/>
      <c r="AK20" s="170"/>
    </row>
  </sheetData>
  <mergeCells count="3">
    <mergeCell ref="C20:L20"/>
    <mergeCell ref="O20:X20"/>
    <mergeCell ref="AB20:AK20"/>
  </mergeCells>
  <hyperlinks>
    <hyperlink ref="A1" r:id="rId1" xr:uid="{37B7D74A-4A8C-4141-B219-2344BB3ED9EC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50CEC-77CF-9B4D-8CBE-2F15AD53CC1F}">
  <sheetPr codeName="Sheet40">
    <tabColor rgb="FF002060"/>
  </sheetPr>
  <dimension ref="A1:D9"/>
  <sheetViews>
    <sheetView workbookViewId="0"/>
  </sheetViews>
  <sheetFormatPr baseColWidth="10" defaultRowHeight="21" x14ac:dyDescent="0.25"/>
  <cols>
    <col min="1" max="1" width="10.83203125" style="2"/>
    <col min="2" max="2" width="12.1640625" style="2" bestFit="1" customWidth="1"/>
    <col min="3" max="6" width="10.83203125" style="2"/>
    <col min="7" max="7" width="15.6640625" style="2" bestFit="1" customWidth="1"/>
    <col min="8" max="8" width="12.1640625" style="2" bestFit="1" customWidth="1"/>
    <col min="9" max="16384" width="10.83203125" style="2"/>
  </cols>
  <sheetData>
    <row r="1" spans="1:4" x14ac:dyDescent="0.25">
      <c r="A1" s="2" t="s">
        <v>4</v>
      </c>
    </row>
    <row r="2" spans="1:4" x14ac:dyDescent="0.25">
      <c r="A2" s="2" t="s">
        <v>5</v>
      </c>
      <c r="B2" s="3"/>
    </row>
    <row r="3" spans="1:4" x14ac:dyDescent="0.25">
      <c r="A3" s="2" t="s">
        <v>6</v>
      </c>
    </row>
    <row r="4" spans="1:4" x14ac:dyDescent="0.25">
      <c r="A4" s="2" t="s">
        <v>7</v>
      </c>
    </row>
    <row r="5" spans="1:4" x14ac:dyDescent="0.25">
      <c r="A5" s="2" t="s">
        <v>8</v>
      </c>
    </row>
    <row r="6" spans="1:4" x14ac:dyDescent="0.25">
      <c r="A6" s="2" t="s">
        <v>259</v>
      </c>
      <c r="B6" s="4"/>
      <c r="D6" s="4"/>
    </row>
    <row r="7" spans="1:4" x14ac:dyDescent="0.25">
      <c r="A7" s="2" t="s">
        <v>357</v>
      </c>
    </row>
    <row r="8" spans="1:4" x14ac:dyDescent="0.25">
      <c r="A8" s="2" t="s">
        <v>457</v>
      </c>
    </row>
    <row r="9" spans="1:4" x14ac:dyDescent="0.25">
      <c r="A9" s="2" t="s">
        <v>458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65EC-0F28-9248-B6FE-4DC100C90A40}">
  <sheetPr codeName="Sheet16">
    <tabColor rgb="FFC00000"/>
  </sheetPr>
  <dimension ref="B3:D10"/>
  <sheetViews>
    <sheetView workbookViewId="0"/>
  </sheetViews>
  <sheetFormatPr baseColWidth="10" defaultRowHeight="26" x14ac:dyDescent="0.3"/>
  <cols>
    <col min="1" max="16384" width="10.83203125" style="5"/>
  </cols>
  <sheetData>
    <row r="3" spans="2:4" x14ac:dyDescent="0.3">
      <c r="B3" s="5" t="s">
        <v>9</v>
      </c>
    </row>
    <row r="4" spans="2:4" x14ac:dyDescent="0.3">
      <c r="C4" s="5" t="s">
        <v>10</v>
      </c>
    </row>
    <row r="5" spans="2:4" x14ac:dyDescent="0.3">
      <c r="D5" s="6" t="s">
        <v>11</v>
      </c>
    </row>
    <row r="6" spans="2:4" x14ac:dyDescent="0.3">
      <c r="D6" s="6" t="s">
        <v>12</v>
      </c>
    </row>
    <row r="7" spans="2:4" x14ac:dyDescent="0.3">
      <c r="D7" s="6" t="s">
        <v>13</v>
      </c>
    </row>
    <row r="8" spans="2:4" x14ac:dyDescent="0.3">
      <c r="C8" s="5" t="s">
        <v>14</v>
      </c>
    </row>
    <row r="9" spans="2:4" x14ac:dyDescent="0.3">
      <c r="D9" s="6" t="s">
        <v>15</v>
      </c>
    </row>
    <row r="10" spans="2:4" x14ac:dyDescent="0.3">
      <c r="D10" s="6" t="s">
        <v>16</v>
      </c>
    </row>
  </sheetData>
  <hyperlinks>
    <hyperlink ref="D9" location="L4_YourTurn!A1" display="Your Turn" xr:uid="{021A1DAB-E08B-4047-8957-C888DEBD8DBB}"/>
    <hyperlink ref="D10" location="Ex1_iris_data!A1" display="Example" xr:uid="{97C6BBF7-9571-474C-B9F3-075C6CC7CEEC}"/>
    <hyperlink ref="D5" r:id="rId1" xr:uid="{6B88D301-49A9-5D4F-BA40-F0990AEE80A4}"/>
    <hyperlink ref="D6" r:id="rId2" xr:uid="{F35CD1C4-2DBF-1543-8B30-7B6720816619}"/>
    <hyperlink ref="D7" r:id="rId3" xr:uid="{B5B5F4C5-DD15-B347-8B19-13ED96E92B97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2008-53F2-654C-9146-FAAAA7AD1B0C}">
  <sheetPr codeName="Sheet18">
    <tabColor rgb="FFC00000"/>
  </sheetPr>
  <dimension ref="A1:F151"/>
  <sheetViews>
    <sheetView workbookViewId="0">
      <selection activeCell="D9" sqref="D9:D12"/>
    </sheetView>
  </sheetViews>
  <sheetFormatPr baseColWidth="10" defaultRowHeight="16" x14ac:dyDescent="0.2"/>
  <cols>
    <col min="1" max="16384" width="10.83203125" style="7"/>
  </cols>
  <sheetData>
    <row r="1" spans="1:6" x14ac:dyDescent="0.2">
      <c r="B1" s="7" t="s">
        <v>22</v>
      </c>
      <c r="C1" s="7" t="s">
        <v>23</v>
      </c>
      <c r="D1" s="7" t="s">
        <v>24</v>
      </c>
      <c r="E1" s="7" t="s">
        <v>25</v>
      </c>
      <c r="F1" s="7" t="s">
        <v>26</v>
      </c>
    </row>
    <row r="2" spans="1:6" x14ac:dyDescent="0.2">
      <c r="A2" s="7">
        <v>1</v>
      </c>
      <c r="B2" s="7">
        <v>5.0999999999999996</v>
      </c>
      <c r="C2" s="7">
        <v>3.5</v>
      </c>
      <c r="D2" s="7">
        <v>1.4</v>
      </c>
      <c r="E2" s="7">
        <v>0.2</v>
      </c>
      <c r="F2" s="7" t="s">
        <v>27</v>
      </c>
    </row>
    <row r="3" spans="1:6" x14ac:dyDescent="0.2">
      <c r="A3" s="7">
        <v>2</v>
      </c>
      <c r="B3" s="7">
        <v>4.9000000000000004</v>
      </c>
      <c r="C3" s="7">
        <v>3</v>
      </c>
      <c r="D3" s="7">
        <v>1.4</v>
      </c>
      <c r="E3" s="7">
        <v>0.2</v>
      </c>
      <c r="F3" s="7" t="s">
        <v>27</v>
      </c>
    </row>
    <row r="4" spans="1:6" x14ac:dyDescent="0.2">
      <c r="A4" s="7">
        <v>3</v>
      </c>
      <c r="B4" s="7">
        <v>4.7</v>
      </c>
      <c r="C4" s="7">
        <v>3.2</v>
      </c>
      <c r="D4" s="7">
        <v>1.3</v>
      </c>
      <c r="E4" s="7">
        <v>0.2</v>
      </c>
      <c r="F4" s="7" t="s">
        <v>27</v>
      </c>
    </row>
    <row r="5" spans="1:6" x14ac:dyDescent="0.2">
      <c r="A5" s="7">
        <v>4</v>
      </c>
      <c r="B5" s="7">
        <v>4.5999999999999996</v>
      </c>
      <c r="C5" s="7">
        <v>3.1</v>
      </c>
      <c r="D5" s="7">
        <v>1.5</v>
      </c>
      <c r="E5" s="7">
        <v>0.2</v>
      </c>
      <c r="F5" s="7" t="s">
        <v>27</v>
      </c>
    </row>
    <row r="6" spans="1:6" x14ac:dyDescent="0.2">
      <c r="A6" s="7">
        <v>5</v>
      </c>
      <c r="B6" s="7">
        <v>5</v>
      </c>
      <c r="C6" s="7">
        <v>3.6</v>
      </c>
      <c r="D6" s="7">
        <v>1.4</v>
      </c>
      <c r="E6" s="7">
        <v>0.2</v>
      </c>
      <c r="F6" s="7" t="s">
        <v>27</v>
      </c>
    </row>
    <row r="7" spans="1:6" x14ac:dyDescent="0.2">
      <c r="A7" s="7">
        <v>6</v>
      </c>
      <c r="B7" s="7">
        <v>5.4</v>
      </c>
      <c r="C7" s="7">
        <v>3.9</v>
      </c>
      <c r="D7" s="7">
        <v>1.7</v>
      </c>
      <c r="E7" s="7">
        <v>0.4</v>
      </c>
      <c r="F7" s="7" t="s">
        <v>27</v>
      </c>
    </row>
    <row r="8" spans="1:6" x14ac:dyDescent="0.2">
      <c r="A8" s="7">
        <v>7</v>
      </c>
      <c r="B8" s="7">
        <v>4.5999999999999996</v>
      </c>
      <c r="C8" s="7">
        <v>3.4</v>
      </c>
      <c r="D8" s="7">
        <v>1.4</v>
      </c>
      <c r="E8" s="7">
        <v>0.3</v>
      </c>
      <c r="F8" s="7" t="s">
        <v>27</v>
      </c>
    </row>
    <row r="9" spans="1:6" x14ac:dyDescent="0.2">
      <c r="A9" s="7">
        <v>8</v>
      </c>
      <c r="B9" s="7">
        <v>5</v>
      </c>
      <c r="C9" s="7">
        <v>3.4</v>
      </c>
      <c r="D9" s="7">
        <v>1.5</v>
      </c>
      <c r="E9" s="7">
        <v>0.2</v>
      </c>
      <c r="F9" s="7" t="s">
        <v>27</v>
      </c>
    </row>
    <row r="10" spans="1:6" x14ac:dyDescent="0.2">
      <c r="A10" s="7">
        <v>9</v>
      </c>
      <c r="B10" s="7">
        <v>4.4000000000000004</v>
      </c>
      <c r="C10" s="7">
        <v>2.9</v>
      </c>
      <c r="D10" s="7">
        <v>1.4</v>
      </c>
      <c r="E10" s="7">
        <v>0.2</v>
      </c>
      <c r="F10" s="7" t="s">
        <v>27</v>
      </c>
    </row>
    <row r="11" spans="1:6" x14ac:dyDescent="0.2">
      <c r="A11" s="7">
        <v>10</v>
      </c>
      <c r="B11" s="7">
        <v>4.9000000000000004</v>
      </c>
      <c r="C11" s="7">
        <v>3.1</v>
      </c>
      <c r="D11" s="7">
        <v>1.5</v>
      </c>
      <c r="E11" s="7">
        <v>0.1</v>
      </c>
      <c r="F11" s="7" t="s">
        <v>27</v>
      </c>
    </row>
    <row r="12" spans="1:6" x14ac:dyDescent="0.2">
      <c r="A12" s="7">
        <v>11</v>
      </c>
      <c r="B12" s="7">
        <v>5.4</v>
      </c>
      <c r="C12" s="7">
        <v>3.7</v>
      </c>
      <c r="D12" s="7">
        <v>1.5</v>
      </c>
      <c r="E12" s="7">
        <v>0.2</v>
      </c>
      <c r="F12" s="7" t="s">
        <v>27</v>
      </c>
    </row>
    <row r="13" spans="1:6" x14ac:dyDescent="0.2">
      <c r="A13" s="7">
        <v>12</v>
      </c>
      <c r="B13" s="7">
        <v>4.8</v>
      </c>
      <c r="C13" s="7">
        <v>3.4</v>
      </c>
      <c r="D13" s="7">
        <v>1.6</v>
      </c>
      <c r="E13" s="7">
        <v>0.2</v>
      </c>
      <c r="F13" s="7" t="s">
        <v>27</v>
      </c>
    </row>
    <row r="14" spans="1:6" x14ac:dyDescent="0.2">
      <c r="A14" s="7">
        <v>13</v>
      </c>
      <c r="B14" s="7">
        <v>4.8</v>
      </c>
      <c r="C14" s="7">
        <v>3</v>
      </c>
      <c r="D14" s="7">
        <v>1.4</v>
      </c>
      <c r="E14" s="7">
        <v>0.1</v>
      </c>
      <c r="F14" s="7" t="s">
        <v>27</v>
      </c>
    </row>
    <row r="15" spans="1:6" x14ac:dyDescent="0.2">
      <c r="A15" s="7">
        <v>14</v>
      </c>
      <c r="B15" s="7">
        <v>4.3</v>
      </c>
      <c r="C15" s="7">
        <v>3</v>
      </c>
      <c r="D15" s="7">
        <v>1.1000000000000001</v>
      </c>
      <c r="E15" s="7">
        <v>0.1</v>
      </c>
      <c r="F15" s="7" t="s">
        <v>27</v>
      </c>
    </row>
    <row r="16" spans="1:6" x14ac:dyDescent="0.2">
      <c r="A16" s="7">
        <v>15</v>
      </c>
      <c r="B16" s="7">
        <v>5.8</v>
      </c>
      <c r="C16" s="7">
        <v>4</v>
      </c>
      <c r="D16" s="7">
        <v>1.2</v>
      </c>
      <c r="E16" s="7">
        <v>0.2</v>
      </c>
      <c r="F16" s="7" t="s">
        <v>27</v>
      </c>
    </row>
    <row r="17" spans="1:6" x14ac:dyDescent="0.2">
      <c r="A17" s="7">
        <v>16</v>
      </c>
      <c r="B17" s="7">
        <v>5.7</v>
      </c>
      <c r="C17" s="7">
        <v>4.4000000000000004</v>
      </c>
      <c r="D17" s="7">
        <v>1.5</v>
      </c>
      <c r="E17" s="7">
        <v>0.4</v>
      </c>
      <c r="F17" s="7" t="s">
        <v>27</v>
      </c>
    </row>
    <row r="18" spans="1:6" x14ac:dyDescent="0.2">
      <c r="A18" s="7">
        <v>17</v>
      </c>
      <c r="B18" s="7">
        <v>5.4</v>
      </c>
      <c r="C18" s="7">
        <v>3.9</v>
      </c>
      <c r="D18" s="7">
        <v>1.3</v>
      </c>
      <c r="E18" s="7">
        <v>0.4</v>
      </c>
      <c r="F18" s="7" t="s">
        <v>27</v>
      </c>
    </row>
    <row r="19" spans="1:6" x14ac:dyDescent="0.2">
      <c r="A19" s="7">
        <v>18</v>
      </c>
      <c r="B19" s="7">
        <v>5.0999999999999996</v>
      </c>
      <c r="C19" s="7">
        <v>3.5</v>
      </c>
      <c r="D19" s="7">
        <v>1.4</v>
      </c>
      <c r="E19" s="7">
        <v>0.3</v>
      </c>
      <c r="F19" s="7" t="s">
        <v>27</v>
      </c>
    </row>
    <row r="20" spans="1:6" x14ac:dyDescent="0.2">
      <c r="A20" s="7">
        <v>19</v>
      </c>
      <c r="B20" s="7">
        <v>5.7</v>
      </c>
      <c r="C20" s="7">
        <v>3.8</v>
      </c>
      <c r="D20" s="7">
        <v>1.7</v>
      </c>
      <c r="E20" s="7">
        <v>0.3</v>
      </c>
      <c r="F20" s="7" t="s">
        <v>27</v>
      </c>
    </row>
    <row r="21" spans="1:6" x14ac:dyDescent="0.2">
      <c r="A21" s="7">
        <v>20</v>
      </c>
      <c r="B21" s="7">
        <v>5.0999999999999996</v>
      </c>
      <c r="C21" s="7">
        <v>3.8</v>
      </c>
      <c r="D21" s="7">
        <v>1.5</v>
      </c>
      <c r="E21" s="7">
        <v>0.3</v>
      </c>
      <c r="F21" s="7" t="s">
        <v>27</v>
      </c>
    </row>
    <row r="22" spans="1:6" x14ac:dyDescent="0.2">
      <c r="A22" s="7">
        <v>21</v>
      </c>
      <c r="B22" s="7">
        <v>5.4</v>
      </c>
      <c r="C22" s="7">
        <v>3.4</v>
      </c>
      <c r="D22" s="7">
        <v>1.7</v>
      </c>
      <c r="E22" s="7">
        <v>0.2</v>
      </c>
      <c r="F22" s="7" t="s">
        <v>27</v>
      </c>
    </row>
    <row r="23" spans="1:6" x14ac:dyDescent="0.2">
      <c r="A23" s="7">
        <v>22</v>
      </c>
      <c r="B23" s="7">
        <v>5.0999999999999996</v>
      </c>
      <c r="C23" s="7">
        <v>3.7</v>
      </c>
      <c r="D23" s="7">
        <v>1.5</v>
      </c>
      <c r="E23" s="7">
        <v>0.4</v>
      </c>
      <c r="F23" s="7" t="s">
        <v>27</v>
      </c>
    </row>
    <row r="24" spans="1:6" x14ac:dyDescent="0.2">
      <c r="A24" s="7">
        <v>23</v>
      </c>
      <c r="B24" s="7">
        <v>4.5999999999999996</v>
      </c>
      <c r="C24" s="7">
        <v>3.6</v>
      </c>
      <c r="D24" s="7">
        <v>1</v>
      </c>
      <c r="E24" s="7">
        <v>0.2</v>
      </c>
      <c r="F24" s="7" t="s">
        <v>27</v>
      </c>
    </row>
    <row r="25" spans="1:6" x14ac:dyDescent="0.2">
      <c r="A25" s="7">
        <v>24</v>
      </c>
      <c r="B25" s="7">
        <v>5.0999999999999996</v>
      </c>
      <c r="C25" s="7">
        <v>3.3</v>
      </c>
      <c r="D25" s="7">
        <v>1.7</v>
      </c>
      <c r="E25" s="7">
        <v>0.5</v>
      </c>
      <c r="F25" s="7" t="s">
        <v>27</v>
      </c>
    </row>
    <row r="26" spans="1:6" x14ac:dyDescent="0.2">
      <c r="A26" s="7">
        <v>25</v>
      </c>
      <c r="B26" s="7">
        <v>4.8</v>
      </c>
      <c r="C26" s="7">
        <v>3.4</v>
      </c>
      <c r="D26" s="7">
        <v>1.9</v>
      </c>
      <c r="E26" s="7">
        <v>0.2</v>
      </c>
      <c r="F26" s="7" t="s">
        <v>27</v>
      </c>
    </row>
    <row r="27" spans="1:6" x14ac:dyDescent="0.2">
      <c r="A27" s="7">
        <v>26</v>
      </c>
      <c r="B27" s="7">
        <v>5</v>
      </c>
      <c r="C27" s="7">
        <v>3</v>
      </c>
      <c r="D27" s="7">
        <v>1.6</v>
      </c>
      <c r="E27" s="7">
        <v>0.2</v>
      </c>
      <c r="F27" s="7" t="s">
        <v>27</v>
      </c>
    </row>
    <row r="28" spans="1:6" x14ac:dyDescent="0.2">
      <c r="A28" s="7">
        <v>27</v>
      </c>
      <c r="B28" s="7">
        <v>5</v>
      </c>
      <c r="C28" s="7">
        <v>3.4</v>
      </c>
      <c r="D28" s="7">
        <v>1.6</v>
      </c>
      <c r="E28" s="7">
        <v>0.4</v>
      </c>
      <c r="F28" s="7" t="s">
        <v>27</v>
      </c>
    </row>
    <row r="29" spans="1:6" x14ac:dyDescent="0.2">
      <c r="A29" s="7">
        <v>28</v>
      </c>
      <c r="B29" s="7">
        <v>5.2</v>
      </c>
      <c r="C29" s="7">
        <v>3.5</v>
      </c>
      <c r="D29" s="7">
        <v>1.5</v>
      </c>
      <c r="E29" s="7">
        <v>0.2</v>
      </c>
      <c r="F29" s="7" t="s">
        <v>27</v>
      </c>
    </row>
    <row r="30" spans="1:6" x14ac:dyDescent="0.2">
      <c r="A30" s="7">
        <v>29</v>
      </c>
      <c r="B30" s="7">
        <v>5.2</v>
      </c>
      <c r="C30" s="7">
        <v>3.4</v>
      </c>
      <c r="D30" s="7">
        <v>1.4</v>
      </c>
      <c r="E30" s="7">
        <v>0.2</v>
      </c>
      <c r="F30" s="7" t="s">
        <v>27</v>
      </c>
    </row>
    <row r="31" spans="1:6" x14ac:dyDescent="0.2">
      <c r="A31" s="7">
        <v>30</v>
      </c>
      <c r="B31" s="7">
        <v>4.7</v>
      </c>
      <c r="C31" s="7">
        <v>3.2</v>
      </c>
      <c r="D31" s="7">
        <v>1.6</v>
      </c>
      <c r="E31" s="7">
        <v>0.2</v>
      </c>
      <c r="F31" s="7" t="s">
        <v>27</v>
      </c>
    </row>
    <row r="32" spans="1:6" x14ac:dyDescent="0.2">
      <c r="A32" s="7">
        <v>31</v>
      </c>
      <c r="B32" s="7">
        <v>4.8</v>
      </c>
      <c r="C32" s="7">
        <v>3.1</v>
      </c>
      <c r="D32" s="7">
        <v>1.6</v>
      </c>
      <c r="E32" s="7">
        <v>0.2</v>
      </c>
      <c r="F32" s="7" t="s">
        <v>27</v>
      </c>
    </row>
    <row r="33" spans="1:6" x14ac:dyDescent="0.2">
      <c r="A33" s="7">
        <v>32</v>
      </c>
      <c r="B33" s="7">
        <v>5.4</v>
      </c>
      <c r="C33" s="7">
        <v>3.4</v>
      </c>
      <c r="D33" s="7">
        <v>1.5</v>
      </c>
      <c r="E33" s="7">
        <v>0.4</v>
      </c>
      <c r="F33" s="7" t="s">
        <v>27</v>
      </c>
    </row>
    <row r="34" spans="1:6" x14ac:dyDescent="0.2">
      <c r="A34" s="7">
        <v>33</v>
      </c>
      <c r="B34" s="7">
        <v>5.2</v>
      </c>
      <c r="C34" s="7">
        <v>4.0999999999999996</v>
      </c>
      <c r="D34" s="7">
        <v>1.5</v>
      </c>
      <c r="E34" s="7">
        <v>0.1</v>
      </c>
      <c r="F34" s="7" t="s">
        <v>27</v>
      </c>
    </row>
    <row r="35" spans="1:6" x14ac:dyDescent="0.2">
      <c r="A35" s="7">
        <v>34</v>
      </c>
      <c r="B35" s="7">
        <v>5.5</v>
      </c>
      <c r="C35" s="7">
        <v>4.2</v>
      </c>
      <c r="D35" s="7">
        <v>1.4</v>
      </c>
      <c r="E35" s="7">
        <v>0.2</v>
      </c>
      <c r="F35" s="7" t="s">
        <v>27</v>
      </c>
    </row>
    <row r="36" spans="1:6" x14ac:dyDescent="0.2">
      <c r="A36" s="7">
        <v>35</v>
      </c>
      <c r="B36" s="7">
        <v>4.9000000000000004</v>
      </c>
      <c r="C36" s="7">
        <v>3.1</v>
      </c>
      <c r="D36" s="7">
        <v>1.5</v>
      </c>
      <c r="E36" s="7">
        <v>0.2</v>
      </c>
      <c r="F36" s="7" t="s">
        <v>27</v>
      </c>
    </row>
    <row r="37" spans="1:6" x14ac:dyDescent="0.2">
      <c r="A37" s="7">
        <v>36</v>
      </c>
      <c r="B37" s="7">
        <v>5</v>
      </c>
      <c r="C37" s="7">
        <v>3.2</v>
      </c>
      <c r="D37" s="7">
        <v>1.2</v>
      </c>
      <c r="E37" s="7">
        <v>0.2</v>
      </c>
      <c r="F37" s="7" t="s">
        <v>27</v>
      </c>
    </row>
    <row r="38" spans="1:6" x14ac:dyDescent="0.2">
      <c r="A38" s="7">
        <v>37</v>
      </c>
      <c r="B38" s="7">
        <v>5.5</v>
      </c>
      <c r="C38" s="7">
        <v>3.5</v>
      </c>
      <c r="D38" s="7">
        <v>1.3</v>
      </c>
      <c r="E38" s="7">
        <v>0.2</v>
      </c>
      <c r="F38" s="7" t="s">
        <v>27</v>
      </c>
    </row>
    <row r="39" spans="1:6" x14ac:dyDescent="0.2">
      <c r="A39" s="7">
        <v>38</v>
      </c>
      <c r="B39" s="7">
        <v>4.9000000000000004</v>
      </c>
      <c r="C39" s="7">
        <v>3.6</v>
      </c>
      <c r="D39" s="7">
        <v>1.4</v>
      </c>
      <c r="E39" s="7">
        <v>0.1</v>
      </c>
      <c r="F39" s="7" t="s">
        <v>27</v>
      </c>
    </row>
    <row r="40" spans="1:6" x14ac:dyDescent="0.2">
      <c r="A40" s="7">
        <v>39</v>
      </c>
      <c r="B40" s="7">
        <v>4.4000000000000004</v>
      </c>
      <c r="C40" s="7">
        <v>3</v>
      </c>
      <c r="D40" s="7">
        <v>1.3</v>
      </c>
      <c r="E40" s="7">
        <v>0.2</v>
      </c>
      <c r="F40" s="7" t="s">
        <v>27</v>
      </c>
    </row>
    <row r="41" spans="1:6" x14ac:dyDescent="0.2">
      <c r="A41" s="7">
        <v>40</v>
      </c>
      <c r="B41" s="7">
        <v>5.0999999999999996</v>
      </c>
      <c r="C41" s="7">
        <v>3.4</v>
      </c>
      <c r="D41" s="7">
        <v>1.5</v>
      </c>
      <c r="E41" s="7">
        <v>0.2</v>
      </c>
      <c r="F41" s="7" t="s">
        <v>27</v>
      </c>
    </row>
    <row r="42" spans="1:6" x14ac:dyDescent="0.2">
      <c r="A42" s="7">
        <v>41</v>
      </c>
      <c r="B42" s="7">
        <v>5</v>
      </c>
      <c r="C42" s="7">
        <v>3.5</v>
      </c>
      <c r="D42" s="7">
        <v>1.3</v>
      </c>
      <c r="E42" s="7">
        <v>0.3</v>
      </c>
      <c r="F42" s="7" t="s">
        <v>27</v>
      </c>
    </row>
    <row r="43" spans="1:6" x14ac:dyDescent="0.2">
      <c r="A43" s="7">
        <v>42</v>
      </c>
      <c r="B43" s="7">
        <v>4.5</v>
      </c>
      <c r="C43" s="7">
        <v>2.2999999999999998</v>
      </c>
      <c r="D43" s="7">
        <v>1.3</v>
      </c>
      <c r="E43" s="7">
        <v>0.3</v>
      </c>
      <c r="F43" s="7" t="s">
        <v>27</v>
      </c>
    </row>
    <row r="44" spans="1:6" x14ac:dyDescent="0.2">
      <c r="A44" s="7">
        <v>43</v>
      </c>
      <c r="B44" s="7">
        <v>4.4000000000000004</v>
      </c>
      <c r="C44" s="7">
        <v>3.2</v>
      </c>
      <c r="D44" s="7">
        <v>1.3</v>
      </c>
      <c r="E44" s="7">
        <v>0.2</v>
      </c>
      <c r="F44" s="7" t="s">
        <v>27</v>
      </c>
    </row>
    <row r="45" spans="1:6" x14ac:dyDescent="0.2">
      <c r="A45" s="7">
        <v>44</v>
      </c>
      <c r="B45" s="7">
        <v>5</v>
      </c>
      <c r="C45" s="7">
        <v>3.5</v>
      </c>
      <c r="D45" s="7">
        <v>1.6</v>
      </c>
      <c r="E45" s="7">
        <v>0.6</v>
      </c>
      <c r="F45" s="7" t="s">
        <v>27</v>
      </c>
    </row>
    <row r="46" spans="1:6" x14ac:dyDescent="0.2">
      <c r="A46" s="7">
        <v>45</v>
      </c>
      <c r="B46" s="7">
        <v>5.0999999999999996</v>
      </c>
      <c r="C46" s="7">
        <v>3.8</v>
      </c>
      <c r="D46" s="7">
        <v>1.9</v>
      </c>
      <c r="E46" s="7">
        <v>0.4</v>
      </c>
      <c r="F46" s="7" t="s">
        <v>27</v>
      </c>
    </row>
    <row r="47" spans="1:6" x14ac:dyDescent="0.2">
      <c r="A47" s="7">
        <v>46</v>
      </c>
      <c r="B47" s="7">
        <v>4.8</v>
      </c>
      <c r="C47" s="7">
        <v>3</v>
      </c>
      <c r="D47" s="7">
        <v>1.4</v>
      </c>
      <c r="E47" s="7">
        <v>0.3</v>
      </c>
      <c r="F47" s="7" t="s">
        <v>27</v>
      </c>
    </row>
    <row r="48" spans="1:6" x14ac:dyDescent="0.2">
      <c r="A48" s="7">
        <v>47</v>
      </c>
      <c r="B48" s="7">
        <v>5.0999999999999996</v>
      </c>
      <c r="C48" s="7">
        <v>3.8</v>
      </c>
      <c r="D48" s="7">
        <v>1.6</v>
      </c>
      <c r="E48" s="7">
        <v>0.2</v>
      </c>
      <c r="F48" s="7" t="s">
        <v>27</v>
      </c>
    </row>
    <row r="49" spans="1:6" x14ac:dyDescent="0.2">
      <c r="A49" s="7">
        <v>48</v>
      </c>
      <c r="B49" s="7">
        <v>4.5999999999999996</v>
      </c>
      <c r="C49" s="7">
        <v>3.2</v>
      </c>
      <c r="D49" s="7">
        <v>1.4</v>
      </c>
      <c r="E49" s="7">
        <v>0.2</v>
      </c>
      <c r="F49" s="7" t="s">
        <v>27</v>
      </c>
    </row>
    <row r="50" spans="1:6" x14ac:dyDescent="0.2">
      <c r="A50" s="7">
        <v>49</v>
      </c>
      <c r="B50" s="7">
        <v>5.3</v>
      </c>
      <c r="C50" s="7">
        <v>3.7</v>
      </c>
      <c r="D50" s="7">
        <v>1.5</v>
      </c>
      <c r="E50" s="7">
        <v>0.2</v>
      </c>
      <c r="F50" s="7" t="s">
        <v>27</v>
      </c>
    </row>
    <row r="51" spans="1:6" x14ac:dyDescent="0.2">
      <c r="A51" s="7">
        <v>50</v>
      </c>
      <c r="B51" s="7">
        <v>5</v>
      </c>
      <c r="C51" s="7">
        <v>3.3</v>
      </c>
      <c r="D51" s="7">
        <v>1.4</v>
      </c>
      <c r="E51" s="7">
        <v>0.2</v>
      </c>
      <c r="F51" s="7" t="s">
        <v>27</v>
      </c>
    </row>
    <row r="52" spans="1:6" x14ac:dyDescent="0.2">
      <c r="A52" s="7">
        <v>51</v>
      </c>
      <c r="B52" s="7">
        <v>7</v>
      </c>
      <c r="C52" s="7">
        <v>3.2</v>
      </c>
      <c r="D52" s="7">
        <v>4.7</v>
      </c>
      <c r="E52" s="7">
        <v>1.4</v>
      </c>
      <c r="F52" s="7" t="s">
        <v>28</v>
      </c>
    </row>
    <row r="53" spans="1:6" x14ac:dyDescent="0.2">
      <c r="A53" s="7">
        <v>52</v>
      </c>
      <c r="B53" s="7">
        <v>6.4</v>
      </c>
      <c r="C53" s="7">
        <v>3.2</v>
      </c>
      <c r="D53" s="7">
        <v>4.5</v>
      </c>
      <c r="E53" s="7">
        <v>1.5</v>
      </c>
      <c r="F53" s="7" t="s">
        <v>28</v>
      </c>
    </row>
    <row r="54" spans="1:6" x14ac:dyDescent="0.2">
      <c r="A54" s="7">
        <v>53</v>
      </c>
      <c r="B54" s="7">
        <v>6.9</v>
      </c>
      <c r="C54" s="7">
        <v>3.1</v>
      </c>
      <c r="D54" s="7">
        <v>4.9000000000000004</v>
      </c>
      <c r="E54" s="7">
        <v>1.5</v>
      </c>
      <c r="F54" s="7" t="s">
        <v>28</v>
      </c>
    </row>
    <row r="55" spans="1:6" x14ac:dyDescent="0.2">
      <c r="A55" s="7">
        <v>54</v>
      </c>
      <c r="B55" s="7">
        <v>5.5</v>
      </c>
      <c r="C55" s="7">
        <v>2.2999999999999998</v>
      </c>
      <c r="D55" s="7">
        <v>4</v>
      </c>
      <c r="E55" s="7">
        <v>1.3</v>
      </c>
      <c r="F55" s="7" t="s">
        <v>28</v>
      </c>
    </row>
    <row r="56" spans="1:6" x14ac:dyDescent="0.2">
      <c r="A56" s="7">
        <v>55</v>
      </c>
      <c r="B56" s="7">
        <v>6.5</v>
      </c>
      <c r="C56" s="7">
        <v>2.8</v>
      </c>
      <c r="D56" s="7">
        <v>4.5999999999999996</v>
      </c>
      <c r="E56" s="7">
        <v>1.5</v>
      </c>
      <c r="F56" s="7" t="s">
        <v>28</v>
      </c>
    </row>
    <row r="57" spans="1:6" x14ac:dyDescent="0.2">
      <c r="A57" s="7">
        <v>56</v>
      </c>
      <c r="B57" s="7">
        <v>5.7</v>
      </c>
      <c r="C57" s="7">
        <v>2.8</v>
      </c>
      <c r="D57" s="7">
        <v>4.5</v>
      </c>
      <c r="E57" s="7">
        <v>1.3</v>
      </c>
      <c r="F57" s="7" t="s">
        <v>28</v>
      </c>
    </row>
    <row r="58" spans="1:6" x14ac:dyDescent="0.2">
      <c r="A58" s="7">
        <v>57</v>
      </c>
      <c r="B58" s="7">
        <v>6.3</v>
      </c>
      <c r="C58" s="7">
        <v>3.3</v>
      </c>
      <c r="D58" s="7">
        <v>4.7</v>
      </c>
      <c r="E58" s="7">
        <v>1.6</v>
      </c>
      <c r="F58" s="7" t="s">
        <v>28</v>
      </c>
    </row>
    <row r="59" spans="1:6" x14ac:dyDescent="0.2">
      <c r="A59" s="7">
        <v>58</v>
      </c>
      <c r="B59" s="7">
        <v>4.9000000000000004</v>
      </c>
      <c r="C59" s="7">
        <v>2.4</v>
      </c>
      <c r="D59" s="7">
        <v>3.3</v>
      </c>
      <c r="E59" s="7">
        <v>1</v>
      </c>
      <c r="F59" s="7" t="s">
        <v>28</v>
      </c>
    </row>
    <row r="60" spans="1:6" x14ac:dyDescent="0.2">
      <c r="A60" s="7">
        <v>59</v>
      </c>
      <c r="B60" s="7">
        <v>6.6</v>
      </c>
      <c r="C60" s="7">
        <v>2.9</v>
      </c>
      <c r="D60" s="7">
        <v>4.5999999999999996</v>
      </c>
      <c r="E60" s="7">
        <v>1.3</v>
      </c>
      <c r="F60" s="7" t="s">
        <v>28</v>
      </c>
    </row>
    <row r="61" spans="1:6" x14ac:dyDescent="0.2">
      <c r="A61" s="7">
        <v>60</v>
      </c>
      <c r="B61" s="7">
        <v>5.2</v>
      </c>
      <c r="C61" s="7">
        <v>2.7</v>
      </c>
      <c r="D61" s="7">
        <v>3.9</v>
      </c>
      <c r="E61" s="7">
        <v>1.4</v>
      </c>
      <c r="F61" s="7" t="s">
        <v>28</v>
      </c>
    </row>
    <row r="62" spans="1:6" x14ac:dyDescent="0.2">
      <c r="A62" s="7">
        <v>61</v>
      </c>
      <c r="B62" s="7">
        <v>5</v>
      </c>
      <c r="C62" s="7">
        <v>2</v>
      </c>
      <c r="D62" s="7">
        <v>3.5</v>
      </c>
      <c r="E62" s="7">
        <v>1</v>
      </c>
      <c r="F62" s="7" t="s">
        <v>28</v>
      </c>
    </row>
    <row r="63" spans="1:6" x14ac:dyDescent="0.2">
      <c r="A63" s="7">
        <v>62</v>
      </c>
      <c r="B63" s="7">
        <v>5.9</v>
      </c>
      <c r="C63" s="7">
        <v>3</v>
      </c>
      <c r="D63" s="7">
        <v>4.2</v>
      </c>
      <c r="E63" s="7">
        <v>1.5</v>
      </c>
      <c r="F63" s="7" t="s">
        <v>28</v>
      </c>
    </row>
    <row r="64" spans="1:6" x14ac:dyDescent="0.2">
      <c r="A64" s="7">
        <v>63</v>
      </c>
      <c r="B64" s="7">
        <v>6</v>
      </c>
      <c r="C64" s="7">
        <v>2.2000000000000002</v>
      </c>
      <c r="D64" s="7">
        <v>4</v>
      </c>
      <c r="E64" s="7">
        <v>1</v>
      </c>
      <c r="F64" s="7" t="s">
        <v>28</v>
      </c>
    </row>
    <row r="65" spans="1:6" x14ac:dyDescent="0.2">
      <c r="A65" s="7">
        <v>64</v>
      </c>
      <c r="B65" s="7">
        <v>6.1</v>
      </c>
      <c r="C65" s="7">
        <v>2.9</v>
      </c>
      <c r="D65" s="7">
        <v>4.7</v>
      </c>
      <c r="E65" s="7">
        <v>1.4</v>
      </c>
      <c r="F65" s="7" t="s">
        <v>28</v>
      </c>
    </row>
    <row r="66" spans="1:6" x14ac:dyDescent="0.2">
      <c r="A66" s="7">
        <v>65</v>
      </c>
      <c r="B66" s="7">
        <v>5.6</v>
      </c>
      <c r="C66" s="7">
        <v>2.9</v>
      </c>
      <c r="D66" s="7">
        <v>3.6</v>
      </c>
      <c r="E66" s="7">
        <v>1.3</v>
      </c>
      <c r="F66" s="7" t="s">
        <v>28</v>
      </c>
    </row>
    <row r="67" spans="1:6" x14ac:dyDescent="0.2">
      <c r="A67" s="7">
        <v>66</v>
      </c>
      <c r="B67" s="7">
        <v>6.7</v>
      </c>
      <c r="C67" s="7">
        <v>3.1</v>
      </c>
      <c r="D67" s="7">
        <v>4.4000000000000004</v>
      </c>
      <c r="E67" s="7">
        <v>1.4</v>
      </c>
      <c r="F67" s="7" t="s">
        <v>28</v>
      </c>
    </row>
    <row r="68" spans="1:6" x14ac:dyDescent="0.2">
      <c r="A68" s="7">
        <v>67</v>
      </c>
      <c r="B68" s="7">
        <v>5.6</v>
      </c>
      <c r="C68" s="7">
        <v>3</v>
      </c>
      <c r="D68" s="7">
        <v>4.5</v>
      </c>
      <c r="E68" s="7">
        <v>1.5</v>
      </c>
      <c r="F68" s="7" t="s">
        <v>28</v>
      </c>
    </row>
    <row r="69" spans="1:6" x14ac:dyDescent="0.2">
      <c r="A69" s="7">
        <v>68</v>
      </c>
      <c r="B69" s="7">
        <v>5.8</v>
      </c>
      <c r="C69" s="7">
        <v>2.7</v>
      </c>
      <c r="D69" s="7">
        <v>4.0999999999999996</v>
      </c>
      <c r="E69" s="7">
        <v>1</v>
      </c>
      <c r="F69" s="7" t="s">
        <v>28</v>
      </c>
    </row>
    <row r="70" spans="1:6" x14ac:dyDescent="0.2">
      <c r="A70" s="7">
        <v>69</v>
      </c>
      <c r="B70" s="7">
        <v>6.2</v>
      </c>
      <c r="C70" s="7">
        <v>2.2000000000000002</v>
      </c>
      <c r="D70" s="7">
        <v>4.5</v>
      </c>
      <c r="E70" s="7">
        <v>1.5</v>
      </c>
      <c r="F70" s="7" t="s">
        <v>28</v>
      </c>
    </row>
    <row r="71" spans="1:6" x14ac:dyDescent="0.2">
      <c r="A71" s="7">
        <v>70</v>
      </c>
      <c r="B71" s="7">
        <v>5.6</v>
      </c>
      <c r="C71" s="7">
        <v>2.5</v>
      </c>
      <c r="D71" s="7">
        <v>3.9</v>
      </c>
      <c r="E71" s="7">
        <v>1.1000000000000001</v>
      </c>
      <c r="F71" s="7" t="s">
        <v>28</v>
      </c>
    </row>
    <row r="72" spans="1:6" x14ac:dyDescent="0.2">
      <c r="A72" s="7">
        <v>71</v>
      </c>
      <c r="B72" s="7">
        <v>5.9</v>
      </c>
      <c r="C72" s="7">
        <v>3.2</v>
      </c>
      <c r="D72" s="7">
        <v>4.8</v>
      </c>
      <c r="E72" s="7">
        <v>1.8</v>
      </c>
      <c r="F72" s="7" t="s">
        <v>28</v>
      </c>
    </row>
    <row r="73" spans="1:6" x14ac:dyDescent="0.2">
      <c r="A73" s="7">
        <v>72</v>
      </c>
      <c r="B73" s="7">
        <v>6.1</v>
      </c>
      <c r="C73" s="7">
        <v>2.8</v>
      </c>
      <c r="D73" s="7">
        <v>4</v>
      </c>
      <c r="E73" s="7">
        <v>1.3</v>
      </c>
      <c r="F73" s="7" t="s">
        <v>28</v>
      </c>
    </row>
    <row r="74" spans="1:6" x14ac:dyDescent="0.2">
      <c r="A74" s="7">
        <v>73</v>
      </c>
      <c r="B74" s="7">
        <v>6.3</v>
      </c>
      <c r="C74" s="7">
        <v>2.5</v>
      </c>
      <c r="D74" s="7">
        <v>4.9000000000000004</v>
      </c>
      <c r="E74" s="7">
        <v>1.5</v>
      </c>
      <c r="F74" s="7" t="s">
        <v>28</v>
      </c>
    </row>
    <row r="75" spans="1:6" x14ac:dyDescent="0.2">
      <c r="A75" s="7">
        <v>74</v>
      </c>
      <c r="B75" s="7">
        <v>6.1</v>
      </c>
      <c r="C75" s="7">
        <v>2.8</v>
      </c>
      <c r="D75" s="7">
        <v>4.7</v>
      </c>
      <c r="E75" s="7">
        <v>1.2</v>
      </c>
      <c r="F75" s="7" t="s">
        <v>28</v>
      </c>
    </row>
    <row r="76" spans="1:6" x14ac:dyDescent="0.2">
      <c r="A76" s="7">
        <v>75</v>
      </c>
      <c r="B76" s="7">
        <v>6.4</v>
      </c>
      <c r="C76" s="7">
        <v>2.9</v>
      </c>
      <c r="D76" s="7">
        <v>4.3</v>
      </c>
      <c r="E76" s="7">
        <v>1.3</v>
      </c>
      <c r="F76" s="7" t="s">
        <v>28</v>
      </c>
    </row>
    <row r="77" spans="1:6" x14ac:dyDescent="0.2">
      <c r="A77" s="7">
        <v>76</v>
      </c>
      <c r="B77" s="7">
        <v>6.6</v>
      </c>
      <c r="C77" s="7">
        <v>3</v>
      </c>
      <c r="D77" s="7">
        <v>4.4000000000000004</v>
      </c>
      <c r="E77" s="7">
        <v>1.4</v>
      </c>
      <c r="F77" s="7" t="s">
        <v>28</v>
      </c>
    </row>
    <row r="78" spans="1:6" x14ac:dyDescent="0.2">
      <c r="A78" s="7">
        <v>77</v>
      </c>
      <c r="B78" s="7">
        <v>6.8</v>
      </c>
      <c r="C78" s="7">
        <v>2.8</v>
      </c>
      <c r="D78" s="7">
        <v>4.8</v>
      </c>
      <c r="E78" s="7">
        <v>1.4</v>
      </c>
      <c r="F78" s="7" t="s">
        <v>28</v>
      </c>
    </row>
    <row r="79" spans="1:6" x14ac:dyDescent="0.2">
      <c r="A79" s="7">
        <v>78</v>
      </c>
      <c r="B79" s="7">
        <v>6.7</v>
      </c>
      <c r="C79" s="7">
        <v>3</v>
      </c>
      <c r="D79" s="7">
        <v>5</v>
      </c>
      <c r="E79" s="7">
        <v>1.7</v>
      </c>
      <c r="F79" s="7" t="s">
        <v>28</v>
      </c>
    </row>
    <row r="80" spans="1:6" x14ac:dyDescent="0.2">
      <c r="A80" s="7">
        <v>79</v>
      </c>
      <c r="B80" s="7">
        <v>6</v>
      </c>
      <c r="C80" s="7">
        <v>2.9</v>
      </c>
      <c r="D80" s="7">
        <v>4.5</v>
      </c>
      <c r="E80" s="7">
        <v>1.5</v>
      </c>
      <c r="F80" s="7" t="s">
        <v>28</v>
      </c>
    </row>
    <row r="81" spans="1:6" x14ac:dyDescent="0.2">
      <c r="A81" s="7">
        <v>80</v>
      </c>
      <c r="B81" s="7">
        <v>5.7</v>
      </c>
      <c r="C81" s="7">
        <v>2.6</v>
      </c>
      <c r="D81" s="7">
        <v>3.5</v>
      </c>
      <c r="E81" s="7">
        <v>1</v>
      </c>
      <c r="F81" s="7" t="s">
        <v>28</v>
      </c>
    </row>
    <row r="82" spans="1:6" x14ac:dyDescent="0.2">
      <c r="A82" s="7">
        <v>81</v>
      </c>
      <c r="B82" s="7">
        <v>5.5</v>
      </c>
      <c r="C82" s="7">
        <v>2.4</v>
      </c>
      <c r="D82" s="7">
        <v>3.8</v>
      </c>
      <c r="E82" s="7">
        <v>1.1000000000000001</v>
      </c>
      <c r="F82" s="7" t="s">
        <v>28</v>
      </c>
    </row>
    <row r="83" spans="1:6" x14ac:dyDescent="0.2">
      <c r="A83" s="7">
        <v>82</v>
      </c>
      <c r="B83" s="7">
        <v>5.5</v>
      </c>
      <c r="C83" s="7">
        <v>2.4</v>
      </c>
      <c r="D83" s="7">
        <v>3.7</v>
      </c>
      <c r="E83" s="7">
        <v>1</v>
      </c>
      <c r="F83" s="7" t="s">
        <v>28</v>
      </c>
    </row>
    <row r="84" spans="1:6" x14ac:dyDescent="0.2">
      <c r="A84" s="7">
        <v>83</v>
      </c>
      <c r="B84" s="7">
        <v>5.8</v>
      </c>
      <c r="C84" s="7">
        <v>2.7</v>
      </c>
      <c r="D84" s="7">
        <v>3.9</v>
      </c>
      <c r="E84" s="7">
        <v>1.2</v>
      </c>
      <c r="F84" s="7" t="s">
        <v>28</v>
      </c>
    </row>
    <row r="85" spans="1:6" x14ac:dyDescent="0.2">
      <c r="A85" s="7">
        <v>84</v>
      </c>
      <c r="B85" s="7">
        <v>6</v>
      </c>
      <c r="C85" s="7">
        <v>2.7</v>
      </c>
      <c r="D85" s="7">
        <v>5.0999999999999996</v>
      </c>
      <c r="E85" s="7">
        <v>1.6</v>
      </c>
      <c r="F85" s="7" t="s">
        <v>28</v>
      </c>
    </row>
    <row r="86" spans="1:6" x14ac:dyDescent="0.2">
      <c r="A86" s="7">
        <v>85</v>
      </c>
      <c r="B86" s="7">
        <v>5.4</v>
      </c>
      <c r="C86" s="7">
        <v>3</v>
      </c>
      <c r="D86" s="7">
        <v>4.5</v>
      </c>
      <c r="E86" s="7">
        <v>1.5</v>
      </c>
      <c r="F86" s="7" t="s">
        <v>28</v>
      </c>
    </row>
    <row r="87" spans="1:6" x14ac:dyDescent="0.2">
      <c r="A87" s="7">
        <v>86</v>
      </c>
      <c r="B87" s="7">
        <v>6</v>
      </c>
      <c r="C87" s="7">
        <v>3.4</v>
      </c>
      <c r="D87" s="7">
        <v>4.5</v>
      </c>
      <c r="E87" s="7">
        <v>1.6</v>
      </c>
      <c r="F87" s="7" t="s">
        <v>28</v>
      </c>
    </row>
    <row r="88" spans="1:6" x14ac:dyDescent="0.2">
      <c r="A88" s="7">
        <v>87</v>
      </c>
      <c r="B88" s="7">
        <v>6.7</v>
      </c>
      <c r="C88" s="7">
        <v>3.1</v>
      </c>
      <c r="D88" s="7">
        <v>4.7</v>
      </c>
      <c r="E88" s="7">
        <v>1.5</v>
      </c>
      <c r="F88" s="7" t="s">
        <v>28</v>
      </c>
    </row>
    <row r="89" spans="1:6" x14ac:dyDescent="0.2">
      <c r="A89" s="7">
        <v>88</v>
      </c>
      <c r="B89" s="7">
        <v>6.3</v>
      </c>
      <c r="C89" s="7">
        <v>2.2999999999999998</v>
      </c>
      <c r="D89" s="7">
        <v>4.4000000000000004</v>
      </c>
      <c r="E89" s="7">
        <v>1.3</v>
      </c>
      <c r="F89" s="7" t="s">
        <v>28</v>
      </c>
    </row>
    <row r="90" spans="1:6" x14ac:dyDescent="0.2">
      <c r="A90" s="7">
        <v>89</v>
      </c>
      <c r="B90" s="7">
        <v>5.6</v>
      </c>
      <c r="C90" s="7">
        <v>3</v>
      </c>
      <c r="D90" s="7">
        <v>4.0999999999999996</v>
      </c>
      <c r="E90" s="7">
        <v>1.3</v>
      </c>
      <c r="F90" s="7" t="s">
        <v>28</v>
      </c>
    </row>
    <row r="91" spans="1:6" x14ac:dyDescent="0.2">
      <c r="A91" s="7">
        <v>90</v>
      </c>
      <c r="B91" s="7">
        <v>5.5</v>
      </c>
      <c r="C91" s="7">
        <v>2.5</v>
      </c>
      <c r="D91" s="7">
        <v>4</v>
      </c>
      <c r="E91" s="7">
        <v>1.3</v>
      </c>
      <c r="F91" s="7" t="s">
        <v>28</v>
      </c>
    </row>
    <row r="92" spans="1:6" x14ac:dyDescent="0.2">
      <c r="A92" s="7">
        <v>91</v>
      </c>
      <c r="B92" s="7">
        <v>5.5</v>
      </c>
      <c r="C92" s="7">
        <v>2.6</v>
      </c>
      <c r="D92" s="7">
        <v>4.4000000000000004</v>
      </c>
      <c r="E92" s="7">
        <v>1.2</v>
      </c>
      <c r="F92" s="7" t="s">
        <v>28</v>
      </c>
    </row>
    <row r="93" spans="1:6" x14ac:dyDescent="0.2">
      <c r="A93" s="7">
        <v>92</v>
      </c>
      <c r="B93" s="7">
        <v>6.1</v>
      </c>
      <c r="C93" s="7">
        <v>3</v>
      </c>
      <c r="D93" s="7">
        <v>4.5999999999999996</v>
      </c>
      <c r="E93" s="7">
        <v>1.4</v>
      </c>
      <c r="F93" s="7" t="s">
        <v>28</v>
      </c>
    </row>
    <row r="94" spans="1:6" x14ac:dyDescent="0.2">
      <c r="A94" s="7">
        <v>93</v>
      </c>
      <c r="B94" s="7">
        <v>5.8</v>
      </c>
      <c r="C94" s="7">
        <v>2.6</v>
      </c>
      <c r="D94" s="7">
        <v>4</v>
      </c>
      <c r="E94" s="7">
        <v>1.2</v>
      </c>
      <c r="F94" s="7" t="s">
        <v>28</v>
      </c>
    </row>
    <row r="95" spans="1:6" x14ac:dyDescent="0.2">
      <c r="A95" s="7">
        <v>94</v>
      </c>
      <c r="B95" s="7">
        <v>5</v>
      </c>
      <c r="C95" s="7">
        <v>2.2999999999999998</v>
      </c>
      <c r="D95" s="7">
        <v>3.3</v>
      </c>
      <c r="E95" s="7">
        <v>1</v>
      </c>
      <c r="F95" s="7" t="s">
        <v>28</v>
      </c>
    </row>
    <row r="96" spans="1:6" x14ac:dyDescent="0.2">
      <c r="A96" s="7">
        <v>95</v>
      </c>
      <c r="B96" s="7">
        <v>5.6</v>
      </c>
      <c r="C96" s="7">
        <v>2.7</v>
      </c>
      <c r="D96" s="7">
        <v>4.2</v>
      </c>
      <c r="E96" s="7">
        <v>1.3</v>
      </c>
      <c r="F96" s="7" t="s">
        <v>28</v>
      </c>
    </row>
    <row r="97" spans="1:6" x14ac:dyDescent="0.2">
      <c r="A97" s="7">
        <v>96</v>
      </c>
      <c r="B97" s="7">
        <v>5.7</v>
      </c>
      <c r="C97" s="7">
        <v>3</v>
      </c>
      <c r="D97" s="7">
        <v>4.2</v>
      </c>
      <c r="E97" s="7">
        <v>1.2</v>
      </c>
      <c r="F97" s="7" t="s">
        <v>28</v>
      </c>
    </row>
    <row r="98" spans="1:6" x14ac:dyDescent="0.2">
      <c r="A98" s="7">
        <v>97</v>
      </c>
      <c r="B98" s="7">
        <v>5.7</v>
      </c>
      <c r="C98" s="7">
        <v>2.9</v>
      </c>
      <c r="D98" s="7">
        <v>4.2</v>
      </c>
      <c r="E98" s="7">
        <v>1.3</v>
      </c>
      <c r="F98" s="7" t="s">
        <v>28</v>
      </c>
    </row>
    <row r="99" spans="1:6" x14ac:dyDescent="0.2">
      <c r="A99" s="7">
        <v>98</v>
      </c>
      <c r="B99" s="7">
        <v>6.2</v>
      </c>
      <c r="C99" s="7">
        <v>2.9</v>
      </c>
      <c r="D99" s="7">
        <v>4.3</v>
      </c>
      <c r="E99" s="7">
        <v>1.3</v>
      </c>
      <c r="F99" s="7" t="s">
        <v>28</v>
      </c>
    </row>
    <row r="100" spans="1:6" x14ac:dyDescent="0.2">
      <c r="A100" s="7">
        <v>99</v>
      </c>
      <c r="B100" s="7">
        <v>5.0999999999999996</v>
      </c>
      <c r="C100" s="7">
        <v>2.5</v>
      </c>
      <c r="D100" s="7">
        <v>3</v>
      </c>
      <c r="E100" s="7">
        <v>1.1000000000000001</v>
      </c>
      <c r="F100" s="7" t="s">
        <v>28</v>
      </c>
    </row>
    <row r="101" spans="1:6" x14ac:dyDescent="0.2">
      <c r="A101" s="7">
        <v>100</v>
      </c>
      <c r="B101" s="7">
        <v>5.7</v>
      </c>
      <c r="C101" s="7">
        <v>2.8</v>
      </c>
      <c r="D101" s="7">
        <v>4.0999999999999996</v>
      </c>
      <c r="E101" s="7">
        <v>1.3</v>
      </c>
      <c r="F101" s="7" t="s">
        <v>28</v>
      </c>
    </row>
    <row r="102" spans="1:6" x14ac:dyDescent="0.2">
      <c r="A102" s="7">
        <v>101</v>
      </c>
      <c r="B102" s="7">
        <v>6.3</v>
      </c>
      <c r="C102" s="7">
        <v>3.3</v>
      </c>
      <c r="D102" s="7">
        <v>6</v>
      </c>
      <c r="E102" s="7">
        <v>2.5</v>
      </c>
      <c r="F102" s="7" t="s">
        <v>29</v>
      </c>
    </row>
    <row r="103" spans="1:6" x14ac:dyDescent="0.2">
      <c r="A103" s="7">
        <v>102</v>
      </c>
      <c r="B103" s="7">
        <v>5.8</v>
      </c>
      <c r="C103" s="7">
        <v>2.7</v>
      </c>
      <c r="D103" s="7">
        <v>5.0999999999999996</v>
      </c>
      <c r="E103" s="7">
        <v>1.9</v>
      </c>
      <c r="F103" s="7" t="s">
        <v>29</v>
      </c>
    </row>
    <row r="104" spans="1:6" x14ac:dyDescent="0.2">
      <c r="A104" s="7">
        <v>103</v>
      </c>
      <c r="B104" s="7">
        <v>7.1</v>
      </c>
      <c r="C104" s="7">
        <v>3</v>
      </c>
      <c r="D104" s="7">
        <v>5.9</v>
      </c>
      <c r="E104" s="7">
        <v>2.1</v>
      </c>
      <c r="F104" s="7" t="s">
        <v>29</v>
      </c>
    </row>
    <row r="105" spans="1:6" x14ac:dyDescent="0.2">
      <c r="A105" s="7">
        <v>104</v>
      </c>
      <c r="B105" s="7">
        <v>6.3</v>
      </c>
      <c r="C105" s="7">
        <v>2.9</v>
      </c>
      <c r="D105" s="7">
        <v>5.6</v>
      </c>
      <c r="E105" s="7">
        <v>1.8</v>
      </c>
      <c r="F105" s="7" t="s">
        <v>29</v>
      </c>
    </row>
    <row r="106" spans="1:6" x14ac:dyDescent="0.2">
      <c r="A106" s="7">
        <v>105</v>
      </c>
      <c r="B106" s="7">
        <v>6.5</v>
      </c>
      <c r="C106" s="7">
        <v>3</v>
      </c>
      <c r="D106" s="7">
        <v>5.8</v>
      </c>
      <c r="E106" s="7">
        <v>2.2000000000000002</v>
      </c>
      <c r="F106" s="7" t="s">
        <v>29</v>
      </c>
    </row>
    <row r="107" spans="1:6" x14ac:dyDescent="0.2">
      <c r="A107" s="7">
        <v>106</v>
      </c>
      <c r="B107" s="7">
        <v>7.6</v>
      </c>
      <c r="C107" s="7">
        <v>3</v>
      </c>
      <c r="D107" s="7">
        <v>6.6</v>
      </c>
      <c r="E107" s="7">
        <v>2.1</v>
      </c>
      <c r="F107" s="7" t="s">
        <v>29</v>
      </c>
    </row>
    <row r="108" spans="1:6" x14ac:dyDescent="0.2">
      <c r="A108" s="7">
        <v>107</v>
      </c>
      <c r="B108" s="7">
        <v>4.9000000000000004</v>
      </c>
      <c r="C108" s="7">
        <v>2.5</v>
      </c>
      <c r="D108" s="7">
        <v>4.5</v>
      </c>
      <c r="E108" s="7">
        <v>1.7</v>
      </c>
      <c r="F108" s="7" t="s">
        <v>29</v>
      </c>
    </row>
    <row r="109" spans="1:6" x14ac:dyDescent="0.2">
      <c r="A109" s="7">
        <v>108</v>
      </c>
      <c r="B109" s="7">
        <v>7.3</v>
      </c>
      <c r="C109" s="7">
        <v>2.9</v>
      </c>
      <c r="D109" s="7">
        <v>6.3</v>
      </c>
      <c r="E109" s="7">
        <v>1.8</v>
      </c>
      <c r="F109" s="7" t="s">
        <v>29</v>
      </c>
    </row>
    <row r="110" spans="1:6" x14ac:dyDescent="0.2">
      <c r="A110" s="7">
        <v>109</v>
      </c>
      <c r="B110" s="7">
        <v>6.7</v>
      </c>
      <c r="C110" s="7">
        <v>2.5</v>
      </c>
      <c r="D110" s="7">
        <v>5.8</v>
      </c>
      <c r="E110" s="7">
        <v>1.8</v>
      </c>
      <c r="F110" s="7" t="s">
        <v>29</v>
      </c>
    </row>
    <row r="111" spans="1:6" x14ac:dyDescent="0.2">
      <c r="A111" s="7">
        <v>110</v>
      </c>
      <c r="B111" s="7">
        <v>7.2</v>
      </c>
      <c r="C111" s="7">
        <v>3.6</v>
      </c>
      <c r="D111" s="7">
        <v>6.1</v>
      </c>
      <c r="E111" s="7">
        <v>2.5</v>
      </c>
      <c r="F111" s="7" t="s">
        <v>29</v>
      </c>
    </row>
    <row r="112" spans="1:6" x14ac:dyDescent="0.2">
      <c r="A112" s="7">
        <v>111</v>
      </c>
      <c r="B112" s="7">
        <v>6.5</v>
      </c>
      <c r="C112" s="7">
        <v>3.2</v>
      </c>
      <c r="D112" s="7">
        <v>5.0999999999999996</v>
      </c>
      <c r="E112" s="7">
        <v>2</v>
      </c>
      <c r="F112" s="7" t="s">
        <v>29</v>
      </c>
    </row>
    <row r="113" spans="1:6" x14ac:dyDescent="0.2">
      <c r="A113" s="7">
        <v>112</v>
      </c>
      <c r="B113" s="7">
        <v>6.4</v>
      </c>
      <c r="C113" s="7">
        <v>2.7</v>
      </c>
      <c r="D113" s="7">
        <v>5.3</v>
      </c>
      <c r="E113" s="7">
        <v>1.9</v>
      </c>
      <c r="F113" s="7" t="s">
        <v>29</v>
      </c>
    </row>
    <row r="114" spans="1:6" x14ac:dyDescent="0.2">
      <c r="A114" s="7">
        <v>113</v>
      </c>
      <c r="B114" s="7">
        <v>6.8</v>
      </c>
      <c r="C114" s="7">
        <v>3</v>
      </c>
      <c r="D114" s="7">
        <v>5.5</v>
      </c>
      <c r="E114" s="7">
        <v>2.1</v>
      </c>
      <c r="F114" s="7" t="s">
        <v>29</v>
      </c>
    </row>
    <row r="115" spans="1:6" x14ac:dyDescent="0.2">
      <c r="A115" s="7">
        <v>114</v>
      </c>
      <c r="B115" s="7">
        <v>5.7</v>
      </c>
      <c r="C115" s="7">
        <v>2.5</v>
      </c>
      <c r="D115" s="7">
        <v>5</v>
      </c>
      <c r="E115" s="7">
        <v>2</v>
      </c>
      <c r="F115" s="7" t="s">
        <v>29</v>
      </c>
    </row>
    <row r="116" spans="1:6" x14ac:dyDescent="0.2">
      <c r="A116" s="7">
        <v>115</v>
      </c>
      <c r="B116" s="7">
        <v>5.8</v>
      </c>
      <c r="C116" s="7">
        <v>2.8</v>
      </c>
      <c r="D116" s="7">
        <v>5.0999999999999996</v>
      </c>
      <c r="E116" s="7">
        <v>2.4</v>
      </c>
      <c r="F116" s="7" t="s">
        <v>29</v>
      </c>
    </row>
    <row r="117" spans="1:6" x14ac:dyDescent="0.2">
      <c r="A117" s="7">
        <v>116</v>
      </c>
      <c r="B117" s="7">
        <v>6.4</v>
      </c>
      <c r="C117" s="7">
        <v>3.2</v>
      </c>
      <c r="D117" s="7">
        <v>5.3</v>
      </c>
      <c r="E117" s="7">
        <v>2.2999999999999998</v>
      </c>
      <c r="F117" s="7" t="s">
        <v>29</v>
      </c>
    </row>
    <row r="118" spans="1:6" x14ac:dyDescent="0.2">
      <c r="A118" s="7">
        <v>117</v>
      </c>
      <c r="B118" s="7">
        <v>6.5</v>
      </c>
      <c r="C118" s="7">
        <v>3</v>
      </c>
      <c r="D118" s="7">
        <v>5.5</v>
      </c>
      <c r="E118" s="7">
        <v>1.8</v>
      </c>
      <c r="F118" s="7" t="s">
        <v>29</v>
      </c>
    </row>
    <row r="119" spans="1:6" x14ac:dyDescent="0.2">
      <c r="A119" s="7">
        <v>118</v>
      </c>
      <c r="B119" s="7">
        <v>7.7</v>
      </c>
      <c r="C119" s="7">
        <v>3.8</v>
      </c>
      <c r="D119" s="7">
        <v>6.7</v>
      </c>
      <c r="E119" s="7">
        <v>2.2000000000000002</v>
      </c>
      <c r="F119" s="7" t="s">
        <v>29</v>
      </c>
    </row>
    <row r="120" spans="1:6" x14ac:dyDescent="0.2">
      <c r="A120" s="7">
        <v>119</v>
      </c>
      <c r="B120" s="7">
        <v>7.7</v>
      </c>
      <c r="C120" s="7">
        <v>2.6</v>
      </c>
      <c r="D120" s="7">
        <v>6.9</v>
      </c>
      <c r="E120" s="7">
        <v>2.2999999999999998</v>
      </c>
      <c r="F120" s="7" t="s">
        <v>29</v>
      </c>
    </row>
    <row r="121" spans="1:6" x14ac:dyDescent="0.2">
      <c r="A121" s="7">
        <v>120</v>
      </c>
      <c r="B121" s="7">
        <v>6</v>
      </c>
      <c r="C121" s="7">
        <v>2.2000000000000002</v>
      </c>
      <c r="D121" s="7">
        <v>5</v>
      </c>
      <c r="E121" s="7">
        <v>1.5</v>
      </c>
      <c r="F121" s="7" t="s">
        <v>29</v>
      </c>
    </row>
    <row r="122" spans="1:6" x14ac:dyDescent="0.2">
      <c r="A122" s="7">
        <v>121</v>
      </c>
      <c r="B122" s="7">
        <v>6.9</v>
      </c>
      <c r="C122" s="7">
        <v>3.2</v>
      </c>
      <c r="D122" s="7">
        <v>5.7</v>
      </c>
      <c r="E122" s="7">
        <v>2.2999999999999998</v>
      </c>
      <c r="F122" s="7" t="s">
        <v>29</v>
      </c>
    </row>
    <row r="123" spans="1:6" x14ac:dyDescent="0.2">
      <c r="A123" s="7">
        <v>122</v>
      </c>
      <c r="B123" s="7">
        <v>5.6</v>
      </c>
      <c r="C123" s="7">
        <v>2.8</v>
      </c>
      <c r="D123" s="7">
        <v>4.9000000000000004</v>
      </c>
      <c r="E123" s="7">
        <v>2</v>
      </c>
      <c r="F123" s="7" t="s">
        <v>29</v>
      </c>
    </row>
    <row r="124" spans="1:6" x14ac:dyDescent="0.2">
      <c r="A124" s="7">
        <v>123</v>
      </c>
      <c r="B124" s="7">
        <v>7.7</v>
      </c>
      <c r="C124" s="7">
        <v>2.8</v>
      </c>
      <c r="D124" s="7">
        <v>6.7</v>
      </c>
      <c r="E124" s="7">
        <v>2</v>
      </c>
      <c r="F124" s="7" t="s">
        <v>29</v>
      </c>
    </row>
    <row r="125" spans="1:6" x14ac:dyDescent="0.2">
      <c r="A125" s="7">
        <v>124</v>
      </c>
      <c r="B125" s="7">
        <v>6.3</v>
      </c>
      <c r="C125" s="7">
        <v>2.7</v>
      </c>
      <c r="D125" s="7">
        <v>4.9000000000000004</v>
      </c>
      <c r="E125" s="7">
        <v>1.8</v>
      </c>
      <c r="F125" s="7" t="s">
        <v>29</v>
      </c>
    </row>
    <row r="126" spans="1:6" x14ac:dyDescent="0.2">
      <c r="A126" s="7">
        <v>125</v>
      </c>
      <c r="B126" s="7">
        <v>6.7</v>
      </c>
      <c r="C126" s="7">
        <v>3.3</v>
      </c>
      <c r="D126" s="7">
        <v>5.7</v>
      </c>
      <c r="E126" s="7">
        <v>2.1</v>
      </c>
      <c r="F126" s="7" t="s">
        <v>29</v>
      </c>
    </row>
    <row r="127" spans="1:6" x14ac:dyDescent="0.2">
      <c r="A127" s="7">
        <v>126</v>
      </c>
      <c r="B127" s="7">
        <v>7.2</v>
      </c>
      <c r="C127" s="7">
        <v>3.2</v>
      </c>
      <c r="D127" s="7">
        <v>6</v>
      </c>
      <c r="E127" s="7">
        <v>1.8</v>
      </c>
      <c r="F127" s="7" t="s">
        <v>29</v>
      </c>
    </row>
    <row r="128" spans="1:6" x14ac:dyDescent="0.2">
      <c r="A128" s="7">
        <v>127</v>
      </c>
      <c r="B128" s="7">
        <v>6.2</v>
      </c>
      <c r="C128" s="7">
        <v>2.8</v>
      </c>
      <c r="D128" s="7">
        <v>4.8</v>
      </c>
      <c r="E128" s="7">
        <v>1.8</v>
      </c>
      <c r="F128" s="7" t="s">
        <v>29</v>
      </c>
    </row>
    <row r="129" spans="1:6" x14ac:dyDescent="0.2">
      <c r="A129" s="7">
        <v>128</v>
      </c>
      <c r="B129" s="7">
        <v>6.1</v>
      </c>
      <c r="C129" s="7">
        <v>3</v>
      </c>
      <c r="D129" s="7">
        <v>4.9000000000000004</v>
      </c>
      <c r="E129" s="7">
        <v>1.8</v>
      </c>
      <c r="F129" s="7" t="s">
        <v>29</v>
      </c>
    </row>
    <row r="130" spans="1:6" x14ac:dyDescent="0.2">
      <c r="A130" s="7">
        <v>129</v>
      </c>
      <c r="B130" s="7">
        <v>6.4</v>
      </c>
      <c r="C130" s="7">
        <v>2.8</v>
      </c>
      <c r="D130" s="7">
        <v>5.6</v>
      </c>
      <c r="E130" s="7">
        <v>2.1</v>
      </c>
      <c r="F130" s="7" t="s">
        <v>29</v>
      </c>
    </row>
    <row r="131" spans="1:6" x14ac:dyDescent="0.2">
      <c r="A131" s="7">
        <v>130</v>
      </c>
      <c r="B131" s="7">
        <v>7.2</v>
      </c>
      <c r="C131" s="7">
        <v>3</v>
      </c>
      <c r="D131" s="7">
        <v>5.8</v>
      </c>
      <c r="E131" s="7">
        <v>1.6</v>
      </c>
      <c r="F131" s="7" t="s">
        <v>29</v>
      </c>
    </row>
    <row r="132" spans="1:6" x14ac:dyDescent="0.2">
      <c r="A132" s="7">
        <v>131</v>
      </c>
      <c r="B132" s="7">
        <v>7.4</v>
      </c>
      <c r="C132" s="7">
        <v>2.8</v>
      </c>
      <c r="D132" s="7">
        <v>6.1</v>
      </c>
      <c r="E132" s="7">
        <v>1.9</v>
      </c>
      <c r="F132" s="7" t="s">
        <v>29</v>
      </c>
    </row>
    <row r="133" spans="1:6" x14ac:dyDescent="0.2">
      <c r="A133" s="7">
        <v>132</v>
      </c>
      <c r="B133" s="7">
        <v>7.9</v>
      </c>
      <c r="C133" s="7">
        <v>3.8</v>
      </c>
      <c r="D133" s="7">
        <v>6.4</v>
      </c>
      <c r="E133" s="7">
        <v>2</v>
      </c>
      <c r="F133" s="7" t="s">
        <v>29</v>
      </c>
    </row>
    <row r="134" spans="1:6" x14ac:dyDescent="0.2">
      <c r="A134" s="7">
        <v>133</v>
      </c>
      <c r="B134" s="7">
        <v>6.4</v>
      </c>
      <c r="C134" s="7">
        <v>2.8</v>
      </c>
      <c r="D134" s="7">
        <v>5.6</v>
      </c>
      <c r="E134" s="7">
        <v>2.2000000000000002</v>
      </c>
      <c r="F134" s="7" t="s">
        <v>29</v>
      </c>
    </row>
    <row r="135" spans="1:6" x14ac:dyDescent="0.2">
      <c r="A135" s="7">
        <v>134</v>
      </c>
      <c r="B135" s="7">
        <v>6.3</v>
      </c>
      <c r="C135" s="7">
        <v>2.8</v>
      </c>
      <c r="D135" s="7">
        <v>5.0999999999999996</v>
      </c>
      <c r="E135" s="7">
        <v>1.5</v>
      </c>
      <c r="F135" s="7" t="s">
        <v>29</v>
      </c>
    </row>
    <row r="136" spans="1:6" x14ac:dyDescent="0.2">
      <c r="A136" s="7">
        <v>135</v>
      </c>
      <c r="B136" s="7">
        <v>6.1</v>
      </c>
      <c r="C136" s="7">
        <v>2.6</v>
      </c>
      <c r="D136" s="7">
        <v>5.6</v>
      </c>
      <c r="E136" s="7">
        <v>1.4</v>
      </c>
      <c r="F136" s="7" t="s">
        <v>29</v>
      </c>
    </row>
    <row r="137" spans="1:6" x14ac:dyDescent="0.2">
      <c r="A137" s="7">
        <v>136</v>
      </c>
      <c r="B137" s="7">
        <v>7.7</v>
      </c>
      <c r="C137" s="7">
        <v>3</v>
      </c>
      <c r="D137" s="7">
        <v>6.1</v>
      </c>
      <c r="E137" s="7">
        <v>2.2999999999999998</v>
      </c>
      <c r="F137" s="7" t="s">
        <v>29</v>
      </c>
    </row>
    <row r="138" spans="1:6" x14ac:dyDescent="0.2">
      <c r="A138" s="7">
        <v>137</v>
      </c>
      <c r="B138" s="7">
        <v>6.3</v>
      </c>
      <c r="C138" s="7">
        <v>3.4</v>
      </c>
      <c r="D138" s="7">
        <v>5.6</v>
      </c>
      <c r="E138" s="7">
        <v>2.4</v>
      </c>
      <c r="F138" s="7" t="s">
        <v>29</v>
      </c>
    </row>
    <row r="139" spans="1:6" x14ac:dyDescent="0.2">
      <c r="A139" s="7">
        <v>138</v>
      </c>
      <c r="B139" s="7">
        <v>6.4</v>
      </c>
      <c r="C139" s="7">
        <v>3.1</v>
      </c>
      <c r="D139" s="7">
        <v>5.5</v>
      </c>
      <c r="E139" s="7">
        <v>1.8</v>
      </c>
      <c r="F139" s="7" t="s">
        <v>29</v>
      </c>
    </row>
    <row r="140" spans="1:6" x14ac:dyDescent="0.2">
      <c r="A140" s="7">
        <v>139</v>
      </c>
      <c r="B140" s="7">
        <v>6</v>
      </c>
      <c r="C140" s="7">
        <v>3</v>
      </c>
      <c r="D140" s="7">
        <v>4.8</v>
      </c>
      <c r="E140" s="7">
        <v>1.8</v>
      </c>
      <c r="F140" s="7" t="s">
        <v>29</v>
      </c>
    </row>
    <row r="141" spans="1:6" x14ac:dyDescent="0.2">
      <c r="A141" s="7">
        <v>140</v>
      </c>
      <c r="B141" s="7">
        <v>6.9</v>
      </c>
      <c r="C141" s="7">
        <v>3.1</v>
      </c>
      <c r="D141" s="7">
        <v>5.4</v>
      </c>
      <c r="E141" s="7">
        <v>2.1</v>
      </c>
      <c r="F141" s="7" t="s">
        <v>29</v>
      </c>
    </row>
    <row r="142" spans="1:6" x14ac:dyDescent="0.2">
      <c r="A142" s="7">
        <v>141</v>
      </c>
      <c r="B142" s="7">
        <v>6.7</v>
      </c>
      <c r="C142" s="7">
        <v>3.1</v>
      </c>
      <c r="D142" s="7">
        <v>5.6</v>
      </c>
      <c r="E142" s="7">
        <v>2.4</v>
      </c>
      <c r="F142" s="7" t="s">
        <v>29</v>
      </c>
    </row>
    <row r="143" spans="1:6" x14ac:dyDescent="0.2">
      <c r="A143" s="7">
        <v>142</v>
      </c>
      <c r="B143" s="7">
        <v>6.9</v>
      </c>
      <c r="C143" s="7">
        <v>3.1</v>
      </c>
      <c r="D143" s="7">
        <v>5.0999999999999996</v>
      </c>
      <c r="E143" s="7">
        <v>2.2999999999999998</v>
      </c>
      <c r="F143" s="7" t="s">
        <v>29</v>
      </c>
    </row>
    <row r="144" spans="1:6" x14ac:dyDescent="0.2">
      <c r="A144" s="7">
        <v>143</v>
      </c>
      <c r="B144" s="7">
        <v>5.8</v>
      </c>
      <c r="C144" s="7">
        <v>2.7</v>
      </c>
      <c r="D144" s="7">
        <v>5.0999999999999996</v>
      </c>
      <c r="E144" s="7">
        <v>1.9</v>
      </c>
      <c r="F144" s="7" t="s">
        <v>29</v>
      </c>
    </row>
    <row r="145" spans="1:6" x14ac:dyDescent="0.2">
      <c r="A145" s="7">
        <v>144</v>
      </c>
      <c r="B145" s="7">
        <v>6.8</v>
      </c>
      <c r="C145" s="7">
        <v>3.2</v>
      </c>
      <c r="D145" s="7">
        <v>5.9</v>
      </c>
      <c r="E145" s="7">
        <v>2.2999999999999998</v>
      </c>
      <c r="F145" s="7" t="s">
        <v>29</v>
      </c>
    </row>
    <row r="146" spans="1:6" x14ac:dyDescent="0.2">
      <c r="A146" s="7">
        <v>145</v>
      </c>
      <c r="B146" s="7">
        <v>6.7</v>
      </c>
      <c r="C146" s="7">
        <v>3.3</v>
      </c>
      <c r="D146" s="7">
        <v>5.7</v>
      </c>
      <c r="E146" s="7">
        <v>2.5</v>
      </c>
      <c r="F146" s="7" t="s">
        <v>29</v>
      </c>
    </row>
    <row r="147" spans="1:6" x14ac:dyDescent="0.2">
      <c r="A147" s="7">
        <v>146</v>
      </c>
      <c r="B147" s="7">
        <v>6.7</v>
      </c>
      <c r="C147" s="7">
        <v>3</v>
      </c>
      <c r="D147" s="7">
        <v>5.2</v>
      </c>
      <c r="E147" s="7">
        <v>2.2999999999999998</v>
      </c>
      <c r="F147" s="7" t="s">
        <v>29</v>
      </c>
    </row>
    <row r="148" spans="1:6" x14ac:dyDescent="0.2">
      <c r="A148" s="7">
        <v>147</v>
      </c>
      <c r="B148" s="7">
        <v>6.3</v>
      </c>
      <c r="C148" s="7">
        <v>2.5</v>
      </c>
      <c r="D148" s="7">
        <v>5</v>
      </c>
      <c r="E148" s="7">
        <v>1.9</v>
      </c>
      <c r="F148" s="7" t="s">
        <v>29</v>
      </c>
    </row>
    <row r="149" spans="1:6" x14ac:dyDescent="0.2">
      <c r="A149" s="7">
        <v>148</v>
      </c>
      <c r="B149" s="7">
        <v>6.5</v>
      </c>
      <c r="C149" s="7">
        <v>3</v>
      </c>
      <c r="D149" s="7">
        <v>5.2</v>
      </c>
      <c r="E149" s="7">
        <v>2</v>
      </c>
      <c r="F149" s="7" t="s">
        <v>29</v>
      </c>
    </row>
    <row r="150" spans="1:6" x14ac:dyDescent="0.2">
      <c r="A150" s="7">
        <v>149</v>
      </c>
      <c r="B150" s="7">
        <v>6.2</v>
      </c>
      <c r="C150" s="7">
        <v>3.4</v>
      </c>
      <c r="D150" s="7">
        <v>5.4</v>
      </c>
      <c r="E150" s="7">
        <v>2.2999999999999998</v>
      </c>
      <c r="F150" s="7" t="s">
        <v>29</v>
      </c>
    </row>
    <row r="151" spans="1:6" x14ac:dyDescent="0.2">
      <c r="A151" s="7">
        <v>150</v>
      </c>
      <c r="B151" s="7">
        <v>5.9</v>
      </c>
      <c r="C151" s="7">
        <v>3</v>
      </c>
      <c r="D151" s="7">
        <v>5.0999999999999996</v>
      </c>
      <c r="E151" s="7">
        <v>1.8</v>
      </c>
      <c r="F151" s="7" t="s">
        <v>29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7E26-920F-3D44-8EA8-24806CA938A8}">
  <sheetPr codeName="Sheet19">
    <tabColor rgb="FFC00000"/>
  </sheetPr>
  <dimension ref="B3:L61"/>
  <sheetViews>
    <sheetView workbookViewId="0">
      <selection activeCell="D9" sqref="D9:D12"/>
    </sheetView>
  </sheetViews>
  <sheetFormatPr baseColWidth="10" defaultRowHeight="26" x14ac:dyDescent="0.3"/>
  <cols>
    <col min="1" max="6" width="10.83203125" style="9"/>
    <col min="7" max="7" width="15" style="9" bestFit="1" customWidth="1"/>
    <col min="8" max="8" width="10.83203125" style="9"/>
    <col min="9" max="10" width="23.5" style="9" bestFit="1" customWidth="1"/>
    <col min="11" max="11" width="11.83203125" style="9" bestFit="1" customWidth="1"/>
    <col min="12" max="12" width="15.33203125" style="9" bestFit="1" customWidth="1"/>
    <col min="13" max="16384" width="10.83203125" style="9"/>
  </cols>
  <sheetData>
    <row r="3" spans="2:12" s="8" customFormat="1" x14ac:dyDescent="0.3">
      <c r="H3" s="8" t="s">
        <v>30</v>
      </c>
      <c r="K3" s="8" t="s">
        <v>21</v>
      </c>
    </row>
    <row r="4" spans="2:12" x14ac:dyDescent="0.3">
      <c r="G4" s="9" t="s">
        <v>31</v>
      </c>
      <c r="H4" s="9">
        <v>0</v>
      </c>
      <c r="K4" s="9">
        <f t="array" ref="K4">SUM(LN(K12:K61+0.00000000001))</f>
        <v>-1266.4218011467253</v>
      </c>
    </row>
    <row r="5" spans="2:12" x14ac:dyDescent="0.3">
      <c r="G5" s="9" t="s">
        <v>17</v>
      </c>
      <c r="H5" s="9">
        <v>0</v>
      </c>
    </row>
    <row r="6" spans="2:12" x14ac:dyDescent="0.3">
      <c r="G6" s="9" t="s">
        <v>18</v>
      </c>
      <c r="H6" s="9">
        <v>0</v>
      </c>
    </row>
    <row r="7" spans="2:12" x14ac:dyDescent="0.3">
      <c r="G7" s="9" t="s">
        <v>32</v>
      </c>
      <c r="H7" s="9">
        <v>0</v>
      </c>
    </row>
    <row r="8" spans="2:12" x14ac:dyDescent="0.3">
      <c r="G8" s="9" t="s">
        <v>33</v>
      </c>
      <c r="H8" s="9">
        <v>1.5482559354478314</v>
      </c>
    </row>
    <row r="11" spans="2:12" s="8" customFormat="1" x14ac:dyDescent="0.3">
      <c r="B11" s="8" t="s">
        <v>19</v>
      </c>
      <c r="C11" s="8" t="s">
        <v>20</v>
      </c>
      <c r="D11" s="8" t="s">
        <v>1</v>
      </c>
      <c r="E11" s="8" t="s">
        <v>3</v>
      </c>
      <c r="F11" s="8" t="s">
        <v>34</v>
      </c>
      <c r="G11" s="8" t="s">
        <v>35</v>
      </c>
      <c r="H11" s="8" t="s">
        <v>2</v>
      </c>
      <c r="I11" s="8" t="s">
        <v>36</v>
      </c>
      <c r="J11" s="8" t="s">
        <v>37</v>
      </c>
      <c r="K11" s="8" t="s">
        <v>38</v>
      </c>
      <c r="L11" s="8" t="s">
        <v>0</v>
      </c>
    </row>
    <row r="12" spans="2:12" x14ac:dyDescent="0.3">
      <c r="B12" s="9" cm="1">
        <f t="array" aca="1" ref="B12:G36" ca="1">OFFSET(Iris_Data!A1,1,0,25,6)</f>
        <v>1</v>
      </c>
      <c r="C12" s="9">
        <f ca="1"/>
        <v>5.0999999999999996</v>
      </c>
      <c r="D12" s="9">
        <f ca="1"/>
        <v>3.5</v>
      </c>
      <c r="E12" s="9">
        <f ca="1"/>
        <v>1.4</v>
      </c>
      <c r="F12" s="9">
        <f ca="1"/>
        <v>0.2</v>
      </c>
      <c r="G12" s="9" t="str">
        <f ca="1"/>
        <v>setosa</v>
      </c>
      <c r="H12" s="9">
        <f t="shared" ref="H12:H61" ca="1" si="0">(G12="versicolor")+0</f>
        <v>0</v>
      </c>
      <c r="I12" s="10"/>
      <c r="J12" s="10"/>
      <c r="K12" s="10"/>
      <c r="L12" s="10"/>
    </row>
    <row r="13" spans="2:12" x14ac:dyDescent="0.3">
      <c r="B13" s="9">
        <f ca="1"/>
        <v>2</v>
      </c>
      <c r="C13" s="9">
        <f ca="1"/>
        <v>4.9000000000000004</v>
      </c>
      <c r="D13" s="9">
        <f ca="1"/>
        <v>3</v>
      </c>
      <c r="E13" s="9">
        <f ca="1"/>
        <v>1.4</v>
      </c>
      <c r="F13" s="9">
        <f ca="1"/>
        <v>0.2</v>
      </c>
      <c r="G13" s="9" t="str">
        <f ca="1"/>
        <v>setosa</v>
      </c>
      <c r="H13" s="9">
        <f t="shared" ca="1" si="0"/>
        <v>0</v>
      </c>
      <c r="I13" s="10"/>
      <c r="J13" s="10"/>
      <c r="K13" s="10"/>
      <c r="L13" s="10"/>
    </row>
    <row r="14" spans="2:12" x14ac:dyDescent="0.3">
      <c r="B14" s="9">
        <f ca="1"/>
        <v>3</v>
      </c>
      <c r="C14" s="9">
        <f ca="1"/>
        <v>4.7</v>
      </c>
      <c r="D14" s="9">
        <f ca="1"/>
        <v>3.2</v>
      </c>
      <c r="E14" s="9">
        <f ca="1"/>
        <v>1.3</v>
      </c>
      <c r="F14" s="9">
        <f ca="1"/>
        <v>0.2</v>
      </c>
      <c r="G14" s="9" t="str">
        <f ca="1"/>
        <v>setosa</v>
      </c>
      <c r="H14" s="9">
        <f t="shared" ca="1" si="0"/>
        <v>0</v>
      </c>
      <c r="I14" s="10"/>
      <c r="J14" s="10"/>
      <c r="K14" s="10"/>
      <c r="L14" s="10"/>
    </row>
    <row r="15" spans="2:12" x14ac:dyDescent="0.3">
      <c r="B15" s="9">
        <f ca="1"/>
        <v>4</v>
      </c>
      <c r="C15" s="9">
        <f ca="1"/>
        <v>4.5999999999999996</v>
      </c>
      <c r="D15" s="9">
        <f ca="1"/>
        <v>3.1</v>
      </c>
      <c r="E15" s="9">
        <f ca="1"/>
        <v>1.5</v>
      </c>
      <c r="F15" s="9">
        <f ca="1"/>
        <v>0.2</v>
      </c>
      <c r="G15" s="9" t="str">
        <f ca="1"/>
        <v>setosa</v>
      </c>
      <c r="H15" s="9">
        <f t="shared" ca="1" si="0"/>
        <v>0</v>
      </c>
      <c r="I15" s="10"/>
      <c r="J15" s="10"/>
      <c r="K15" s="10"/>
      <c r="L15" s="10"/>
    </row>
    <row r="16" spans="2:12" x14ac:dyDescent="0.3">
      <c r="B16" s="9">
        <f ca="1"/>
        <v>5</v>
      </c>
      <c r="C16" s="9">
        <f ca="1"/>
        <v>5</v>
      </c>
      <c r="D16" s="9">
        <f ca="1"/>
        <v>3.6</v>
      </c>
      <c r="E16" s="9">
        <f ca="1"/>
        <v>1.4</v>
      </c>
      <c r="F16" s="9">
        <f ca="1"/>
        <v>0.2</v>
      </c>
      <c r="G16" s="9" t="str">
        <f ca="1"/>
        <v>setosa</v>
      </c>
      <c r="H16" s="9">
        <f t="shared" ca="1" si="0"/>
        <v>0</v>
      </c>
      <c r="I16" s="10"/>
      <c r="J16" s="10"/>
      <c r="K16" s="10"/>
      <c r="L16" s="10"/>
    </row>
    <row r="17" spans="2:12" x14ac:dyDescent="0.3">
      <c r="B17" s="9">
        <f ca="1"/>
        <v>6</v>
      </c>
      <c r="C17" s="9">
        <f ca="1"/>
        <v>5.4</v>
      </c>
      <c r="D17" s="9">
        <f ca="1"/>
        <v>3.9</v>
      </c>
      <c r="E17" s="9">
        <f ca="1"/>
        <v>1.7</v>
      </c>
      <c r="F17" s="9">
        <f ca="1"/>
        <v>0.4</v>
      </c>
      <c r="G17" s="9" t="str">
        <f ca="1"/>
        <v>setosa</v>
      </c>
      <c r="H17" s="9">
        <f t="shared" ca="1" si="0"/>
        <v>0</v>
      </c>
      <c r="I17" s="10"/>
      <c r="J17" s="10"/>
      <c r="K17" s="10"/>
      <c r="L17" s="10"/>
    </row>
    <row r="18" spans="2:12" x14ac:dyDescent="0.3">
      <c r="B18" s="9">
        <f ca="1"/>
        <v>7</v>
      </c>
      <c r="C18" s="9">
        <f ca="1"/>
        <v>4.5999999999999996</v>
      </c>
      <c r="D18" s="9">
        <f ca="1"/>
        <v>3.4</v>
      </c>
      <c r="E18" s="9">
        <f ca="1"/>
        <v>1.4</v>
      </c>
      <c r="F18" s="9">
        <f ca="1"/>
        <v>0.3</v>
      </c>
      <c r="G18" s="9" t="str">
        <f ca="1"/>
        <v>setosa</v>
      </c>
      <c r="H18" s="9">
        <f t="shared" ca="1" si="0"/>
        <v>0</v>
      </c>
      <c r="I18" s="10"/>
      <c r="J18" s="10"/>
      <c r="K18" s="10"/>
      <c r="L18" s="10"/>
    </row>
    <row r="19" spans="2:12" x14ac:dyDescent="0.3">
      <c r="B19" s="9">
        <f ca="1"/>
        <v>8</v>
      </c>
      <c r="C19" s="9">
        <f ca="1"/>
        <v>5</v>
      </c>
      <c r="D19" s="9">
        <f ca="1"/>
        <v>3.4</v>
      </c>
      <c r="E19" s="9">
        <f ca="1"/>
        <v>1.5</v>
      </c>
      <c r="F19" s="9">
        <f ca="1"/>
        <v>0.2</v>
      </c>
      <c r="G19" s="9" t="str">
        <f ca="1"/>
        <v>setosa</v>
      </c>
      <c r="H19" s="9">
        <f t="shared" ca="1" si="0"/>
        <v>0</v>
      </c>
      <c r="I19" s="10"/>
      <c r="J19" s="10"/>
      <c r="K19" s="10"/>
      <c r="L19" s="10"/>
    </row>
    <row r="20" spans="2:12" x14ac:dyDescent="0.3">
      <c r="B20" s="9">
        <f ca="1"/>
        <v>9</v>
      </c>
      <c r="C20" s="9">
        <f ca="1"/>
        <v>4.4000000000000004</v>
      </c>
      <c r="D20" s="9">
        <f ca="1"/>
        <v>2.9</v>
      </c>
      <c r="E20" s="9">
        <f ca="1"/>
        <v>1.4</v>
      </c>
      <c r="F20" s="9">
        <f ca="1"/>
        <v>0.2</v>
      </c>
      <c r="G20" s="9" t="str">
        <f ca="1"/>
        <v>setosa</v>
      </c>
      <c r="H20" s="9">
        <f t="shared" ca="1" si="0"/>
        <v>0</v>
      </c>
      <c r="I20" s="10"/>
      <c r="J20" s="10"/>
      <c r="K20" s="10"/>
      <c r="L20" s="10"/>
    </row>
    <row r="21" spans="2:12" x14ac:dyDescent="0.3">
      <c r="B21" s="9">
        <f ca="1"/>
        <v>10</v>
      </c>
      <c r="C21" s="9">
        <f ca="1"/>
        <v>4.9000000000000004</v>
      </c>
      <c r="D21" s="9">
        <f ca="1"/>
        <v>3.1</v>
      </c>
      <c r="E21" s="9">
        <f ca="1"/>
        <v>1.5</v>
      </c>
      <c r="F21" s="9">
        <f ca="1"/>
        <v>0.1</v>
      </c>
      <c r="G21" s="9" t="str">
        <f ca="1"/>
        <v>setosa</v>
      </c>
      <c r="H21" s="9">
        <f t="shared" ca="1" si="0"/>
        <v>0</v>
      </c>
      <c r="I21" s="10"/>
      <c r="J21" s="10"/>
      <c r="K21" s="10"/>
      <c r="L21" s="10"/>
    </row>
    <row r="22" spans="2:12" x14ac:dyDescent="0.3">
      <c r="B22" s="9">
        <f ca="1"/>
        <v>11</v>
      </c>
      <c r="C22" s="9">
        <f ca="1"/>
        <v>5.4</v>
      </c>
      <c r="D22" s="9">
        <f ca="1"/>
        <v>3.7</v>
      </c>
      <c r="E22" s="9">
        <f ca="1"/>
        <v>1.5</v>
      </c>
      <c r="F22" s="9">
        <f ca="1"/>
        <v>0.2</v>
      </c>
      <c r="G22" s="9" t="str">
        <f ca="1"/>
        <v>setosa</v>
      </c>
      <c r="H22" s="9">
        <f t="shared" ca="1" si="0"/>
        <v>0</v>
      </c>
      <c r="I22" s="10"/>
      <c r="J22" s="10"/>
      <c r="K22" s="10"/>
      <c r="L22" s="10"/>
    </row>
    <row r="23" spans="2:12" x14ac:dyDescent="0.3">
      <c r="B23" s="9">
        <f ca="1"/>
        <v>12</v>
      </c>
      <c r="C23" s="9">
        <f ca="1"/>
        <v>4.8</v>
      </c>
      <c r="D23" s="9">
        <f ca="1"/>
        <v>3.4</v>
      </c>
      <c r="E23" s="9">
        <f ca="1"/>
        <v>1.6</v>
      </c>
      <c r="F23" s="9">
        <f ca="1"/>
        <v>0.2</v>
      </c>
      <c r="G23" s="9" t="str">
        <f ca="1"/>
        <v>setosa</v>
      </c>
      <c r="H23" s="9">
        <f t="shared" ca="1" si="0"/>
        <v>0</v>
      </c>
      <c r="I23" s="10"/>
      <c r="J23" s="10"/>
      <c r="K23" s="10"/>
      <c r="L23" s="10"/>
    </row>
    <row r="24" spans="2:12" x14ac:dyDescent="0.3">
      <c r="B24" s="9">
        <f ca="1"/>
        <v>13</v>
      </c>
      <c r="C24" s="9">
        <f ca="1"/>
        <v>4.8</v>
      </c>
      <c r="D24" s="9">
        <f ca="1"/>
        <v>3</v>
      </c>
      <c r="E24" s="9">
        <f ca="1"/>
        <v>1.4</v>
      </c>
      <c r="F24" s="9">
        <f ca="1"/>
        <v>0.1</v>
      </c>
      <c r="G24" s="9" t="str">
        <f ca="1"/>
        <v>setosa</v>
      </c>
      <c r="H24" s="9">
        <f t="shared" ca="1" si="0"/>
        <v>0</v>
      </c>
      <c r="I24" s="10"/>
      <c r="J24" s="10"/>
      <c r="K24" s="10"/>
      <c r="L24" s="10"/>
    </row>
    <row r="25" spans="2:12" x14ac:dyDescent="0.3">
      <c r="B25" s="9">
        <f ca="1"/>
        <v>14</v>
      </c>
      <c r="C25" s="9">
        <f ca="1"/>
        <v>4.3</v>
      </c>
      <c r="D25" s="9">
        <f ca="1"/>
        <v>3</v>
      </c>
      <c r="E25" s="9">
        <f ca="1"/>
        <v>1.1000000000000001</v>
      </c>
      <c r="F25" s="9">
        <f ca="1"/>
        <v>0.1</v>
      </c>
      <c r="G25" s="9" t="str">
        <f ca="1"/>
        <v>setosa</v>
      </c>
      <c r="H25" s="9">
        <f t="shared" ca="1" si="0"/>
        <v>0</v>
      </c>
      <c r="I25" s="10"/>
      <c r="J25" s="10"/>
      <c r="K25" s="10"/>
      <c r="L25" s="10"/>
    </row>
    <row r="26" spans="2:12" x14ac:dyDescent="0.3">
      <c r="B26" s="9">
        <f ca="1"/>
        <v>15</v>
      </c>
      <c r="C26" s="9">
        <f ca="1"/>
        <v>5.8</v>
      </c>
      <c r="D26" s="9">
        <f ca="1"/>
        <v>4</v>
      </c>
      <c r="E26" s="9">
        <f ca="1"/>
        <v>1.2</v>
      </c>
      <c r="F26" s="9">
        <f ca="1"/>
        <v>0.2</v>
      </c>
      <c r="G26" s="9" t="str">
        <f ca="1"/>
        <v>setosa</v>
      </c>
      <c r="H26" s="9">
        <f t="shared" ca="1" si="0"/>
        <v>0</v>
      </c>
      <c r="I26" s="10"/>
      <c r="J26" s="10"/>
      <c r="K26" s="10"/>
      <c r="L26" s="10"/>
    </row>
    <row r="27" spans="2:12" x14ac:dyDescent="0.3">
      <c r="B27" s="9">
        <f ca="1"/>
        <v>16</v>
      </c>
      <c r="C27" s="9">
        <f ca="1"/>
        <v>5.7</v>
      </c>
      <c r="D27" s="9">
        <f ca="1"/>
        <v>4.4000000000000004</v>
      </c>
      <c r="E27" s="9">
        <f ca="1"/>
        <v>1.5</v>
      </c>
      <c r="F27" s="9">
        <f ca="1"/>
        <v>0.4</v>
      </c>
      <c r="G27" s="9" t="str">
        <f ca="1"/>
        <v>setosa</v>
      </c>
      <c r="H27" s="9">
        <f t="shared" ca="1" si="0"/>
        <v>0</v>
      </c>
      <c r="I27" s="10"/>
      <c r="J27" s="10"/>
      <c r="K27" s="10"/>
      <c r="L27" s="10"/>
    </row>
    <row r="28" spans="2:12" x14ac:dyDescent="0.3">
      <c r="B28" s="9">
        <f ca="1"/>
        <v>17</v>
      </c>
      <c r="C28" s="9">
        <f ca="1"/>
        <v>5.4</v>
      </c>
      <c r="D28" s="9">
        <f ca="1"/>
        <v>3.9</v>
      </c>
      <c r="E28" s="9">
        <f ca="1"/>
        <v>1.3</v>
      </c>
      <c r="F28" s="9">
        <f ca="1"/>
        <v>0.4</v>
      </c>
      <c r="G28" s="9" t="str">
        <f ca="1"/>
        <v>setosa</v>
      </c>
      <c r="H28" s="9">
        <f t="shared" ca="1" si="0"/>
        <v>0</v>
      </c>
      <c r="I28" s="10"/>
      <c r="J28" s="10"/>
      <c r="K28" s="10"/>
      <c r="L28" s="10"/>
    </row>
    <row r="29" spans="2:12" x14ac:dyDescent="0.3">
      <c r="B29" s="9">
        <f ca="1"/>
        <v>18</v>
      </c>
      <c r="C29" s="9">
        <f ca="1"/>
        <v>5.0999999999999996</v>
      </c>
      <c r="D29" s="9">
        <f ca="1"/>
        <v>3.5</v>
      </c>
      <c r="E29" s="9">
        <f ca="1"/>
        <v>1.4</v>
      </c>
      <c r="F29" s="9">
        <f ca="1"/>
        <v>0.3</v>
      </c>
      <c r="G29" s="9" t="str">
        <f ca="1"/>
        <v>setosa</v>
      </c>
      <c r="H29" s="9">
        <f t="shared" ca="1" si="0"/>
        <v>0</v>
      </c>
      <c r="I29" s="10"/>
      <c r="J29" s="10"/>
      <c r="K29" s="10"/>
      <c r="L29" s="10"/>
    </row>
    <row r="30" spans="2:12" x14ac:dyDescent="0.3">
      <c r="B30" s="9">
        <f ca="1"/>
        <v>19</v>
      </c>
      <c r="C30" s="9">
        <f ca="1"/>
        <v>5.7</v>
      </c>
      <c r="D30" s="9">
        <f ca="1"/>
        <v>3.8</v>
      </c>
      <c r="E30" s="9">
        <f ca="1"/>
        <v>1.7</v>
      </c>
      <c r="F30" s="9">
        <f ca="1"/>
        <v>0.3</v>
      </c>
      <c r="G30" s="9" t="str">
        <f ca="1"/>
        <v>setosa</v>
      </c>
      <c r="H30" s="9">
        <f t="shared" ca="1" si="0"/>
        <v>0</v>
      </c>
      <c r="I30" s="10"/>
      <c r="J30" s="10"/>
      <c r="K30" s="10"/>
      <c r="L30" s="10"/>
    </row>
    <row r="31" spans="2:12" x14ac:dyDescent="0.3">
      <c r="B31" s="9">
        <f ca="1"/>
        <v>20</v>
      </c>
      <c r="C31" s="9">
        <f ca="1"/>
        <v>5.0999999999999996</v>
      </c>
      <c r="D31" s="9">
        <f ca="1"/>
        <v>3.8</v>
      </c>
      <c r="E31" s="9">
        <f ca="1"/>
        <v>1.5</v>
      </c>
      <c r="F31" s="9">
        <f ca="1"/>
        <v>0.3</v>
      </c>
      <c r="G31" s="9" t="str">
        <f ca="1"/>
        <v>setosa</v>
      </c>
      <c r="H31" s="9">
        <f t="shared" ca="1" si="0"/>
        <v>0</v>
      </c>
      <c r="I31" s="10"/>
      <c r="J31" s="10"/>
      <c r="K31" s="10"/>
      <c r="L31" s="10"/>
    </row>
    <row r="32" spans="2:12" x14ac:dyDescent="0.3">
      <c r="B32" s="9">
        <f ca="1"/>
        <v>21</v>
      </c>
      <c r="C32" s="9">
        <f ca="1"/>
        <v>5.4</v>
      </c>
      <c r="D32" s="9">
        <f ca="1"/>
        <v>3.4</v>
      </c>
      <c r="E32" s="9">
        <f ca="1"/>
        <v>1.7</v>
      </c>
      <c r="F32" s="9">
        <f ca="1"/>
        <v>0.2</v>
      </c>
      <c r="G32" s="9" t="str">
        <f ca="1"/>
        <v>setosa</v>
      </c>
      <c r="H32" s="9">
        <f t="shared" ca="1" si="0"/>
        <v>0</v>
      </c>
      <c r="I32" s="10"/>
      <c r="J32" s="10"/>
      <c r="K32" s="10"/>
      <c r="L32" s="10"/>
    </row>
    <row r="33" spans="2:12" x14ac:dyDescent="0.3">
      <c r="B33" s="9">
        <f ca="1"/>
        <v>22</v>
      </c>
      <c r="C33" s="9">
        <f ca="1"/>
        <v>5.0999999999999996</v>
      </c>
      <c r="D33" s="9">
        <f ca="1"/>
        <v>3.7</v>
      </c>
      <c r="E33" s="9">
        <f ca="1"/>
        <v>1.5</v>
      </c>
      <c r="F33" s="9">
        <f ca="1"/>
        <v>0.4</v>
      </c>
      <c r="G33" s="9" t="str">
        <f ca="1"/>
        <v>setosa</v>
      </c>
      <c r="H33" s="9">
        <f t="shared" ca="1" si="0"/>
        <v>0</v>
      </c>
      <c r="I33" s="10"/>
      <c r="J33" s="10"/>
      <c r="K33" s="10"/>
      <c r="L33" s="10"/>
    </row>
    <row r="34" spans="2:12" x14ac:dyDescent="0.3">
      <c r="B34" s="9">
        <f ca="1"/>
        <v>23</v>
      </c>
      <c r="C34" s="9">
        <f ca="1"/>
        <v>4.5999999999999996</v>
      </c>
      <c r="D34" s="9">
        <f ca="1"/>
        <v>3.6</v>
      </c>
      <c r="E34" s="9">
        <f ca="1"/>
        <v>1</v>
      </c>
      <c r="F34" s="9">
        <f ca="1"/>
        <v>0.2</v>
      </c>
      <c r="G34" s="9" t="str">
        <f ca="1"/>
        <v>setosa</v>
      </c>
      <c r="H34" s="9">
        <f t="shared" ca="1" si="0"/>
        <v>0</v>
      </c>
      <c r="I34" s="10"/>
      <c r="J34" s="10"/>
      <c r="K34" s="10"/>
      <c r="L34" s="10"/>
    </row>
    <row r="35" spans="2:12" x14ac:dyDescent="0.3">
      <c r="B35" s="9">
        <f ca="1"/>
        <v>24</v>
      </c>
      <c r="C35" s="9">
        <f ca="1"/>
        <v>5.0999999999999996</v>
      </c>
      <c r="D35" s="9">
        <f ca="1"/>
        <v>3.3</v>
      </c>
      <c r="E35" s="9">
        <f ca="1"/>
        <v>1.7</v>
      </c>
      <c r="F35" s="9">
        <f ca="1"/>
        <v>0.5</v>
      </c>
      <c r="G35" s="9" t="str">
        <f ca="1"/>
        <v>setosa</v>
      </c>
      <c r="H35" s="9">
        <f t="shared" ca="1" si="0"/>
        <v>0</v>
      </c>
      <c r="I35" s="10"/>
      <c r="J35" s="10"/>
      <c r="K35" s="10"/>
      <c r="L35" s="10"/>
    </row>
    <row r="36" spans="2:12" x14ac:dyDescent="0.3">
      <c r="B36" s="9">
        <f ca="1"/>
        <v>25</v>
      </c>
      <c r="C36" s="9">
        <f ca="1"/>
        <v>4.8</v>
      </c>
      <c r="D36" s="9">
        <f ca="1"/>
        <v>3.4</v>
      </c>
      <c r="E36" s="9">
        <f ca="1"/>
        <v>1.9</v>
      </c>
      <c r="F36" s="9">
        <f ca="1"/>
        <v>0.2</v>
      </c>
      <c r="G36" s="9" t="str">
        <f ca="1"/>
        <v>setosa</v>
      </c>
      <c r="H36" s="9">
        <f t="shared" ca="1" si="0"/>
        <v>0</v>
      </c>
      <c r="I36" s="10"/>
      <c r="J36" s="10"/>
      <c r="K36" s="10"/>
      <c r="L36" s="10"/>
    </row>
    <row r="37" spans="2:12" x14ac:dyDescent="0.3">
      <c r="B37" s="9" cm="1">
        <f t="array" aca="1" ref="B37:G61" ca="1">OFFSET(Iris_Data!A76,1,0,25,6)</f>
        <v>76</v>
      </c>
      <c r="C37" s="9">
        <f ca="1"/>
        <v>6.6</v>
      </c>
      <c r="D37" s="9">
        <f ca="1"/>
        <v>3</v>
      </c>
      <c r="E37" s="9">
        <f ca="1"/>
        <v>4.4000000000000004</v>
      </c>
      <c r="F37" s="9">
        <f ca="1"/>
        <v>1.4</v>
      </c>
      <c r="G37" s="9" t="str">
        <f ca="1"/>
        <v>versicolor</v>
      </c>
      <c r="H37" s="9">
        <f t="shared" ca="1" si="0"/>
        <v>1</v>
      </c>
      <c r="I37" s="10"/>
      <c r="J37" s="10"/>
      <c r="K37" s="10"/>
      <c r="L37" s="10"/>
    </row>
    <row r="38" spans="2:12" x14ac:dyDescent="0.3">
      <c r="B38" s="9">
        <f ca="1"/>
        <v>77</v>
      </c>
      <c r="C38" s="9">
        <f ca="1"/>
        <v>6.8</v>
      </c>
      <c r="D38" s="9">
        <f ca="1"/>
        <v>2.8</v>
      </c>
      <c r="E38" s="9">
        <f ca="1"/>
        <v>4.8</v>
      </c>
      <c r="F38" s="9">
        <f ca="1"/>
        <v>1.4</v>
      </c>
      <c r="G38" s="9" t="str">
        <f ca="1"/>
        <v>versicolor</v>
      </c>
      <c r="H38" s="9">
        <f t="shared" ca="1" si="0"/>
        <v>1</v>
      </c>
      <c r="I38" s="10"/>
      <c r="J38" s="10"/>
      <c r="K38" s="10"/>
      <c r="L38" s="10"/>
    </row>
    <row r="39" spans="2:12" x14ac:dyDescent="0.3">
      <c r="B39" s="9">
        <f ca="1"/>
        <v>78</v>
      </c>
      <c r="C39" s="9">
        <f ca="1"/>
        <v>6.7</v>
      </c>
      <c r="D39" s="9">
        <f ca="1"/>
        <v>3</v>
      </c>
      <c r="E39" s="9">
        <f ca="1"/>
        <v>5</v>
      </c>
      <c r="F39" s="9">
        <f ca="1"/>
        <v>1.7</v>
      </c>
      <c r="G39" s="9" t="str">
        <f ca="1"/>
        <v>versicolor</v>
      </c>
      <c r="H39" s="9">
        <f t="shared" ca="1" si="0"/>
        <v>1</v>
      </c>
      <c r="I39" s="10"/>
      <c r="J39" s="10"/>
      <c r="K39" s="10"/>
      <c r="L39" s="10"/>
    </row>
    <row r="40" spans="2:12" x14ac:dyDescent="0.3">
      <c r="B40" s="9">
        <f ca="1"/>
        <v>79</v>
      </c>
      <c r="C40" s="9">
        <f ca="1"/>
        <v>6</v>
      </c>
      <c r="D40" s="9">
        <f ca="1"/>
        <v>2.9</v>
      </c>
      <c r="E40" s="9">
        <f ca="1"/>
        <v>4.5</v>
      </c>
      <c r="F40" s="9">
        <f ca="1"/>
        <v>1.5</v>
      </c>
      <c r="G40" s="9" t="str">
        <f ca="1"/>
        <v>versicolor</v>
      </c>
      <c r="H40" s="9">
        <f t="shared" ca="1" si="0"/>
        <v>1</v>
      </c>
      <c r="I40" s="10"/>
      <c r="J40" s="10"/>
      <c r="K40" s="10"/>
      <c r="L40" s="10"/>
    </row>
    <row r="41" spans="2:12" x14ac:dyDescent="0.3">
      <c r="B41" s="9">
        <f ca="1"/>
        <v>80</v>
      </c>
      <c r="C41" s="9">
        <f ca="1"/>
        <v>5.7</v>
      </c>
      <c r="D41" s="9">
        <f ca="1"/>
        <v>2.6</v>
      </c>
      <c r="E41" s="9">
        <f ca="1"/>
        <v>3.5</v>
      </c>
      <c r="F41" s="9">
        <f ca="1"/>
        <v>1</v>
      </c>
      <c r="G41" s="9" t="str">
        <f ca="1"/>
        <v>versicolor</v>
      </c>
      <c r="H41" s="9">
        <f t="shared" ca="1" si="0"/>
        <v>1</v>
      </c>
      <c r="I41" s="10"/>
      <c r="J41" s="10"/>
      <c r="K41" s="10"/>
      <c r="L41" s="10"/>
    </row>
    <row r="42" spans="2:12" x14ac:dyDescent="0.3">
      <c r="B42" s="9">
        <f ca="1"/>
        <v>81</v>
      </c>
      <c r="C42" s="9">
        <f ca="1"/>
        <v>5.5</v>
      </c>
      <c r="D42" s="9">
        <f ca="1"/>
        <v>2.4</v>
      </c>
      <c r="E42" s="9">
        <f ca="1"/>
        <v>3.8</v>
      </c>
      <c r="F42" s="9">
        <f ca="1"/>
        <v>1.1000000000000001</v>
      </c>
      <c r="G42" s="9" t="str">
        <f ca="1"/>
        <v>versicolor</v>
      </c>
      <c r="H42" s="9">
        <f t="shared" ca="1" si="0"/>
        <v>1</v>
      </c>
      <c r="I42" s="10"/>
      <c r="J42" s="10"/>
      <c r="K42" s="10"/>
      <c r="L42" s="10"/>
    </row>
    <row r="43" spans="2:12" x14ac:dyDescent="0.3">
      <c r="B43" s="9">
        <f ca="1"/>
        <v>82</v>
      </c>
      <c r="C43" s="9">
        <f ca="1"/>
        <v>5.5</v>
      </c>
      <c r="D43" s="9">
        <f ca="1"/>
        <v>2.4</v>
      </c>
      <c r="E43" s="9">
        <f ca="1"/>
        <v>3.7</v>
      </c>
      <c r="F43" s="9">
        <f ca="1"/>
        <v>1</v>
      </c>
      <c r="G43" s="9" t="str">
        <f ca="1"/>
        <v>versicolor</v>
      </c>
      <c r="H43" s="9">
        <f t="shared" ca="1" si="0"/>
        <v>1</v>
      </c>
      <c r="I43" s="10"/>
      <c r="J43" s="10"/>
      <c r="K43" s="10"/>
      <c r="L43" s="10"/>
    </row>
    <row r="44" spans="2:12" x14ac:dyDescent="0.3">
      <c r="B44" s="9">
        <f ca="1"/>
        <v>83</v>
      </c>
      <c r="C44" s="9">
        <f ca="1"/>
        <v>5.8</v>
      </c>
      <c r="D44" s="9">
        <f ca="1"/>
        <v>2.7</v>
      </c>
      <c r="E44" s="9">
        <f ca="1"/>
        <v>3.9</v>
      </c>
      <c r="F44" s="9">
        <f ca="1"/>
        <v>1.2</v>
      </c>
      <c r="G44" s="9" t="str">
        <f ca="1"/>
        <v>versicolor</v>
      </c>
      <c r="H44" s="9">
        <f t="shared" ca="1" si="0"/>
        <v>1</v>
      </c>
      <c r="I44" s="10"/>
      <c r="J44" s="10"/>
      <c r="K44" s="10"/>
      <c r="L44" s="10"/>
    </row>
    <row r="45" spans="2:12" x14ac:dyDescent="0.3">
      <c r="B45" s="9">
        <f ca="1"/>
        <v>84</v>
      </c>
      <c r="C45" s="9">
        <f ca="1"/>
        <v>6</v>
      </c>
      <c r="D45" s="9">
        <f ca="1"/>
        <v>2.7</v>
      </c>
      <c r="E45" s="9">
        <f ca="1"/>
        <v>5.0999999999999996</v>
      </c>
      <c r="F45" s="9">
        <f ca="1"/>
        <v>1.6</v>
      </c>
      <c r="G45" s="9" t="str">
        <f ca="1"/>
        <v>versicolor</v>
      </c>
      <c r="H45" s="9">
        <f t="shared" ca="1" si="0"/>
        <v>1</v>
      </c>
      <c r="I45" s="10"/>
      <c r="J45" s="10"/>
      <c r="K45" s="10"/>
      <c r="L45" s="10"/>
    </row>
    <row r="46" spans="2:12" x14ac:dyDescent="0.3">
      <c r="B46" s="9">
        <f ca="1"/>
        <v>85</v>
      </c>
      <c r="C46" s="9">
        <f ca="1"/>
        <v>5.4</v>
      </c>
      <c r="D46" s="9">
        <f ca="1"/>
        <v>3</v>
      </c>
      <c r="E46" s="9">
        <f ca="1"/>
        <v>4.5</v>
      </c>
      <c r="F46" s="9">
        <f ca="1"/>
        <v>1.5</v>
      </c>
      <c r="G46" s="9" t="str">
        <f ca="1"/>
        <v>versicolor</v>
      </c>
      <c r="H46" s="9">
        <f t="shared" ca="1" si="0"/>
        <v>1</v>
      </c>
      <c r="I46" s="10"/>
      <c r="J46" s="10"/>
      <c r="K46" s="10"/>
      <c r="L46" s="10"/>
    </row>
    <row r="47" spans="2:12" x14ac:dyDescent="0.3">
      <c r="B47" s="9">
        <f ca="1"/>
        <v>86</v>
      </c>
      <c r="C47" s="9">
        <f ca="1"/>
        <v>6</v>
      </c>
      <c r="D47" s="9">
        <f ca="1"/>
        <v>3.4</v>
      </c>
      <c r="E47" s="9">
        <f ca="1"/>
        <v>4.5</v>
      </c>
      <c r="F47" s="9">
        <f ca="1"/>
        <v>1.6</v>
      </c>
      <c r="G47" s="9" t="str">
        <f ca="1"/>
        <v>versicolor</v>
      </c>
      <c r="H47" s="9">
        <f t="shared" ca="1" si="0"/>
        <v>1</v>
      </c>
      <c r="I47" s="10"/>
      <c r="J47" s="10"/>
      <c r="K47" s="10"/>
      <c r="L47" s="10"/>
    </row>
    <row r="48" spans="2:12" x14ac:dyDescent="0.3">
      <c r="B48" s="9">
        <f ca="1"/>
        <v>87</v>
      </c>
      <c r="C48" s="9">
        <f ca="1"/>
        <v>6.7</v>
      </c>
      <c r="D48" s="9">
        <f ca="1"/>
        <v>3.1</v>
      </c>
      <c r="E48" s="9">
        <f ca="1"/>
        <v>4.7</v>
      </c>
      <c r="F48" s="9">
        <f ca="1"/>
        <v>1.5</v>
      </c>
      <c r="G48" s="9" t="str">
        <f ca="1"/>
        <v>versicolor</v>
      </c>
      <c r="H48" s="9">
        <f t="shared" ca="1" si="0"/>
        <v>1</v>
      </c>
      <c r="I48" s="10"/>
      <c r="J48" s="10"/>
      <c r="K48" s="10"/>
      <c r="L48" s="10"/>
    </row>
    <row r="49" spans="2:12" x14ac:dyDescent="0.3">
      <c r="B49" s="9">
        <f ca="1"/>
        <v>88</v>
      </c>
      <c r="C49" s="9">
        <f ca="1"/>
        <v>6.3</v>
      </c>
      <c r="D49" s="9">
        <f ca="1"/>
        <v>2.2999999999999998</v>
      </c>
      <c r="E49" s="9">
        <f ca="1"/>
        <v>4.4000000000000004</v>
      </c>
      <c r="F49" s="9">
        <f ca="1"/>
        <v>1.3</v>
      </c>
      <c r="G49" s="9" t="str">
        <f ca="1"/>
        <v>versicolor</v>
      </c>
      <c r="H49" s="9">
        <f t="shared" ca="1" si="0"/>
        <v>1</v>
      </c>
      <c r="I49" s="10"/>
      <c r="J49" s="10"/>
      <c r="K49" s="10"/>
      <c r="L49" s="10"/>
    </row>
    <row r="50" spans="2:12" x14ac:dyDescent="0.3">
      <c r="B50" s="9">
        <f ca="1"/>
        <v>89</v>
      </c>
      <c r="C50" s="9">
        <f ca="1"/>
        <v>5.6</v>
      </c>
      <c r="D50" s="9">
        <f ca="1"/>
        <v>3</v>
      </c>
      <c r="E50" s="9">
        <f ca="1"/>
        <v>4.0999999999999996</v>
      </c>
      <c r="F50" s="9">
        <f ca="1"/>
        <v>1.3</v>
      </c>
      <c r="G50" s="9" t="str">
        <f ca="1"/>
        <v>versicolor</v>
      </c>
      <c r="H50" s="9">
        <f t="shared" ca="1" si="0"/>
        <v>1</v>
      </c>
      <c r="I50" s="10"/>
      <c r="J50" s="10"/>
      <c r="K50" s="10"/>
      <c r="L50" s="10"/>
    </row>
    <row r="51" spans="2:12" x14ac:dyDescent="0.3">
      <c r="B51" s="9">
        <f ca="1"/>
        <v>90</v>
      </c>
      <c r="C51" s="9">
        <f ca="1"/>
        <v>5.5</v>
      </c>
      <c r="D51" s="9">
        <f ca="1"/>
        <v>2.5</v>
      </c>
      <c r="E51" s="9">
        <f ca="1"/>
        <v>4</v>
      </c>
      <c r="F51" s="9">
        <f ca="1"/>
        <v>1.3</v>
      </c>
      <c r="G51" s="9" t="str">
        <f ca="1"/>
        <v>versicolor</v>
      </c>
      <c r="H51" s="9">
        <f t="shared" ca="1" si="0"/>
        <v>1</v>
      </c>
      <c r="I51" s="10"/>
      <c r="J51" s="10"/>
      <c r="K51" s="10"/>
      <c r="L51" s="10"/>
    </row>
    <row r="52" spans="2:12" x14ac:dyDescent="0.3">
      <c r="B52" s="9">
        <f ca="1"/>
        <v>91</v>
      </c>
      <c r="C52" s="9">
        <f ca="1"/>
        <v>5.5</v>
      </c>
      <c r="D52" s="9">
        <f ca="1"/>
        <v>2.6</v>
      </c>
      <c r="E52" s="9">
        <f ca="1"/>
        <v>4.4000000000000004</v>
      </c>
      <c r="F52" s="9">
        <f ca="1"/>
        <v>1.2</v>
      </c>
      <c r="G52" s="9" t="str">
        <f ca="1"/>
        <v>versicolor</v>
      </c>
      <c r="H52" s="9">
        <f t="shared" ca="1" si="0"/>
        <v>1</v>
      </c>
      <c r="I52" s="10"/>
      <c r="J52" s="10"/>
      <c r="K52" s="10"/>
      <c r="L52" s="10"/>
    </row>
    <row r="53" spans="2:12" x14ac:dyDescent="0.3">
      <c r="B53" s="9">
        <f ca="1"/>
        <v>92</v>
      </c>
      <c r="C53" s="9">
        <f ca="1"/>
        <v>6.1</v>
      </c>
      <c r="D53" s="9">
        <f ca="1"/>
        <v>3</v>
      </c>
      <c r="E53" s="9">
        <f ca="1"/>
        <v>4.5999999999999996</v>
      </c>
      <c r="F53" s="9">
        <f ca="1"/>
        <v>1.4</v>
      </c>
      <c r="G53" s="9" t="str">
        <f ca="1"/>
        <v>versicolor</v>
      </c>
      <c r="H53" s="9">
        <f t="shared" ca="1" si="0"/>
        <v>1</v>
      </c>
      <c r="I53" s="10"/>
      <c r="J53" s="10"/>
      <c r="K53" s="10"/>
      <c r="L53" s="10"/>
    </row>
    <row r="54" spans="2:12" x14ac:dyDescent="0.3">
      <c r="B54" s="9">
        <f ca="1"/>
        <v>93</v>
      </c>
      <c r="C54" s="9">
        <f ca="1"/>
        <v>5.8</v>
      </c>
      <c r="D54" s="9">
        <f ca="1"/>
        <v>2.6</v>
      </c>
      <c r="E54" s="9">
        <f ca="1"/>
        <v>4</v>
      </c>
      <c r="F54" s="9">
        <f ca="1"/>
        <v>1.2</v>
      </c>
      <c r="G54" s="9" t="str">
        <f ca="1"/>
        <v>versicolor</v>
      </c>
      <c r="H54" s="9">
        <f t="shared" ca="1" si="0"/>
        <v>1</v>
      </c>
      <c r="I54" s="10"/>
      <c r="J54" s="10"/>
      <c r="K54" s="10"/>
      <c r="L54" s="10"/>
    </row>
    <row r="55" spans="2:12" x14ac:dyDescent="0.3">
      <c r="B55" s="9">
        <f ca="1"/>
        <v>94</v>
      </c>
      <c r="C55" s="9">
        <f ca="1"/>
        <v>5</v>
      </c>
      <c r="D55" s="9">
        <f ca="1"/>
        <v>2.2999999999999998</v>
      </c>
      <c r="E55" s="9">
        <f ca="1"/>
        <v>3.3</v>
      </c>
      <c r="F55" s="9">
        <f ca="1"/>
        <v>1</v>
      </c>
      <c r="G55" s="9" t="str">
        <f ca="1"/>
        <v>versicolor</v>
      </c>
      <c r="H55" s="9">
        <f t="shared" ca="1" si="0"/>
        <v>1</v>
      </c>
      <c r="I55" s="10"/>
      <c r="J55" s="10"/>
      <c r="K55" s="10"/>
      <c r="L55" s="10"/>
    </row>
    <row r="56" spans="2:12" x14ac:dyDescent="0.3">
      <c r="B56" s="9">
        <f ca="1"/>
        <v>95</v>
      </c>
      <c r="C56" s="9">
        <f ca="1"/>
        <v>5.6</v>
      </c>
      <c r="D56" s="9">
        <f ca="1"/>
        <v>2.7</v>
      </c>
      <c r="E56" s="9">
        <f ca="1"/>
        <v>4.2</v>
      </c>
      <c r="F56" s="9">
        <f ca="1"/>
        <v>1.3</v>
      </c>
      <c r="G56" s="9" t="str">
        <f ca="1"/>
        <v>versicolor</v>
      </c>
      <c r="H56" s="9">
        <f t="shared" ca="1" si="0"/>
        <v>1</v>
      </c>
      <c r="I56" s="10"/>
      <c r="J56" s="10"/>
      <c r="K56" s="10"/>
      <c r="L56" s="10"/>
    </row>
    <row r="57" spans="2:12" x14ac:dyDescent="0.3">
      <c r="B57" s="9">
        <f ca="1"/>
        <v>96</v>
      </c>
      <c r="C57" s="9">
        <f ca="1"/>
        <v>5.7</v>
      </c>
      <c r="D57" s="9">
        <f ca="1"/>
        <v>3</v>
      </c>
      <c r="E57" s="9">
        <f ca="1"/>
        <v>4.2</v>
      </c>
      <c r="F57" s="9">
        <f ca="1"/>
        <v>1.2</v>
      </c>
      <c r="G57" s="9" t="str">
        <f ca="1"/>
        <v>versicolor</v>
      </c>
      <c r="H57" s="9">
        <f t="shared" ca="1" si="0"/>
        <v>1</v>
      </c>
      <c r="I57" s="10"/>
      <c r="J57" s="10"/>
      <c r="K57" s="10"/>
      <c r="L57" s="10"/>
    </row>
    <row r="58" spans="2:12" x14ac:dyDescent="0.3">
      <c r="B58" s="9">
        <f ca="1"/>
        <v>97</v>
      </c>
      <c r="C58" s="9">
        <f ca="1"/>
        <v>5.7</v>
      </c>
      <c r="D58" s="9">
        <f ca="1"/>
        <v>2.9</v>
      </c>
      <c r="E58" s="9">
        <f ca="1"/>
        <v>4.2</v>
      </c>
      <c r="F58" s="9">
        <f ca="1"/>
        <v>1.3</v>
      </c>
      <c r="G58" s="9" t="str">
        <f ca="1"/>
        <v>versicolor</v>
      </c>
      <c r="H58" s="9">
        <f t="shared" ca="1" si="0"/>
        <v>1</v>
      </c>
      <c r="I58" s="10"/>
      <c r="J58" s="10"/>
      <c r="K58" s="10"/>
      <c r="L58" s="10"/>
    </row>
    <row r="59" spans="2:12" x14ac:dyDescent="0.3">
      <c r="B59" s="9">
        <f ca="1"/>
        <v>98</v>
      </c>
      <c r="C59" s="9">
        <f ca="1"/>
        <v>6.2</v>
      </c>
      <c r="D59" s="9">
        <f ca="1"/>
        <v>2.9</v>
      </c>
      <c r="E59" s="9">
        <f ca="1"/>
        <v>4.3</v>
      </c>
      <c r="F59" s="9">
        <f ca="1"/>
        <v>1.3</v>
      </c>
      <c r="G59" s="9" t="str">
        <f ca="1"/>
        <v>versicolor</v>
      </c>
      <c r="H59" s="9">
        <f t="shared" ca="1" si="0"/>
        <v>1</v>
      </c>
      <c r="I59" s="10"/>
      <c r="J59" s="10"/>
      <c r="K59" s="10"/>
      <c r="L59" s="10"/>
    </row>
    <row r="60" spans="2:12" x14ac:dyDescent="0.3">
      <c r="B60" s="9">
        <f ca="1"/>
        <v>99</v>
      </c>
      <c r="C60" s="9">
        <f ca="1"/>
        <v>5.0999999999999996</v>
      </c>
      <c r="D60" s="9">
        <f ca="1"/>
        <v>2.5</v>
      </c>
      <c r="E60" s="9">
        <f ca="1"/>
        <v>3</v>
      </c>
      <c r="F60" s="9">
        <f ca="1"/>
        <v>1.1000000000000001</v>
      </c>
      <c r="G60" s="9" t="str">
        <f ca="1"/>
        <v>versicolor</v>
      </c>
      <c r="H60" s="9">
        <f t="shared" ca="1" si="0"/>
        <v>1</v>
      </c>
      <c r="I60" s="10"/>
      <c r="J60" s="10"/>
      <c r="K60" s="10"/>
      <c r="L60" s="10"/>
    </row>
    <row r="61" spans="2:12" x14ac:dyDescent="0.3">
      <c r="B61" s="9">
        <f ca="1"/>
        <v>100</v>
      </c>
      <c r="C61" s="9">
        <f ca="1"/>
        <v>5.7</v>
      </c>
      <c r="D61" s="9">
        <f ca="1"/>
        <v>2.8</v>
      </c>
      <c r="E61" s="9">
        <f ca="1"/>
        <v>4.0999999999999996</v>
      </c>
      <c r="F61" s="9">
        <f ca="1"/>
        <v>1.3</v>
      </c>
      <c r="G61" s="9" t="str">
        <f ca="1"/>
        <v>versicolor</v>
      </c>
      <c r="H61" s="9">
        <f t="shared" ca="1" si="0"/>
        <v>1</v>
      </c>
      <c r="I61" s="10"/>
      <c r="J61" s="10"/>
      <c r="K61" s="10"/>
      <c r="L61" s="1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019E-3C53-E646-84AB-A4EDFC3077CC}">
  <sheetPr codeName="Sheet20">
    <tabColor rgb="FFC00000"/>
  </sheetPr>
  <dimension ref="B3:L61"/>
  <sheetViews>
    <sheetView workbookViewId="0">
      <selection activeCell="D9" sqref="D9:D12"/>
    </sheetView>
  </sheetViews>
  <sheetFormatPr baseColWidth="10" defaultRowHeight="26" x14ac:dyDescent="0.3"/>
  <cols>
    <col min="1" max="6" width="10.83203125" style="9"/>
    <col min="7" max="7" width="15" style="9" bestFit="1" customWidth="1"/>
    <col min="8" max="8" width="10.83203125" style="9"/>
    <col min="9" max="10" width="23.5" style="9" bestFit="1" customWidth="1"/>
    <col min="11" max="11" width="11.83203125" style="9" bestFit="1" customWidth="1"/>
    <col min="12" max="12" width="15.33203125" style="9" bestFit="1" customWidth="1"/>
    <col min="13" max="16384" width="10.83203125" style="9"/>
  </cols>
  <sheetData>
    <row r="3" spans="2:12" s="8" customFormat="1" x14ac:dyDescent="0.3">
      <c r="H3" s="8" t="s">
        <v>30</v>
      </c>
      <c r="K3" s="9"/>
    </row>
    <row r="4" spans="2:12" x14ac:dyDescent="0.3">
      <c r="G4" s="9" t="s">
        <v>31</v>
      </c>
      <c r="H4" s="9" cm="1">
        <f t="array" ref="H4:H8">Iris_Fit!H4:H8</f>
        <v>0</v>
      </c>
    </row>
    <row r="5" spans="2:12" x14ac:dyDescent="0.3">
      <c r="G5" s="9" t="s">
        <v>17</v>
      </c>
      <c r="H5" s="9">
        <v>0</v>
      </c>
    </row>
    <row r="6" spans="2:12" x14ac:dyDescent="0.3">
      <c r="G6" s="9" t="s">
        <v>18</v>
      </c>
      <c r="H6" s="9">
        <v>0</v>
      </c>
    </row>
    <row r="7" spans="2:12" x14ac:dyDescent="0.3">
      <c r="G7" s="9" t="s">
        <v>32</v>
      </c>
      <c r="H7" s="9">
        <v>0</v>
      </c>
    </row>
    <row r="8" spans="2:12" x14ac:dyDescent="0.3">
      <c r="G8" s="9" t="s">
        <v>33</v>
      </c>
      <c r="H8" s="9">
        <v>1.5482559354478314</v>
      </c>
    </row>
    <row r="11" spans="2:12" s="8" customFormat="1" x14ac:dyDescent="0.3">
      <c r="B11" s="8" t="s">
        <v>19</v>
      </c>
      <c r="C11" s="8" t="s">
        <v>20</v>
      </c>
      <c r="D11" s="8" t="s">
        <v>1</v>
      </c>
      <c r="E11" s="8" t="s">
        <v>3</v>
      </c>
      <c r="F11" s="8" t="s">
        <v>34</v>
      </c>
      <c r="G11" s="8" t="s">
        <v>35</v>
      </c>
      <c r="H11" s="8" t="s">
        <v>2</v>
      </c>
      <c r="I11" s="8" t="s">
        <v>36</v>
      </c>
      <c r="J11" s="8" t="s">
        <v>37</v>
      </c>
      <c r="K11" s="8" t="s">
        <v>38</v>
      </c>
      <c r="L11" s="8" t="s">
        <v>0</v>
      </c>
    </row>
    <row r="12" spans="2:12" x14ac:dyDescent="0.3">
      <c r="B12" s="9" cm="1">
        <f t="array" aca="1" ref="B12:G61" ca="1">OFFSET(Iris_Data!A26,1,0,50,6)</f>
        <v>26</v>
      </c>
      <c r="C12" s="9">
        <f ca="1"/>
        <v>5</v>
      </c>
      <c r="D12" s="9">
        <f ca="1"/>
        <v>3</v>
      </c>
      <c r="E12" s="9">
        <f ca="1"/>
        <v>1.6</v>
      </c>
      <c r="F12" s="9">
        <f ca="1"/>
        <v>0.2</v>
      </c>
      <c r="G12" s="9" t="str">
        <f ca="1"/>
        <v>setosa</v>
      </c>
      <c r="H12" s="9">
        <f t="shared" ref="H12:H61" ca="1" si="0">(G12="versicolor")+0</f>
        <v>0</v>
      </c>
      <c r="I12" s="9">
        <f t="array" aca="1" ref="I12:I61" ca="1">H4+MMULT(C12:F61,H5:H8)</f>
        <v>0.30965118708956629</v>
      </c>
      <c r="J12" s="9">
        <f t="shared" ref="J12:J61" ca="1" si="1">1/(1+EXP(-I12))</f>
        <v>0.57680011757476135</v>
      </c>
      <c r="K12" s="9">
        <f t="shared" ref="K12:K61" ca="1" si="2">IF(H12,J12,1-J12)</f>
        <v>0.42319988242523865</v>
      </c>
      <c r="L12" s="9">
        <f t="shared" ref="L12:L61" ca="1" si="3">ROUND(K12,0)</f>
        <v>0</v>
      </c>
    </row>
    <row r="13" spans="2:12" x14ac:dyDescent="0.3">
      <c r="B13" s="9">
        <f ca="1"/>
        <v>27</v>
      </c>
      <c r="C13" s="9">
        <f ca="1"/>
        <v>5</v>
      </c>
      <c r="D13" s="9">
        <f ca="1"/>
        <v>3.4</v>
      </c>
      <c r="E13" s="9">
        <f ca="1"/>
        <v>1.6</v>
      </c>
      <c r="F13" s="9">
        <f ca="1"/>
        <v>0.4</v>
      </c>
      <c r="G13" s="9" t="str">
        <f ca="1"/>
        <v>setosa</v>
      </c>
      <c r="H13" s="9">
        <f t="shared" ca="1" si="0"/>
        <v>0</v>
      </c>
      <c r="I13" s="9">
        <f ca="1"/>
        <v>0.61930237417913259</v>
      </c>
      <c r="J13" s="9">
        <f t="shared" ca="1" si="1"/>
        <v>0.65005986784971603</v>
      </c>
      <c r="K13" s="9">
        <f t="shared" ca="1" si="2"/>
        <v>0.34994013215028397</v>
      </c>
      <c r="L13" s="9">
        <f t="shared" ca="1" si="3"/>
        <v>0</v>
      </c>
    </row>
    <row r="14" spans="2:12" x14ac:dyDescent="0.3">
      <c r="B14" s="9">
        <f ca="1"/>
        <v>28</v>
      </c>
      <c r="C14" s="9">
        <f ca="1"/>
        <v>5.2</v>
      </c>
      <c r="D14" s="9">
        <f ca="1"/>
        <v>3.5</v>
      </c>
      <c r="E14" s="9">
        <f ca="1"/>
        <v>1.5</v>
      </c>
      <c r="F14" s="9">
        <f ca="1"/>
        <v>0.2</v>
      </c>
      <c r="G14" s="9" t="str">
        <f ca="1"/>
        <v>setosa</v>
      </c>
      <c r="H14" s="9">
        <f t="shared" ca="1" si="0"/>
        <v>0</v>
      </c>
      <c r="I14" s="9">
        <f ca="1"/>
        <v>0.30965118708956629</v>
      </c>
      <c r="J14" s="9">
        <f t="shared" ca="1" si="1"/>
        <v>0.57680011757476135</v>
      </c>
      <c r="K14" s="9">
        <f t="shared" ca="1" si="2"/>
        <v>0.42319988242523865</v>
      </c>
      <c r="L14" s="9">
        <f t="shared" ca="1" si="3"/>
        <v>0</v>
      </c>
    </row>
    <row r="15" spans="2:12" x14ac:dyDescent="0.3">
      <c r="B15" s="9">
        <f ca="1"/>
        <v>29</v>
      </c>
      <c r="C15" s="9">
        <f ca="1"/>
        <v>5.2</v>
      </c>
      <c r="D15" s="9">
        <f ca="1"/>
        <v>3.4</v>
      </c>
      <c r="E15" s="9">
        <f ca="1"/>
        <v>1.4</v>
      </c>
      <c r="F15" s="9">
        <f ca="1"/>
        <v>0.2</v>
      </c>
      <c r="G15" s="9" t="str">
        <f ca="1"/>
        <v>setosa</v>
      </c>
      <c r="H15" s="9">
        <f t="shared" ca="1" si="0"/>
        <v>0</v>
      </c>
      <c r="I15" s="9">
        <f ca="1"/>
        <v>0.30965118708956629</v>
      </c>
      <c r="J15" s="9">
        <f t="shared" ca="1" si="1"/>
        <v>0.57680011757476135</v>
      </c>
      <c r="K15" s="9">
        <f t="shared" ca="1" si="2"/>
        <v>0.42319988242523865</v>
      </c>
      <c r="L15" s="9">
        <f t="shared" ca="1" si="3"/>
        <v>0</v>
      </c>
    </row>
    <row r="16" spans="2:12" x14ac:dyDescent="0.3">
      <c r="B16" s="9">
        <f ca="1"/>
        <v>30</v>
      </c>
      <c r="C16" s="9">
        <f ca="1"/>
        <v>4.7</v>
      </c>
      <c r="D16" s="9">
        <f ca="1"/>
        <v>3.2</v>
      </c>
      <c r="E16" s="9">
        <f ca="1"/>
        <v>1.6</v>
      </c>
      <c r="F16" s="9">
        <f ca="1"/>
        <v>0.2</v>
      </c>
      <c r="G16" s="9" t="str">
        <f ca="1"/>
        <v>setosa</v>
      </c>
      <c r="H16" s="9">
        <f t="shared" ca="1" si="0"/>
        <v>0</v>
      </c>
      <c r="I16" s="9">
        <f ca="1"/>
        <v>0.30965118708956629</v>
      </c>
      <c r="J16" s="9">
        <f t="shared" ca="1" si="1"/>
        <v>0.57680011757476135</v>
      </c>
      <c r="K16" s="9">
        <f t="shared" ca="1" si="2"/>
        <v>0.42319988242523865</v>
      </c>
      <c r="L16" s="9">
        <f t="shared" ca="1" si="3"/>
        <v>0</v>
      </c>
    </row>
    <row r="17" spans="2:12" x14ac:dyDescent="0.3">
      <c r="B17" s="9">
        <f ca="1"/>
        <v>31</v>
      </c>
      <c r="C17" s="9">
        <f ca="1"/>
        <v>4.8</v>
      </c>
      <c r="D17" s="9">
        <f ca="1"/>
        <v>3.1</v>
      </c>
      <c r="E17" s="9">
        <f ca="1"/>
        <v>1.6</v>
      </c>
      <c r="F17" s="9">
        <f ca="1"/>
        <v>0.2</v>
      </c>
      <c r="G17" s="9" t="str">
        <f ca="1"/>
        <v>setosa</v>
      </c>
      <c r="H17" s="9">
        <f t="shared" ca="1" si="0"/>
        <v>0</v>
      </c>
      <c r="I17" s="9">
        <f ca="1"/>
        <v>0.30965118708956629</v>
      </c>
      <c r="J17" s="9">
        <f t="shared" ca="1" si="1"/>
        <v>0.57680011757476135</v>
      </c>
      <c r="K17" s="9">
        <f t="shared" ca="1" si="2"/>
        <v>0.42319988242523865</v>
      </c>
      <c r="L17" s="9">
        <f t="shared" ca="1" si="3"/>
        <v>0</v>
      </c>
    </row>
    <row r="18" spans="2:12" x14ac:dyDescent="0.3">
      <c r="B18" s="9">
        <f ca="1"/>
        <v>32</v>
      </c>
      <c r="C18" s="9">
        <f ca="1"/>
        <v>5.4</v>
      </c>
      <c r="D18" s="9">
        <f ca="1"/>
        <v>3.4</v>
      </c>
      <c r="E18" s="9">
        <f ca="1"/>
        <v>1.5</v>
      </c>
      <c r="F18" s="9">
        <f ca="1"/>
        <v>0.4</v>
      </c>
      <c r="G18" s="9" t="str">
        <f ca="1"/>
        <v>setosa</v>
      </c>
      <c r="H18" s="9">
        <f t="shared" ca="1" si="0"/>
        <v>0</v>
      </c>
      <c r="I18" s="9">
        <f ca="1"/>
        <v>0.61930237417913259</v>
      </c>
      <c r="J18" s="9">
        <f t="shared" ca="1" si="1"/>
        <v>0.65005986784971603</v>
      </c>
      <c r="K18" s="9">
        <f t="shared" ca="1" si="2"/>
        <v>0.34994013215028397</v>
      </c>
      <c r="L18" s="9">
        <f t="shared" ca="1" si="3"/>
        <v>0</v>
      </c>
    </row>
    <row r="19" spans="2:12" x14ac:dyDescent="0.3">
      <c r="B19" s="9">
        <f ca="1"/>
        <v>33</v>
      </c>
      <c r="C19" s="9">
        <f ca="1"/>
        <v>5.2</v>
      </c>
      <c r="D19" s="9">
        <f ca="1"/>
        <v>4.0999999999999996</v>
      </c>
      <c r="E19" s="9">
        <f ca="1"/>
        <v>1.5</v>
      </c>
      <c r="F19" s="9">
        <f ca="1"/>
        <v>0.1</v>
      </c>
      <c r="G19" s="9" t="str">
        <f ca="1"/>
        <v>setosa</v>
      </c>
      <c r="H19" s="9">
        <f t="shared" ca="1" si="0"/>
        <v>0</v>
      </c>
      <c r="I19" s="9">
        <f ca="1"/>
        <v>0.15482559354478315</v>
      </c>
      <c r="J19" s="9">
        <f t="shared" ca="1" si="1"/>
        <v>0.53862926413761969</v>
      </c>
      <c r="K19" s="9">
        <f t="shared" ca="1" si="2"/>
        <v>0.46137073586238031</v>
      </c>
      <c r="L19" s="9">
        <f t="shared" ca="1" si="3"/>
        <v>0</v>
      </c>
    </row>
    <row r="20" spans="2:12" x14ac:dyDescent="0.3">
      <c r="B20" s="9">
        <f ca="1"/>
        <v>34</v>
      </c>
      <c r="C20" s="9">
        <f ca="1"/>
        <v>5.5</v>
      </c>
      <c r="D20" s="9">
        <f ca="1"/>
        <v>4.2</v>
      </c>
      <c r="E20" s="9">
        <f ca="1"/>
        <v>1.4</v>
      </c>
      <c r="F20" s="9">
        <f ca="1"/>
        <v>0.2</v>
      </c>
      <c r="G20" s="9" t="str">
        <f ca="1"/>
        <v>setosa</v>
      </c>
      <c r="H20" s="9">
        <f t="shared" ca="1" si="0"/>
        <v>0</v>
      </c>
      <c r="I20" s="9">
        <f ca="1"/>
        <v>0.30965118708956629</v>
      </c>
      <c r="J20" s="9">
        <f t="shared" ca="1" si="1"/>
        <v>0.57680011757476135</v>
      </c>
      <c r="K20" s="9">
        <f t="shared" ca="1" si="2"/>
        <v>0.42319988242523865</v>
      </c>
      <c r="L20" s="9">
        <f t="shared" ca="1" si="3"/>
        <v>0</v>
      </c>
    </row>
    <row r="21" spans="2:12" x14ac:dyDescent="0.3">
      <c r="B21" s="9">
        <f ca="1"/>
        <v>35</v>
      </c>
      <c r="C21" s="9">
        <f ca="1"/>
        <v>4.9000000000000004</v>
      </c>
      <c r="D21" s="9">
        <f ca="1"/>
        <v>3.1</v>
      </c>
      <c r="E21" s="9">
        <f ca="1"/>
        <v>1.5</v>
      </c>
      <c r="F21" s="9">
        <f ca="1"/>
        <v>0.2</v>
      </c>
      <c r="G21" s="9" t="str">
        <f ca="1"/>
        <v>setosa</v>
      </c>
      <c r="H21" s="9">
        <f t="shared" ca="1" si="0"/>
        <v>0</v>
      </c>
      <c r="I21" s="9">
        <f ca="1"/>
        <v>0.30965118708956629</v>
      </c>
      <c r="J21" s="9">
        <f t="shared" ca="1" si="1"/>
        <v>0.57680011757476135</v>
      </c>
      <c r="K21" s="9">
        <f t="shared" ca="1" si="2"/>
        <v>0.42319988242523865</v>
      </c>
      <c r="L21" s="9">
        <f t="shared" ca="1" si="3"/>
        <v>0</v>
      </c>
    </row>
    <row r="22" spans="2:12" x14ac:dyDescent="0.3">
      <c r="B22" s="9">
        <f ca="1"/>
        <v>36</v>
      </c>
      <c r="C22" s="9">
        <f ca="1"/>
        <v>5</v>
      </c>
      <c r="D22" s="9">
        <f ca="1"/>
        <v>3.2</v>
      </c>
      <c r="E22" s="9">
        <f ca="1"/>
        <v>1.2</v>
      </c>
      <c r="F22" s="9">
        <f ca="1"/>
        <v>0.2</v>
      </c>
      <c r="G22" s="9" t="str">
        <f ca="1"/>
        <v>setosa</v>
      </c>
      <c r="H22" s="9">
        <f t="shared" ca="1" si="0"/>
        <v>0</v>
      </c>
      <c r="I22" s="9">
        <f ca="1"/>
        <v>0.30965118708956629</v>
      </c>
      <c r="J22" s="9">
        <f t="shared" ca="1" si="1"/>
        <v>0.57680011757476135</v>
      </c>
      <c r="K22" s="9">
        <f t="shared" ca="1" si="2"/>
        <v>0.42319988242523865</v>
      </c>
      <c r="L22" s="9">
        <f t="shared" ca="1" si="3"/>
        <v>0</v>
      </c>
    </row>
    <row r="23" spans="2:12" x14ac:dyDescent="0.3">
      <c r="B23" s="9">
        <f ca="1"/>
        <v>37</v>
      </c>
      <c r="C23" s="9">
        <f ca="1"/>
        <v>5.5</v>
      </c>
      <c r="D23" s="9">
        <f ca="1"/>
        <v>3.5</v>
      </c>
      <c r="E23" s="9">
        <f ca="1"/>
        <v>1.3</v>
      </c>
      <c r="F23" s="9">
        <f ca="1"/>
        <v>0.2</v>
      </c>
      <c r="G23" s="9" t="str">
        <f ca="1"/>
        <v>setosa</v>
      </c>
      <c r="H23" s="9">
        <f t="shared" ca="1" si="0"/>
        <v>0</v>
      </c>
      <c r="I23" s="9">
        <f ca="1"/>
        <v>0.30965118708956629</v>
      </c>
      <c r="J23" s="9">
        <f t="shared" ca="1" si="1"/>
        <v>0.57680011757476135</v>
      </c>
      <c r="K23" s="9">
        <f t="shared" ca="1" si="2"/>
        <v>0.42319988242523865</v>
      </c>
      <c r="L23" s="9">
        <f t="shared" ca="1" si="3"/>
        <v>0</v>
      </c>
    </row>
    <row r="24" spans="2:12" x14ac:dyDescent="0.3">
      <c r="B24" s="9">
        <f ca="1"/>
        <v>38</v>
      </c>
      <c r="C24" s="9">
        <f ca="1"/>
        <v>4.9000000000000004</v>
      </c>
      <c r="D24" s="9">
        <f ca="1"/>
        <v>3.6</v>
      </c>
      <c r="E24" s="9">
        <f ca="1"/>
        <v>1.4</v>
      </c>
      <c r="F24" s="9">
        <f ca="1"/>
        <v>0.1</v>
      </c>
      <c r="G24" s="9" t="str">
        <f ca="1"/>
        <v>setosa</v>
      </c>
      <c r="H24" s="9">
        <f t="shared" ca="1" si="0"/>
        <v>0</v>
      </c>
      <c r="I24" s="9">
        <f ca="1"/>
        <v>0.15482559354478315</v>
      </c>
      <c r="J24" s="9">
        <f t="shared" ca="1" si="1"/>
        <v>0.53862926413761969</v>
      </c>
      <c r="K24" s="9">
        <f t="shared" ca="1" si="2"/>
        <v>0.46137073586238031</v>
      </c>
      <c r="L24" s="9">
        <f t="shared" ca="1" si="3"/>
        <v>0</v>
      </c>
    </row>
    <row r="25" spans="2:12" x14ac:dyDescent="0.3">
      <c r="B25" s="9">
        <f ca="1"/>
        <v>39</v>
      </c>
      <c r="C25" s="9">
        <f ca="1"/>
        <v>4.4000000000000004</v>
      </c>
      <c r="D25" s="9">
        <f ca="1"/>
        <v>3</v>
      </c>
      <c r="E25" s="9">
        <f ca="1"/>
        <v>1.3</v>
      </c>
      <c r="F25" s="9">
        <f ca="1"/>
        <v>0.2</v>
      </c>
      <c r="G25" s="9" t="str">
        <f ca="1"/>
        <v>setosa</v>
      </c>
      <c r="H25" s="9">
        <f t="shared" ca="1" si="0"/>
        <v>0</v>
      </c>
      <c r="I25" s="9">
        <f ca="1"/>
        <v>0.30965118708956629</v>
      </c>
      <c r="J25" s="9">
        <f t="shared" ca="1" si="1"/>
        <v>0.57680011757476135</v>
      </c>
      <c r="K25" s="9">
        <f t="shared" ca="1" si="2"/>
        <v>0.42319988242523865</v>
      </c>
      <c r="L25" s="9">
        <f t="shared" ca="1" si="3"/>
        <v>0</v>
      </c>
    </row>
    <row r="26" spans="2:12" x14ac:dyDescent="0.3">
      <c r="B26" s="9">
        <f ca="1"/>
        <v>40</v>
      </c>
      <c r="C26" s="9">
        <f ca="1"/>
        <v>5.0999999999999996</v>
      </c>
      <c r="D26" s="9">
        <f ca="1"/>
        <v>3.4</v>
      </c>
      <c r="E26" s="9">
        <f ca="1"/>
        <v>1.5</v>
      </c>
      <c r="F26" s="9">
        <f ca="1"/>
        <v>0.2</v>
      </c>
      <c r="G26" s="9" t="str">
        <f ca="1"/>
        <v>setosa</v>
      </c>
      <c r="H26" s="9">
        <f t="shared" ca="1" si="0"/>
        <v>0</v>
      </c>
      <c r="I26" s="9">
        <f ca="1"/>
        <v>0.30965118708956629</v>
      </c>
      <c r="J26" s="9">
        <f t="shared" ca="1" si="1"/>
        <v>0.57680011757476135</v>
      </c>
      <c r="K26" s="9">
        <f t="shared" ca="1" si="2"/>
        <v>0.42319988242523865</v>
      </c>
      <c r="L26" s="9">
        <f t="shared" ca="1" si="3"/>
        <v>0</v>
      </c>
    </row>
    <row r="27" spans="2:12" x14ac:dyDescent="0.3">
      <c r="B27" s="9">
        <f ca="1"/>
        <v>41</v>
      </c>
      <c r="C27" s="9">
        <f ca="1"/>
        <v>5</v>
      </c>
      <c r="D27" s="9">
        <f ca="1"/>
        <v>3.5</v>
      </c>
      <c r="E27" s="9">
        <f ca="1"/>
        <v>1.3</v>
      </c>
      <c r="F27" s="9">
        <f ca="1"/>
        <v>0.3</v>
      </c>
      <c r="G27" s="9" t="str">
        <f ca="1"/>
        <v>setosa</v>
      </c>
      <c r="H27" s="9">
        <f t="shared" ca="1" si="0"/>
        <v>0</v>
      </c>
      <c r="I27" s="9">
        <f ca="1"/>
        <v>0.46447678063434938</v>
      </c>
      <c r="J27" s="9">
        <f t="shared" ca="1" si="1"/>
        <v>0.61407565412572618</v>
      </c>
      <c r="K27" s="9">
        <f t="shared" ca="1" si="2"/>
        <v>0.38592434587427382</v>
      </c>
      <c r="L27" s="9">
        <f t="shared" ca="1" si="3"/>
        <v>0</v>
      </c>
    </row>
    <row r="28" spans="2:12" x14ac:dyDescent="0.3">
      <c r="B28" s="9">
        <f ca="1"/>
        <v>42</v>
      </c>
      <c r="C28" s="9">
        <f ca="1"/>
        <v>4.5</v>
      </c>
      <c r="D28" s="9">
        <f ca="1"/>
        <v>2.2999999999999998</v>
      </c>
      <c r="E28" s="9">
        <f ca="1"/>
        <v>1.3</v>
      </c>
      <c r="F28" s="9">
        <f ca="1"/>
        <v>0.3</v>
      </c>
      <c r="G28" s="9" t="str">
        <f ca="1"/>
        <v>setosa</v>
      </c>
      <c r="H28" s="9">
        <f t="shared" ca="1" si="0"/>
        <v>0</v>
      </c>
      <c r="I28" s="9">
        <f ca="1"/>
        <v>0.46447678063434938</v>
      </c>
      <c r="J28" s="9">
        <f t="shared" ca="1" si="1"/>
        <v>0.61407565412572618</v>
      </c>
      <c r="K28" s="9">
        <f t="shared" ca="1" si="2"/>
        <v>0.38592434587427382</v>
      </c>
      <c r="L28" s="9">
        <f t="shared" ca="1" si="3"/>
        <v>0</v>
      </c>
    </row>
    <row r="29" spans="2:12" x14ac:dyDescent="0.3">
      <c r="B29" s="9">
        <f ca="1"/>
        <v>43</v>
      </c>
      <c r="C29" s="9">
        <f ca="1"/>
        <v>4.4000000000000004</v>
      </c>
      <c r="D29" s="9">
        <f ca="1"/>
        <v>3.2</v>
      </c>
      <c r="E29" s="9">
        <f ca="1"/>
        <v>1.3</v>
      </c>
      <c r="F29" s="9">
        <f ca="1"/>
        <v>0.2</v>
      </c>
      <c r="G29" s="9" t="str">
        <f ca="1"/>
        <v>setosa</v>
      </c>
      <c r="H29" s="9">
        <f t="shared" ca="1" si="0"/>
        <v>0</v>
      </c>
      <c r="I29" s="9">
        <f ca="1"/>
        <v>0.30965118708956629</v>
      </c>
      <c r="J29" s="9">
        <f t="shared" ca="1" si="1"/>
        <v>0.57680011757476135</v>
      </c>
      <c r="K29" s="9">
        <f t="shared" ca="1" si="2"/>
        <v>0.42319988242523865</v>
      </c>
      <c r="L29" s="9">
        <f t="shared" ca="1" si="3"/>
        <v>0</v>
      </c>
    </row>
    <row r="30" spans="2:12" x14ac:dyDescent="0.3">
      <c r="B30" s="9">
        <f ca="1"/>
        <v>44</v>
      </c>
      <c r="C30" s="9">
        <f ca="1"/>
        <v>5</v>
      </c>
      <c r="D30" s="9">
        <f ca="1"/>
        <v>3.5</v>
      </c>
      <c r="E30" s="9">
        <f ca="1"/>
        <v>1.6</v>
      </c>
      <c r="F30" s="9">
        <f ca="1"/>
        <v>0.6</v>
      </c>
      <c r="G30" s="9" t="str">
        <f ca="1"/>
        <v>setosa</v>
      </c>
      <c r="H30" s="9">
        <f t="shared" ca="1" si="0"/>
        <v>0</v>
      </c>
      <c r="I30" s="9">
        <f ca="1"/>
        <v>0.92895356126869877</v>
      </c>
      <c r="J30" s="9">
        <f t="shared" ca="1" si="1"/>
        <v>0.71686293754400465</v>
      </c>
      <c r="K30" s="9">
        <f t="shared" ca="1" si="2"/>
        <v>0.28313706245599535</v>
      </c>
      <c r="L30" s="9">
        <f t="shared" ca="1" si="3"/>
        <v>0</v>
      </c>
    </row>
    <row r="31" spans="2:12" x14ac:dyDescent="0.3">
      <c r="B31" s="9">
        <f ca="1"/>
        <v>45</v>
      </c>
      <c r="C31" s="9">
        <f ca="1"/>
        <v>5.0999999999999996</v>
      </c>
      <c r="D31" s="9">
        <f ca="1"/>
        <v>3.8</v>
      </c>
      <c r="E31" s="9">
        <f ca="1"/>
        <v>1.9</v>
      </c>
      <c r="F31" s="9">
        <f ca="1"/>
        <v>0.4</v>
      </c>
      <c r="G31" s="9" t="str">
        <f ca="1"/>
        <v>setosa</v>
      </c>
      <c r="H31" s="9">
        <f t="shared" ca="1" si="0"/>
        <v>0</v>
      </c>
      <c r="I31" s="9">
        <f ca="1"/>
        <v>0.61930237417913259</v>
      </c>
      <c r="J31" s="9">
        <f t="shared" ca="1" si="1"/>
        <v>0.65005986784971603</v>
      </c>
      <c r="K31" s="9">
        <f t="shared" ca="1" si="2"/>
        <v>0.34994013215028397</v>
      </c>
      <c r="L31" s="9">
        <f t="shared" ca="1" si="3"/>
        <v>0</v>
      </c>
    </row>
    <row r="32" spans="2:12" x14ac:dyDescent="0.3">
      <c r="B32" s="9">
        <f ca="1"/>
        <v>46</v>
      </c>
      <c r="C32" s="9">
        <f ca="1"/>
        <v>4.8</v>
      </c>
      <c r="D32" s="9">
        <f ca="1"/>
        <v>3</v>
      </c>
      <c r="E32" s="9">
        <f ca="1"/>
        <v>1.4</v>
      </c>
      <c r="F32" s="9">
        <f ca="1"/>
        <v>0.3</v>
      </c>
      <c r="G32" s="9" t="str">
        <f ca="1"/>
        <v>setosa</v>
      </c>
      <c r="H32" s="9">
        <f t="shared" ca="1" si="0"/>
        <v>0</v>
      </c>
      <c r="I32" s="9">
        <f ca="1"/>
        <v>0.46447678063434938</v>
      </c>
      <c r="J32" s="9">
        <f t="shared" ca="1" si="1"/>
        <v>0.61407565412572618</v>
      </c>
      <c r="K32" s="9">
        <f t="shared" ca="1" si="2"/>
        <v>0.38592434587427382</v>
      </c>
      <c r="L32" s="9">
        <f t="shared" ca="1" si="3"/>
        <v>0</v>
      </c>
    </row>
    <row r="33" spans="2:12" x14ac:dyDescent="0.3">
      <c r="B33" s="9">
        <f ca="1"/>
        <v>47</v>
      </c>
      <c r="C33" s="9">
        <f ca="1"/>
        <v>5.0999999999999996</v>
      </c>
      <c r="D33" s="9">
        <f ca="1"/>
        <v>3.8</v>
      </c>
      <c r="E33" s="9">
        <f ca="1"/>
        <v>1.6</v>
      </c>
      <c r="F33" s="9">
        <f ca="1"/>
        <v>0.2</v>
      </c>
      <c r="G33" s="9" t="str">
        <f ca="1"/>
        <v>setosa</v>
      </c>
      <c r="H33" s="9">
        <f t="shared" ca="1" si="0"/>
        <v>0</v>
      </c>
      <c r="I33" s="9">
        <f ca="1"/>
        <v>0.30965118708956629</v>
      </c>
      <c r="J33" s="9">
        <f t="shared" ca="1" si="1"/>
        <v>0.57680011757476135</v>
      </c>
      <c r="K33" s="9">
        <f t="shared" ca="1" si="2"/>
        <v>0.42319988242523865</v>
      </c>
      <c r="L33" s="9">
        <f t="shared" ca="1" si="3"/>
        <v>0</v>
      </c>
    </row>
    <row r="34" spans="2:12" x14ac:dyDescent="0.3">
      <c r="B34" s="9">
        <f ca="1"/>
        <v>48</v>
      </c>
      <c r="C34" s="9">
        <f ca="1"/>
        <v>4.5999999999999996</v>
      </c>
      <c r="D34" s="9">
        <f ca="1"/>
        <v>3.2</v>
      </c>
      <c r="E34" s="9">
        <f ca="1"/>
        <v>1.4</v>
      </c>
      <c r="F34" s="9">
        <f ca="1"/>
        <v>0.2</v>
      </c>
      <c r="G34" s="9" t="str">
        <f ca="1"/>
        <v>setosa</v>
      </c>
      <c r="H34" s="9">
        <f t="shared" ca="1" si="0"/>
        <v>0</v>
      </c>
      <c r="I34" s="9">
        <f ca="1"/>
        <v>0.30965118708956629</v>
      </c>
      <c r="J34" s="9">
        <f t="shared" ca="1" si="1"/>
        <v>0.57680011757476135</v>
      </c>
      <c r="K34" s="9">
        <f t="shared" ca="1" si="2"/>
        <v>0.42319988242523865</v>
      </c>
      <c r="L34" s="9">
        <f t="shared" ca="1" si="3"/>
        <v>0</v>
      </c>
    </row>
    <row r="35" spans="2:12" x14ac:dyDescent="0.3">
      <c r="B35" s="9">
        <f ca="1"/>
        <v>49</v>
      </c>
      <c r="C35" s="9">
        <f ca="1"/>
        <v>5.3</v>
      </c>
      <c r="D35" s="9">
        <f ca="1"/>
        <v>3.7</v>
      </c>
      <c r="E35" s="9">
        <f ca="1"/>
        <v>1.5</v>
      </c>
      <c r="F35" s="9">
        <f ca="1"/>
        <v>0.2</v>
      </c>
      <c r="G35" s="9" t="str">
        <f ca="1"/>
        <v>setosa</v>
      </c>
      <c r="H35" s="9">
        <f t="shared" ca="1" si="0"/>
        <v>0</v>
      </c>
      <c r="I35" s="9">
        <f ca="1"/>
        <v>0.30965118708956629</v>
      </c>
      <c r="J35" s="9">
        <f t="shared" ca="1" si="1"/>
        <v>0.57680011757476135</v>
      </c>
      <c r="K35" s="9">
        <f t="shared" ca="1" si="2"/>
        <v>0.42319988242523865</v>
      </c>
      <c r="L35" s="9">
        <f t="shared" ca="1" si="3"/>
        <v>0</v>
      </c>
    </row>
    <row r="36" spans="2:12" x14ac:dyDescent="0.3">
      <c r="B36" s="9">
        <f ca="1"/>
        <v>50</v>
      </c>
      <c r="C36" s="9">
        <f ca="1"/>
        <v>5</v>
      </c>
      <c r="D36" s="9">
        <f ca="1"/>
        <v>3.3</v>
      </c>
      <c r="E36" s="9">
        <f ca="1"/>
        <v>1.4</v>
      </c>
      <c r="F36" s="9">
        <f ca="1"/>
        <v>0.2</v>
      </c>
      <c r="G36" s="9" t="str">
        <f ca="1"/>
        <v>setosa</v>
      </c>
      <c r="H36" s="9">
        <f t="shared" ca="1" si="0"/>
        <v>0</v>
      </c>
      <c r="I36" s="9">
        <f ca="1"/>
        <v>0.30965118708956629</v>
      </c>
      <c r="J36" s="9">
        <f t="shared" ca="1" si="1"/>
        <v>0.57680011757476135</v>
      </c>
      <c r="K36" s="9">
        <f t="shared" ca="1" si="2"/>
        <v>0.42319988242523865</v>
      </c>
      <c r="L36" s="9">
        <f t="shared" ca="1" si="3"/>
        <v>0</v>
      </c>
    </row>
    <row r="37" spans="2:12" x14ac:dyDescent="0.3">
      <c r="B37" s="9">
        <f ca="1"/>
        <v>51</v>
      </c>
      <c r="C37" s="9">
        <f ca="1"/>
        <v>7</v>
      </c>
      <c r="D37" s="9">
        <f ca="1"/>
        <v>3.2</v>
      </c>
      <c r="E37" s="9">
        <f ca="1"/>
        <v>4.7</v>
      </c>
      <c r="F37" s="9">
        <f ca="1"/>
        <v>1.4</v>
      </c>
      <c r="G37" s="9" t="str">
        <f ca="1"/>
        <v>versicolor</v>
      </c>
      <c r="H37" s="9">
        <f t="shared" ca="1" si="0"/>
        <v>1</v>
      </c>
      <c r="I37" s="9">
        <f ca="1"/>
        <v>2.1675583096269637</v>
      </c>
      <c r="J37" s="9">
        <f t="shared" ca="1" si="1"/>
        <v>0.89729817280539836</v>
      </c>
      <c r="K37" s="9">
        <f t="shared" ca="1" si="2"/>
        <v>0.89729817280539836</v>
      </c>
      <c r="L37" s="9">
        <f t="shared" ca="1" si="3"/>
        <v>1</v>
      </c>
    </row>
    <row r="38" spans="2:12" x14ac:dyDescent="0.3">
      <c r="B38" s="9">
        <f ca="1"/>
        <v>52</v>
      </c>
      <c r="C38" s="9">
        <f ca="1"/>
        <v>6.4</v>
      </c>
      <c r="D38" s="9">
        <f ca="1"/>
        <v>3.2</v>
      </c>
      <c r="E38" s="9">
        <f ca="1"/>
        <v>4.5</v>
      </c>
      <c r="F38" s="9">
        <f ca="1"/>
        <v>1.5</v>
      </c>
      <c r="G38" s="9" t="str">
        <f ca="1"/>
        <v>versicolor</v>
      </c>
      <c r="H38" s="9">
        <f t="shared" ca="1" si="0"/>
        <v>1</v>
      </c>
      <c r="I38" s="9">
        <f ca="1"/>
        <v>2.322383903171747</v>
      </c>
      <c r="J38" s="9">
        <f t="shared" ca="1" si="1"/>
        <v>0.91071397532948406</v>
      </c>
      <c r="K38" s="9">
        <f t="shared" ca="1" si="2"/>
        <v>0.91071397532948406</v>
      </c>
      <c r="L38" s="9">
        <f t="shared" ca="1" si="3"/>
        <v>1</v>
      </c>
    </row>
    <row r="39" spans="2:12" x14ac:dyDescent="0.3">
      <c r="B39" s="9">
        <f ca="1"/>
        <v>53</v>
      </c>
      <c r="C39" s="9">
        <f ca="1"/>
        <v>6.9</v>
      </c>
      <c r="D39" s="9">
        <f ca="1"/>
        <v>3.1</v>
      </c>
      <c r="E39" s="9">
        <f ca="1"/>
        <v>4.9000000000000004</v>
      </c>
      <c r="F39" s="9">
        <f ca="1"/>
        <v>1.5</v>
      </c>
      <c r="G39" s="9" t="str">
        <f ca="1"/>
        <v>versicolor</v>
      </c>
      <c r="H39" s="9">
        <f t="shared" ca="1" si="0"/>
        <v>1</v>
      </c>
      <c r="I39" s="9">
        <f ca="1"/>
        <v>2.322383903171747</v>
      </c>
      <c r="J39" s="9">
        <f t="shared" ca="1" si="1"/>
        <v>0.91071397532948406</v>
      </c>
      <c r="K39" s="9">
        <f t="shared" ca="1" si="2"/>
        <v>0.91071397532948406</v>
      </c>
      <c r="L39" s="9">
        <f t="shared" ca="1" si="3"/>
        <v>1</v>
      </c>
    </row>
    <row r="40" spans="2:12" x14ac:dyDescent="0.3">
      <c r="B40" s="9">
        <f ca="1"/>
        <v>54</v>
      </c>
      <c r="C40" s="9">
        <f ca="1"/>
        <v>5.5</v>
      </c>
      <c r="D40" s="9">
        <f ca="1"/>
        <v>2.2999999999999998</v>
      </c>
      <c r="E40" s="9">
        <f ca="1"/>
        <v>4</v>
      </c>
      <c r="F40" s="9">
        <f ca="1"/>
        <v>1.3</v>
      </c>
      <c r="G40" s="9" t="str">
        <f ca="1"/>
        <v>versicolor</v>
      </c>
      <c r="H40" s="9">
        <f t="shared" ca="1" si="0"/>
        <v>1</v>
      </c>
      <c r="I40" s="9">
        <f ca="1"/>
        <v>2.0127327160821809</v>
      </c>
      <c r="J40" s="9">
        <f t="shared" ca="1" si="1"/>
        <v>0.88212746303776468</v>
      </c>
      <c r="K40" s="9">
        <f t="shared" ca="1" si="2"/>
        <v>0.88212746303776468</v>
      </c>
      <c r="L40" s="9">
        <f t="shared" ca="1" si="3"/>
        <v>1</v>
      </c>
    </row>
    <row r="41" spans="2:12" x14ac:dyDescent="0.3">
      <c r="B41" s="9">
        <f ca="1"/>
        <v>55</v>
      </c>
      <c r="C41" s="9">
        <f ca="1"/>
        <v>6.5</v>
      </c>
      <c r="D41" s="9">
        <f ca="1"/>
        <v>2.8</v>
      </c>
      <c r="E41" s="9">
        <f ca="1"/>
        <v>4.5999999999999996</v>
      </c>
      <c r="F41" s="9">
        <f ca="1"/>
        <v>1.5</v>
      </c>
      <c r="G41" s="9" t="str">
        <f ca="1"/>
        <v>versicolor</v>
      </c>
      <c r="H41" s="9">
        <f t="shared" ca="1" si="0"/>
        <v>1</v>
      </c>
      <c r="I41" s="9">
        <f ca="1"/>
        <v>2.322383903171747</v>
      </c>
      <c r="J41" s="9">
        <f t="shared" ca="1" si="1"/>
        <v>0.91071397532948406</v>
      </c>
      <c r="K41" s="9">
        <f t="shared" ca="1" si="2"/>
        <v>0.91071397532948406</v>
      </c>
      <c r="L41" s="9">
        <f t="shared" ca="1" si="3"/>
        <v>1</v>
      </c>
    </row>
    <row r="42" spans="2:12" x14ac:dyDescent="0.3">
      <c r="B42" s="9">
        <f ca="1"/>
        <v>56</v>
      </c>
      <c r="C42" s="9">
        <f ca="1"/>
        <v>5.7</v>
      </c>
      <c r="D42" s="9">
        <f ca="1"/>
        <v>2.8</v>
      </c>
      <c r="E42" s="9">
        <f ca="1"/>
        <v>4.5</v>
      </c>
      <c r="F42" s="9">
        <f ca="1"/>
        <v>1.3</v>
      </c>
      <c r="G42" s="9" t="str">
        <f ca="1"/>
        <v>versicolor</v>
      </c>
      <c r="H42" s="9">
        <f t="shared" ca="1" si="0"/>
        <v>1</v>
      </c>
      <c r="I42" s="9">
        <f ca="1"/>
        <v>2.0127327160821809</v>
      </c>
      <c r="J42" s="9">
        <f t="shared" ca="1" si="1"/>
        <v>0.88212746303776468</v>
      </c>
      <c r="K42" s="9">
        <f t="shared" ca="1" si="2"/>
        <v>0.88212746303776468</v>
      </c>
      <c r="L42" s="9">
        <f t="shared" ca="1" si="3"/>
        <v>1</v>
      </c>
    </row>
    <row r="43" spans="2:12" x14ac:dyDescent="0.3">
      <c r="B43" s="9">
        <f ca="1"/>
        <v>57</v>
      </c>
      <c r="C43" s="9">
        <f ca="1"/>
        <v>6.3</v>
      </c>
      <c r="D43" s="9">
        <f ca="1"/>
        <v>3.3</v>
      </c>
      <c r="E43" s="9">
        <f ca="1"/>
        <v>4.7</v>
      </c>
      <c r="F43" s="9">
        <f ca="1"/>
        <v>1.6</v>
      </c>
      <c r="G43" s="9" t="str">
        <f ca="1"/>
        <v>versicolor</v>
      </c>
      <c r="H43" s="9">
        <f t="shared" ca="1" si="0"/>
        <v>1</v>
      </c>
      <c r="I43" s="9">
        <f ca="1"/>
        <v>2.4772094967165303</v>
      </c>
      <c r="J43" s="9">
        <f t="shared" ca="1" si="1"/>
        <v>0.92252859675274168</v>
      </c>
      <c r="K43" s="9">
        <f t="shared" ca="1" si="2"/>
        <v>0.92252859675274168</v>
      </c>
      <c r="L43" s="9">
        <f t="shared" ca="1" si="3"/>
        <v>1</v>
      </c>
    </row>
    <row r="44" spans="2:12" x14ac:dyDescent="0.3">
      <c r="B44" s="9">
        <f ca="1"/>
        <v>58</v>
      </c>
      <c r="C44" s="9">
        <f ca="1"/>
        <v>4.9000000000000004</v>
      </c>
      <c r="D44" s="9">
        <f ca="1"/>
        <v>2.4</v>
      </c>
      <c r="E44" s="9">
        <f ca="1"/>
        <v>3.3</v>
      </c>
      <c r="F44" s="9">
        <f ca="1"/>
        <v>1</v>
      </c>
      <c r="G44" s="9" t="str">
        <f ca="1"/>
        <v>versicolor</v>
      </c>
      <c r="H44" s="9">
        <f t="shared" ca="1" si="0"/>
        <v>1</v>
      </c>
      <c r="I44" s="9">
        <f ca="1"/>
        <v>1.5482559354478314</v>
      </c>
      <c r="J44" s="9">
        <f t="shared" ca="1" si="1"/>
        <v>0.82466169197233596</v>
      </c>
      <c r="K44" s="9">
        <f t="shared" ca="1" si="2"/>
        <v>0.82466169197233596</v>
      </c>
      <c r="L44" s="9">
        <f t="shared" ca="1" si="3"/>
        <v>1</v>
      </c>
    </row>
    <row r="45" spans="2:12" x14ac:dyDescent="0.3">
      <c r="B45" s="9">
        <f ca="1"/>
        <v>59</v>
      </c>
      <c r="C45" s="9">
        <f ca="1"/>
        <v>6.6</v>
      </c>
      <c r="D45" s="9">
        <f ca="1"/>
        <v>2.9</v>
      </c>
      <c r="E45" s="9">
        <f ca="1"/>
        <v>4.5999999999999996</v>
      </c>
      <c r="F45" s="9">
        <f ca="1"/>
        <v>1.3</v>
      </c>
      <c r="G45" s="9" t="str">
        <f ca="1"/>
        <v>versicolor</v>
      </c>
      <c r="H45" s="9">
        <f t="shared" ca="1" si="0"/>
        <v>1</v>
      </c>
      <c r="I45" s="9">
        <f ca="1"/>
        <v>2.0127327160821809</v>
      </c>
      <c r="J45" s="9">
        <f t="shared" ca="1" si="1"/>
        <v>0.88212746303776468</v>
      </c>
      <c r="K45" s="9">
        <f t="shared" ca="1" si="2"/>
        <v>0.88212746303776468</v>
      </c>
      <c r="L45" s="9">
        <f t="shared" ca="1" si="3"/>
        <v>1</v>
      </c>
    </row>
    <row r="46" spans="2:12" x14ac:dyDescent="0.3">
      <c r="B46" s="9">
        <f ca="1"/>
        <v>60</v>
      </c>
      <c r="C46" s="9">
        <f ca="1"/>
        <v>5.2</v>
      </c>
      <c r="D46" s="9">
        <f ca="1"/>
        <v>2.7</v>
      </c>
      <c r="E46" s="9">
        <f ca="1"/>
        <v>3.9</v>
      </c>
      <c r="F46" s="9">
        <f ca="1"/>
        <v>1.4</v>
      </c>
      <c r="G46" s="9" t="str">
        <f ca="1"/>
        <v>versicolor</v>
      </c>
      <c r="H46" s="9">
        <f t="shared" ca="1" si="0"/>
        <v>1</v>
      </c>
      <c r="I46" s="9">
        <f ca="1"/>
        <v>2.1675583096269637</v>
      </c>
      <c r="J46" s="9">
        <f t="shared" ca="1" si="1"/>
        <v>0.89729817280539836</v>
      </c>
      <c r="K46" s="9">
        <f t="shared" ca="1" si="2"/>
        <v>0.89729817280539836</v>
      </c>
      <c r="L46" s="9">
        <f t="shared" ca="1" si="3"/>
        <v>1</v>
      </c>
    </row>
    <row r="47" spans="2:12" x14ac:dyDescent="0.3">
      <c r="B47" s="9">
        <f ca="1"/>
        <v>61</v>
      </c>
      <c r="C47" s="9">
        <f ca="1"/>
        <v>5</v>
      </c>
      <c r="D47" s="9">
        <f ca="1"/>
        <v>2</v>
      </c>
      <c r="E47" s="9">
        <f ca="1"/>
        <v>3.5</v>
      </c>
      <c r="F47" s="9">
        <f ca="1"/>
        <v>1</v>
      </c>
      <c r="G47" s="9" t="str">
        <f ca="1"/>
        <v>versicolor</v>
      </c>
      <c r="H47" s="9">
        <f t="shared" ca="1" si="0"/>
        <v>1</v>
      </c>
      <c r="I47" s="9">
        <f ca="1"/>
        <v>1.5482559354478314</v>
      </c>
      <c r="J47" s="9">
        <f t="shared" ca="1" si="1"/>
        <v>0.82466169197233596</v>
      </c>
      <c r="K47" s="9">
        <f t="shared" ca="1" si="2"/>
        <v>0.82466169197233596</v>
      </c>
      <c r="L47" s="9">
        <f t="shared" ca="1" si="3"/>
        <v>1</v>
      </c>
    </row>
    <row r="48" spans="2:12" x14ac:dyDescent="0.3">
      <c r="B48" s="9">
        <f ca="1"/>
        <v>62</v>
      </c>
      <c r="C48" s="9">
        <f ca="1"/>
        <v>5.9</v>
      </c>
      <c r="D48" s="9">
        <f ca="1"/>
        <v>3</v>
      </c>
      <c r="E48" s="9">
        <f ca="1"/>
        <v>4.2</v>
      </c>
      <c r="F48" s="9">
        <f ca="1"/>
        <v>1.5</v>
      </c>
      <c r="G48" s="9" t="str">
        <f ca="1"/>
        <v>versicolor</v>
      </c>
      <c r="H48" s="9">
        <f t="shared" ca="1" si="0"/>
        <v>1</v>
      </c>
      <c r="I48" s="9">
        <f ca="1"/>
        <v>2.322383903171747</v>
      </c>
      <c r="J48" s="9">
        <f t="shared" ca="1" si="1"/>
        <v>0.91071397532948406</v>
      </c>
      <c r="K48" s="9">
        <f t="shared" ca="1" si="2"/>
        <v>0.91071397532948406</v>
      </c>
      <c r="L48" s="9">
        <f t="shared" ca="1" si="3"/>
        <v>1</v>
      </c>
    </row>
    <row r="49" spans="2:12" x14ac:dyDescent="0.3">
      <c r="B49" s="9">
        <f ca="1"/>
        <v>63</v>
      </c>
      <c r="C49" s="9">
        <f ca="1"/>
        <v>6</v>
      </c>
      <c r="D49" s="9">
        <f ca="1"/>
        <v>2.2000000000000002</v>
      </c>
      <c r="E49" s="9">
        <f ca="1"/>
        <v>4</v>
      </c>
      <c r="F49" s="9">
        <f ca="1"/>
        <v>1</v>
      </c>
      <c r="G49" s="9" t="str">
        <f ca="1"/>
        <v>versicolor</v>
      </c>
      <c r="H49" s="9">
        <f t="shared" ca="1" si="0"/>
        <v>1</v>
      </c>
      <c r="I49" s="9">
        <f ca="1"/>
        <v>1.5482559354478314</v>
      </c>
      <c r="J49" s="9">
        <f t="shared" ca="1" si="1"/>
        <v>0.82466169197233596</v>
      </c>
      <c r="K49" s="9">
        <f t="shared" ca="1" si="2"/>
        <v>0.82466169197233596</v>
      </c>
      <c r="L49" s="9">
        <f t="shared" ca="1" si="3"/>
        <v>1</v>
      </c>
    </row>
    <row r="50" spans="2:12" x14ac:dyDescent="0.3">
      <c r="B50" s="9">
        <f ca="1"/>
        <v>64</v>
      </c>
      <c r="C50" s="9">
        <f ca="1"/>
        <v>6.1</v>
      </c>
      <c r="D50" s="9">
        <f ca="1"/>
        <v>2.9</v>
      </c>
      <c r="E50" s="9">
        <f ca="1"/>
        <v>4.7</v>
      </c>
      <c r="F50" s="9">
        <f ca="1"/>
        <v>1.4</v>
      </c>
      <c r="G50" s="9" t="str">
        <f ca="1"/>
        <v>versicolor</v>
      </c>
      <c r="H50" s="9">
        <f t="shared" ca="1" si="0"/>
        <v>1</v>
      </c>
      <c r="I50" s="9">
        <f ca="1"/>
        <v>2.1675583096269637</v>
      </c>
      <c r="J50" s="9">
        <f t="shared" ca="1" si="1"/>
        <v>0.89729817280539836</v>
      </c>
      <c r="K50" s="9">
        <f t="shared" ca="1" si="2"/>
        <v>0.89729817280539836</v>
      </c>
      <c r="L50" s="9">
        <f t="shared" ca="1" si="3"/>
        <v>1</v>
      </c>
    </row>
    <row r="51" spans="2:12" x14ac:dyDescent="0.3">
      <c r="B51" s="9">
        <f ca="1"/>
        <v>65</v>
      </c>
      <c r="C51" s="9">
        <f ca="1"/>
        <v>5.6</v>
      </c>
      <c r="D51" s="9">
        <f ca="1"/>
        <v>2.9</v>
      </c>
      <c r="E51" s="9">
        <f ca="1"/>
        <v>3.6</v>
      </c>
      <c r="F51" s="9">
        <f ca="1"/>
        <v>1.3</v>
      </c>
      <c r="G51" s="9" t="str">
        <f ca="1"/>
        <v>versicolor</v>
      </c>
      <c r="H51" s="9">
        <f t="shared" ca="1" si="0"/>
        <v>1</v>
      </c>
      <c r="I51" s="9">
        <f ca="1"/>
        <v>2.0127327160821809</v>
      </c>
      <c r="J51" s="9">
        <f t="shared" ca="1" si="1"/>
        <v>0.88212746303776468</v>
      </c>
      <c r="K51" s="9">
        <f t="shared" ca="1" si="2"/>
        <v>0.88212746303776468</v>
      </c>
      <c r="L51" s="9">
        <f t="shared" ca="1" si="3"/>
        <v>1</v>
      </c>
    </row>
    <row r="52" spans="2:12" x14ac:dyDescent="0.3">
      <c r="B52" s="9">
        <f ca="1"/>
        <v>66</v>
      </c>
      <c r="C52" s="9">
        <f ca="1"/>
        <v>6.7</v>
      </c>
      <c r="D52" s="9">
        <f ca="1"/>
        <v>3.1</v>
      </c>
      <c r="E52" s="9">
        <f ca="1"/>
        <v>4.4000000000000004</v>
      </c>
      <c r="F52" s="9">
        <f ca="1"/>
        <v>1.4</v>
      </c>
      <c r="G52" s="9" t="str">
        <f ca="1"/>
        <v>versicolor</v>
      </c>
      <c r="H52" s="9">
        <f t="shared" ca="1" si="0"/>
        <v>1</v>
      </c>
      <c r="I52" s="9">
        <f ca="1"/>
        <v>2.1675583096269637</v>
      </c>
      <c r="J52" s="9">
        <f t="shared" ca="1" si="1"/>
        <v>0.89729817280539836</v>
      </c>
      <c r="K52" s="9">
        <f t="shared" ca="1" si="2"/>
        <v>0.89729817280539836</v>
      </c>
      <c r="L52" s="9">
        <f t="shared" ca="1" si="3"/>
        <v>1</v>
      </c>
    </row>
    <row r="53" spans="2:12" x14ac:dyDescent="0.3">
      <c r="B53" s="9">
        <f ca="1"/>
        <v>67</v>
      </c>
      <c r="C53" s="9">
        <f ca="1"/>
        <v>5.6</v>
      </c>
      <c r="D53" s="9">
        <f ca="1"/>
        <v>3</v>
      </c>
      <c r="E53" s="9">
        <f ca="1"/>
        <v>4.5</v>
      </c>
      <c r="F53" s="9">
        <f ca="1"/>
        <v>1.5</v>
      </c>
      <c r="G53" s="9" t="str">
        <f ca="1"/>
        <v>versicolor</v>
      </c>
      <c r="H53" s="9">
        <f t="shared" ca="1" si="0"/>
        <v>1</v>
      </c>
      <c r="I53" s="9">
        <f ca="1"/>
        <v>2.322383903171747</v>
      </c>
      <c r="J53" s="9">
        <f t="shared" ca="1" si="1"/>
        <v>0.91071397532948406</v>
      </c>
      <c r="K53" s="9">
        <f t="shared" ca="1" si="2"/>
        <v>0.91071397532948406</v>
      </c>
      <c r="L53" s="9">
        <f t="shared" ca="1" si="3"/>
        <v>1</v>
      </c>
    </row>
    <row r="54" spans="2:12" x14ac:dyDescent="0.3">
      <c r="B54" s="9">
        <f ca="1"/>
        <v>68</v>
      </c>
      <c r="C54" s="9">
        <f ca="1"/>
        <v>5.8</v>
      </c>
      <c r="D54" s="9">
        <f ca="1"/>
        <v>2.7</v>
      </c>
      <c r="E54" s="9">
        <f ca="1"/>
        <v>4.0999999999999996</v>
      </c>
      <c r="F54" s="9">
        <f ca="1"/>
        <v>1</v>
      </c>
      <c r="G54" s="9" t="str">
        <f ca="1"/>
        <v>versicolor</v>
      </c>
      <c r="H54" s="9">
        <f t="shared" ca="1" si="0"/>
        <v>1</v>
      </c>
      <c r="I54" s="9">
        <f ca="1"/>
        <v>1.5482559354478314</v>
      </c>
      <c r="J54" s="9">
        <f t="shared" ca="1" si="1"/>
        <v>0.82466169197233596</v>
      </c>
      <c r="K54" s="9">
        <f t="shared" ca="1" si="2"/>
        <v>0.82466169197233596</v>
      </c>
      <c r="L54" s="9">
        <f t="shared" ca="1" si="3"/>
        <v>1</v>
      </c>
    </row>
    <row r="55" spans="2:12" x14ac:dyDescent="0.3">
      <c r="B55" s="9">
        <f ca="1"/>
        <v>69</v>
      </c>
      <c r="C55" s="9">
        <f ca="1"/>
        <v>6.2</v>
      </c>
      <c r="D55" s="9">
        <f ca="1"/>
        <v>2.2000000000000002</v>
      </c>
      <c r="E55" s="9">
        <f ca="1"/>
        <v>4.5</v>
      </c>
      <c r="F55" s="9">
        <f ca="1"/>
        <v>1.5</v>
      </c>
      <c r="G55" s="9" t="str">
        <f ca="1"/>
        <v>versicolor</v>
      </c>
      <c r="H55" s="9">
        <f t="shared" ca="1" si="0"/>
        <v>1</v>
      </c>
      <c r="I55" s="9">
        <f ca="1"/>
        <v>2.322383903171747</v>
      </c>
      <c r="J55" s="9">
        <f t="shared" ca="1" si="1"/>
        <v>0.91071397532948406</v>
      </c>
      <c r="K55" s="9">
        <f t="shared" ca="1" si="2"/>
        <v>0.91071397532948406</v>
      </c>
      <c r="L55" s="9">
        <f t="shared" ca="1" si="3"/>
        <v>1</v>
      </c>
    </row>
    <row r="56" spans="2:12" x14ac:dyDescent="0.3">
      <c r="B56" s="9">
        <f ca="1"/>
        <v>70</v>
      </c>
      <c r="C56" s="9">
        <f ca="1"/>
        <v>5.6</v>
      </c>
      <c r="D56" s="9">
        <f ca="1"/>
        <v>2.5</v>
      </c>
      <c r="E56" s="9">
        <f ca="1"/>
        <v>3.9</v>
      </c>
      <c r="F56" s="9">
        <f ca="1"/>
        <v>1.1000000000000001</v>
      </c>
      <c r="G56" s="9" t="str">
        <f ca="1"/>
        <v>versicolor</v>
      </c>
      <c r="H56" s="9">
        <f t="shared" ca="1" si="0"/>
        <v>1</v>
      </c>
      <c r="I56" s="9">
        <f ca="1"/>
        <v>1.7030815289926147</v>
      </c>
      <c r="J56" s="9">
        <f t="shared" ca="1" si="1"/>
        <v>0.84593677191513728</v>
      </c>
      <c r="K56" s="9">
        <f t="shared" ca="1" si="2"/>
        <v>0.84593677191513728</v>
      </c>
      <c r="L56" s="9">
        <f t="shared" ca="1" si="3"/>
        <v>1</v>
      </c>
    </row>
    <row r="57" spans="2:12" x14ac:dyDescent="0.3">
      <c r="B57" s="9">
        <f ca="1"/>
        <v>71</v>
      </c>
      <c r="C57" s="9">
        <f ca="1"/>
        <v>5.9</v>
      </c>
      <c r="D57" s="9">
        <f ca="1"/>
        <v>3.2</v>
      </c>
      <c r="E57" s="9">
        <f ca="1"/>
        <v>4.8</v>
      </c>
      <c r="F57" s="9">
        <f ca="1"/>
        <v>1.8</v>
      </c>
      <c r="G57" s="9" t="str">
        <f ca="1"/>
        <v>versicolor</v>
      </c>
      <c r="H57" s="9">
        <f t="shared" ca="1" si="0"/>
        <v>1</v>
      </c>
      <c r="I57" s="9">
        <f ca="1"/>
        <v>2.7868606838060965</v>
      </c>
      <c r="J57" s="9">
        <f t="shared" ca="1" si="1"/>
        <v>0.94196165657422537</v>
      </c>
      <c r="K57" s="9">
        <f t="shared" ca="1" si="2"/>
        <v>0.94196165657422537</v>
      </c>
      <c r="L57" s="9">
        <f t="shared" ca="1" si="3"/>
        <v>1</v>
      </c>
    </row>
    <row r="58" spans="2:12" x14ac:dyDescent="0.3">
      <c r="B58" s="9">
        <f ca="1"/>
        <v>72</v>
      </c>
      <c r="C58" s="9">
        <f ca="1"/>
        <v>6.1</v>
      </c>
      <c r="D58" s="9">
        <f ca="1"/>
        <v>2.8</v>
      </c>
      <c r="E58" s="9">
        <f ca="1"/>
        <v>4</v>
      </c>
      <c r="F58" s="9">
        <f ca="1"/>
        <v>1.3</v>
      </c>
      <c r="G58" s="9" t="str">
        <f ca="1"/>
        <v>versicolor</v>
      </c>
      <c r="H58" s="9">
        <f t="shared" ca="1" si="0"/>
        <v>1</v>
      </c>
      <c r="I58" s="9">
        <f ca="1"/>
        <v>2.0127327160821809</v>
      </c>
      <c r="J58" s="9">
        <f t="shared" ca="1" si="1"/>
        <v>0.88212746303776468</v>
      </c>
      <c r="K58" s="9">
        <f t="shared" ca="1" si="2"/>
        <v>0.88212746303776468</v>
      </c>
      <c r="L58" s="9">
        <f t="shared" ca="1" si="3"/>
        <v>1</v>
      </c>
    </row>
    <row r="59" spans="2:12" x14ac:dyDescent="0.3">
      <c r="B59" s="9">
        <f ca="1"/>
        <v>73</v>
      </c>
      <c r="C59" s="9">
        <f ca="1"/>
        <v>6.3</v>
      </c>
      <c r="D59" s="9">
        <f ca="1"/>
        <v>2.5</v>
      </c>
      <c r="E59" s="9">
        <f ca="1"/>
        <v>4.9000000000000004</v>
      </c>
      <c r="F59" s="9">
        <f ca="1"/>
        <v>1.5</v>
      </c>
      <c r="G59" s="9" t="str">
        <f ca="1"/>
        <v>versicolor</v>
      </c>
      <c r="H59" s="9">
        <f t="shared" ca="1" si="0"/>
        <v>1</v>
      </c>
      <c r="I59" s="9">
        <f ca="1"/>
        <v>2.322383903171747</v>
      </c>
      <c r="J59" s="9">
        <f t="shared" ca="1" si="1"/>
        <v>0.91071397532948406</v>
      </c>
      <c r="K59" s="9">
        <f t="shared" ca="1" si="2"/>
        <v>0.91071397532948406</v>
      </c>
      <c r="L59" s="9">
        <f t="shared" ca="1" si="3"/>
        <v>1</v>
      </c>
    </row>
    <row r="60" spans="2:12" x14ac:dyDescent="0.3">
      <c r="B60" s="9">
        <f ca="1"/>
        <v>74</v>
      </c>
      <c r="C60" s="9">
        <f ca="1"/>
        <v>6.1</v>
      </c>
      <c r="D60" s="9">
        <f ca="1"/>
        <v>2.8</v>
      </c>
      <c r="E60" s="9">
        <f ca="1"/>
        <v>4.7</v>
      </c>
      <c r="F60" s="9">
        <f ca="1"/>
        <v>1.2</v>
      </c>
      <c r="G60" s="9" t="str">
        <f ca="1"/>
        <v>versicolor</v>
      </c>
      <c r="H60" s="9">
        <f t="shared" ca="1" si="0"/>
        <v>1</v>
      </c>
      <c r="I60" s="9">
        <f ca="1"/>
        <v>1.8579071225373975</v>
      </c>
      <c r="J60" s="9">
        <f t="shared" ca="1" si="1"/>
        <v>0.86505281959180802</v>
      </c>
      <c r="K60" s="9">
        <f t="shared" ca="1" si="2"/>
        <v>0.86505281959180802</v>
      </c>
      <c r="L60" s="9">
        <f t="shared" ca="1" si="3"/>
        <v>1</v>
      </c>
    </row>
    <row r="61" spans="2:12" x14ac:dyDescent="0.3">
      <c r="B61" s="9">
        <f ca="1"/>
        <v>75</v>
      </c>
      <c r="C61" s="9">
        <f ca="1"/>
        <v>6.4</v>
      </c>
      <c r="D61" s="9">
        <f ca="1"/>
        <v>2.9</v>
      </c>
      <c r="E61" s="9">
        <f ca="1"/>
        <v>4.3</v>
      </c>
      <c r="F61" s="9">
        <f ca="1"/>
        <v>1.3</v>
      </c>
      <c r="G61" s="9" t="str">
        <f ca="1"/>
        <v>versicolor</v>
      </c>
      <c r="H61" s="9">
        <f t="shared" ca="1" si="0"/>
        <v>1</v>
      </c>
      <c r="I61" s="9">
        <f ca="1"/>
        <v>2.0127327160821809</v>
      </c>
      <c r="J61" s="9">
        <f t="shared" ca="1" si="1"/>
        <v>0.88212746303776468</v>
      </c>
      <c r="K61" s="9">
        <f t="shared" ca="1" si="2"/>
        <v>0.88212746303776468</v>
      </c>
      <c r="L61" s="9">
        <f t="shared" ca="1" si="3"/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40F2-E70F-924A-ADE4-5742537C9E18}">
  <sheetPr codeName="Sheet21">
    <tabColor rgb="FFC00000"/>
  </sheetPr>
  <dimension ref="A1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9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6FB82-7CCB-C04E-8399-F30E423E48D2}">
  <sheetPr codeName="Sheet4">
    <tabColor rgb="FFC00000"/>
  </sheetPr>
  <dimension ref="A1:B2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1"/>
  </cols>
  <sheetData>
    <row r="1" spans="1:2" x14ac:dyDescent="0.3">
      <c r="A1" s="3" t="s">
        <v>358</v>
      </c>
    </row>
    <row r="2" spans="1:2" x14ac:dyDescent="0.3">
      <c r="B2" s="3" t="s">
        <v>298</v>
      </c>
    </row>
  </sheetData>
  <hyperlinks>
    <hyperlink ref="B2" r:id="rId1" xr:uid="{C5CE373A-C05A-1E48-85EE-08E75386BE77}"/>
    <hyperlink ref="A1" r:id="rId2" xr:uid="{78197409-3DCF-004E-9F1A-299E4C736317}"/>
  </hyperlinks>
  <pageMargins left="0.7" right="0.7" top="0.75" bottom="0.75" header="0.3" footer="0.3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C9FB0-15EC-4649-81F1-D258DB02E66C}">
  <sheetPr codeName="Sheet5">
    <tabColor rgb="FFC0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8A655-BC1F-9449-8AFB-2D5B39F2781D}">
  <sheetPr codeName="Sheet7">
    <tabColor rgb="FFFF0000"/>
  </sheetPr>
  <dimension ref="A1:S21"/>
  <sheetViews>
    <sheetView workbookViewId="0"/>
  </sheetViews>
  <sheetFormatPr baseColWidth="10" defaultRowHeight="26" x14ac:dyDescent="0.3"/>
  <cols>
    <col min="1" max="7" width="10.83203125" style="1"/>
    <col min="8" max="8" width="19" style="1" bestFit="1" customWidth="1"/>
    <col min="9" max="9" width="2.83203125" style="1" customWidth="1"/>
    <col min="10" max="10" width="11.5" style="1" bestFit="1" customWidth="1"/>
    <col min="11" max="11" width="13.1640625" style="1" bestFit="1" customWidth="1"/>
    <col min="12" max="12" width="2.83203125" style="1" customWidth="1"/>
    <col min="13" max="14" width="20" style="1" bestFit="1" customWidth="1"/>
    <col min="15" max="15" width="2.83203125" style="1" customWidth="1"/>
    <col min="16" max="16" width="34.6640625" style="1" bestFit="1" customWidth="1"/>
    <col min="17" max="16384" width="10.83203125" style="1"/>
  </cols>
  <sheetData>
    <row r="1" spans="1:19" x14ac:dyDescent="0.3">
      <c r="A1" s="3"/>
    </row>
    <row r="2" spans="1:19" x14ac:dyDescent="0.3">
      <c r="B2" s="3" t="s">
        <v>368</v>
      </c>
    </row>
    <row r="4" spans="1:19" x14ac:dyDescent="0.3">
      <c r="H4" s="158" t="s">
        <v>492</v>
      </c>
      <c r="I4" s="157"/>
      <c r="J4" s="158" t="s">
        <v>493</v>
      </c>
      <c r="K4" s="158" t="s">
        <v>494</v>
      </c>
      <c r="L4" s="157"/>
      <c r="M4" s="160" t="s">
        <v>495</v>
      </c>
      <c r="N4" s="160" t="s">
        <v>496</v>
      </c>
      <c r="O4" s="157"/>
      <c r="P4" s="161" t="s">
        <v>497</v>
      </c>
      <c r="Q4" s="2"/>
      <c r="R4" s="2"/>
      <c r="S4" s="2"/>
    </row>
    <row r="5" spans="1:19" x14ac:dyDescent="0.3">
      <c r="H5" s="158" t="s">
        <v>498</v>
      </c>
      <c r="I5" s="2"/>
      <c r="J5" s="159" t="s">
        <v>499</v>
      </c>
      <c r="K5" s="159" t="s">
        <v>500</v>
      </c>
      <c r="L5" s="2"/>
      <c r="M5" s="161" t="s">
        <v>501</v>
      </c>
      <c r="N5" s="161" t="s">
        <v>502</v>
      </c>
      <c r="O5" s="2"/>
      <c r="P5" s="161" t="str">
        <f>"log(("&amp;M5&amp;") / ("&amp;N5&amp;")))"</f>
        <v>log((p1) / (p2 + p3 + p4 + p5)))</v>
      </c>
      <c r="Q5" s="2"/>
      <c r="R5" s="2"/>
      <c r="S5" s="2"/>
    </row>
    <row r="6" spans="1:19" x14ac:dyDescent="0.3">
      <c r="H6" s="158" t="s">
        <v>503</v>
      </c>
      <c r="I6" s="2"/>
      <c r="J6" s="159" t="s">
        <v>504</v>
      </c>
      <c r="K6" s="159" t="s">
        <v>505</v>
      </c>
      <c r="L6" s="2"/>
      <c r="M6" s="161" t="s">
        <v>506</v>
      </c>
      <c r="N6" s="161" t="s">
        <v>507</v>
      </c>
      <c r="O6" s="2"/>
      <c r="P6" s="161" t="str">
        <f>"log(("&amp;M6&amp;") / ("&amp;N6&amp;")))"</f>
        <v>log((p1 + p2) / (p3 + p4 + p5)))</v>
      </c>
      <c r="Q6" s="2"/>
      <c r="R6" s="2"/>
      <c r="S6" s="2"/>
    </row>
    <row r="7" spans="1:19" x14ac:dyDescent="0.3">
      <c r="H7" s="158" t="s">
        <v>508</v>
      </c>
      <c r="I7" s="2"/>
      <c r="J7" s="159" t="s">
        <v>509</v>
      </c>
      <c r="K7" s="159" t="s">
        <v>510</v>
      </c>
      <c r="L7" s="2"/>
      <c r="M7" s="161" t="s">
        <v>511</v>
      </c>
      <c r="N7" s="161" t="s">
        <v>512</v>
      </c>
      <c r="O7" s="2"/>
      <c r="P7" s="161" t="str">
        <f>"log(("&amp;M7&amp;") / ("&amp;N7&amp;")))"</f>
        <v>log((p1 + p2 + p3) / (p4 + p5)))</v>
      </c>
      <c r="Q7" s="2"/>
      <c r="R7" s="2"/>
      <c r="S7" s="2"/>
    </row>
    <row r="8" spans="1:19" x14ac:dyDescent="0.3">
      <c r="H8" s="158" t="s">
        <v>513</v>
      </c>
      <c r="I8" s="2"/>
      <c r="J8" s="159" t="s">
        <v>514</v>
      </c>
      <c r="K8" s="159" t="s">
        <v>515</v>
      </c>
      <c r="L8" s="2"/>
      <c r="M8" s="161" t="s">
        <v>516</v>
      </c>
      <c r="N8" s="161" t="s">
        <v>517</v>
      </c>
      <c r="O8" s="2"/>
      <c r="P8" s="161" t="str">
        <f>"log(("&amp;M8&amp;") / ("&amp;N8&amp;")))"</f>
        <v>log((p1 + p2 + p3 + p4) / (p5)))</v>
      </c>
      <c r="Q8" s="2"/>
      <c r="R8" s="2"/>
      <c r="S8" s="2"/>
    </row>
    <row r="11" spans="1:19" x14ac:dyDescent="0.3">
      <c r="H11" s="158" t="s">
        <v>492</v>
      </c>
      <c r="I11" s="157"/>
      <c r="J11" s="158" t="s">
        <v>493</v>
      </c>
      <c r="K11" s="158" t="s">
        <v>494</v>
      </c>
      <c r="L11" s="157"/>
      <c r="M11" s="160" t="s">
        <v>495</v>
      </c>
      <c r="N11" s="160" t="s">
        <v>496</v>
      </c>
      <c r="O11" s="157"/>
      <c r="P11" s="161" t="s">
        <v>497</v>
      </c>
      <c r="Q11" s="2"/>
      <c r="R11" s="2"/>
      <c r="S11" s="2"/>
    </row>
    <row r="12" spans="1:19" x14ac:dyDescent="0.3">
      <c r="H12" s="158" t="s">
        <v>498</v>
      </c>
      <c r="I12" s="2"/>
      <c r="J12" s="159" t="s">
        <v>499</v>
      </c>
      <c r="K12" s="159" t="s">
        <v>500</v>
      </c>
      <c r="L12" s="2"/>
      <c r="M12" s="161" t="s">
        <v>519</v>
      </c>
      <c r="N12" s="161" t="str">
        <f>"1 - "&amp;M12</f>
        <v>1 - P1</v>
      </c>
      <c r="O12" s="2"/>
      <c r="P12" s="161" t="str">
        <f>"log(("&amp;M12&amp;") / ("&amp;N12&amp;")))"</f>
        <v>log((P1) / (1 - P1)))</v>
      </c>
      <c r="Q12" s="2"/>
      <c r="R12" s="2"/>
      <c r="S12" s="2"/>
    </row>
    <row r="13" spans="1:19" x14ac:dyDescent="0.3">
      <c r="H13" s="158" t="s">
        <v>503</v>
      </c>
      <c r="I13" s="2"/>
      <c r="J13" s="159" t="s">
        <v>504</v>
      </c>
      <c r="K13" s="159" t="s">
        <v>505</v>
      </c>
      <c r="L13" s="2"/>
      <c r="M13" s="161" t="s">
        <v>518</v>
      </c>
      <c r="N13" s="161" t="str">
        <f t="shared" ref="N13:N15" si="0">"1 - "&amp;M13</f>
        <v>1 - P2</v>
      </c>
      <c r="O13" s="2"/>
      <c r="P13" s="161" t="str">
        <f>"log(("&amp;M13&amp;") / ("&amp;N13&amp;")))"</f>
        <v>log((P2) / (1 - P2)))</v>
      </c>
      <c r="Q13" s="2"/>
      <c r="R13" s="2"/>
      <c r="S13" s="2"/>
    </row>
    <row r="14" spans="1:19" x14ac:dyDescent="0.3">
      <c r="H14" s="158" t="s">
        <v>508</v>
      </c>
      <c r="I14" s="2"/>
      <c r="J14" s="159" t="s">
        <v>509</v>
      </c>
      <c r="K14" s="159" t="s">
        <v>510</v>
      </c>
      <c r="L14" s="2"/>
      <c r="M14" s="161" t="s">
        <v>520</v>
      </c>
      <c r="N14" s="161" t="str">
        <f t="shared" si="0"/>
        <v>1 - P3</v>
      </c>
      <c r="O14" s="2"/>
      <c r="P14" s="161" t="str">
        <f>"log(("&amp;M14&amp;") / ("&amp;N14&amp;")))"</f>
        <v>log((P3) / (1 - P3)))</v>
      </c>
      <c r="Q14" s="2"/>
      <c r="R14" s="2"/>
      <c r="S14" s="2"/>
    </row>
    <row r="15" spans="1:19" x14ac:dyDescent="0.3">
      <c r="H15" s="158" t="s">
        <v>513</v>
      </c>
      <c r="I15" s="2"/>
      <c r="J15" s="159" t="s">
        <v>514</v>
      </c>
      <c r="K15" s="159" t="s">
        <v>515</v>
      </c>
      <c r="L15" s="2"/>
      <c r="M15" s="161" t="s">
        <v>521</v>
      </c>
      <c r="N15" s="161" t="str">
        <f t="shared" si="0"/>
        <v>1 - P4</v>
      </c>
      <c r="O15" s="2"/>
      <c r="P15" s="161" t="str">
        <f>"log(("&amp;M15&amp;") / ("&amp;N15&amp;")))"</f>
        <v>log((P4) / (1 - P4)))</v>
      </c>
      <c r="Q15" s="2"/>
      <c r="R15" s="2"/>
      <c r="S15" s="2"/>
    </row>
    <row r="17" spans="8:10" x14ac:dyDescent="0.3">
      <c r="H17" s="162" t="s">
        <v>517</v>
      </c>
      <c r="I17" s="2" t="s">
        <v>107</v>
      </c>
      <c r="J17" s="2" t="s">
        <v>528</v>
      </c>
    </row>
    <row r="18" spans="8:10" x14ac:dyDescent="0.3">
      <c r="H18" s="162" t="s">
        <v>522</v>
      </c>
      <c r="I18" s="2" t="s">
        <v>107</v>
      </c>
      <c r="J18" s="2" t="s">
        <v>525</v>
      </c>
    </row>
    <row r="19" spans="8:10" x14ac:dyDescent="0.3">
      <c r="H19" s="162" t="s">
        <v>523</v>
      </c>
      <c r="I19" s="2" t="s">
        <v>107</v>
      </c>
      <c r="J19" s="2" t="s">
        <v>527</v>
      </c>
    </row>
    <row r="20" spans="8:10" x14ac:dyDescent="0.3">
      <c r="H20" s="162" t="s">
        <v>524</v>
      </c>
      <c r="I20" s="2" t="s">
        <v>107</v>
      </c>
      <c r="J20" s="2" t="s">
        <v>526</v>
      </c>
    </row>
    <row r="21" spans="8:10" x14ac:dyDescent="0.3">
      <c r="H21" s="162" t="s">
        <v>501</v>
      </c>
      <c r="I21" s="2" t="s">
        <v>107</v>
      </c>
      <c r="J21" s="2" t="s">
        <v>519</v>
      </c>
    </row>
  </sheetData>
  <phoneticPr fontId="7" type="noConversion"/>
  <hyperlinks>
    <hyperlink ref="B2" r:id="rId1" xr:uid="{B839BBAB-EA4A-424F-A011-4BA3D4C0BFC0}"/>
  </hyperlinks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3DF3E-2756-8040-A09F-7D91136F3E96}">
  <sheetPr codeName="Sheet1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FAC15-D51A-0740-9835-9B2C65FC0713}">
  <sheetPr codeName="Sheet8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61</v>
      </c>
    </row>
    <row r="2" spans="1:1" x14ac:dyDescent="0.3">
      <c r="A2" s="1" t="s">
        <v>62</v>
      </c>
    </row>
    <row r="3" spans="1:1" x14ac:dyDescent="0.3">
      <c r="A3" s="1" t="s">
        <v>63</v>
      </c>
    </row>
    <row r="4" spans="1:1" x14ac:dyDescent="0.3">
      <c r="A4" s="1" t="s">
        <v>350</v>
      </c>
    </row>
    <row r="5" spans="1:1" x14ac:dyDescent="0.3">
      <c r="A5" s="1" t="s">
        <v>260</v>
      </c>
    </row>
    <row r="6" spans="1:1" x14ac:dyDescent="0.3">
      <c r="A6" s="1" t="s">
        <v>455</v>
      </c>
    </row>
    <row r="7" spans="1:1" x14ac:dyDescent="0.3">
      <c r="A7" s="1" t="s">
        <v>456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527A8-710A-2947-84D1-5DC870BE6D5E}">
  <sheetPr codeName="Sheet1">
    <tabColor rgb="FFC00000"/>
  </sheetPr>
  <dimension ref="A1:H33"/>
  <sheetViews>
    <sheetView zoomScaleNormal="100" workbookViewId="0">
      <selection activeCell="H7" sqref="H7"/>
    </sheetView>
  </sheetViews>
  <sheetFormatPr baseColWidth="10" defaultRowHeight="26" x14ac:dyDescent="0.3"/>
  <cols>
    <col min="1" max="6" width="10.83203125" style="1"/>
    <col min="7" max="7" width="13.33203125" style="1" bestFit="1" customWidth="1"/>
    <col min="8" max="16384" width="10.83203125" style="1"/>
  </cols>
  <sheetData>
    <row r="1" spans="1:8" x14ac:dyDescent="0.3">
      <c r="A1" s="12" t="s">
        <v>41</v>
      </c>
    </row>
    <row r="3" spans="1:8" x14ac:dyDescent="0.3">
      <c r="B3" s="13" t="s">
        <v>19</v>
      </c>
      <c r="C3" s="13" t="s">
        <v>42</v>
      </c>
      <c r="D3" s="13" t="s">
        <v>43</v>
      </c>
      <c r="E3" s="13" t="s">
        <v>44</v>
      </c>
      <c r="F3" s="13" t="s">
        <v>45</v>
      </c>
      <c r="G3" s="13" t="s">
        <v>46</v>
      </c>
      <c r="H3" s="13" t="s">
        <v>47</v>
      </c>
    </row>
    <row r="4" spans="1:8" x14ac:dyDescent="0.3">
      <c r="B4" s="1">
        <v>1</v>
      </c>
      <c r="C4" s="1">
        <v>4</v>
      </c>
      <c r="D4" s="1">
        <v>0.5</v>
      </c>
      <c r="E4" s="1">
        <v>6</v>
      </c>
      <c r="F4" s="1">
        <v>0.25</v>
      </c>
      <c r="G4" s="1">
        <f ca="1">_xlfn.NORM.INV(RAND(),C4,D4)</f>
        <v>3.8062921764388347</v>
      </c>
      <c r="H4" s="1">
        <f ca="1">_xlfn.NORM.INV(RAND(),E4,F4)</f>
        <v>5.8973872518931394</v>
      </c>
    </row>
    <row r="5" spans="1:8" x14ac:dyDescent="0.3">
      <c r="B5" s="1">
        <v>2</v>
      </c>
      <c r="C5" s="1">
        <v>4</v>
      </c>
      <c r="D5" s="1">
        <v>0.5</v>
      </c>
      <c r="E5" s="1">
        <v>6</v>
      </c>
      <c r="F5" s="1">
        <v>0.25</v>
      </c>
      <c r="G5" s="1">
        <f t="shared" ref="G5:G33" ca="1" si="0">_xlfn.NORM.INV(RAND(),C5,D5)</f>
        <v>3.5623612864424397</v>
      </c>
      <c r="H5" s="1">
        <f t="shared" ref="H5:H33" ca="1" si="1">_xlfn.NORM.INV(RAND(),E5,F5)</f>
        <v>5.7593904367177275</v>
      </c>
    </row>
    <row r="6" spans="1:8" x14ac:dyDescent="0.3">
      <c r="B6" s="1">
        <v>3</v>
      </c>
      <c r="C6" s="1">
        <v>4</v>
      </c>
      <c r="D6" s="1">
        <v>0.5</v>
      </c>
      <c r="E6" s="1">
        <v>6</v>
      </c>
      <c r="F6" s="1">
        <v>0.25</v>
      </c>
      <c r="G6" s="1">
        <f t="shared" ca="1" si="0"/>
        <v>3.0368228697036899</v>
      </c>
      <c r="H6" s="1">
        <f t="shared" ca="1" si="1"/>
        <v>5.7433704747039718</v>
      </c>
    </row>
    <row r="7" spans="1:8" x14ac:dyDescent="0.3">
      <c r="B7" s="1">
        <v>4</v>
      </c>
      <c r="C7" s="1">
        <v>4</v>
      </c>
      <c r="D7" s="1">
        <v>0.5</v>
      </c>
      <c r="E7" s="1">
        <v>6</v>
      </c>
      <c r="F7" s="1">
        <v>0.25</v>
      </c>
      <c r="G7" s="1">
        <f t="shared" ca="1" si="0"/>
        <v>3.630033024298235</v>
      </c>
      <c r="H7" s="1">
        <f t="shared" ca="1" si="1"/>
        <v>6.1955581561790147</v>
      </c>
    </row>
    <row r="8" spans="1:8" x14ac:dyDescent="0.3">
      <c r="B8" s="1">
        <v>5</v>
      </c>
      <c r="C8" s="1">
        <v>4</v>
      </c>
      <c r="D8" s="1">
        <v>0.5</v>
      </c>
      <c r="E8" s="1">
        <v>6</v>
      </c>
      <c r="F8" s="1">
        <v>0.25</v>
      </c>
      <c r="G8" s="1">
        <f t="shared" ca="1" si="0"/>
        <v>3.3674310474985303</v>
      </c>
      <c r="H8" s="1">
        <f t="shared" ca="1" si="1"/>
        <v>5.8998336204721804</v>
      </c>
    </row>
    <row r="9" spans="1:8" x14ac:dyDescent="0.3">
      <c r="B9" s="1">
        <v>6</v>
      </c>
      <c r="C9" s="1">
        <v>4</v>
      </c>
      <c r="D9" s="1">
        <v>0.5</v>
      </c>
      <c r="E9" s="1">
        <v>6</v>
      </c>
      <c r="F9" s="1">
        <v>0.25</v>
      </c>
      <c r="G9" s="1">
        <f t="shared" ca="1" si="0"/>
        <v>4.2078054466770727</v>
      </c>
      <c r="H9" s="1">
        <f t="shared" ca="1" si="1"/>
        <v>6.1595287189581303</v>
      </c>
    </row>
    <row r="10" spans="1:8" x14ac:dyDescent="0.3">
      <c r="B10" s="1">
        <v>7</v>
      </c>
      <c r="C10" s="1">
        <v>4</v>
      </c>
      <c r="D10" s="1">
        <v>0.5</v>
      </c>
      <c r="E10" s="1">
        <v>6</v>
      </c>
      <c r="F10" s="1">
        <v>0.25</v>
      </c>
      <c r="G10" s="1">
        <f t="shared" ca="1" si="0"/>
        <v>4.5669548768088459</v>
      </c>
      <c r="H10" s="1">
        <f t="shared" ca="1" si="1"/>
        <v>6.1959916177579313</v>
      </c>
    </row>
    <row r="11" spans="1:8" x14ac:dyDescent="0.3">
      <c r="B11" s="1">
        <v>8</v>
      </c>
      <c r="C11" s="1">
        <v>4</v>
      </c>
      <c r="D11" s="1">
        <v>0.5</v>
      </c>
      <c r="E11" s="1">
        <v>6</v>
      </c>
      <c r="F11" s="1">
        <v>0.25</v>
      </c>
      <c r="G11" s="1">
        <f t="shared" ca="1" si="0"/>
        <v>3.3970205120813906</v>
      </c>
      <c r="H11" s="1">
        <f t="shared" ca="1" si="1"/>
        <v>6.0060586611690026</v>
      </c>
    </row>
    <row r="12" spans="1:8" x14ac:dyDescent="0.3">
      <c r="B12" s="1">
        <v>9</v>
      </c>
      <c r="C12" s="1">
        <v>4</v>
      </c>
      <c r="D12" s="1">
        <v>0.5</v>
      </c>
      <c r="E12" s="1">
        <v>6</v>
      </c>
      <c r="F12" s="1">
        <v>0.25</v>
      </c>
      <c r="G12" s="1">
        <f t="shared" ca="1" si="0"/>
        <v>3.8758461830787381</v>
      </c>
      <c r="H12" s="1">
        <f t="shared" ca="1" si="1"/>
        <v>5.3508435619920798</v>
      </c>
    </row>
    <row r="13" spans="1:8" x14ac:dyDescent="0.3">
      <c r="B13" s="1">
        <v>10</v>
      </c>
      <c r="C13" s="1">
        <v>4</v>
      </c>
      <c r="D13" s="1">
        <v>0.5</v>
      </c>
      <c r="E13" s="1">
        <v>6</v>
      </c>
      <c r="F13" s="1">
        <v>0.25</v>
      </c>
      <c r="G13" s="1">
        <f t="shared" ca="1" si="0"/>
        <v>4.3778884465064083</v>
      </c>
      <c r="H13" s="1">
        <f t="shared" ca="1" si="1"/>
        <v>5.3822747873646506</v>
      </c>
    </row>
    <row r="14" spans="1:8" x14ac:dyDescent="0.3">
      <c r="B14" s="1">
        <v>11</v>
      </c>
      <c r="C14" s="1">
        <v>2</v>
      </c>
      <c r="D14" s="1">
        <v>0.25</v>
      </c>
      <c r="E14" s="1">
        <v>2</v>
      </c>
      <c r="F14" s="1">
        <v>0.25</v>
      </c>
      <c r="G14" s="1">
        <f t="shared" ca="1" si="0"/>
        <v>1.9964548291303827</v>
      </c>
      <c r="H14" s="1">
        <f t="shared" ca="1" si="1"/>
        <v>2.0257417984562234</v>
      </c>
    </row>
    <row r="15" spans="1:8" x14ac:dyDescent="0.3">
      <c r="B15" s="1">
        <v>12</v>
      </c>
      <c r="C15" s="1">
        <v>2</v>
      </c>
      <c r="D15" s="1">
        <v>0.25</v>
      </c>
      <c r="E15" s="1">
        <v>2</v>
      </c>
      <c r="F15" s="1">
        <v>0.25</v>
      </c>
      <c r="G15" s="1">
        <f t="shared" ca="1" si="0"/>
        <v>1.896462329876812</v>
      </c>
      <c r="H15" s="1">
        <f t="shared" ca="1" si="1"/>
        <v>2.6247158965838571</v>
      </c>
    </row>
    <row r="16" spans="1:8" x14ac:dyDescent="0.3">
      <c r="B16" s="1">
        <v>13</v>
      </c>
      <c r="C16" s="1">
        <v>2</v>
      </c>
      <c r="D16" s="1">
        <v>0.25</v>
      </c>
      <c r="E16" s="1">
        <v>2</v>
      </c>
      <c r="F16" s="1">
        <v>0.25</v>
      </c>
      <c r="G16" s="1">
        <f t="shared" ca="1" si="0"/>
        <v>2.1172672699847235</v>
      </c>
      <c r="H16" s="1">
        <f t="shared" ca="1" si="1"/>
        <v>1.7268499065438538</v>
      </c>
    </row>
    <row r="17" spans="2:8" x14ac:dyDescent="0.3">
      <c r="B17" s="1">
        <v>14</v>
      </c>
      <c r="C17" s="1">
        <v>2</v>
      </c>
      <c r="D17" s="1">
        <v>0.25</v>
      </c>
      <c r="E17" s="1">
        <v>2</v>
      </c>
      <c r="F17" s="1">
        <v>0.25</v>
      </c>
      <c r="G17" s="1">
        <f t="shared" ca="1" si="0"/>
        <v>1.9951945419989634</v>
      </c>
      <c r="H17" s="1">
        <f t="shared" ca="1" si="1"/>
        <v>2.1770535971024159</v>
      </c>
    </row>
    <row r="18" spans="2:8" x14ac:dyDescent="0.3">
      <c r="B18" s="1">
        <v>15</v>
      </c>
      <c r="C18" s="1">
        <v>2</v>
      </c>
      <c r="D18" s="1">
        <v>0.25</v>
      </c>
      <c r="E18" s="1">
        <v>2</v>
      </c>
      <c r="F18" s="1">
        <v>0.25</v>
      </c>
      <c r="G18" s="1">
        <f t="shared" ca="1" si="0"/>
        <v>2.0411784263857209</v>
      </c>
      <c r="H18" s="1">
        <f t="shared" ca="1" si="1"/>
        <v>1.3791496942878056</v>
      </c>
    </row>
    <row r="19" spans="2:8" x14ac:dyDescent="0.3">
      <c r="B19" s="1">
        <v>16</v>
      </c>
      <c r="C19" s="1">
        <v>2</v>
      </c>
      <c r="D19" s="1">
        <v>0.25</v>
      </c>
      <c r="E19" s="1">
        <v>2</v>
      </c>
      <c r="F19" s="1">
        <v>0.25</v>
      </c>
      <c r="G19" s="1">
        <f t="shared" ca="1" si="0"/>
        <v>1.9786665401823884</v>
      </c>
      <c r="H19" s="1">
        <f t="shared" ca="1" si="1"/>
        <v>1.8052345397614729</v>
      </c>
    </row>
    <row r="20" spans="2:8" x14ac:dyDescent="0.3">
      <c r="B20" s="1">
        <v>17</v>
      </c>
      <c r="C20" s="1">
        <v>2</v>
      </c>
      <c r="D20" s="1">
        <v>0.25</v>
      </c>
      <c r="E20" s="1">
        <v>2</v>
      </c>
      <c r="F20" s="1">
        <v>0.25</v>
      </c>
      <c r="G20" s="1">
        <f t="shared" ca="1" si="0"/>
        <v>2.1865426220419031</v>
      </c>
      <c r="H20" s="1">
        <f t="shared" ca="1" si="1"/>
        <v>1.8388118478616555</v>
      </c>
    </row>
    <row r="21" spans="2:8" x14ac:dyDescent="0.3">
      <c r="B21" s="1">
        <v>18</v>
      </c>
      <c r="C21" s="1">
        <v>2</v>
      </c>
      <c r="D21" s="1">
        <v>0.25</v>
      </c>
      <c r="E21" s="1">
        <v>2</v>
      </c>
      <c r="F21" s="1">
        <v>0.25</v>
      </c>
      <c r="G21" s="1">
        <f t="shared" ca="1" si="0"/>
        <v>1.8037987546629604</v>
      </c>
      <c r="H21" s="1">
        <f t="shared" ca="1" si="1"/>
        <v>1.8785362480150583</v>
      </c>
    </row>
    <row r="22" spans="2:8" x14ac:dyDescent="0.3">
      <c r="B22" s="1">
        <v>19</v>
      </c>
      <c r="C22" s="1">
        <v>2</v>
      </c>
      <c r="D22" s="1">
        <v>0.25</v>
      </c>
      <c r="E22" s="1">
        <v>2</v>
      </c>
      <c r="F22" s="1">
        <v>0.25</v>
      </c>
      <c r="G22" s="1">
        <f t="shared" ca="1" si="0"/>
        <v>1.8612376974297598</v>
      </c>
      <c r="H22" s="1">
        <f t="shared" ca="1" si="1"/>
        <v>2.1613016257964022</v>
      </c>
    </row>
    <row r="23" spans="2:8" x14ac:dyDescent="0.3">
      <c r="B23" s="1">
        <v>20</v>
      </c>
      <c r="C23" s="1">
        <v>2</v>
      </c>
      <c r="D23" s="1">
        <v>0.25</v>
      </c>
      <c r="E23" s="1">
        <v>2</v>
      </c>
      <c r="F23" s="1">
        <v>0.25</v>
      </c>
      <c r="G23" s="1">
        <f t="shared" ca="1" si="0"/>
        <v>1.7796615380380907</v>
      </c>
      <c r="H23" s="1">
        <f t="shared" ca="1" si="1"/>
        <v>1.73476275970081</v>
      </c>
    </row>
    <row r="24" spans="2:8" x14ac:dyDescent="0.3">
      <c r="B24" s="1">
        <v>21</v>
      </c>
      <c r="C24" s="1">
        <v>2</v>
      </c>
      <c r="D24" s="1">
        <v>0.25</v>
      </c>
      <c r="E24" s="1">
        <v>7</v>
      </c>
      <c r="F24" s="1">
        <v>0.75</v>
      </c>
      <c r="G24" s="1">
        <f t="shared" ca="1" si="0"/>
        <v>2.0054139363851857</v>
      </c>
      <c r="H24" s="1">
        <f t="shared" ca="1" si="1"/>
        <v>7.4826232360310172</v>
      </c>
    </row>
    <row r="25" spans="2:8" x14ac:dyDescent="0.3">
      <c r="B25" s="1">
        <v>22</v>
      </c>
      <c r="C25" s="1">
        <v>2</v>
      </c>
      <c r="D25" s="1">
        <v>0.25</v>
      </c>
      <c r="E25" s="1">
        <v>7</v>
      </c>
      <c r="F25" s="1">
        <v>0.75</v>
      </c>
      <c r="G25" s="1">
        <f t="shared" ca="1" si="0"/>
        <v>2.2383061754859352</v>
      </c>
      <c r="H25" s="1">
        <f t="shared" ca="1" si="1"/>
        <v>6.5608681553067578</v>
      </c>
    </row>
    <row r="26" spans="2:8" x14ac:dyDescent="0.3">
      <c r="B26" s="1">
        <v>23</v>
      </c>
      <c r="C26" s="1">
        <v>2</v>
      </c>
      <c r="D26" s="1">
        <v>0.25</v>
      </c>
      <c r="E26" s="1">
        <v>7</v>
      </c>
      <c r="F26" s="1">
        <v>0.75</v>
      </c>
      <c r="G26" s="1">
        <f t="shared" ca="1" si="0"/>
        <v>2.1213690995851793</v>
      </c>
      <c r="H26" s="1">
        <f t="shared" ca="1" si="1"/>
        <v>8.4199727364618866</v>
      </c>
    </row>
    <row r="27" spans="2:8" x14ac:dyDescent="0.3">
      <c r="B27" s="1">
        <v>24</v>
      </c>
      <c r="C27" s="1">
        <v>2</v>
      </c>
      <c r="D27" s="1">
        <v>0.25</v>
      </c>
      <c r="E27" s="1">
        <v>7</v>
      </c>
      <c r="F27" s="1">
        <v>0.75</v>
      </c>
      <c r="G27" s="1">
        <f t="shared" ca="1" si="0"/>
        <v>2.1243661004879937</v>
      </c>
      <c r="H27" s="1">
        <f t="shared" ca="1" si="1"/>
        <v>5.7388438946265463</v>
      </c>
    </row>
    <row r="28" spans="2:8" x14ac:dyDescent="0.3">
      <c r="B28" s="1">
        <v>25</v>
      </c>
      <c r="C28" s="1">
        <v>2</v>
      </c>
      <c r="D28" s="1">
        <v>0.25</v>
      </c>
      <c r="E28" s="1">
        <v>7</v>
      </c>
      <c r="F28" s="1">
        <v>0.75</v>
      </c>
      <c r="G28" s="1">
        <f t="shared" ca="1" si="0"/>
        <v>1.731546471260937</v>
      </c>
      <c r="H28" s="1">
        <f t="shared" ca="1" si="1"/>
        <v>6.6369613869029056</v>
      </c>
    </row>
    <row r="29" spans="2:8" x14ac:dyDescent="0.3">
      <c r="B29" s="1">
        <v>26</v>
      </c>
      <c r="C29" s="1">
        <v>2</v>
      </c>
      <c r="D29" s="1">
        <v>0.25</v>
      </c>
      <c r="E29" s="1">
        <v>7</v>
      </c>
      <c r="F29" s="1">
        <v>0.75</v>
      </c>
      <c r="G29" s="1">
        <f t="shared" ca="1" si="0"/>
        <v>1.9578903710571436</v>
      </c>
      <c r="H29" s="1">
        <f t="shared" ca="1" si="1"/>
        <v>7.0620007698905747</v>
      </c>
    </row>
    <row r="30" spans="2:8" x14ac:dyDescent="0.3">
      <c r="B30" s="1">
        <v>27</v>
      </c>
      <c r="C30" s="1">
        <v>2</v>
      </c>
      <c r="D30" s="1">
        <v>0.25</v>
      </c>
      <c r="E30" s="1">
        <v>7</v>
      </c>
      <c r="F30" s="1">
        <v>0.75</v>
      </c>
      <c r="G30" s="1">
        <f t="shared" ca="1" si="0"/>
        <v>1.9434903282723945</v>
      </c>
      <c r="H30" s="1">
        <f t="shared" ca="1" si="1"/>
        <v>7.6194768453603423</v>
      </c>
    </row>
    <row r="31" spans="2:8" x14ac:dyDescent="0.3">
      <c r="B31" s="1">
        <v>28</v>
      </c>
      <c r="C31" s="1">
        <v>2</v>
      </c>
      <c r="D31" s="1">
        <v>0.25</v>
      </c>
      <c r="E31" s="1">
        <v>7</v>
      </c>
      <c r="F31" s="1">
        <v>0.75</v>
      </c>
      <c r="G31" s="1">
        <f t="shared" ca="1" si="0"/>
        <v>1.4993834944127062</v>
      </c>
      <c r="H31" s="1">
        <f t="shared" ca="1" si="1"/>
        <v>6.6672310383081204</v>
      </c>
    </row>
    <row r="32" spans="2:8" x14ac:dyDescent="0.3">
      <c r="B32" s="1">
        <v>29</v>
      </c>
      <c r="C32" s="1">
        <v>2</v>
      </c>
      <c r="D32" s="1">
        <v>0.25</v>
      </c>
      <c r="E32" s="1">
        <v>7</v>
      </c>
      <c r="F32" s="1">
        <v>0.75</v>
      </c>
      <c r="G32" s="1">
        <f t="shared" ca="1" si="0"/>
        <v>1.7752037739018913</v>
      </c>
      <c r="H32" s="1">
        <f t="shared" ca="1" si="1"/>
        <v>7.5414842371531563</v>
      </c>
    </row>
    <row r="33" spans="2:8" x14ac:dyDescent="0.3">
      <c r="B33" s="1">
        <v>30</v>
      </c>
      <c r="C33" s="1">
        <v>2</v>
      </c>
      <c r="D33" s="1">
        <v>0.25</v>
      </c>
      <c r="E33" s="1">
        <v>7</v>
      </c>
      <c r="F33" s="1">
        <v>0.75</v>
      </c>
      <c r="G33" s="1">
        <f t="shared" ca="1" si="0"/>
        <v>1.4508357054109298</v>
      </c>
      <c r="H33" s="1">
        <f t="shared" ca="1" si="1"/>
        <v>7.0212465549003698</v>
      </c>
    </row>
  </sheetData>
  <hyperlinks>
    <hyperlink ref="A1" r:id="rId1" xr:uid="{A93B6C05-1081-4942-94C3-C347CAEF6AC5}"/>
  </hyperlinks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3F4A7-4068-364E-A0E2-059A197CDFFE}">
  <sheetPr codeName="Sheet10">
    <tabColor rgb="FFC00000"/>
  </sheetPr>
  <dimension ref="A2:H21"/>
  <sheetViews>
    <sheetView workbookViewId="0">
      <selection activeCell="H7" sqref="H7"/>
    </sheetView>
  </sheetViews>
  <sheetFormatPr baseColWidth="10" defaultRowHeight="26" x14ac:dyDescent="0.3"/>
  <cols>
    <col min="1" max="1" width="10.83203125" style="15" customWidth="1"/>
    <col min="2" max="8" width="10.83203125" style="15"/>
    <col min="9" max="9" width="13.33203125" style="15" bestFit="1" customWidth="1"/>
    <col min="10" max="16384" width="10.83203125" style="15"/>
  </cols>
  <sheetData>
    <row r="2" spans="2:8" x14ac:dyDescent="0.3">
      <c r="B2" s="14" t="s">
        <v>48</v>
      </c>
    </row>
    <row r="5" spans="2:8" x14ac:dyDescent="0.3">
      <c r="B5" s="16" t="s">
        <v>49</v>
      </c>
      <c r="C5" s="15">
        <v>1</v>
      </c>
      <c r="D5" s="15">
        <v>1</v>
      </c>
    </row>
    <row r="6" spans="2:8" x14ac:dyDescent="0.3">
      <c r="B6" s="16" t="s">
        <v>50</v>
      </c>
      <c r="C6" s="15">
        <v>5</v>
      </c>
      <c r="D6" s="15">
        <v>5</v>
      </c>
    </row>
    <row r="7" spans="2:8" x14ac:dyDescent="0.3">
      <c r="B7" s="16" t="s">
        <v>51</v>
      </c>
      <c r="C7" s="15">
        <v>10</v>
      </c>
      <c r="D7" s="15">
        <v>10</v>
      </c>
    </row>
    <row r="9" spans="2:8" x14ac:dyDescent="0.3">
      <c r="B9" s="15" t="s">
        <v>52</v>
      </c>
      <c r="C9" s="15">
        <f ca="1">_xlfn.NORM.INV(RAND(),2,1)</f>
        <v>2.038624669952688</v>
      </c>
      <c r="D9" s="15">
        <f ca="1">_xlfn.NORM.INV(RAND(),2,1)</f>
        <v>3.0844120916649311</v>
      </c>
      <c r="E9" s="15" cm="1">
        <f t="array" aca="1" ref="E9" ca="1">SUMSQ(C9:D9-C$5:D$5)</f>
        <v>5.4235149729133028</v>
      </c>
      <c r="F9" s="15" cm="1">
        <f t="array" aca="1" ref="F9" ca="1">SUMSQ(C9:D9-C$6:D$6)</f>
        <v>12.43922087997235</v>
      </c>
      <c r="G9" s="15" cm="1">
        <f t="array" aca="1" ref="G9" ca="1">SUMSQ(C9:D9-C$7:D$7)</f>
        <v>111.20885326379616</v>
      </c>
      <c r="H9" s="15">
        <f ca="1">MATCH(MIN(E9:G9),E9:G9,0)</f>
        <v>1</v>
      </c>
    </row>
    <row r="10" spans="2:8" x14ac:dyDescent="0.3">
      <c r="B10" s="15" t="s">
        <v>53</v>
      </c>
      <c r="C10" s="15">
        <f t="shared" ref="C10:D11" ca="1" si="0">_xlfn.NORM.INV(RAND(),2,1)</f>
        <v>2.5763397420812044</v>
      </c>
      <c r="D10" s="15">
        <f t="shared" ca="1" si="0"/>
        <v>0.45773287111072114</v>
      </c>
      <c r="E10" s="15" cm="1">
        <f t="array" aca="1" ref="E10" ca="1">SUMSQ(C10:D10-C$5:D$5)</f>
        <v>2.77890062153846</v>
      </c>
      <c r="F10" s="15" cm="1">
        <f t="array" aca="1" ref="F10" ca="1">SUMSQ(C10:D10-C$6:D$6)</f>
        <v>26.506319716003055</v>
      </c>
      <c r="G10" s="15" cm="1">
        <f t="array" aca="1" ref="G10" ca="1">SUMSQ(C10:D10-C$7:D$7)</f>
        <v>146.16559358408381</v>
      </c>
      <c r="H10" s="15">
        <f t="shared" ref="H10:H17" ca="1" si="1">MATCH(MIN(E10:G10),E10:G10,0)</f>
        <v>1</v>
      </c>
    </row>
    <row r="11" spans="2:8" x14ac:dyDescent="0.3">
      <c r="B11" s="15" t="s">
        <v>54</v>
      </c>
      <c r="C11" s="15">
        <f t="shared" ca="1" si="0"/>
        <v>2.1315833476532986</v>
      </c>
      <c r="D11" s="15">
        <f t="shared" ca="1" si="0"/>
        <v>0.68892958011682204</v>
      </c>
      <c r="E11" s="15" cm="1">
        <f t="array" aca="1" ref="E11" ca="1">SUMSQ(C11:D11-C$5:D$5)</f>
        <v>1.3772456788125427</v>
      </c>
      <c r="F11" s="15" cm="1">
        <f t="array" aca="1" ref="F11" ca="1">SUMSQ(C11:D11-C$6:D$6)</f>
        <v>26.813142256651574</v>
      </c>
      <c r="G11" s="15" cm="1">
        <f t="array" aca="1" ref="G11" ca="1">SUMSQ(C11:D11-C$7:D$7)</f>
        <v>148.60801297895034</v>
      </c>
      <c r="H11" s="15">
        <f t="shared" ca="1" si="1"/>
        <v>1</v>
      </c>
    </row>
    <row r="12" spans="2:8" x14ac:dyDescent="0.3">
      <c r="B12" s="15" t="s">
        <v>55</v>
      </c>
      <c r="C12" s="15">
        <f ca="1">_xlfn.NORM.INV(RAND(),4,1)</f>
        <v>4.8373737218182482</v>
      </c>
      <c r="D12" s="15">
        <f ca="1">_xlfn.NORM.INV(RAND(),4,1)</f>
        <v>1.5765437895367489</v>
      </c>
      <c r="E12" s="15" cm="1">
        <f t="array" aca="1" ref="E12" ca="1">SUMSQ(C12:D12-C$5:D$5)</f>
        <v>15.057839822154628</v>
      </c>
      <c r="F12" s="15" cm="1">
        <f t="array" aca="1" ref="F12" ca="1">SUMSQ(C12:D12-C$6:D$6)</f>
        <v>11.746499731314652</v>
      </c>
      <c r="G12" s="15" cm="1">
        <f t="array" aca="1" ref="G12" ca="1">SUMSQ(C12:D12-C$7:D$7)</f>
        <v>97.607324617764661</v>
      </c>
      <c r="H12" s="15">
        <f t="shared" ca="1" si="1"/>
        <v>2</v>
      </c>
    </row>
    <row r="13" spans="2:8" x14ac:dyDescent="0.3">
      <c r="B13" s="15" t="s">
        <v>56</v>
      </c>
      <c r="C13" s="15">
        <f t="shared" ref="C13:D14" ca="1" si="2">_xlfn.NORM.INV(RAND(),4,1)</f>
        <v>4.4342869958718687</v>
      </c>
      <c r="D13" s="15">
        <f t="shared" ca="1" si="2"/>
        <v>3.5870008731928746</v>
      </c>
      <c r="E13" s="15" cm="1">
        <f t="array" aca="1" ref="E13" ca="1">SUMSQ(C13:D13-C$5:D$5)</f>
        <v>18.486900687915323</v>
      </c>
      <c r="F13" s="15" cm="1">
        <f t="array" aca="1" ref="F13" ca="1">SUMSQ(C13:D13-C$6:D$6)</f>
        <v>2.3165977353973739</v>
      </c>
      <c r="G13" s="15" cm="1">
        <f t="array" aca="1" ref="G13" ca="1">SUMSQ(C13:D13-C$7:D$7)</f>
        <v>72.103719044749937</v>
      </c>
      <c r="H13" s="15">
        <f t="shared" ca="1" si="1"/>
        <v>2</v>
      </c>
    </row>
    <row r="14" spans="2:8" x14ac:dyDescent="0.3">
      <c r="B14" s="15" t="s">
        <v>57</v>
      </c>
      <c r="C14" s="15">
        <f t="shared" ca="1" si="2"/>
        <v>4.3885089236927186</v>
      </c>
      <c r="D14" s="15">
        <f t="shared" ca="1" si="2"/>
        <v>2.8277950292029583</v>
      </c>
      <c r="E14" s="15" cm="1">
        <f t="array" aca="1" ref="E14" ca="1">SUMSQ(C14:D14-C$5:D$5)</f>
        <v>14.82282739472423</v>
      </c>
      <c r="F14" s="15" cm="1">
        <f t="array" aca="1" ref="F14" ca="1">SUMSQ(C14:D14-C$6:D$6)</f>
        <v>5.092395771558814</v>
      </c>
      <c r="G14" s="15" cm="1">
        <f t="array" aca="1" ref="G14" ca="1">SUMSQ(C14:D14-C$7:D$7)</f>
        <v>82.92935624260204</v>
      </c>
      <c r="H14" s="15">
        <f t="shared" ca="1" si="1"/>
        <v>2</v>
      </c>
    </row>
    <row r="15" spans="2:8" x14ac:dyDescent="0.3">
      <c r="B15" s="15" t="s">
        <v>58</v>
      </c>
      <c r="C15" s="15">
        <f ca="1">_xlfn.NORM.INV(RAND(),8,1)</f>
        <v>7.534280400625204</v>
      </c>
      <c r="D15" s="15">
        <f ca="1">_xlfn.NORM.INV(RAND(),8,1)</f>
        <v>9.6486103596379049</v>
      </c>
      <c r="E15" s="15" cm="1">
        <f t="array" aca="1" ref="E15" ca="1">SUMSQ(C15:D15-C$5:D$5)</f>
        <v>117.49528150683076</v>
      </c>
      <c r="F15" s="15" cm="1">
        <f t="array" aca="1" ref="F15" ca="1">SUMSQ(C15:D15-C$6:D$6)</f>
        <v>28.032155424725893</v>
      </c>
      <c r="G15" s="15" cm="1">
        <f t="array" aca="1" ref="G15" ca="1">SUMSQ(C15:D15-C$7:D$7)</f>
        <v>6.2032478220948066</v>
      </c>
      <c r="H15" s="15">
        <f t="shared" ca="1" si="1"/>
        <v>3</v>
      </c>
    </row>
    <row r="16" spans="2:8" x14ac:dyDescent="0.3">
      <c r="B16" s="15" t="s">
        <v>59</v>
      </c>
      <c r="C16" s="15">
        <f t="shared" ref="C16:D17" ca="1" si="3">_xlfn.NORM.INV(RAND(),8,1)</f>
        <v>8.7133545147571763</v>
      </c>
      <c r="D16" s="15">
        <f t="shared" ca="1" si="3"/>
        <v>8.5783979227837204</v>
      </c>
      <c r="E16" s="15" cm="1">
        <f t="array" aca="1" ref="E16" ca="1">SUMSQ(C16:D16-C$5:D$5)</f>
        <v>116.92795294637753</v>
      </c>
      <c r="F16" s="15" cm="1">
        <f t="array" aca="1" ref="F16" ca="1">SUMSQ(C16:D16-C$6:D$6)</f>
        <v>26.59393344605035</v>
      </c>
      <c r="G16" s="15" cm="1">
        <f t="array" aca="1" ref="G16" ca="1">SUMSQ(C16:D16-C$7:D$7)</f>
        <v>3.6764090706413821</v>
      </c>
      <c r="H16" s="15">
        <f t="shared" ca="1" si="1"/>
        <v>3</v>
      </c>
    </row>
    <row r="17" spans="1:8" x14ac:dyDescent="0.3">
      <c r="B17" s="15" t="s">
        <v>60</v>
      </c>
      <c r="C17" s="15">
        <f t="shared" ca="1" si="3"/>
        <v>8.5690519066987392</v>
      </c>
      <c r="D17" s="15">
        <f t="shared" ca="1" si="3"/>
        <v>9.8616834421061306</v>
      </c>
      <c r="E17" s="15" cm="1">
        <f t="array" aca="1" ref="E17" ca="1">SUMSQ(C17:D17-C$5:D$5)</f>
        <v>135.81998019439777</v>
      </c>
      <c r="F17" s="15" cm="1">
        <f t="array" aca="1" ref="F17" ca="1">SUMSQ(C17:D17-C$6:D$6)</f>
        <v>36.374097403958821</v>
      </c>
      <c r="G17" s="15" cm="1">
        <f t="array" aca="1" ref="G17" ca="1">SUMSQ(C17:D17-C$7:D$7)</f>
        <v>2.0667439159101222</v>
      </c>
      <c r="H17" s="15">
        <f t="shared" ca="1" si="1"/>
        <v>3</v>
      </c>
    </row>
    <row r="19" spans="1:8" x14ac:dyDescent="0.3">
      <c r="A19" s="15">
        <v>1</v>
      </c>
      <c r="B19" s="17" t="s">
        <v>49</v>
      </c>
      <c r="C19" s="15">
        <f ca="1">AVERAGEIF($H$9:$H$17,A19,$C$9:$C$17)</f>
        <v>2.2488492532290638</v>
      </c>
      <c r="D19" s="15">
        <f ca="1">AVERAGEIF($H$9:$H$17,A19,$D$9:$D$17)</f>
        <v>1.4103581809641581</v>
      </c>
    </row>
    <row r="20" spans="1:8" x14ac:dyDescent="0.3">
      <c r="A20" s="15">
        <v>2</v>
      </c>
      <c r="B20" s="17" t="s">
        <v>50</v>
      </c>
      <c r="C20" s="15">
        <f ca="1">AVERAGEIF($H$9:$H$17,A20,$C$9:$C$17)</f>
        <v>4.5533898804609452</v>
      </c>
      <c r="D20" s="15">
        <f ca="1">AVERAGEIF($H$9:$H$17,A20,$D$9:$D$17)</f>
        <v>2.6637798973108606</v>
      </c>
    </row>
    <row r="21" spans="1:8" x14ac:dyDescent="0.3">
      <c r="A21" s="15">
        <v>3</v>
      </c>
      <c r="B21" s="17" t="s">
        <v>51</v>
      </c>
      <c r="C21" s="15">
        <f ca="1">AVERAGEIF($H$9:$H$17,A21,$C$9:$C$17)</f>
        <v>8.2722289406937062</v>
      </c>
      <c r="D21" s="15">
        <f ca="1">AVERAGEIF($H$9:$H$17,A21,$D$9:$D$17)</f>
        <v>9.362897241509252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EBE7F-0CD0-6347-A936-9872C9FC0F08}">
  <sheetPr codeName="Sheet11">
    <tabColor rgb="FFC0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43B6D-E405-6340-B8D9-21A205AD0F6E}">
  <sheetPr codeName="Sheet13">
    <tabColor rgb="FFC00000"/>
  </sheetPr>
  <dimension ref="A1:B11"/>
  <sheetViews>
    <sheetView workbookViewId="0">
      <selection activeCell="A7" sqref="A7"/>
    </sheetView>
  </sheetViews>
  <sheetFormatPr baseColWidth="10" defaultRowHeight="26" x14ac:dyDescent="0.3"/>
  <cols>
    <col min="1" max="16384" width="10.83203125" style="1"/>
  </cols>
  <sheetData>
    <row r="1" spans="1:2" x14ac:dyDescent="0.3">
      <c r="A1" s="3" t="s">
        <v>350</v>
      </c>
    </row>
    <row r="2" spans="1:2" x14ac:dyDescent="0.3">
      <c r="B2" s="3" t="s">
        <v>356</v>
      </c>
    </row>
    <row r="4" spans="1:2" ht="92" x14ac:dyDescent="1">
      <c r="B4" s="126" t="s">
        <v>350</v>
      </c>
    </row>
    <row r="5" spans="1:2" ht="92" x14ac:dyDescent="1">
      <c r="B5" s="126" t="s">
        <v>351</v>
      </c>
    </row>
    <row r="7" spans="1:2" x14ac:dyDescent="0.3">
      <c r="B7" s="1" t="s">
        <v>352</v>
      </c>
    </row>
    <row r="8" spans="1:2" x14ac:dyDescent="0.3">
      <c r="B8" s="1" t="s">
        <v>354</v>
      </c>
    </row>
    <row r="10" spans="1:2" x14ac:dyDescent="0.3">
      <c r="B10" s="1" t="s">
        <v>353</v>
      </c>
    </row>
    <row r="11" spans="1:2" x14ac:dyDescent="0.3">
      <c r="B11" s="1" t="s">
        <v>355</v>
      </c>
    </row>
  </sheetData>
  <hyperlinks>
    <hyperlink ref="B2" r:id="rId1" xr:uid="{E95CE5E8-0245-9043-9D78-9C1E14A081E3}"/>
    <hyperlink ref="A1" r:id="rId2" xr:uid="{A28809E6-BE11-BF4D-A199-2150DA297589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69A34-CA58-9643-A58D-35D8B51DFD6A}">
  <sheetPr codeName="Sheet14">
    <tabColor rgb="FFC00000"/>
  </sheetPr>
  <dimension ref="A1:C3"/>
  <sheetViews>
    <sheetView workbookViewId="0">
      <selection activeCell="A7" sqref="A7"/>
    </sheetView>
  </sheetViews>
  <sheetFormatPr baseColWidth="10" defaultRowHeight="26" x14ac:dyDescent="0.3"/>
  <cols>
    <col min="1" max="16384" width="10.83203125" style="1"/>
  </cols>
  <sheetData>
    <row r="1" spans="1:3" x14ac:dyDescent="0.3">
      <c r="A1" s="3" t="s">
        <v>366</v>
      </c>
    </row>
    <row r="2" spans="1:3" x14ac:dyDescent="0.3">
      <c r="A2" s="3" t="s">
        <v>367</v>
      </c>
    </row>
    <row r="3" spans="1:3" x14ac:dyDescent="0.3">
      <c r="A3" s="3" t="s">
        <v>359</v>
      </c>
      <c r="B3" s="3"/>
      <c r="C3" s="3" t="s">
        <v>299</v>
      </c>
    </row>
  </sheetData>
  <phoneticPr fontId="7" type="noConversion"/>
  <hyperlinks>
    <hyperlink ref="C3" r:id="rId1" xr:uid="{29F8E9BE-885B-A244-A630-EA3440AAEEA4}"/>
    <hyperlink ref="A3" r:id="rId2" display="Silhouette" xr:uid="{8707149D-A1D6-4145-B650-DD6B7B2C0618}"/>
    <hyperlink ref="A1" r:id="rId3" xr:uid="{3231AEE9-FA24-6242-82B9-D69E8B04CFAC}"/>
    <hyperlink ref="A2" r:id="rId4" xr:uid="{57A00E82-BB37-E24D-ADE2-FECF3F8E313E}"/>
  </hyperlinks>
  <pageMargins left="0.7" right="0.7" top="0.75" bottom="0.75" header="0.3" footer="0.3"/>
  <drawing r:id="rId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79E3D-BCC3-E846-A15C-D67BB40F5680}">
  <sheetPr codeName="Sheet15">
    <tabColor rgb="FFFF0000"/>
  </sheetPr>
  <dimension ref="A1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F7421-8773-A340-A93E-94EB2BB3834D}">
  <sheetPr codeName="Sheet3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5CF3C-4822-9B4B-AFA0-7924F97C0688}">
  <sheetPr codeName="Sheet27">
    <tabColor rgb="FF002060"/>
  </sheetPr>
  <dimension ref="A1:A7"/>
  <sheetViews>
    <sheetView workbookViewId="0">
      <selection sqref="A1:A7"/>
    </sheetView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239</v>
      </c>
    </row>
    <row r="2" spans="1:1" x14ac:dyDescent="0.3">
      <c r="A2" s="95" t="s">
        <v>240</v>
      </c>
    </row>
    <row r="3" spans="1:1" x14ac:dyDescent="0.3">
      <c r="A3" s="95" t="s">
        <v>241</v>
      </c>
    </row>
    <row r="4" spans="1:1" x14ac:dyDescent="0.3">
      <c r="A4" s="95" t="s">
        <v>242</v>
      </c>
    </row>
    <row r="5" spans="1:1" x14ac:dyDescent="0.3">
      <c r="A5" s="95" t="s">
        <v>243</v>
      </c>
    </row>
    <row r="6" spans="1:1" x14ac:dyDescent="0.3">
      <c r="A6" s="95" t="s">
        <v>244</v>
      </c>
    </row>
    <row r="7" spans="1:1" x14ac:dyDescent="0.3">
      <c r="A7" s="95" t="s">
        <v>245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1B425-9C6F-6045-919A-C49E076779FE}">
  <sheetPr codeName="Sheet32">
    <tabColor rgb="FFFF0000"/>
  </sheetPr>
  <dimension ref="A1:C32"/>
  <sheetViews>
    <sheetView workbookViewId="0"/>
  </sheetViews>
  <sheetFormatPr baseColWidth="10" defaultRowHeight="19" x14ac:dyDescent="0.25"/>
  <cols>
    <col min="1" max="16384" width="10.83203125" style="21"/>
  </cols>
  <sheetData>
    <row r="1" spans="1:3" x14ac:dyDescent="0.25">
      <c r="A1" s="3" t="s">
        <v>257</v>
      </c>
    </row>
    <row r="2" spans="1:3" x14ac:dyDescent="0.25">
      <c r="B2" s="21" t="s">
        <v>74</v>
      </c>
      <c r="C2" s="21" t="s">
        <v>2</v>
      </c>
    </row>
    <row r="3" spans="1:3" x14ac:dyDescent="0.25">
      <c r="A3" s="21">
        <v>1</v>
      </c>
      <c r="B3" s="21">
        <v>0.20943951023931953</v>
      </c>
      <c r="C3" s="21">
        <v>-1.0584942919841807</v>
      </c>
    </row>
    <row r="4" spans="1:3" x14ac:dyDescent="0.25">
      <c r="A4" s="21">
        <v>2</v>
      </c>
      <c r="B4" s="21">
        <v>0.41887902047863906</v>
      </c>
      <c r="C4" s="21">
        <v>-1.0115837814668849</v>
      </c>
    </row>
    <row r="5" spans="1:3" x14ac:dyDescent="0.25">
      <c r="A5" s="21">
        <v>3</v>
      </c>
      <c r="B5" s="21">
        <v>0.62831853071795862</v>
      </c>
      <c r="C5" s="21">
        <v>-0.67059413777823096</v>
      </c>
    </row>
    <row r="6" spans="1:3" x14ac:dyDescent="0.25">
      <c r="A6" s="21">
        <v>4</v>
      </c>
      <c r="B6" s="21">
        <v>0.83775804095727813</v>
      </c>
      <c r="C6" s="21">
        <v>-7.8907528339460575E-2</v>
      </c>
    </row>
    <row r="7" spans="1:3" x14ac:dyDescent="0.25">
      <c r="A7" s="21">
        <v>5</v>
      </c>
      <c r="B7" s="21">
        <v>1.0471975511965976</v>
      </c>
      <c r="C7" s="21">
        <v>0.19372967770232674</v>
      </c>
    </row>
    <row r="8" spans="1:3" x14ac:dyDescent="0.25">
      <c r="A8" s="21">
        <v>6</v>
      </c>
      <c r="B8" s="21">
        <v>1.2566370614359172</v>
      </c>
      <c r="C8" s="21">
        <v>0.71211759028393917</v>
      </c>
    </row>
    <row r="9" spans="1:3" x14ac:dyDescent="0.25">
      <c r="A9" s="21">
        <v>7</v>
      </c>
      <c r="B9" s="21">
        <v>1.4660765716752369</v>
      </c>
      <c r="C9" s="21">
        <v>0.46458641028249809</v>
      </c>
    </row>
    <row r="10" spans="1:3" x14ac:dyDescent="0.25">
      <c r="A10" s="21">
        <v>8</v>
      </c>
      <c r="B10" s="21">
        <v>1.6755160819145563</v>
      </c>
      <c r="C10" s="21">
        <v>1.0904375200021745</v>
      </c>
    </row>
    <row r="11" spans="1:3" x14ac:dyDescent="0.25">
      <c r="A11" s="21">
        <v>9</v>
      </c>
      <c r="B11" s="21">
        <v>1.8849555921538759</v>
      </c>
      <c r="C11" s="21">
        <v>0.73460352450894062</v>
      </c>
    </row>
    <row r="12" spans="1:3" x14ac:dyDescent="0.25">
      <c r="A12" s="21">
        <v>10</v>
      </c>
      <c r="B12" s="21">
        <v>2.0943951023931953</v>
      </c>
      <c r="C12" s="21">
        <v>0.65405740699127635</v>
      </c>
    </row>
    <row r="13" spans="1:3" x14ac:dyDescent="0.25">
      <c r="A13" s="21">
        <v>11</v>
      </c>
      <c r="B13" s="21">
        <v>2.3038346126325147</v>
      </c>
      <c r="C13" s="21">
        <v>0.57004534084851322</v>
      </c>
    </row>
    <row r="14" spans="1:3" x14ac:dyDescent="0.25">
      <c r="A14" s="21">
        <v>12</v>
      </c>
      <c r="B14" s="21">
        <v>2.5132741228718345</v>
      </c>
      <c r="C14" s="21">
        <v>-0.15194780570688993</v>
      </c>
    </row>
    <row r="15" spans="1:3" x14ac:dyDescent="0.25">
      <c r="A15" s="21">
        <v>13</v>
      </c>
      <c r="B15" s="21">
        <v>2.7227136331111543</v>
      </c>
      <c r="C15" s="21">
        <v>4.9191643383140769E-2</v>
      </c>
    </row>
    <row r="16" spans="1:3" x14ac:dyDescent="0.25">
      <c r="A16" s="21">
        <v>14</v>
      </c>
      <c r="B16" s="21">
        <v>2.9321531433504737</v>
      </c>
      <c r="C16" s="21">
        <v>-0.23766540139636769</v>
      </c>
    </row>
    <row r="17" spans="1:3" x14ac:dyDescent="0.25">
      <c r="A17" s="21">
        <v>15</v>
      </c>
      <c r="B17" s="21">
        <v>3.1415926535897927</v>
      </c>
      <c r="C17" s="21">
        <v>7.2641248128490127E-2</v>
      </c>
    </row>
    <row r="18" spans="1:3" x14ac:dyDescent="0.25">
      <c r="A18" s="21">
        <v>16</v>
      </c>
      <c r="B18" s="21">
        <v>3.3510321638291125</v>
      </c>
      <c r="C18" s="21">
        <v>2.1344472249498331E-2</v>
      </c>
    </row>
    <row r="19" spans="1:3" x14ac:dyDescent="0.25">
      <c r="A19" s="21">
        <v>17</v>
      </c>
      <c r="B19" s="21">
        <v>3.5604716740684323</v>
      </c>
      <c r="C19" s="21">
        <v>4.3416060207188134E-4</v>
      </c>
    </row>
    <row r="20" spans="1:3" x14ac:dyDescent="0.25">
      <c r="A20" s="21">
        <v>18</v>
      </c>
      <c r="B20" s="21">
        <v>3.7699111843077517</v>
      </c>
      <c r="C20" s="21">
        <v>-0.48127635421609938</v>
      </c>
    </row>
    <row r="21" spans="1:3" x14ac:dyDescent="0.25">
      <c r="A21" s="21">
        <v>19</v>
      </c>
      <c r="B21" s="21">
        <v>3.9793506945470711</v>
      </c>
      <c r="C21" s="21">
        <v>-0.33927941399176736</v>
      </c>
    </row>
    <row r="22" spans="1:3" x14ac:dyDescent="0.25">
      <c r="A22" s="21">
        <v>20</v>
      </c>
      <c r="B22" s="21">
        <v>4.1887902047863905</v>
      </c>
      <c r="C22" s="21">
        <v>-0.66663393104980051</v>
      </c>
    </row>
    <row r="23" spans="1:3" x14ac:dyDescent="0.25">
      <c r="A23" s="21">
        <v>21</v>
      </c>
      <c r="B23" s="21">
        <v>4.3982297150257104</v>
      </c>
      <c r="C23" s="21">
        <v>-0.82049127729304749</v>
      </c>
    </row>
    <row r="24" spans="1:3" x14ac:dyDescent="0.25">
      <c r="A24" s="21">
        <v>22</v>
      </c>
      <c r="B24" s="21">
        <v>4.6076692252650293</v>
      </c>
      <c r="C24" s="21">
        <v>-0.93606956280844389</v>
      </c>
    </row>
    <row r="25" spans="1:3" x14ac:dyDescent="0.25">
      <c r="A25" s="21">
        <v>23</v>
      </c>
      <c r="B25" s="21">
        <v>4.8171087355043491</v>
      </c>
      <c r="C25" s="21">
        <v>-0.70020245579705642</v>
      </c>
    </row>
    <row r="26" spans="1:3" x14ac:dyDescent="0.25">
      <c r="A26" s="21">
        <v>24</v>
      </c>
      <c r="B26" s="21">
        <v>5.026548245743669</v>
      </c>
      <c r="C26" s="21">
        <v>-0.48320257654754589</v>
      </c>
    </row>
    <row r="27" spans="1:3" x14ac:dyDescent="0.25">
      <c r="A27" s="21">
        <v>25</v>
      </c>
      <c r="B27" s="21">
        <v>5.2359877559829888</v>
      </c>
      <c r="C27" s="21">
        <v>2.507130588071016E-2</v>
      </c>
    </row>
    <row r="28" spans="1:3" x14ac:dyDescent="0.25">
      <c r="A28" s="21">
        <v>26</v>
      </c>
      <c r="B28" s="21">
        <v>5.4454272662223087</v>
      </c>
      <c r="C28" s="21">
        <v>0.14363276847356277</v>
      </c>
    </row>
    <row r="29" spans="1:3" x14ac:dyDescent="0.25">
      <c r="A29" s="21">
        <v>27</v>
      </c>
      <c r="B29" s="21">
        <v>5.6548667764616276</v>
      </c>
      <c r="C29" s="21">
        <v>0.25366487237671459</v>
      </c>
    </row>
    <row r="30" spans="1:3" x14ac:dyDescent="0.25">
      <c r="A30" s="21">
        <v>28</v>
      </c>
      <c r="B30" s="21">
        <v>5.8643062867009474</v>
      </c>
      <c r="C30" s="21">
        <v>1.2946583886008181</v>
      </c>
    </row>
    <row r="31" spans="1:3" x14ac:dyDescent="0.25">
      <c r="A31" s="21">
        <v>29</v>
      </c>
      <c r="B31" s="21">
        <v>6.0737457969402673</v>
      </c>
      <c r="C31" s="21">
        <v>1.2745794914650472</v>
      </c>
    </row>
    <row r="32" spans="1:3" x14ac:dyDescent="0.25">
      <c r="A32" s="21">
        <v>30</v>
      </c>
      <c r="B32" s="21">
        <v>6.2831853071795853</v>
      </c>
      <c r="C32" s="21">
        <v>1.3982376248155151</v>
      </c>
    </row>
  </sheetData>
  <hyperlinks>
    <hyperlink ref="A1" r:id="rId1" xr:uid="{A9B546F8-B324-1F43-A973-4DFB4C014308}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639B0-3060-3A41-B4B7-F0CACC65CD6C}">
  <sheetPr codeName="Sheet3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21"/>
  </cols>
  <sheetData>
    <row r="2" spans="1:10" x14ac:dyDescent="0.25">
      <c r="B2" s="21" t="s">
        <v>74</v>
      </c>
      <c r="C2" s="21" t="s">
        <v>1</v>
      </c>
      <c r="D2" s="21" t="s">
        <v>3</v>
      </c>
      <c r="E2" s="21" t="s">
        <v>2</v>
      </c>
      <c r="F2" s="21" t="s">
        <v>0</v>
      </c>
    </row>
    <row r="3" spans="1:10" x14ac:dyDescent="0.25">
      <c r="A3" s="21">
        <v>1</v>
      </c>
      <c r="B3" s="21">
        <v>0.20943951023931953</v>
      </c>
      <c r="C3" s="21">
        <f t="shared" ref="C3:C32" si="0">B3^2</f>
        <v>4.3864908449286033E-2</v>
      </c>
      <c r="D3" s="21">
        <f t="shared" ref="D3:D32" si="1">B3^3</f>
        <v>9.1870449423110557E-3</v>
      </c>
      <c r="E3" s="21">
        <v>-1.0584942919841807</v>
      </c>
      <c r="F3" s="21" cm="1">
        <f t="array" ref="F3:F32">TREND(E3:E32,B3:D32,B3:D32,1)</f>
        <v>-1.2888007502634404</v>
      </c>
      <c r="G3" s="21" cm="1">
        <f t="array" ref="G3:J7">LINEST(E3:E32,B3:D32,1,1)</f>
        <v>0.13072680831182865</v>
      </c>
      <c r="H3" s="21">
        <v>-1.2322254546610762</v>
      </c>
      <c r="I3" s="21">
        <v>3.1805413197669328</v>
      </c>
      <c r="J3" s="21">
        <v>-1.9020813028768835</v>
      </c>
    </row>
    <row r="4" spans="1:10" x14ac:dyDescent="0.25">
      <c r="A4" s="21">
        <v>2</v>
      </c>
      <c r="B4" s="21">
        <v>0.41887902047863906</v>
      </c>
      <c r="C4" s="21">
        <f t="shared" si="0"/>
        <v>0.17545963379714413</v>
      </c>
      <c r="D4" s="21">
        <f t="shared" si="1"/>
        <v>7.3496359538488445E-2</v>
      </c>
      <c r="E4" s="21">
        <v>-1.0115837814668849</v>
      </c>
      <c r="F4" s="21">
        <v>-0.77641715278641943</v>
      </c>
      <c r="G4" s="21">
        <v>1.0984176298449744E-2</v>
      </c>
      <c r="H4" s="21">
        <v>0.10838182968397431</v>
      </c>
      <c r="I4" s="21">
        <v>0.3054826840308264</v>
      </c>
      <c r="J4" s="21">
        <v>0.23282406038839545</v>
      </c>
    </row>
    <row r="5" spans="1:10" x14ac:dyDescent="0.25">
      <c r="A5" s="21">
        <v>3</v>
      </c>
      <c r="B5" s="21">
        <v>0.62831853071795862</v>
      </c>
      <c r="C5" s="21">
        <f t="shared" si="0"/>
        <v>0.3947841760435743</v>
      </c>
      <c r="D5" s="21">
        <f t="shared" si="1"/>
        <v>0.24805021344239853</v>
      </c>
      <c r="E5" s="21">
        <v>-0.67059413777823096</v>
      </c>
      <c r="F5" s="21">
        <v>-0.35772455206706644</v>
      </c>
      <c r="G5" s="21">
        <v>0.85739799271598294</v>
      </c>
      <c r="H5" s="21">
        <v>0.27983217634102292</v>
      </c>
      <c r="I5" s="21" t="e">
        <v>#N/A</v>
      </c>
      <c r="J5" s="21" t="e">
        <v>#N/A</v>
      </c>
    </row>
    <row r="6" spans="1:10" x14ac:dyDescent="0.25">
      <c r="A6" s="21">
        <v>4</v>
      </c>
      <c r="B6" s="21">
        <v>0.83775804095727813</v>
      </c>
      <c r="C6" s="21">
        <f t="shared" si="0"/>
        <v>0.70183853518857653</v>
      </c>
      <c r="D6" s="21">
        <f t="shared" si="1"/>
        <v>0.58797087630790756</v>
      </c>
      <c r="E6" s="21">
        <v>-7.8907528339460575E-2</v>
      </c>
      <c r="F6" s="21">
        <v>-2.5516989726627637E-2</v>
      </c>
      <c r="G6" s="21">
        <v>52.108541422834264</v>
      </c>
      <c r="H6" s="21">
        <v>26</v>
      </c>
      <c r="I6" s="21" t="e">
        <v>#N/A</v>
      </c>
      <c r="J6" s="21" t="e">
        <v>#N/A</v>
      </c>
    </row>
    <row r="7" spans="1:10" x14ac:dyDescent="0.25">
      <c r="A7" s="21">
        <v>5</v>
      </c>
      <c r="B7" s="21">
        <v>1.0471975511965976</v>
      </c>
      <c r="C7" s="21">
        <f t="shared" si="0"/>
        <v>1.0966227112321507</v>
      </c>
      <c r="D7" s="21">
        <f t="shared" si="1"/>
        <v>1.1483806177888818</v>
      </c>
      <c r="E7" s="21">
        <v>0.19372967770232674</v>
      </c>
      <c r="F7" s="21">
        <v>0.22741149261365079</v>
      </c>
      <c r="G7" s="21">
        <v>12.241241668103809</v>
      </c>
      <c r="H7" s="21">
        <v>2.0359572198095872</v>
      </c>
      <c r="I7" s="21" t="e">
        <v>#N/A</v>
      </c>
      <c r="J7" s="21" t="e">
        <v>#N/A</v>
      </c>
    </row>
    <row r="8" spans="1:10" x14ac:dyDescent="0.25">
      <c r="A8" s="21">
        <v>6</v>
      </c>
      <c r="B8" s="21">
        <v>1.2566370614359172</v>
      </c>
      <c r="C8" s="21">
        <f t="shared" si="0"/>
        <v>1.5791367041742972</v>
      </c>
      <c r="D8" s="21">
        <f t="shared" si="1"/>
        <v>1.9844017075391882</v>
      </c>
      <c r="E8" s="21">
        <v>0.71211759028393917</v>
      </c>
      <c r="F8" s="21">
        <v>0.40826685333252311</v>
      </c>
    </row>
    <row r="9" spans="1:10" x14ac:dyDescent="0.25">
      <c r="A9" s="21">
        <v>7</v>
      </c>
      <c r="B9" s="21">
        <v>1.4660765716752369</v>
      </c>
      <c r="C9" s="21">
        <f t="shared" si="0"/>
        <v>2.1493805140150157</v>
      </c>
      <c r="D9" s="21">
        <f t="shared" si="1"/>
        <v>3.1511564152126925</v>
      </c>
      <c r="E9" s="21">
        <v>0.46458641028249809</v>
      </c>
      <c r="F9" s="21">
        <v>0.52425505080874224</v>
      </c>
    </row>
    <row r="10" spans="1:10" x14ac:dyDescent="0.25">
      <c r="A10" s="21">
        <v>8</v>
      </c>
      <c r="B10" s="21">
        <v>1.6755160819145563</v>
      </c>
      <c r="C10" s="21">
        <f t="shared" si="0"/>
        <v>2.8073541407543061</v>
      </c>
      <c r="D10" s="21">
        <f t="shared" si="1"/>
        <v>4.7037670104632605</v>
      </c>
      <c r="E10" s="21">
        <v>1.0904375200021745</v>
      </c>
      <c r="F10" s="21">
        <v>0.58258204342106357</v>
      </c>
    </row>
    <row r="11" spans="1:10" x14ac:dyDescent="0.25">
      <c r="A11" s="21">
        <v>9</v>
      </c>
      <c r="B11" s="21">
        <v>1.8849555921538759</v>
      </c>
      <c r="C11" s="21">
        <f t="shared" si="0"/>
        <v>3.5530575843921688</v>
      </c>
      <c r="D11" s="21">
        <f t="shared" si="1"/>
        <v>6.6973557629447606</v>
      </c>
      <c r="E11" s="21">
        <v>0.73460352450894062</v>
      </c>
      <c r="F11" s="21">
        <v>0.59045378954824024</v>
      </c>
    </row>
    <row r="12" spans="1:10" x14ac:dyDescent="0.25">
      <c r="A12" s="21">
        <v>10</v>
      </c>
      <c r="B12" s="21">
        <v>2.0943951023931953</v>
      </c>
      <c r="C12" s="21">
        <f t="shared" si="0"/>
        <v>4.3864908449286029</v>
      </c>
      <c r="D12" s="21">
        <f t="shared" si="1"/>
        <v>9.1870449423110543</v>
      </c>
      <c r="E12" s="21">
        <v>0.65405740699127635</v>
      </c>
      <c r="F12" s="21">
        <v>0.5550762475690254</v>
      </c>
    </row>
    <row r="13" spans="1:10" x14ac:dyDescent="0.25">
      <c r="A13" s="21">
        <v>11</v>
      </c>
      <c r="B13" s="21">
        <v>2.3038346126325147</v>
      </c>
      <c r="C13" s="21">
        <f t="shared" si="0"/>
        <v>5.3076539223636088</v>
      </c>
      <c r="D13" s="21">
        <f t="shared" si="1"/>
        <v>12.227956818216011</v>
      </c>
      <c r="E13" s="21">
        <v>0.57004534084851322</v>
      </c>
      <c r="F13" s="21">
        <v>0.48365537586217577</v>
      </c>
    </row>
    <row r="14" spans="1:10" x14ac:dyDescent="0.25">
      <c r="A14" s="21">
        <v>12</v>
      </c>
      <c r="B14" s="21">
        <v>2.5132741228718345</v>
      </c>
      <c r="C14" s="21">
        <f t="shared" si="0"/>
        <v>6.3165468166971888</v>
      </c>
      <c r="D14" s="21">
        <f t="shared" si="1"/>
        <v>15.875213660313506</v>
      </c>
      <c r="E14" s="21">
        <v>-0.15194780570688993</v>
      </c>
      <c r="F14" s="21">
        <v>0.38339713280644183</v>
      </c>
    </row>
    <row r="15" spans="1:10" x14ac:dyDescent="0.25">
      <c r="A15" s="21">
        <v>13</v>
      </c>
      <c r="B15" s="21">
        <v>2.7227136331111543</v>
      </c>
      <c r="C15" s="21">
        <f t="shared" si="0"/>
        <v>7.4131695279293419</v>
      </c>
      <c r="D15" s="21">
        <f t="shared" si="1"/>
        <v>20.183937738257399</v>
      </c>
      <c r="E15" s="21">
        <v>4.9191643383140769E-2</v>
      </c>
      <c r="F15" s="21">
        <v>0.26150747678057851</v>
      </c>
    </row>
    <row r="16" spans="1:10" x14ac:dyDescent="0.25">
      <c r="A16" s="21">
        <v>14</v>
      </c>
      <c r="B16" s="21">
        <v>2.9321531433504737</v>
      </c>
      <c r="C16" s="21">
        <f t="shared" si="0"/>
        <v>8.5975220560600629</v>
      </c>
      <c r="D16" s="21">
        <f t="shared" si="1"/>
        <v>25.20925132170154</v>
      </c>
      <c r="E16" s="21">
        <v>-0.23766540139636769</v>
      </c>
      <c r="F16" s="21">
        <v>0.12519236616333984</v>
      </c>
    </row>
    <row r="17" spans="1:6" x14ac:dyDescent="0.25">
      <c r="A17" s="21">
        <v>15</v>
      </c>
      <c r="B17" s="21">
        <v>3.1415926535897927</v>
      </c>
      <c r="C17" s="21">
        <f t="shared" si="0"/>
        <v>9.8696044010893544</v>
      </c>
      <c r="D17" s="21">
        <f t="shared" si="1"/>
        <v>31.006276680299802</v>
      </c>
      <c r="E17" s="21">
        <v>7.2641248128490127E-2</v>
      </c>
      <c r="F17" s="21">
        <v>-1.8342240666517462E-2</v>
      </c>
    </row>
    <row r="18" spans="1:6" x14ac:dyDescent="0.25">
      <c r="A18" s="21">
        <v>16</v>
      </c>
      <c r="B18" s="21">
        <v>3.3510321638291125</v>
      </c>
      <c r="C18" s="21">
        <f t="shared" si="0"/>
        <v>11.229416563017224</v>
      </c>
      <c r="D18" s="21">
        <f t="shared" si="1"/>
        <v>37.630136083706084</v>
      </c>
      <c r="E18" s="21">
        <v>2.1344472249498331E-2</v>
      </c>
      <c r="F18" s="21">
        <v>-0.16189038533024558</v>
      </c>
    </row>
    <row r="19" spans="1:6" x14ac:dyDescent="0.25">
      <c r="A19" s="21">
        <v>17</v>
      </c>
      <c r="B19" s="21">
        <v>3.5604716740684323</v>
      </c>
      <c r="C19" s="21">
        <f t="shared" si="0"/>
        <v>12.676958541843666</v>
      </c>
      <c r="D19" s="21">
        <f t="shared" si="1"/>
        <v>45.13595180157423</v>
      </c>
      <c r="E19" s="21">
        <v>4.3416060207188134E-4</v>
      </c>
      <c r="F19" s="21">
        <v>-0.29824610944908514</v>
      </c>
    </row>
    <row r="20" spans="1:6" x14ac:dyDescent="0.25">
      <c r="A20" s="21">
        <v>18</v>
      </c>
      <c r="B20" s="21">
        <v>3.7699111843077517</v>
      </c>
      <c r="C20" s="21">
        <f t="shared" si="0"/>
        <v>14.212230337568675</v>
      </c>
      <c r="D20" s="21">
        <f t="shared" si="1"/>
        <v>53.578846103558085</v>
      </c>
      <c r="E20" s="21">
        <v>-0.48127635421609938</v>
      </c>
      <c r="F20" s="21">
        <v>-0.4202034546442821</v>
      </c>
    </row>
    <row r="21" spans="1:6" x14ac:dyDescent="0.25">
      <c r="A21" s="21">
        <v>19</v>
      </c>
      <c r="B21" s="21">
        <v>3.9793506945470711</v>
      </c>
      <c r="C21" s="21">
        <f t="shared" si="0"/>
        <v>15.835231950192258</v>
      </c>
      <c r="D21" s="21">
        <f t="shared" si="1"/>
        <v>63.01394125931153</v>
      </c>
      <c r="E21" s="21">
        <v>-0.33927941399176736</v>
      </c>
      <c r="F21" s="21">
        <v>-0.52055646253708687</v>
      </c>
    </row>
    <row r="22" spans="1:6" x14ac:dyDescent="0.25">
      <c r="A22" s="21">
        <v>20</v>
      </c>
      <c r="B22" s="21">
        <v>4.1887902047863905</v>
      </c>
      <c r="C22" s="21">
        <f t="shared" si="0"/>
        <v>17.545963379714411</v>
      </c>
      <c r="D22" s="21">
        <f t="shared" si="1"/>
        <v>73.496359538488434</v>
      </c>
      <c r="E22" s="21">
        <v>-0.66663393104980051</v>
      </c>
      <c r="F22" s="21">
        <v>-0.59209917474874629</v>
      </c>
    </row>
    <row r="23" spans="1:6" x14ac:dyDescent="0.25">
      <c r="A23" s="21">
        <v>21</v>
      </c>
      <c r="B23" s="21">
        <v>4.3982297150257104</v>
      </c>
      <c r="C23" s="21">
        <f t="shared" si="0"/>
        <v>19.34442462613514</v>
      </c>
      <c r="D23" s="21">
        <f t="shared" si="1"/>
        <v>85.081223210742692</v>
      </c>
      <c r="E23" s="21">
        <v>-0.82049127729304749</v>
      </c>
      <c r="F23" s="21">
        <v>-0.62762563290049656</v>
      </c>
    </row>
    <row r="24" spans="1:6" x14ac:dyDescent="0.25">
      <c r="A24" s="21">
        <v>22</v>
      </c>
      <c r="B24" s="21">
        <v>4.6076692252650293</v>
      </c>
      <c r="C24" s="21">
        <f t="shared" si="0"/>
        <v>21.230615689454435</v>
      </c>
      <c r="D24" s="21">
        <f t="shared" si="1"/>
        <v>97.82365454572809</v>
      </c>
      <c r="E24" s="21">
        <v>-0.93606956280844389</v>
      </c>
      <c r="F24" s="21">
        <v>-0.61992987861359516</v>
      </c>
    </row>
    <row r="25" spans="1:6" x14ac:dyDescent="0.25">
      <c r="A25" s="21">
        <v>23</v>
      </c>
      <c r="B25" s="21">
        <v>4.8171087355043491</v>
      </c>
      <c r="C25" s="21">
        <f t="shared" si="0"/>
        <v>23.20453656967231</v>
      </c>
      <c r="D25" s="21">
        <f t="shared" si="1"/>
        <v>111.7787758130986</v>
      </c>
      <c r="E25" s="21">
        <v>-0.70020245579705642</v>
      </c>
      <c r="F25" s="21">
        <v>-0.56180595350928364</v>
      </c>
    </row>
    <row r="26" spans="1:6" x14ac:dyDescent="0.25">
      <c r="A26" s="21">
        <v>24</v>
      </c>
      <c r="B26" s="21">
        <v>5.026548245743669</v>
      </c>
      <c r="C26" s="21">
        <f t="shared" si="0"/>
        <v>25.266187266788755</v>
      </c>
      <c r="D26" s="21">
        <f t="shared" si="1"/>
        <v>127.00170928250805</v>
      </c>
      <c r="E26" s="21">
        <v>-0.48320257654754589</v>
      </c>
      <c r="F26" s="21">
        <v>-0.4460478992088035</v>
      </c>
    </row>
    <row r="27" spans="1:6" x14ac:dyDescent="0.25">
      <c r="A27" s="21">
        <v>25</v>
      </c>
      <c r="B27" s="21">
        <v>5.2359877559829888</v>
      </c>
      <c r="C27" s="21">
        <f t="shared" si="0"/>
        <v>27.415567780803777</v>
      </c>
      <c r="D27" s="21">
        <f t="shared" si="1"/>
        <v>143.54757722361029</v>
      </c>
      <c r="E27" s="21">
        <v>2.507130588071016E-2</v>
      </c>
      <c r="F27" s="21">
        <v>-0.26544975733341403</v>
      </c>
    </row>
    <row r="28" spans="1:6" x14ac:dyDescent="0.25">
      <c r="A28" s="21">
        <v>26</v>
      </c>
      <c r="B28" s="21">
        <v>5.4454272662223087</v>
      </c>
      <c r="C28" s="21">
        <f t="shared" si="0"/>
        <v>29.652678111717368</v>
      </c>
      <c r="D28" s="21">
        <f t="shared" si="1"/>
        <v>161.47150190605919</v>
      </c>
      <c r="E28" s="21">
        <v>0.14363276847356277</v>
      </c>
      <c r="F28" s="21">
        <v>-1.2805569504340752E-2</v>
      </c>
    </row>
    <row r="29" spans="1:6" x14ac:dyDescent="0.25">
      <c r="A29" s="21">
        <v>27</v>
      </c>
      <c r="B29" s="21">
        <v>5.6548667764616276</v>
      </c>
      <c r="C29" s="21">
        <f t="shared" si="0"/>
        <v>31.977518259529518</v>
      </c>
      <c r="D29" s="21">
        <f t="shared" si="1"/>
        <v>180.82860559950853</v>
      </c>
      <c r="E29" s="21">
        <v>0.25366487237671459</v>
      </c>
      <c r="F29" s="21">
        <v>0.31909062265715349</v>
      </c>
    </row>
    <row r="30" spans="1:6" x14ac:dyDescent="0.25">
      <c r="A30" s="21">
        <v>28</v>
      </c>
      <c r="B30" s="21">
        <v>5.8643062867009474</v>
      </c>
      <c r="C30" s="21">
        <f t="shared" si="0"/>
        <v>34.390088224240252</v>
      </c>
      <c r="D30" s="21">
        <f t="shared" si="1"/>
        <v>201.67401057361232</v>
      </c>
      <c r="E30" s="21">
        <v>1.2946583886008181</v>
      </c>
      <c r="F30" s="21">
        <v>0.73744477752982007</v>
      </c>
    </row>
    <row r="31" spans="1:6" x14ac:dyDescent="0.25">
      <c r="A31" s="21">
        <v>29</v>
      </c>
      <c r="B31" s="21">
        <v>6.0737457969402673</v>
      </c>
      <c r="C31" s="21">
        <f t="shared" si="0"/>
        <v>36.890388005849566</v>
      </c>
      <c r="D31" s="21">
        <f t="shared" si="1"/>
        <v>224.06283909802445</v>
      </c>
      <c r="E31" s="21">
        <v>1.2745794914650472</v>
      </c>
      <c r="F31" s="21">
        <v>1.2494628534924281</v>
      </c>
    </row>
    <row r="32" spans="1:6" x14ac:dyDescent="0.25">
      <c r="A32" s="21">
        <v>30</v>
      </c>
      <c r="B32" s="21">
        <v>6.2831853071795853</v>
      </c>
      <c r="C32" s="21">
        <f t="shared" si="0"/>
        <v>39.478417604357418</v>
      </c>
      <c r="D32" s="21">
        <f t="shared" si="1"/>
        <v>248.05021344239842</v>
      </c>
      <c r="E32" s="21">
        <v>1.3982376248155151</v>
      </c>
      <c r="F32" s="21">
        <v>1.8623508089237184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1BCA2-EFFF-C14F-8EC3-1E15BDBFDC66}">
  <sheetPr codeName="Sheet34">
    <tabColor rgb="FFFF0000"/>
  </sheetPr>
  <dimension ref="A2:G32"/>
  <sheetViews>
    <sheetView workbookViewId="0"/>
  </sheetViews>
  <sheetFormatPr baseColWidth="10" defaultRowHeight="19" x14ac:dyDescent="0.25"/>
  <cols>
    <col min="1" max="16384" width="10.83203125" style="21"/>
  </cols>
  <sheetData>
    <row r="2" spans="1:7" s="22" customFormat="1" x14ac:dyDescent="0.25">
      <c r="B2" s="22" t="s">
        <v>74</v>
      </c>
      <c r="C2" s="22" t="s">
        <v>77</v>
      </c>
      <c r="D2" s="22" t="s">
        <v>76</v>
      </c>
      <c r="E2" s="22" t="s">
        <v>75</v>
      </c>
      <c r="F2" s="22" t="s">
        <v>2</v>
      </c>
      <c r="G2" s="22" t="s">
        <v>0</v>
      </c>
    </row>
    <row r="3" spans="1:7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v>-1.0584942919841807</v>
      </c>
      <c r="G3" s="21" cm="1">
        <f t="array" ref="G3:G32">TREND(F3:F32,C3:E32,C3:E32,FALSE)</f>
        <v>0.10299523902023984</v>
      </c>
    </row>
    <row r="4" spans="1:7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v>-1.0115837814668849</v>
      </c>
      <c r="G4" s="21">
        <v>0.10299523902023984</v>
      </c>
    </row>
    <row r="5" spans="1:7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v>-0.67059413777823096</v>
      </c>
      <c r="G5" s="21">
        <v>0.10299523902023984</v>
      </c>
    </row>
    <row r="6" spans="1:7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v>-7.8907528339460575E-2</v>
      </c>
      <c r="G6" s="21">
        <v>0.10299523902023984</v>
      </c>
    </row>
    <row r="7" spans="1:7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v>0.19372967770232674</v>
      </c>
      <c r="G7" s="21">
        <v>0.10299523902023984</v>
      </c>
    </row>
    <row r="8" spans="1:7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v>0</v>
      </c>
      <c r="F8" s="21">
        <v>0.71211759028393917</v>
      </c>
      <c r="G8" s="21">
        <v>0.10299523902023984</v>
      </c>
    </row>
    <row r="9" spans="1:7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v>0</v>
      </c>
      <c r="F9" s="21">
        <v>0.46458641028249809</v>
      </c>
      <c r="G9" s="21">
        <v>0.10299523902023984</v>
      </c>
    </row>
    <row r="10" spans="1:7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v>0</v>
      </c>
      <c r="F10" s="21">
        <v>1.0904375200021745</v>
      </c>
      <c r="G10" s="21">
        <v>0.10299523902023984</v>
      </c>
    </row>
    <row r="11" spans="1:7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v>0</v>
      </c>
      <c r="F11" s="21">
        <v>0.73460352450894062</v>
      </c>
      <c r="G11" s="21">
        <v>0.10299523902023984</v>
      </c>
    </row>
    <row r="12" spans="1:7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v>0</v>
      </c>
      <c r="F12" s="21">
        <v>0.65405740699127635</v>
      </c>
      <c r="G12" s="21">
        <v>0.10299523902023984</v>
      </c>
    </row>
    <row r="13" spans="1:7" x14ac:dyDescent="0.25">
      <c r="A13" s="21">
        <v>11</v>
      </c>
      <c r="B13" s="21">
        <v>2.3038346126325147</v>
      </c>
      <c r="C13" s="21">
        <v>0</v>
      </c>
      <c r="D13" s="21">
        <v>1</v>
      </c>
      <c r="E13" s="21">
        <v>0</v>
      </c>
      <c r="F13" s="21">
        <v>0.57004534084851322</v>
      </c>
      <c r="G13" s="21">
        <v>-0.11631460411492099</v>
      </c>
    </row>
    <row r="14" spans="1:7" x14ac:dyDescent="0.25">
      <c r="A14" s="21">
        <v>12</v>
      </c>
      <c r="B14" s="21">
        <v>2.5132741228718345</v>
      </c>
      <c r="C14" s="21">
        <v>0</v>
      </c>
      <c r="D14" s="21">
        <v>1</v>
      </c>
      <c r="E14" s="21">
        <v>0</v>
      </c>
      <c r="F14" s="21">
        <v>-0.15194780570688993</v>
      </c>
      <c r="G14" s="21">
        <v>-0.11631460411492099</v>
      </c>
    </row>
    <row r="15" spans="1:7" x14ac:dyDescent="0.25">
      <c r="A15" s="21">
        <v>13</v>
      </c>
      <c r="B15" s="21">
        <v>2.7227136331111543</v>
      </c>
      <c r="C15" s="21">
        <v>0</v>
      </c>
      <c r="D15" s="21">
        <v>1</v>
      </c>
      <c r="E15" s="21">
        <v>0</v>
      </c>
      <c r="F15" s="21">
        <v>4.9191643383140769E-2</v>
      </c>
      <c r="G15" s="21">
        <v>-0.11631460411492099</v>
      </c>
    </row>
    <row r="16" spans="1:7" x14ac:dyDescent="0.25">
      <c r="A16" s="21">
        <v>14</v>
      </c>
      <c r="B16" s="21">
        <v>2.9321531433504737</v>
      </c>
      <c r="C16" s="21">
        <v>0</v>
      </c>
      <c r="D16" s="21">
        <v>1</v>
      </c>
      <c r="E16" s="21">
        <v>0</v>
      </c>
      <c r="F16" s="21">
        <v>-0.23766540139636769</v>
      </c>
      <c r="G16" s="21">
        <v>-0.11631460411492099</v>
      </c>
    </row>
    <row r="17" spans="1:7" x14ac:dyDescent="0.25">
      <c r="A17" s="21">
        <v>15</v>
      </c>
      <c r="B17" s="21">
        <v>3.1415926535897927</v>
      </c>
      <c r="C17" s="21">
        <v>0</v>
      </c>
      <c r="D17" s="21">
        <v>1</v>
      </c>
      <c r="E17" s="21">
        <v>0</v>
      </c>
      <c r="F17" s="21">
        <v>7.2641248128490127E-2</v>
      </c>
      <c r="G17" s="21">
        <v>-0.11631460411492099</v>
      </c>
    </row>
    <row r="18" spans="1:7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v>0</v>
      </c>
      <c r="F18" s="21">
        <v>2.1344472249498331E-2</v>
      </c>
      <c r="G18" s="21">
        <v>-0.11631460411492099</v>
      </c>
    </row>
    <row r="19" spans="1:7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v>0</v>
      </c>
      <c r="F19" s="21">
        <v>4.3416060207188134E-4</v>
      </c>
      <c r="G19" s="21">
        <v>-0.11631460411492099</v>
      </c>
    </row>
    <row r="20" spans="1:7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v>0</v>
      </c>
      <c r="F20" s="21">
        <v>-0.48127635421609938</v>
      </c>
      <c r="G20" s="21">
        <v>-0.11631460411492099</v>
      </c>
    </row>
    <row r="21" spans="1:7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v>0</v>
      </c>
      <c r="F21" s="21">
        <v>-0.33927941399176736</v>
      </c>
      <c r="G21" s="21">
        <v>-0.11631460411492099</v>
      </c>
    </row>
    <row r="22" spans="1:7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v>0</v>
      </c>
      <c r="F22" s="21">
        <v>-0.66663393104980051</v>
      </c>
      <c r="G22" s="21">
        <v>-0.11631460411492099</v>
      </c>
    </row>
    <row r="23" spans="1:7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1</v>
      </c>
      <c r="F23" s="21">
        <v>-0.82049127729304749</v>
      </c>
      <c r="G23" s="21">
        <v>0.14498785791662738</v>
      </c>
    </row>
    <row r="24" spans="1:7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1</v>
      </c>
      <c r="F24" s="21">
        <v>-0.93606956280844389</v>
      </c>
      <c r="G24" s="21">
        <v>0.14498785791662738</v>
      </c>
    </row>
    <row r="25" spans="1:7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1</v>
      </c>
      <c r="F25" s="21">
        <v>-0.70020245579705642</v>
      </c>
      <c r="G25" s="21">
        <v>0.14498785791662738</v>
      </c>
    </row>
    <row r="26" spans="1:7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1</v>
      </c>
      <c r="F26" s="21">
        <v>-0.48320257654754589</v>
      </c>
      <c r="G26" s="21">
        <v>0.14498785791662738</v>
      </c>
    </row>
    <row r="27" spans="1:7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1</v>
      </c>
      <c r="F27" s="21">
        <v>2.507130588071016E-2</v>
      </c>
      <c r="G27" s="21">
        <v>0.14498785791662738</v>
      </c>
    </row>
    <row r="28" spans="1:7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1</v>
      </c>
      <c r="F28" s="21">
        <v>0.14363276847356277</v>
      </c>
      <c r="G28" s="21">
        <v>0.14498785791662738</v>
      </c>
    </row>
    <row r="29" spans="1:7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1</v>
      </c>
      <c r="F29" s="21">
        <v>0.25366487237671459</v>
      </c>
      <c r="G29" s="21">
        <v>0.14498785791662738</v>
      </c>
    </row>
    <row r="30" spans="1:7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1</v>
      </c>
      <c r="F30" s="21">
        <v>1.2946583886008181</v>
      </c>
      <c r="G30" s="21">
        <v>0.14498785791662738</v>
      </c>
    </row>
    <row r="31" spans="1:7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1</v>
      </c>
      <c r="F31" s="21">
        <v>1.2745794914650472</v>
      </c>
      <c r="G31" s="21">
        <v>0.14498785791662738</v>
      </c>
    </row>
    <row r="32" spans="1:7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1</v>
      </c>
      <c r="F32" s="21">
        <v>1.3982376248155151</v>
      </c>
      <c r="G32" s="21">
        <v>0.14498785791662738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A066E-4B01-E34B-B080-5EEC4D1B4FA4}">
  <sheetPr codeName="Sheet35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21"/>
  </cols>
  <sheetData>
    <row r="2" spans="1:10" s="22" customFormat="1" x14ac:dyDescent="0.25">
      <c r="B2" s="22" t="s">
        <v>74</v>
      </c>
      <c r="C2" s="22" t="s">
        <v>77</v>
      </c>
      <c r="D2" s="22" t="s">
        <v>76</v>
      </c>
      <c r="E2" s="22" t="s">
        <v>75</v>
      </c>
      <c r="F2" s="22" t="s">
        <v>80</v>
      </c>
      <c r="G2" s="22" t="s">
        <v>79</v>
      </c>
      <c r="H2" s="22" t="s">
        <v>78</v>
      </c>
      <c r="I2" s="22" t="s">
        <v>2</v>
      </c>
      <c r="J2" s="22" t="s">
        <v>0</v>
      </c>
    </row>
    <row r="3" spans="1:10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f t="shared" ref="F3:F32" si="0">$B3*C3</f>
        <v>0.20943951023931953</v>
      </c>
      <c r="G3" s="21">
        <f t="shared" ref="G3:G32" si="1">$B3*D3</f>
        <v>0</v>
      </c>
      <c r="H3" s="21">
        <f t="shared" ref="H3:H32" si="2">$B3*E3</f>
        <v>0</v>
      </c>
      <c r="I3" s="21">
        <v>-1.0584942919841807</v>
      </c>
      <c r="J3" s="21" cm="1">
        <f t="array" ref="J3:J32">TREND(I3:I32,C3:H32,C3:H32,FALSE)</f>
        <v>-0.94946760961501697</v>
      </c>
    </row>
    <row r="4" spans="1:10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f t="shared" si="0"/>
        <v>0.41887902047863906</v>
      </c>
      <c r="G4" s="21">
        <f t="shared" si="1"/>
        <v>0</v>
      </c>
      <c r="H4" s="21">
        <f t="shared" si="2"/>
        <v>0</v>
      </c>
      <c r="I4" s="21">
        <v>-1.0115837814668849</v>
      </c>
      <c r="J4" s="21">
        <v>-0.71558697658496018</v>
      </c>
    </row>
    <row r="5" spans="1:10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f t="shared" si="0"/>
        <v>0.62831853071795862</v>
      </c>
      <c r="G5" s="21">
        <f t="shared" si="1"/>
        <v>0</v>
      </c>
      <c r="H5" s="21">
        <f t="shared" si="2"/>
        <v>0</v>
      </c>
      <c r="I5" s="21">
        <v>-0.67059413777823096</v>
      </c>
      <c r="J5" s="21">
        <v>-0.48170634355490327</v>
      </c>
    </row>
    <row r="6" spans="1:10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f t="shared" si="0"/>
        <v>0.83775804095727813</v>
      </c>
      <c r="G6" s="21">
        <f t="shared" si="1"/>
        <v>0</v>
      </c>
      <c r="H6" s="21">
        <f t="shared" si="2"/>
        <v>0</v>
      </c>
      <c r="I6" s="21">
        <v>-7.8907528339460575E-2</v>
      </c>
      <c r="J6" s="21">
        <v>-0.24782571052484648</v>
      </c>
    </row>
    <row r="7" spans="1:10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f t="shared" si="0"/>
        <v>1.0471975511965976</v>
      </c>
      <c r="G7" s="21">
        <f t="shared" si="1"/>
        <v>0</v>
      </c>
      <c r="H7" s="21">
        <f t="shared" si="2"/>
        <v>0</v>
      </c>
      <c r="I7" s="21">
        <v>0.19372967770232674</v>
      </c>
      <c r="J7" s="21">
        <v>-1.3945077494789571E-2</v>
      </c>
    </row>
    <row r="8" spans="1:10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v>0</v>
      </c>
      <c r="F8" s="21">
        <f t="shared" si="0"/>
        <v>1.2566370614359172</v>
      </c>
      <c r="G8" s="21">
        <f t="shared" si="1"/>
        <v>0</v>
      </c>
      <c r="H8" s="21">
        <f t="shared" si="2"/>
        <v>0</v>
      </c>
      <c r="I8" s="21">
        <v>0.71211759028393917</v>
      </c>
      <c r="J8" s="21">
        <v>0.21993555553526734</v>
      </c>
    </row>
    <row r="9" spans="1:10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v>0</v>
      </c>
      <c r="F9" s="21">
        <f t="shared" si="0"/>
        <v>1.4660765716752369</v>
      </c>
      <c r="G9" s="21">
        <f t="shared" si="1"/>
        <v>0</v>
      </c>
      <c r="H9" s="21">
        <f t="shared" si="2"/>
        <v>0</v>
      </c>
      <c r="I9" s="21">
        <v>0.46458641028249809</v>
      </c>
      <c r="J9" s="21">
        <v>0.45381618856532424</v>
      </c>
    </row>
    <row r="10" spans="1:10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v>0</v>
      </c>
      <c r="F10" s="21">
        <f t="shared" si="0"/>
        <v>1.6755160819145563</v>
      </c>
      <c r="G10" s="21">
        <f t="shared" si="1"/>
        <v>0</v>
      </c>
      <c r="H10" s="21">
        <f t="shared" si="2"/>
        <v>0</v>
      </c>
      <c r="I10" s="21">
        <v>1.0904375200021745</v>
      </c>
      <c r="J10" s="21">
        <v>0.68769682159538092</v>
      </c>
    </row>
    <row r="11" spans="1:10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v>0</v>
      </c>
      <c r="F11" s="21">
        <f t="shared" si="0"/>
        <v>1.8849555921538759</v>
      </c>
      <c r="G11" s="21">
        <f t="shared" si="1"/>
        <v>0</v>
      </c>
      <c r="H11" s="21">
        <f t="shared" si="2"/>
        <v>0</v>
      </c>
      <c r="I11" s="21">
        <v>0.73460352450894062</v>
      </c>
      <c r="J11" s="21">
        <v>0.92157745462543783</v>
      </c>
    </row>
    <row r="12" spans="1:10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v>0</v>
      </c>
      <c r="F12" s="21">
        <f t="shared" si="0"/>
        <v>2.0943951023931953</v>
      </c>
      <c r="G12" s="21">
        <f t="shared" si="1"/>
        <v>0</v>
      </c>
      <c r="H12" s="21">
        <f t="shared" si="2"/>
        <v>0</v>
      </c>
      <c r="I12" s="21">
        <v>0.65405740699127635</v>
      </c>
      <c r="J12" s="21">
        <v>1.1554580876554947</v>
      </c>
    </row>
    <row r="13" spans="1:10" x14ac:dyDescent="0.25">
      <c r="A13" s="21">
        <v>11</v>
      </c>
      <c r="B13" s="21">
        <v>2.3038346126325147</v>
      </c>
      <c r="C13" s="21">
        <v>0</v>
      </c>
      <c r="D13" s="21">
        <v>1</v>
      </c>
      <c r="E13" s="21">
        <v>0</v>
      </c>
      <c r="F13" s="21">
        <f t="shared" si="0"/>
        <v>0</v>
      </c>
      <c r="G13" s="21">
        <f t="shared" si="1"/>
        <v>2.3038346126325147</v>
      </c>
      <c r="H13" s="21">
        <f t="shared" si="2"/>
        <v>0</v>
      </c>
      <c r="I13" s="21">
        <v>0.57004534084851322</v>
      </c>
      <c r="J13" s="21">
        <v>0.2772519263294112</v>
      </c>
    </row>
    <row r="14" spans="1:10" x14ac:dyDescent="0.25">
      <c r="A14" s="21">
        <v>12</v>
      </c>
      <c r="B14" s="21">
        <v>2.5132741228718345</v>
      </c>
      <c r="C14" s="21">
        <v>0</v>
      </c>
      <c r="D14" s="21">
        <v>1</v>
      </c>
      <c r="E14" s="21">
        <v>0</v>
      </c>
      <c r="F14" s="21">
        <f t="shared" si="0"/>
        <v>0</v>
      </c>
      <c r="G14" s="21">
        <f t="shared" si="1"/>
        <v>2.5132741228718345</v>
      </c>
      <c r="H14" s="21">
        <f t="shared" si="2"/>
        <v>0</v>
      </c>
      <c r="I14" s="21">
        <v>-0.15194780570688993</v>
      </c>
      <c r="J14" s="21">
        <v>0.18979269734178184</v>
      </c>
    </row>
    <row r="15" spans="1:10" x14ac:dyDescent="0.25">
      <c r="A15" s="21">
        <v>13</v>
      </c>
      <c r="B15" s="21">
        <v>2.7227136331111543</v>
      </c>
      <c r="C15" s="21">
        <v>0</v>
      </c>
      <c r="D15" s="21">
        <v>1</v>
      </c>
      <c r="E15" s="21">
        <v>0</v>
      </c>
      <c r="F15" s="21">
        <f t="shared" si="0"/>
        <v>0</v>
      </c>
      <c r="G15" s="21">
        <f t="shared" si="1"/>
        <v>2.7227136331111543</v>
      </c>
      <c r="H15" s="21">
        <f t="shared" si="2"/>
        <v>0</v>
      </c>
      <c r="I15" s="21">
        <v>4.9191643383140769E-2</v>
      </c>
      <c r="J15" s="21">
        <v>0.10233346835415236</v>
      </c>
    </row>
    <row r="16" spans="1:10" x14ac:dyDescent="0.25">
      <c r="A16" s="21">
        <v>14</v>
      </c>
      <c r="B16" s="21">
        <v>2.9321531433504737</v>
      </c>
      <c r="C16" s="21">
        <v>0</v>
      </c>
      <c r="D16" s="21">
        <v>1</v>
      </c>
      <c r="E16" s="21">
        <v>0</v>
      </c>
      <c r="F16" s="21">
        <f t="shared" si="0"/>
        <v>0</v>
      </c>
      <c r="G16" s="21">
        <f t="shared" si="1"/>
        <v>2.9321531433504737</v>
      </c>
      <c r="H16" s="21">
        <f t="shared" si="2"/>
        <v>0</v>
      </c>
      <c r="I16" s="21">
        <v>-0.23766540139636769</v>
      </c>
      <c r="J16" s="21">
        <v>1.4874239366523101E-2</v>
      </c>
    </row>
    <row r="17" spans="1:10" x14ac:dyDescent="0.25">
      <c r="A17" s="21">
        <v>15</v>
      </c>
      <c r="B17" s="21">
        <v>3.1415926535897927</v>
      </c>
      <c r="C17" s="21">
        <v>0</v>
      </c>
      <c r="D17" s="21">
        <v>1</v>
      </c>
      <c r="E17" s="21">
        <v>0</v>
      </c>
      <c r="F17" s="21">
        <f t="shared" si="0"/>
        <v>0</v>
      </c>
      <c r="G17" s="21">
        <f t="shared" si="1"/>
        <v>3.1415926535897927</v>
      </c>
      <c r="H17" s="21">
        <f t="shared" si="2"/>
        <v>0</v>
      </c>
      <c r="I17" s="21">
        <v>7.2641248128490127E-2</v>
      </c>
      <c r="J17" s="21">
        <v>-7.2584989621106155E-2</v>
      </c>
    </row>
    <row r="18" spans="1:10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v>0</v>
      </c>
      <c r="F18" s="21">
        <f t="shared" si="0"/>
        <v>0</v>
      </c>
      <c r="G18" s="21">
        <f t="shared" si="1"/>
        <v>3.3510321638291125</v>
      </c>
      <c r="H18" s="21">
        <f t="shared" si="2"/>
        <v>0</v>
      </c>
      <c r="I18" s="21">
        <v>2.1344472249498331E-2</v>
      </c>
      <c r="J18" s="21">
        <v>-0.16004421860873541</v>
      </c>
    </row>
    <row r="19" spans="1:10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v>0</v>
      </c>
      <c r="F19" s="21">
        <f t="shared" si="0"/>
        <v>0</v>
      </c>
      <c r="G19" s="21">
        <f t="shared" si="1"/>
        <v>3.5604716740684323</v>
      </c>
      <c r="H19" s="21">
        <f t="shared" si="2"/>
        <v>0</v>
      </c>
      <c r="I19" s="21">
        <v>4.3416060207188134E-4</v>
      </c>
      <c r="J19" s="21">
        <v>-0.24750344759636489</v>
      </c>
    </row>
    <row r="20" spans="1:10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v>0</v>
      </c>
      <c r="F20" s="21">
        <f t="shared" si="0"/>
        <v>0</v>
      </c>
      <c r="G20" s="21">
        <f t="shared" si="1"/>
        <v>3.7699111843077517</v>
      </c>
      <c r="H20" s="21">
        <f t="shared" si="2"/>
        <v>0</v>
      </c>
      <c r="I20" s="21">
        <v>-0.48127635421609938</v>
      </c>
      <c r="J20" s="21">
        <v>-0.33496267658399415</v>
      </c>
    </row>
    <row r="21" spans="1:10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v>0</v>
      </c>
      <c r="F21" s="21">
        <f t="shared" si="0"/>
        <v>0</v>
      </c>
      <c r="G21" s="21">
        <f t="shared" si="1"/>
        <v>3.9793506945470711</v>
      </c>
      <c r="H21" s="21">
        <f t="shared" si="2"/>
        <v>0</v>
      </c>
      <c r="I21" s="21">
        <v>-0.33927941399176736</v>
      </c>
      <c r="J21" s="21">
        <v>-0.4224219055716234</v>
      </c>
    </row>
    <row r="22" spans="1:10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v>0</v>
      </c>
      <c r="F22" s="21">
        <f t="shared" si="0"/>
        <v>0</v>
      </c>
      <c r="G22" s="21">
        <f t="shared" si="1"/>
        <v>4.1887902047863905</v>
      </c>
      <c r="H22" s="21">
        <f t="shared" si="2"/>
        <v>0</v>
      </c>
      <c r="I22" s="21">
        <v>-0.66663393104980051</v>
      </c>
      <c r="J22" s="21">
        <v>-0.50988113455925266</v>
      </c>
    </row>
    <row r="23" spans="1:10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1</v>
      </c>
      <c r="F23" s="21">
        <f t="shared" si="0"/>
        <v>0</v>
      </c>
      <c r="G23" s="21">
        <f t="shared" si="1"/>
        <v>0</v>
      </c>
      <c r="H23" s="21">
        <f t="shared" si="2"/>
        <v>4.3982297150257104</v>
      </c>
      <c r="I23" s="21">
        <v>-0.82049127729304749</v>
      </c>
      <c r="J23" s="21">
        <v>-1.1571913656355504</v>
      </c>
    </row>
    <row r="24" spans="1:10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1</v>
      </c>
      <c r="F24" s="21">
        <f t="shared" si="0"/>
        <v>0</v>
      </c>
      <c r="G24" s="21">
        <f t="shared" si="1"/>
        <v>0</v>
      </c>
      <c r="H24" s="21">
        <f t="shared" si="2"/>
        <v>4.6076692252650293</v>
      </c>
      <c r="I24" s="21">
        <v>-0.93606956280844389</v>
      </c>
      <c r="J24" s="21">
        <v>-0.867818204846178</v>
      </c>
    </row>
    <row r="25" spans="1:10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1</v>
      </c>
      <c r="F25" s="21">
        <f t="shared" si="0"/>
        <v>0</v>
      </c>
      <c r="G25" s="21">
        <f t="shared" si="1"/>
        <v>0</v>
      </c>
      <c r="H25" s="21">
        <f t="shared" si="2"/>
        <v>4.8171087355043491</v>
      </c>
      <c r="I25" s="21">
        <v>-0.70020245579705642</v>
      </c>
      <c r="J25" s="21">
        <v>-0.57844504405680475</v>
      </c>
    </row>
    <row r="26" spans="1:10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1</v>
      </c>
      <c r="F26" s="21">
        <f t="shared" si="0"/>
        <v>0</v>
      </c>
      <c r="G26" s="21">
        <f t="shared" si="1"/>
        <v>0</v>
      </c>
      <c r="H26" s="21">
        <f t="shared" si="2"/>
        <v>5.026548245743669</v>
      </c>
      <c r="I26" s="21">
        <v>-0.48320257654754589</v>
      </c>
      <c r="J26" s="21">
        <v>-0.2890718832674315</v>
      </c>
    </row>
    <row r="27" spans="1:10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1</v>
      </c>
      <c r="F27" s="21">
        <f t="shared" si="0"/>
        <v>0</v>
      </c>
      <c r="G27" s="21">
        <f t="shared" si="1"/>
        <v>0</v>
      </c>
      <c r="H27" s="21">
        <f t="shared" si="2"/>
        <v>5.2359877559829888</v>
      </c>
      <c r="I27" s="21">
        <v>2.507130588071016E-2</v>
      </c>
      <c r="J27" s="21">
        <v>3.0127752194175628E-4</v>
      </c>
    </row>
    <row r="28" spans="1:10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1</v>
      </c>
      <c r="F28" s="21">
        <f t="shared" si="0"/>
        <v>0</v>
      </c>
      <c r="G28" s="21">
        <f t="shared" si="1"/>
        <v>0</v>
      </c>
      <c r="H28" s="21">
        <f t="shared" si="2"/>
        <v>5.4454272662223087</v>
      </c>
      <c r="I28" s="21">
        <v>0.14363276847356277</v>
      </c>
      <c r="J28" s="21">
        <v>0.28967443831131501</v>
      </c>
    </row>
    <row r="29" spans="1:10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1</v>
      </c>
      <c r="F29" s="21">
        <f t="shared" si="0"/>
        <v>0</v>
      </c>
      <c r="G29" s="21">
        <f t="shared" si="1"/>
        <v>0</v>
      </c>
      <c r="H29" s="21">
        <f t="shared" si="2"/>
        <v>5.6548667764616276</v>
      </c>
      <c r="I29" s="21">
        <v>0.25366487237671459</v>
      </c>
      <c r="J29" s="21">
        <v>0.57904759910068648</v>
      </c>
    </row>
    <row r="30" spans="1:10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1</v>
      </c>
      <c r="F30" s="21">
        <f t="shared" si="0"/>
        <v>0</v>
      </c>
      <c r="G30" s="21">
        <f t="shared" si="1"/>
        <v>0</v>
      </c>
      <c r="H30" s="21">
        <f t="shared" si="2"/>
        <v>5.8643062867009474</v>
      </c>
      <c r="I30" s="21">
        <v>1.2946583886008181</v>
      </c>
      <c r="J30" s="21">
        <v>0.86842075989006062</v>
      </c>
    </row>
    <row r="31" spans="1:10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1</v>
      </c>
      <c r="F31" s="21">
        <f t="shared" si="0"/>
        <v>0</v>
      </c>
      <c r="G31" s="21">
        <f t="shared" si="1"/>
        <v>0</v>
      </c>
      <c r="H31" s="21">
        <f t="shared" si="2"/>
        <v>6.0737457969402673</v>
      </c>
      <c r="I31" s="21">
        <v>1.2745794914650472</v>
      </c>
      <c r="J31" s="21">
        <v>1.157793920679433</v>
      </c>
    </row>
    <row r="32" spans="1:10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1</v>
      </c>
      <c r="F32" s="21">
        <f t="shared" si="0"/>
        <v>0</v>
      </c>
      <c r="G32" s="21">
        <f t="shared" si="1"/>
        <v>0</v>
      </c>
      <c r="H32" s="21">
        <f t="shared" si="2"/>
        <v>6.2831853071795853</v>
      </c>
      <c r="I32" s="21">
        <v>1.3982376248155151</v>
      </c>
      <c r="J32" s="21">
        <v>1.4471670814688036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F21F0-E6C1-5141-A121-D10195750260}">
  <sheetPr codeName="Sheet36">
    <tabColor rgb="FFFF0000"/>
  </sheetPr>
  <dimension ref="A2:Q32"/>
  <sheetViews>
    <sheetView workbookViewId="0"/>
  </sheetViews>
  <sheetFormatPr baseColWidth="10" defaultRowHeight="19" x14ac:dyDescent="0.25"/>
  <cols>
    <col min="1" max="16384" width="10.83203125" style="21"/>
  </cols>
  <sheetData>
    <row r="2" spans="1:17" s="22" customFormat="1" x14ac:dyDescent="0.25">
      <c r="B2" s="22" t="s">
        <v>74</v>
      </c>
      <c r="C2" s="22" t="s">
        <v>77</v>
      </c>
      <c r="D2" s="22" t="s">
        <v>76</v>
      </c>
      <c r="E2" s="22" t="s">
        <v>75</v>
      </c>
      <c r="F2" s="22" t="s">
        <v>80</v>
      </c>
      <c r="G2" s="22" t="s">
        <v>79</v>
      </c>
      <c r="H2" s="22" t="s">
        <v>78</v>
      </c>
      <c r="I2" s="22" t="s">
        <v>2</v>
      </c>
      <c r="J2" s="22" t="s">
        <v>0</v>
      </c>
    </row>
    <row r="3" spans="1:17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f t="shared" ref="F3:F32" si="0">$B3*C3</f>
        <v>0.20943951023931953</v>
      </c>
      <c r="G3" s="21">
        <f t="shared" ref="G3:G32" si="1">$B3*D3</f>
        <v>0</v>
      </c>
      <c r="H3" s="21">
        <f t="shared" ref="H3:H32" si="2">$B3*E3</f>
        <v>0</v>
      </c>
      <c r="I3" s="21">
        <v>-1.0584942919841807</v>
      </c>
      <c r="J3" s="21" cm="1">
        <f t="array" ref="J3:J32">TREND(I3:I32,C3:H32,C3:H32,FALSE)</f>
        <v>-0.94946760961501697</v>
      </c>
      <c r="K3" s="21" cm="1">
        <f t="array" ref="K3:Q7">LINEST(I3:I32,C3:H32,FALSE,TRUE)</f>
        <v>1.3816550681326354</v>
      </c>
      <c r="L3" s="21">
        <v>-0.41758705837161564</v>
      </c>
      <c r="M3" s="21">
        <v>1.1166977652058547</v>
      </c>
      <c r="N3" s="21">
        <v>-7.2340277422123798</v>
      </c>
      <c r="O3" s="21">
        <v>1.2393034451933336</v>
      </c>
      <c r="P3" s="21">
        <v>-1.1833482426450739</v>
      </c>
      <c r="Q3" s="21">
        <v>0</v>
      </c>
    </row>
    <row r="4" spans="1:17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f t="shared" si="0"/>
        <v>0.41887902047863906</v>
      </c>
      <c r="G4" s="21">
        <f t="shared" si="1"/>
        <v>0</v>
      </c>
      <c r="H4" s="21">
        <f t="shared" si="2"/>
        <v>0</v>
      </c>
      <c r="I4" s="21">
        <v>-1.0115837814668849</v>
      </c>
      <c r="J4" s="21">
        <v>-0.71558697658496018</v>
      </c>
      <c r="K4" s="21">
        <v>0.14520728871519786</v>
      </c>
      <c r="L4" s="21">
        <v>0.14520728871519789</v>
      </c>
      <c r="M4" s="21">
        <v>0.14520728871519786</v>
      </c>
      <c r="N4" s="21">
        <v>0.78041376285291653</v>
      </c>
      <c r="O4" s="21">
        <v>0.47941346385480721</v>
      </c>
      <c r="P4" s="21">
        <v>0.18870238743117199</v>
      </c>
      <c r="Q4" s="21" t="e">
        <v>#N/A</v>
      </c>
    </row>
    <row r="5" spans="1:17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f t="shared" si="0"/>
        <v>0.62831853071795862</v>
      </c>
      <c r="G5" s="21">
        <f t="shared" si="1"/>
        <v>0</v>
      </c>
      <c r="H5" s="21">
        <f t="shared" si="2"/>
        <v>0</v>
      </c>
      <c r="I5" s="21">
        <v>-0.67059413777823096</v>
      </c>
      <c r="J5" s="21">
        <v>-0.48170634355490327</v>
      </c>
      <c r="K5" s="21">
        <v>0.87224969932548324</v>
      </c>
      <c r="L5" s="21">
        <v>0.27623201048946444</v>
      </c>
      <c r="M5" s="21" t="e">
        <v>#N/A</v>
      </c>
      <c r="N5" s="21" t="e">
        <v>#N/A</v>
      </c>
      <c r="O5" s="21" t="e">
        <v>#N/A</v>
      </c>
      <c r="P5" s="21" t="e">
        <v>#N/A</v>
      </c>
      <c r="Q5" s="21" t="e">
        <v>#N/A</v>
      </c>
    </row>
    <row r="6" spans="1:17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f t="shared" si="0"/>
        <v>0.83775804095727813</v>
      </c>
      <c r="G6" s="21">
        <f t="shared" si="1"/>
        <v>0</v>
      </c>
      <c r="H6" s="21">
        <f t="shared" si="2"/>
        <v>0</v>
      </c>
      <c r="I6" s="21">
        <v>-7.8907528339460575E-2</v>
      </c>
      <c r="J6" s="21">
        <v>-0.24782571052484648</v>
      </c>
      <c r="K6" s="21">
        <v>27.311080904546987</v>
      </c>
      <c r="L6" s="21">
        <v>24</v>
      </c>
      <c r="M6" s="21" t="e">
        <v>#N/A</v>
      </c>
      <c r="N6" s="21" t="e">
        <v>#N/A</v>
      </c>
      <c r="O6" s="21" t="e">
        <v>#N/A</v>
      </c>
      <c r="P6" s="21" t="e">
        <v>#N/A</v>
      </c>
      <c r="Q6" s="21" t="e">
        <v>#N/A</v>
      </c>
    </row>
    <row r="7" spans="1:17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f t="shared" si="0"/>
        <v>1.0471975511965976</v>
      </c>
      <c r="G7" s="21">
        <f t="shared" si="1"/>
        <v>0</v>
      </c>
      <c r="H7" s="21">
        <f t="shared" si="2"/>
        <v>0</v>
      </c>
      <c r="I7" s="21">
        <v>0.19372967770232674</v>
      </c>
      <c r="J7" s="21">
        <v>-1.3945077494789571E-2</v>
      </c>
      <c r="K7" s="21">
        <v>12.503688561062837</v>
      </c>
      <c r="L7" s="21">
        <v>1.8312989668572386</v>
      </c>
      <c r="M7" s="21" t="e">
        <v>#N/A</v>
      </c>
      <c r="N7" s="21" t="e">
        <v>#N/A</v>
      </c>
      <c r="O7" s="21" t="e">
        <v>#N/A</v>
      </c>
      <c r="P7" s="21" t="e">
        <v>#N/A</v>
      </c>
      <c r="Q7" s="21" t="e">
        <v>#N/A</v>
      </c>
    </row>
    <row r="8" spans="1:17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v>0</v>
      </c>
      <c r="F8" s="21">
        <f t="shared" si="0"/>
        <v>1.2566370614359172</v>
      </c>
      <c r="G8" s="21">
        <f t="shared" si="1"/>
        <v>0</v>
      </c>
      <c r="H8" s="21">
        <f t="shared" si="2"/>
        <v>0</v>
      </c>
      <c r="I8" s="21">
        <v>0.71211759028393917</v>
      </c>
      <c r="J8" s="21">
        <v>0.21993555553526734</v>
      </c>
    </row>
    <row r="9" spans="1:17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v>0</v>
      </c>
      <c r="F9" s="21">
        <f t="shared" si="0"/>
        <v>1.4660765716752369</v>
      </c>
      <c r="G9" s="21">
        <f t="shared" si="1"/>
        <v>0</v>
      </c>
      <c r="H9" s="21">
        <f t="shared" si="2"/>
        <v>0</v>
      </c>
      <c r="I9" s="21">
        <v>0.46458641028249809</v>
      </c>
      <c r="J9" s="21">
        <v>0.45381618856532424</v>
      </c>
    </row>
    <row r="10" spans="1:17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v>0</v>
      </c>
      <c r="F10" s="21">
        <f t="shared" si="0"/>
        <v>1.6755160819145563</v>
      </c>
      <c r="G10" s="21">
        <f t="shared" si="1"/>
        <v>0</v>
      </c>
      <c r="H10" s="21">
        <f t="shared" si="2"/>
        <v>0</v>
      </c>
      <c r="I10" s="21">
        <v>1.0904375200021745</v>
      </c>
      <c r="J10" s="21">
        <v>0.68769682159538092</v>
      </c>
    </row>
    <row r="11" spans="1:17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v>0</v>
      </c>
      <c r="F11" s="21">
        <f t="shared" si="0"/>
        <v>1.8849555921538759</v>
      </c>
      <c r="G11" s="21">
        <f t="shared" si="1"/>
        <v>0</v>
      </c>
      <c r="H11" s="21">
        <f t="shared" si="2"/>
        <v>0</v>
      </c>
      <c r="I11" s="21">
        <v>0.73460352450894062</v>
      </c>
      <c r="J11" s="21">
        <v>0.92157745462543783</v>
      </c>
    </row>
    <row r="12" spans="1:17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v>0</v>
      </c>
      <c r="F12" s="21">
        <f t="shared" si="0"/>
        <v>2.0943951023931953</v>
      </c>
      <c r="G12" s="21">
        <f t="shared" si="1"/>
        <v>0</v>
      </c>
      <c r="H12" s="21">
        <f t="shared" si="2"/>
        <v>0</v>
      </c>
      <c r="I12" s="21">
        <v>0.65405740699127635</v>
      </c>
      <c r="J12" s="21">
        <v>1.1554580876554947</v>
      </c>
    </row>
    <row r="13" spans="1:17" x14ac:dyDescent="0.25">
      <c r="A13" s="21">
        <v>11</v>
      </c>
      <c r="B13" s="21">
        <v>2.3038346126325147</v>
      </c>
      <c r="C13" s="21">
        <v>0</v>
      </c>
      <c r="D13" s="21">
        <v>1</v>
      </c>
      <c r="E13" s="21">
        <v>0</v>
      </c>
      <c r="F13" s="21">
        <f t="shared" si="0"/>
        <v>0</v>
      </c>
      <c r="G13" s="21">
        <f t="shared" si="1"/>
        <v>2.3038346126325147</v>
      </c>
      <c r="H13" s="21">
        <f t="shared" si="2"/>
        <v>0</v>
      </c>
      <c r="I13" s="21">
        <v>0.57004534084851322</v>
      </c>
      <c r="J13" s="21">
        <v>0.2772519263294112</v>
      </c>
    </row>
    <row r="14" spans="1:17" x14ac:dyDescent="0.25">
      <c r="A14" s="21">
        <v>12</v>
      </c>
      <c r="B14" s="21">
        <v>2.5132741228718345</v>
      </c>
      <c r="C14" s="21">
        <v>0</v>
      </c>
      <c r="D14" s="21">
        <v>1</v>
      </c>
      <c r="E14" s="21">
        <v>0</v>
      </c>
      <c r="F14" s="21">
        <f t="shared" si="0"/>
        <v>0</v>
      </c>
      <c r="G14" s="21">
        <f t="shared" si="1"/>
        <v>2.5132741228718345</v>
      </c>
      <c r="H14" s="21">
        <f t="shared" si="2"/>
        <v>0</v>
      </c>
      <c r="I14" s="21">
        <v>-0.15194780570688993</v>
      </c>
      <c r="J14" s="21">
        <v>0.18979269734178184</v>
      </c>
    </row>
    <row r="15" spans="1:17" x14ac:dyDescent="0.25">
      <c r="A15" s="21">
        <v>13</v>
      </c>
      <c r="B15" s="21">
        <v>2.7227136331111543</v>
      </c>
      <c r="C15" s="21">
        <v>0</v>
      </c>
      <c r="D15" s="21">
        <v>1</v>
      </c>
      <c r="E15" s="21">
        <v>0</v>
      </c>
      <c r="F15" s="21">
        <f t="shared" si="0"/>
        <v>0</v>
      </c>
      <c r="G15" s="21">
        <f t="shared" si="1"/>
        <v>2.7227136331111543</v>
      </c>
      <c r="H15" s="21">
        <f t="shared" si="2"/>
        <v>0</v>
      </c>
      <c r="I15" s="21">
        <v>4.9191643383140769E-2</v>
      </c>
      <c r="J15" s="21">
        <v>0.10233346835415236</v>
      </c>
    </row>
    <row r="16" spans="1:17" x14ac:dyDescent="0.25">
      <c r="A16" s="21">
        <v>14</v>
      </c>
      <c r="B16" s="21">
        <v>2.9321531433504737</v>
      </c>
      <c r="C16" s="21">
        <v>0</v>
      </c>
      <c r="D16" s="21">
        <v>1</v>
      </c>
      <c r="E16" s="21">
        <v>0</v>
      </c>
      <c r="F16" s="21">
        <f t="shared" si="0"/>
        <v>0</v>
      </c>
      <c r="G16" s="21">
        <f t="shared" si="1"/>
        <v>2.9321531433504737</v>
      </c>
      <c r="H16" s="21">
        <f t="shared" si="2"/>
        <v>0</v>
      </c>
      <c r="I16" s="21">
        <v>-0.23766540139636769</v>
      </c>
      <c r="J16" s="21">
        <v>1.4874239366523101E-2</v>
      </c>
    </row>
    <row r="17" spans="1:10" x14ac:dyDescent="0.25">
      <c r="A17" s="21">
        <v>15</v>
      </c>
      <c r="B17" s="21">
        <v>3.1415926535897927</v>
      </c>
      <c r="C17" s="21">
        <v>0</v>
      </c>
      <c r="D17" s="21">
        <v>1</v>
      </c>
      <c r="E17" s="21">
        <v>0</v>
      </c>
      <c r="F17" s="21">
        <f t="shared" si="0"/>
        <v>0</v>
      </c>
      <c r="G17" s="21">
        <f t="shared" si="1"/>
        <v>3.1415926535897927</v>
      </c>
      <c r="H17" s="21">
        <f t="shared" si="2"/>
        <v>0</v>
      </c>
      <c r="I17" s="21">
        <v>7.2641248128490127E-2</v>
      </c>
      <c r="J17" s="21">
        <v>-7.2584989621106155E-2</v>
      </c>
    </row>
    <row r="18" spans="1:10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v>0</v>
      </c>
      <c r="F18" s="21">
        <f t="shared" si="0"/>
        <v>0</v>
      </c>
      <c r="G18" s="21">
        <f t="shared" si="1"/>
        <v>3.3510321638291125</v>
      </c>
      <c r="H18" s="21">
        <f t="shared" si="2"/>
        <v>0</v>
      </c>
      <c r="I18" s="21">
        <v>2.1344472249498331E-2</v>
      </c>
      <c r="J18" s="21">
        <v>-0.16004421860873541</v>
      </c>
    </row>
    <row r="19" spans="1:10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v>0</v>
      </c>
      <c r="F19" s="21">
        <f t="shared" si="0"/>
        <v>0</v>
      </c>
      <c r="G19" s="21">
        <f t="shared" si="1"/>
        <v>3.5604716740684323</v>
      </c>
      <c r="H19" s="21">
        <f t="shared" si="2"/>
        <v>0</v>
      </c>
      <c r="I19" s="21">
        <v>4.3416060207188134E-4</v>
      </c>
      <c r="J19" s="21">
        <v>-0.24750344759636489</v>
      </c>
    </row>
    <row r="20" spans="1:10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v>0</v>
      </c>
      <c r="F20" s="21">
        <f t="shared" si="0"/>
        <v>0</v>
      </c>
      <c r="G20" s="21">
        <f t="shared" si="1"/>
        <v>3.7699111843077517</v>
      </c>
      <c r="H20" s="21">
        <f t="shared" si="2"/>
        <v>0</v>
      </c>
      <c r="I20" s="21">
        <v>-0.48127635421609938</v>
      </c>
      <c r="J20" s="21">
        <v>-0.33496267658399415</v>
      </c>
    </row>
    <row r="21" spans="1:10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v>0</v>
      </c>
      <c r="F21" s="21">
        <f t="shared" si="0"/>
        <v>0</v>
      </c>
      <c r="G21" s="21">
        <f t="shared" si="1"/>
        <v>3.9793506945470711</v>
      </c>
      <c r="H21" s="21">
        <f t="shared" si="2"/>
        <v>0</v>
      </c>
      <c r="I21" s="21">
        <v>-0.33927941399176736</v>
      </c>
      <c r="J21" s="21">
        <v>-0.4224219055716234</v>
      </c>
    </row>
    <row r="22" spans="1:10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v>0</v>
      </c>
      <c r="F22" s="21">
        <f t="shared" si="0"/>
        <v>0</v>
      </c>
      <c r="G22" s="21">
        <f t="shared" si="1"/>
        <v>4.1887902047863905</v>
      </c>
      <c r="H22" s="21">
        <f t="shared" si="2"/>
        <v>0</v>
      </c>
      <c r="I22" s="21">
        <v>-0.66663393104980051</v>
      </c>
      <c r="J22" s="21">
        <v>-0.50988113455925266</v>
      </c>
    </row>
    <row r="23" spans="1:10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1</v>
      </c>
      <c r="F23" s="21">
        <f t="shared" si="0"/>
        <v>0</v>
      </c>
      <c r="G23" s="21">
        <f t="shared" si="1"/>
        <v>0</v>
      </c>
      <c r="H23" s="21">
        <f t="shared" si="2"/>
        <v>4.3982297150257104</v>
      </c>
      <c r="I23" s="21">
        <v>-0.82049127729304749</v>
      </c>
      <c r="J23" s="21">
        <v>-1.1571913656355504</v>
      </c>
    </row>
    <row r="24" spans="1:10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1</v>
      </c>
      <c r="F24" s="21">
        <f t="shared" si="0"/>
        <v>0</v>
      </c>
      <c r="G24" s="21">
        <f t="shared" si="1"/>
        <v>0</v>
      </c>
      <c r="H24" s="21">
        <f t="shared" si="2"/>
        <v>4.6076692252650293</v>
      </c>
      <c r="I24" s="21">
        <v>-0.93606956280844389</v>
      </c>
      <c r="J24" s="21">
        <v>-0.867818204846178</v>
      </c>
    </row>
    <row r="25" spans="1:10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1</v>
      </c>
      <c r="F25" s="21">
        <f t="shared" si="0"/>
        <v>0</v>
      </c>
      <c r="G25" s="21">
        <f t="shared" si="1"/>
        <v>0</v>
      </c>
      <c r="H25" s="21">
        <f t="shared" si="2"/>
        <v>4.8171087355043491</v>
      </c>
      <c r="I25" s="21">
        <v>-0.70020245579705642</v>
      </c>
      <c r="J25" s="21">
        <v>-0.57844504405680475</v>
      </c>
    </row>
    <row r="26" spans="1:10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1</v>
      </c>
      <c r="F26" s="21">
        <f t="shared" si="0"/>
        <v>0</v>
      </c>
      <c r="G26" s="21">
        <f t="shared" si="1"/>
        <v>0</v>
      </c>
      <c r="H26" s="21">
        <f t="shared" si="2"/>
        <v>5.026548245743669</v>
      </c>
      <c r="I26" s="21">
        <v>-0.48320257654754589</v>
      </c>
      <c r="J26" s="21">
        <v>-0.2890718832674315</v>
      </c>
    </row>
    <row r="27" spans="1:10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1</v>
      </c>
      <c r="F27" s="21">
        <f t="shared" si="0"/>
        <v>0</v>
      </c>
      <c r="G27" s="21">
        <f t="shared" si="1"/>
        <v>0</v>
      </c>
      <c r="H27" s="21">
        <f t="shared" si="2"/>
        <v>5.2359877559829888</v>
      </c>
      <c r="I27" s="21">
        <v>2.507130588071016E-2</v>
      </c>
      <c r="J27" s="21">
        <v>3.0127752194175628E-4</v>
      </c>
    </row>
    <row r="28" spans="1:10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1</v>
      </c>
      <c r="F28" s="21">
        <f t="shared" si="0"/>
        <v>0</v>
      </c>
      <c r="G28" s="21">
        <f t="shared" si="1"/>
        <v>0</v>
      </c>
      <c r="H28" s="21">
        <f t="shared" si="2"/>
        <v>5.4454272662223087</v>
      </c>
      <c r="I28" s="21">
        <v>0.14363276847356277</v>
      </c>
      <c r="J28" s="21">
        <v>0.28967443831131501</v>
      </c>
    </row>
    <row r="29" spans="1:10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1</v>
      </c>
      <c r="F29" s="21">
        <f t="shared" si="0"/>
        <v>0</v>
      </c>
      <c r="G29" s="21">
        <f t="shared" si="1"/>
        <v>0</v>
      </c>
      <c r="H29" s="21">
        <f t="shared" si="2"/>
        <v>5.6548667764616276</v>
      </c>
      <c r="I29" s="21">
        <v>0.25366487237671459</v>
      </c>
      <c r="J29" s="21">
        <v>0.57904759910068648</v>
      </c>
    </row>
    <row r="30" spans="1:10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1</v>
      </c>
      <c r="F30" s="21">
        <f t="shared" si="0"/>
        <v>0</v>
      </c>
      <c r="G30" s="21">
        <f t="shared" si="1"/>
        <v>0</v>
      </c>
      <c r="H30" s="21">
        <f t="shared" si="2"/>
        <v>5.8643062867009474</v>
      </c>
      <c r="I30" s="21">
        <v>1.2946583886008181</v>
      </c>
      <c r="J30" s="21">
        <v>0.86842075989006062</v>
      </c>
    </row>
    <row r="31" spans="1:10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1</v>
      </c>
      <c r="F31" s="21">
        <f t="shared" si="0"/>
        <v>0</v>
      </c>
      <c r="G31" s="21">
        <f t="shared" si="1"/>
        <v>0</v>
      </c>
      <c r="H31" s="21">
        <f t="shared" si="2"/>
        <v>6.0737457969402673</v>
      </c>
      <c r="I31" s="21">
        <v>1.2745794914650472</v>
      </c>
      <c r="J31" s="21">
        <v>1.157793920679433</v>
      </c>
    </row>
    <row r="32" spans="1:10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1</v>
      </c>
      <c r="F32" s="21">
        <f t="shared" si="0"/>
        <v>0</v>
      </c>
      <c r="G32" s="21">
        <f t="shared" si="1"/>
        <v>0</v>
      </c>
      <c r="H32" s="21">
        <f t="shared" si="2"/>
        <v>6.2831853071795853</v>
      </c>
      <c r="I32" s="21">
        <v>1.3982376248155151</v>
      </c>
      <c r="J32" s="21">
        <v>1.4471670814688036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13A47-0413-A44B-9ECF-6845A2E48C39}">
  <sheetPr codeName="Sheet37">
    <tabColor rgb="FFFF0000"/>
  </sheetPr>
  <dimension ref="A2:P32"/>
  <sheetViews>
    <sheetView workbookViewId="0"/>
  </sheetViews>
  <sheetFormatPr baseColWidth="10" defaultRowHeight="19" x14ac:dyDescent="0.25"/>
  <cols>
    <col min="1" max="1" width="3.5" style="21" bestFit="1" customWidth="1"/>
    <col min="2" max="2" width="14" style="21" bestFit="1" customWidth="1"/>
    <col min="3" max="8" width="4.5" style="21" bestFit="1" customWidth="1"/>
    <col min="9" max="16" width="7.6640625" style="21" customWidth="1"/>
    <col min="17" max="16384" width="10.83203125" style="21"/>
  </cols>
  <sheetData>
    <row r="2" spans="1:16" s="22" customFormat="1" x14ac:dyDescent="0.25">
      <c r="B2" s="22" t="s">
        <v>74</v>
      </c>
      <c r="C2" s="22" t="s">
        <v>77</v>
      </c>
      <c r="D2" s="22" t="s">
        <v>76</v>
      </c>
      <c r="E2" s="22" t="s">
        <v>75</v>
      </c>
      <c r="F2" s="22" t="s">
        <v>86</v>
      </c>
      <c r="G2" s="22" t="s">
        <v>85</v>
      </c>
      <c r="H2" s="22" t="s">
        <v>84</v>
      </c>
      <c r="I2" s="22" t="s">
        <v>80</v>
      </c>
      <c r="J2" s="22" t="s">
        <v>79</v>
      </c>
      <c r="K2" s="22" t="s">
        <v>78</v>
      </c>
      <c r="L2" s="22" t="s">
        <v>83</v>
      </c>
      <c r="M2" s="22" t="s">
        <v>82</v>
      </c>
      <c r="N2" s="22" t="s">
        <v>81</v>
      </c>
      <c r="O2" s="22" t="s">
        <v>2</v>
      </c>
      <c r="P2" s="22" t="s">
        <v>0</v>
      </c>
    </row>
    <row r="3" spans="1:16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v>0</v>
      </c>
      <c r="G3" s="21">
        <v>0</v>
      </c>
      <c r="H3" s="21">
        <v>0</v>
      </c>
      <c r="I3" s="21">
        <f t="shared" ref="I3:I32" si="0">$B3*C3</f>
        <v>0.20943951023931953</v>
      </c>
      <c r="J3" s="21">
        <f t="shared" ref="J3:J32" si="1">$B3*D3</f>
        <v>0</v>
      </c>
      <c r="K3" s="21">
        <f t="shared" ref="K3:K32" si="2">$B3*E3</f>
        <v>0</v>
      </c>
      <c r="L3" s="21">
        <f t="shared" ref="L3:L32" si="3">$B3*F3</f>
        <v>0</v>
      </c>
      <c r="M3" s="21">
        <f t="shared" ref="M3:M32" si="4">$B3*G3</f>
        <v>0</v>
      </c>
      <c r="N3" s="21">
        <f t="shared" ref="N3:N32" si="5">$B3*H3</f>
        <v>0</v>
      </c>
      <c r="O3" s="21">
        <v>-1.0584942919841807</v>
      </c>
      <c r="P3" s="21" cm="1">
        <f t="array" ref="P3:P32">TREND(O3:O32,C3:N32,C3:N32,FALSE)</f>
        <v>-1.2125948508733759</v>
      </c>
    </row>
    <row r="4" spans="1:16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v>0</v>
      </c>
      <c r="G4" s="21">
        <v>0</v>
      </c>
      <c r="H4" s="21">
        <v>0</v>
      </c>
      <c r="I4" s="21">
        <f t="shared" si="0"/>
        <v>0.41887902047863906</v>
      </c>
      <c r="J4" s="21">
        <f t="shared" si="1"/>
        <v>0</v>
      </c>
      <c r="K4" s="21">
        <f t="shared" si="2"/>
        <v>0</v>
      </c>
      <c r="L4" s="21">
        <f t="shared" si="3"/>
        <v>0</v>
      </c>
      <c r="M4" s="21">
        <f t="shared" si="4"/>
        <v>0</v>
      </c>
      <c r="N4" s="21">
        <f t="shared" si="5"/>
        <v>0</v>
      </c>
      <c r="O4" s="21">
        <v>-1.0115837814668849</v>
      </c>
      <c r="P4" s="21">
        <v>-0.86888243162333156</v>
      </c>
    </row>
    <row r="5" spans="1:16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v>0</v>
      </c>
      <c r="G5" s="21">
        <v>0</v>
      </c>
      <c r="H5" s="21">
        <v>0</v>
      </c>
      <c r="I5" s="21">
        <f t="shared" si="0"/>
        <v>0.62831853071795862</v>
      </c>
      <c r="J5" s="21">
        <f t="shared" si="1"/>
        <v>0</v>
      </c>
      <c r="K5" s="21">
        <f t="shared" si="2"/>
        <v>0</v>
      </c>
      <c r="L5" s="21">
        <f t="shared" si="3"/>
        <v>0</v>
      </c>
      <c r="M5" s="21">
        <f t="shared" si="4"/>
        <v>0</v>
      </c>
      <c r="N5" s="21">
        <f t="shared" si="5"/>
        <v>0</v>
      </c>
      <c r="O5" s="21">
        <v>-0.67059413777823096</v>
      </c>
      <c r="P5" s="21">
        <v>-0.5251700123732872</v>
      </c>
    </row>
    <row r="6" spans="1:16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v>0</v>
      </c>
      <c r="G6" s="21">
        <v>0</v>
      </c>
      <c r="H6" s="21">
        <v>0</v>
      </c>
      <c r="I6" s="21">
        <f t="shared" si="0"/>
        <v>0.83775804095727813</v>
      </c>
      <c r="J6" s="21">
        <f t="shared" si="1"/>
        <v>0</v>
      </c>
      <c r="K6" s="21">
        <f t="shared" si="2"/>
        <v>0</v>
      </c>
      <c r="L6" s="21">
        <f t="shared" si="3"/>
        <v>0</v>
      </c>
      <c r="M6" s="21">
        <f t="shared" si="4"/>
        <v>0</v>
      </c>
      <c r="N6" s="21">
        <f t="shared" si="5"/>
        <v>0</v>
      </c>
      <c r="O6" s="21">
        <v>-7.8907528339460575E-2</v>
      </c>
      <c r="P6" s="21">
        <v>-0.18145759312324294</v>
      </c>
    </row>
    <row r="7" spans="1:16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v>0</v>
      </c>
      <c r="G7" s="21">
        <v>0</v>
      </c>
      <c r="H7" s="21">
        <v>0</v>
      </c>
      <c r="I7" s="21">
        <f t="shared" si="0"/>
        <v>1.0471975511965976</v>
      </c>
      <c r="J7" s="21">
        <f t="shared" si="1"/>
        <v>0</v>
      </c>
      <c r="K7" s="21">
        <f t="shared" si="2"/>
        <v>0</v>
      </c>
      <c r="L7" s="21">
        <f t="shared" si="3"/>
        <v>0</v>
      </c>
      <c r="M7" s="21">
        <f t="shared" si="4"/>
        <v>0</v>
      </c>
      <c r="N7" s="21">
        <f t="shared" si="5"/>
        <v>0</v>
      </c>
      <c r="O7" s="21">
        <v>0.19372967770232674</v>
      </c>
      <c r="P7" s="21">
        <v>0.16225482612680131</v>
      </c>
    </row>
    <row r="8" spans="1:16" x14ac:dyDescent="0.25">
      <c r="A8" s="21">
        <v>6</v>
      </c>
      <c r="B8" s="21">
        <v>1.2566370614359172</v>
      </c>
      <c r="C8" s="21">
        <v>0</v>
      </c>
      <c r="D8" s="21">
        <v>1</v>
      </c>
      <c r="E8" s="21">
        <v>0</v>
      </c>
      <c r="F8" s="21">
        <v>0</v>
      </c>
      <c r="G8" s="21">
        <v>0</v>
      </c>
      <c r="H8" s="21">
        <v>0</v>
      </c>
      <c r="I8" s="21">
        <f t="shared" si="0"/>
        <v>0</v>
      </c>
      <c r="J8" s="21">
        <f t="shared" si="1"/>
        <v>1.2566370614359172</v>
      </c>
      <c r="K8" s="21">
        <f t="shared" si="2"/>
        <v>0</v>
      </c>
      <c r="L8" s="21">
        <f t="shared" si="3"/>
        <v>0</v>
      </c>
      <c r="M8" s="21">
        <f t="shared" si="4"/>
        <v>0</v>
      </c>
      <c r="N8" s="21">
        <f t="shared" si="5"/>
        <v>0</v>
      </c>
      <c r="O8" s="21">
        <v>0.71211759028393917</v>
      </c>
      <c r="P8" s="21">
        <v>0.70038114088554237</v>
      </c>
    </row>
    <row r="9" spans="1:16" x14ac:dyDescent="0.25">
      <c r="A9" s="21">
        <v>7</v>
      </c>
      <c r="B9" s="21">
        <v>1.4660765716752369</v>
      </c>
      <c r="C9" s="21">
        <v>0</v>
      </c>
      <c r="D9" s="21">
        <v>1</v>
      </c>
      <c r="E9" s="21">
        <v>0</v>
      </c>
      <c r="F9" s="21">
        <v>0</v>
      </c>
      <c r="G9" s="21">
        <v>0</v>
      </c>
      <c r="H9" s="21">
        <v>0</v>
      </c>
      <c r="I9" s="21">
        <f t="shared" si="0"/>
        <v>0</v>
      </c>
      <c r="J9" s="21">
        <f t="shared" si="1"/>
        <v>1.4660765716752369</v>
      </c>
      <c r="K9" s="21">
        <f t="shared" si="2"/>
        <v>0</v>
      </c>
      <c r="L9" s="21">
        <f t="shared" si="3"/>
        <v>0</v>
      </c>
      <c r="M9" s="21">
        <f t="shared" si="4"/>
        <v>0</v>
      </c>
      <c r="N9" s="21">
        <f t="shared" si="5"/>
        <v>0</v>
      </c>
      <c r="O9" s="21">
        <v>0.46458641028249809</v>
      </c>
      <c r="P9" s="21">
        <v>0.71577081564965417</v>
      </c>
    </row>
    <row r="10" spans="1:16" x14ac:dyDescent="0.25">
      <c r="A10" s="21">
        <v>8</v>
      </c>
      <c r="B10" s="21">
        <v>1.6755160819145563</v>
      </c>
      <c r="C10" s="21">
        <v>0</v>
      </c>
      <c r="D10" s="21">
        <v>1</v>
      </c>
      <c r="E10" s="21">
        <v>0</v>
      </c>
      <c r="F10" s="21">
        <v>0</v>
      </c>
      <c r="G10" s="21">
        <v>0</v>
      </c>
      <c r="H10" s="21">
        <v>0</v>
      </c>
      <c r="I10" s="21">
        <f t="shared" si="0"/>
        <v>0</v>
      </c>
      <c r="J10" s="21">
        <f t="shared" si="1"/>
        <v>1.6755160819145563</v>
      </c>
      <c r="K10" s="21">
        <f t="shared" si="2"/>
        <v>0</v>
      </c>
      <c r="L10" s="21">
        <f t="shared" si="3"/>
        <v>0</v>
      </c>
      <c r="M10" s="21">
        <f t="shared" si="4"/>
        <v>0</v>
      </c>
      <c r="N10" s="21">
        <f t="shared" si="5"/>
        <v>0</v>
      </c>
      <c r="O10" s="21">
        <v>1.0904375200021745</v>
      </c>
      <c r="P10" s="21">
        <v>0.73116049041376596</v>
      </c>
    </row>
    <row r="11" spans="1:16" x14ac:dyDescent="0.25">
      <c r="A11" s="21">
        <v>9</v>
      </c>
      <c r="B11" s="21">
        <v>1.8849555921538759</v>
      </c>
      <c r="C11" s="21">
        <v>0</v>
      </c>
      <c r="D11" s="21">
        <v>1</v>
      </c>
      <c r="E11" s="21">
        <v>0</v>
      </c>
      <c r="F11" s="21">
        <v>0</v>
      </c>
      <c r="G11" s="21">
        <v>0</v>
      </c>
      <c r="H11" s="21">
        <v>0</v>
      </c>
      <c r="I11" s="21">
        <f t="shared" si="0"/>
        <v>0</v>
      </c>
      <c r="J11" s="21">
        <f t="shared" si="1"/>
        <v>1.8849555921538759</v>
      </c>
      <c r="K11" s="21">
        <f t="shared" si="2"/>
        <v>0</v>
      </c>
      <c r="L11" s="21">
        <f t="shared" si="3"/>
        <v>0</v>
      </c>
      <c r="M11" s="21">
        <f t="shared" si="4"/>
        <v>0</v>
      </c>
      <c r="N11" s="21">
        <f t="shared" si="5"/>
        <v>0</v>
      </c>
      <c r="O11" s="21">
        <v>0.73460352450894062</v>
      </c>
      <c r="P11" s="21">
        <v>0.74655016517787776</v>
      </c>
    </row>
    <row r="12" spans="1:16" x14ac:dyDescent="0.25">
      <c r="A12" s="21">
        <v>10</v>
      </c>
      <c r="B12" s="21">
        <v>2.0943951023931953</v>
      </c>
      <c r="C12" s="21">
        <v>0</v>
      </c>
      <c r="D12" s="21">
        <v>1</v>
      </c>
      <c r="E12" s="21">
        <v>0</v>
      </c>
      <c r="F12" s="21">
        <v>0</v>
      </c>
      <c r="G12" s="21">
        <v>0</v>
      </c>
      <c r="H12" s="21">
        <v>0</v>
      </c>
      <c r="I12" s="21">
        <f t="shared" si="0"/>
        <v>0</v>
      </c>
      <c r="J12" s="21">
        <f t="shared" si="1"/>
        <v>2.0943951023931953</v>
      </c>
      <c r="K12" s="21">
        <f t="shared" si="2"/>
        <v>0</v>
      </c>
      <c r="L12" s="21">
        <f t="shared" si="3"/>
        <v>0</v>
      </c>
      <c r="M12" s="21">
        <f t="shared" si="4"/>
        <v>0</v>
      </c>
      <c r="N12" s="21">
        <f t="shared" si="5"/>
        <v>0</v>
      </c>
      <c r="O12" s="21">
        <v>0.65405740699127635</v>
      </c>
      <c r="P12" s="21">
        <v>0.76193983994198955</v>
      </c>
    </row>
    <row r="13" spans="1:16" x14ac:dyDescent="0.25">
      <c r="A13" s="21">
        <v>11</v>
      </c>
      <c r="B13" s="21">
        <v>2.3038346126325147</v>
      </c>
      <c r="C13" s="21">
        <v>0</v>
      </c>
      <c r="D13" s="21">
        <v>0</v>
      </c>
      <c r="E13" s="21">
        <v>1</v>
      </c>
      <c r="F13" s="21">
        <v>0</v>
      </c>
      <c r="G13" s="21">
        <v>0</v>
      </c>
      <c r="H13" s="21">
        <v>0</v>
      </c>
      <c r="I13" s="21">
        <f t="shared" si="0"/>
        <v>0</v>
      </c>
      <c r="J13" s="21">
        <f t="shared" si="1"/>
        <v>0</v>
      </c>
      <c r="K13" s="21">
        <f t="shared" si="2"/>
        <v>2.3038346126325147</v>
      </c>
      <c r="L13" s="21">
        <f t="shared" si="3"/>
        <v>0</v>
      </c>
      <c r="M13" s="21">
        <f t="shared" si="4"/>
        <v>0</v>
      </c>
      <c r="N13" s="21">
        <f t="shared" si="5"/>
        <v>0</v>
      </c>
      <c r="O13" s="21">
        <v>0.57004534084851322</v>
      </c>
      <c r="P13" s="21">
        <v>0.27655816127728228</v>
      </c>
    </row>
    <row r="14" spans="1:16" x14ac:dyDescent="0.25">
      <c r="A14" s="21">
        <v>12</v>
      </c>
      <c r="B14" s="21">
        <v>2.5132741228718345</v>
      </c>
      <c r="C14" s="21">
        <v>0</v>
      </c>
      <c r="D14" s="21">
        <v>0</v>
      </c>
      <c r="E14" s="21">
        <v>1</v>
      </c>
      <c r="F14" s="21">
        <v>0</v>
      </c>
      <c r="G14" s="21">
        <v>0</v>
      </c>
      <c r="H14" s="21">
        <v>0</v>
      </c>
      <c r="I14" s="21">
        <f t="shared" si="0"/>
        <v>0</v>
      </c>
      <c r="J14" s="21">
        <f t="shared" si="1"/>
        <v>0</v>
      </c>
      <c r="K14" s="21">
        <f t="shared" si="2"/>
        <v>2.5132741228718345</v>
      </c>
      <c r="L14" s="21">
        <f t="shared" si="3"/>
        <v>0</v>
      </c>
      <c r="M14" s="21">
        <f t="shared" si="4"/>
        <v>0</v>
      </c>
      <c r="N14" s="21">
        <f t="shared" si="5"/>
        <v>0</v>
      </c>
      <c r="O14" s="21">
        <v>-0.15194780570688993</v>
      </c>
      <c r="P14" s="21">
        <v>0.16850558316432962</v>
      </c>
    </row>
    <row r="15" spans="1:16" x14ac:dyDescent="0.25">
      <c r="A15" s="21">
        <v>13</v>
      </c>
      <c r="B15" s="21">
        <v>2.7227136331111543</v>
      </c>
      <c r="C15" s="21">
        <v>0</v>
      </c>
      <c r="D15" s="21">
        <v>0</v>
      </c>
      <c r="E15" s="21">
        <v>1</v>
      </c>
      <c r="F15" s="21">
        <v>0</v>
      </c>
      <c r="G15" s="21">
        <v>0</v>
      </c>
      <c r="H15" s="21">
        <v>0</v>
      </c>
      <c r="I15" s="21">
        <f t="shared" si="0"/>
        <v>0</v>
      </c>
      <c r="J15" s="21">
        <f t="shared" si="1"/>
        <v>0</v>
      </c>
      <c r="K15" s="21">
        <f t="shared" si="2"/>
        <v>2.7227136331111543</v>
      </c>
      <c r="L15" s="21">
        <f t="shared" si="3"/>
        <v>0</v>
      </c>
      <c r="M15" s="21">
        <f t="shared" si="4"/>
        <v>0</v>
      </c>
      <c r="N15" s="21">
        <f t="shared" si="5"/>
        <v>0</v>
      </c>
      <c r="O15" s="21">
        <v>4.9191643383140769E-2</v>
      </c>
      <c r="P15" s="21">
        <v>6.0453005051376962E-2</v>
      </c>
    </row>
    <row r="16" spans="1:16" x14ac:dyDescent="0.25">
      <c r="A16" s="21">
        <v>14</v>
      </c>
      <c r="B16" s="21">
        <v>2.9321531433504737</v>
      </c>
      <c r="C16" s="21">
        <v>0</v>
      </c>
      <c r="D16" s="21">
        <v>0</v>
      </c>
      <c r="E16" s="21">
        <v>1</v>
      </c>
      <c r="F16" s="21">
        <v>0</v>
      </c>
      <c r="G16" s="21">
        <v>0</v>
      </c>
      <c r="H16" s="21">
        <v>0</v>
      </c>
      <c r="I16" s="21">
        <f t="shared" si="0"/>
        <v>0</v>
      </c>
      <c r="J16" s="21">
        <f t="shared" si="1"/>
        <v>0</v>
      </c>
      <c r="K16" s="21">
        <f t="shared" si="2"/>
        <v>2.9321531433504737</v>
      </c>
      <c r="L16" s="21">
        <f t="shared" si="3"/>
        <v>0</v>
      </c>
      <c r="M16" s="21">
        <f t="shared" si="4"/>
        <v>0</v>
      </c>
      <c r="N16" s="21">
        <f t="shared" si="5"/>
        <v>0</v>
      </c>
      <c r="O16" s="21">
        <v>-0.23766540139636769</v>
      </c>
      <c r="P16" s="21">
        <v>-4.7599573061575473E-2</v>
      </c>
    </row>
    <row r="17" spans="1:16" x14ac:dyDescent="0.25">
      <c r="A17" s="21">
        <v>15</v>
      </c>
      <c r="B17" s="21">
        <v>3.1415926535897927</v>
      </c>
      <c r="C17" s="21">
        <v>0</v>
      </c>
      <c r="D17" s="21">
        <v>0</v>
      </c>
      <c r="E17" s="21">
        <v>1</v>
      </c>
      <c r="F17" s="21">
        <v>0</v>
      </c>
      <c r="G17" s="21">
        <v>0</v>
      </c>
      <c r="H17" s="21">
        <v>0</v>
      </c>
      <c r="I17" s="21">
        <f t="shared" si="0"/>
        <v>0</v>
      </c>
      <c r="J17" s="21">
        <f t="shared" si="1"/>
        <v>0</v>
      </c>
      <c r="K17" s="21">
        <f t="shared" si="2"/>
        <v>3.1415926535897927</v>
      </c>
      <c r="L17" s="21">
        <f t="shared" si="3"/>
        <v>0</v>
      </c>
      <c r="M17" s="21">
        <f t="shared" si="4"/>
        <v>0</v>
      </c>
      <c r="N17" s="21">
        <f t="shared" si="5"/>
        <v>0</v>
      </c>
      <c r="O17" s="21">
        <v>7.2641248128490127E-2</v>
      </c>
      <c r="P17" s="21">
        <v>-0.15565215117452746</v>
      </c>
    </row>
    <row r="18" spans="1:16" x14ac:dyDescent="0.25">
      <c r="A18" s="21">
        <v>16</v>
      </c>
      <c r="B18" s="21">
        <v>3.3510321638291125</v>
      </c>
      <c r="C18" s="21">
        <v>0</v>
      </c>
      <c r="D18" s="21">
        <v>0</v>
      </c>
      <c r="E18" s="21">
        <v>0</v>
      </c>
      <c r="F18" s="21">
        <v>1</v>
      </c>
      <c r="G18" s="21">
        <v>0</v>
      </c>
      <c r="H18" s="21">
        <v>0</v>
      </c>
      <c r="I18" s="21">
        <f t="shared" si="0"/>
        <v>0</v>
      </c>
      <c r="J18" s="21">
        <f t="shared" si="1"/>
        <v>0</v>
      </c>
      <c r="K18" s="21">
        <f t="shared" si="2"/>
        <v>0</v>
      </c>
      <c r="L18" s="21">
        <f t="shared" si="3"/>
        <v>3.3510321638291125</v>
      </c>
      <c r="M18" s="21">
        <f t="shared" si="4"/>
        <v>0</v>
      </c>
      <c r="N18" s="21">
        <f t="shared" si="5"/>
        <v>0</v>
      </c>
      <c r="O18" s="21">
        <v>2.1344472249498331E-2</v>
      </c>
      <c r="P18" s="21">
        <v>5.00518629572686E-2</v>
      </c>
    </row>
    <row r="19" spans="1:16" x14ac:dyDescent="0.25">
      <c r="A19" s="21">
        <v>17</v>
      </c>
      <c r="B19" s="21">
        <v>3.5604716740684323</v>
      </c>
      <c r="C19" s="21">
        <v>0</v>
      </c>
      <c r="D19" s="21">
        <v>0</v>
      </c>
      <c r="E19" s="21">
        <v>0</v>
      </c>
      <c r="F19" s="21">
        <v>1</v>
      </c>
      <c r="G19" s="21">
        <v>0</v>
      </c>
      <c r="H19" s="21">
        <v>0</v>
      </c>
      <c r="I19" s="21">
        <f t="shared" si="0"/>
        <v>0</v>
      </c>
      <c r="J19" s="21">
        <f t="shared" si="1"/>
        <v>0</v>
      </c>
      <c r="K19" s="21">
        <f t="shared" si="2"/>
        <v>0</v>
      </c>
      <c r="L19" s="21">
        <f t="shared" si="3"/>
        <v>3.5604716740684323</v>
      </c>
      <c r="M19" s="21">
        <f t="shared" si="4"/>
        <v>0</v>
      </c>
      <c r="N19" s="21">
        <f t="shared" si="5"/>
        <v>0</v>
      </c>
      <c r="O19" s="21">
        <v>4.3416060207188134E-4</v>
      </c>
      <c r="P19" s="21">
        <v>-0.12151517516197519</v>
      </c>
    </row>
    <row r="20" spans="1:16" x14ac:dyDescent="0.25">
      <c r="A20" s="21">
        <v>18</v>
      </c>
      <c r="B20" s="21">
        <v>3.7699111843077517</v>
      </c>
      <c r="C20" s="21">
        <v>0</v>
      </c>
      <c r="D20" s="21">
        <v>0</v>
      </c>
      <c r="E20" s="21">
        <v>0</v>
      </c>
      <c r="F20" s="21">
        <v>1</v>
      </c>
      <c r="G20" s="21">
        <v>0</v>
      </c>
      <c r="H20" s="21">
        <v>0</v>
      </c>
      <c r="I20" s="21">
        <f t="shared" si="0"/>
        <v>0</v>
      </c>
      <c r="J20" s="21">
        <f t="shared" si="1"/>
        <v>0</v>
      </c>
      <c r="K20" s="21">
        <f t="shared" si="2"/>
        <v>0</v>
      </c>
      <c r="L20" s="21">
        <f t="shared" si="3"/>
        <v>3.7699111843077517</v>
      </c>
      <c r="M20" s="21">
        <f t="shared" si="4"/>
        <v>0</v>
      </c>
      <c r="N20" s="21">
        <f t="shared" si="5"/>
        <v>0</v>
      </c>
      <c r="O20" s="21">
        <v>-0.48127635421609938</v>
      </c>
      <c r="P20" s="21">
        <v>-0.29308221328121853</v>
      </c>
    </row>
    <row r="21" spans="1:16" x14ac:dyDescent="0.25">
      <c r="A21" s="21">
        <v>19</v>
      </c>
      <c r="B21" s="21">
        <v>3.9793506945470711</v>
      </c>
      <c r="C21" s="21">
        <v>0</v>
      </c>
      <c r="D21" s="21">
        <v>0</v>
      </c>
      <c r="E21" s="21">
        <v>0</v>
      </c>
      <c r="F21" s="21">
        <v>1</v>
      </c>
      <c r="G21" s="21">
        <v>0</v>
      </c>
      <c r="H21" s="21">
        <v>0</v>
      </c>
      <c r="I21" s="21">
        <f t="shared" si="0"/>
        <v>0</v>
      </c>
      <c r="J21" s="21">
        <f t="shared" si="1"/>
        <v>0</v>
      </c>
      <c r="K21" s="21">
        <f t="shared" si="2"/>
        <v>0</v>
      </c>
      <c r="L21" s="21">
        <f t="shared" si="3"/>
        <v>3.9793506945470711</v>
      </c>
      <c r="M21" s="21">
        <f t="shared" si="4"/>
        <v>0</v>
      </c>
      <c r="N21" s="21">
        <f t="shared" si="5"/>
        <v>0</v>
      </c>
      <c r="O21" s="21">
        <v>-0.33927941399176736</v>
      </c>
      <c r="P21" s="21">
        <v>-0.46464925140046232</v>
      </c>
    </row>
    <row r="22" spans="1:16" x14ac:dyDescent="0.25">
      <c r="A22" s="21">
        <v>20</v>
      </c>
      <c r="B22" s="21">
        <v>4.1887902047863905</v>
      </c>
      <c r="C22" s="21">
        <v>0</v>
      </c>
      <c r="D22" s="21">
        <v>0</v>
      </c>
      <c r="E22" s="21">
        <v>0</v>
      </c>
      <c r="F22" s="21">
        <v>1</v>
      </c>
      <c r="G22" s="21">
        <v>0</v>
      </c>
      <c r="H22" s="21">
        <v>0</v>
      </c>
      <c r="I22" s="21">
        <f t="shared" si="0"/>
        <v>0</v>
      </c>
      <c r="J22" s="21">
        <f t="shared" si="1"/>
        <v>0</v>
      </c>
      <c r="K22" s="21">
        <f t="shared" si="2"/>
        <v>0</v>
      </c>
      <c r="L22" s="21">
        <f t="shared" si="3"/>
        <v>4.1887902047863905</v>
      </c>
      <c r="M22" s="21">
        <f t="shared" si="4"/>
        <v>0</v>
      </c>
      <c r="N22" s="21">
        <f t="shared" si="5"/>
        <v>0</v>
      </c>
      <c r="O22" s="21">
        <v>-0.66663393104980051</v>
      </c>
      <c r="P22" s="21">
        <v>-0.63621628951970566</v>
      </c>
    </row>
    <row r="23" spans="1:16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0</v>
      </c>
      <c r="F23" s="21">
        <v>0</v>
      </c>
      <c r="G23" s="21">
        <v>1</v>
      </c>
      <c r="H23" s="21">
        <v>0</v>
      </c>
      <c r="I23" s="21">
        <f t="shared" si="0"/>
        <v>0</v>
      </c>
      <c r="J23" s="21">
        <f t="shared" si="1"/>
        <v>0</v>
      </c>
      <c r="K23" s="21">
        <f t="shared" si="2"/>
        <v>0</v>
      </c>
      <c r="L23" s="21">
        <f t="shared" si="3"/>
        <v>0</v>
      </c>
      <c r="M23" s="21">
        <f t="shared" si="4"/>
        <v>4.3982297150257104</v>
      </c>
      <c r="N23" s="21">
        <f t="shared" si="5"/>
        <v>0</v>
      </c>
      <c r="O23" s="21">
        <v>-0.82049127729304749</v>
      </c>
      <c r="P23" s="21">
        <v>-1.0117773438347601</v>
      </c>
    </row>
    <row r="24" spans="1:16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0</v>
      </c>
      <c r="F24" s="21">
        <v>0</v>
      </c>
      <c r="G24" s="21">
        <v>1</v>
      </c>
      <c r="H24" s="21">
        <v>0</v>
      </c>
      <c r="I24" s="21">
        <f t="shared" si="0"/>
        <v>0</v>
      </c>
      <c r="J24" s="21">
        <f t="shared" si="1"/>
        <v>0</v>
      </c>
      <c r="K24" s="21">
        <f t="shared" si="2"/>
        <v>0</v>
      </c>
      <c r="L24" s="21">
        <f t="shared" si="3"/>
        <v>0</v>
      </c>
      <c r="M24" s="21">
        <f t="shared" si="4"/>
        <v>4.6076692252650293</v>
      </c>
      <c r="N24" s="21">
        <f t="shared" si="5"/>
        <v>0</v>
      </c>
      <c r="O24" s="21">
        <v>-0.93606956280844389</v>
      </c>
      <c r="P24" s="21">
        <v>-0.79737812857391965</v>
      </c>
    </row>
    <row r="25" spans="1:16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0</v>
      </c>
      <c r="F25" s="21">
        <v>0</v>
      </c>
      <c r="G25" s="21">
        <v>1</v>
      </c>
      <c r="H25" s="21">
        <v>0</v>
      </c>
      <c r="I25" s="21">
        <f t="shared" si="0"/>
        <v>0</v>
      </c>
      <c r="J25" s="21">
        <f t="shared" si="1"/>
        <v>0</v>
      </c>
      <c r="K25" s="21">
        <f t="shared" si="2"/>
        <v>0</v>
      </c>
      <c r="L25" s="21">
        <f t="shared" si="3"/>
        <v>0</v>
      </c>
      <c r="M25" s="21">
        <f t="shared" si="4"/>
        <v>4.8171087355043491</v>
      </c>
      <c r="N25" s="21">
        <f t="shared" si="5"/>
        <v>0</v>
      </c>
      <c r="O25" s="21">
        <v>-0.70020245579705642</v>
      </c>
      <c r="P25" s="21">
        <v>-0.58297891331307827</v>
      </c>
    </row>
    <row r="26" spans="1:16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0</v>
      </c>
      <c r="F26" s="21">
        <v>0</v>
      </c>
      <c r="G26" s="21">
        <v>1</v>
      </c>
      <c r="H26" s="21">
        <v>0</v>
      </c>
      <c r="I26" s="21">
        <f t="shared" si="0"/>
        <v>0</v>
      </c>
      <c r="J26" s="21">
        <f t="shared" si="1"/>
        <v>0</v>
      </c>
      <c r="K26" s="21">
        <f t="shared" si="2"/>
        <v>0</v>
      </c>
      <c r="L26" s="21">
        <f t="shared" si="3"/>
        <v>0</v>
      </c>
      <c r="M26" s="21">
        <f t="shared" si="4"/>
        <v>5.026548245743669</v>
      </c>
      <c r="N26" s="21">
        <f t="shared" si="5"/>
        <v>0</v>
      </c>
      <c r="O26" s="21">
        <v>-0.48320257654754589</v>
      </c>
      <c r="P26" s="21">
        <v>-0.368579698052236</v>
      </c>
    </row>
    <row r="27" spans="1:16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0</v>
      </c>
      <c r="F27" s="21">
        <v>0</v>
      </c>
      <c r="G27" s="21">
        <v>1</v>
      </c>
      <c r="H27" s="21">
        <v>0</v>
      </c>
      <c r="I27" s="21">
        <f t="shared" si="0"/>
        <v>0</v>
      </c>
      <c r="J27" s="21">
        <f t="shared" si="1"/>
        <v>0</v>
      </c>
      <c r="K27" s="21">
        <f t="shared" si="2"/>
        <v>0</v>
      </c>
      <c r="L27" s="21">
        <f t="shared" si="3"/>
        <v>0</v>
      </c>
      <c r="M27" s="21">
        <f t="shared" si="4"/>
        <v>5.2359877559829888</v>
      </c>
      <c r="N27" s="21">
        <f t="shared" si="5"/>
        <v>0</v>
      </c>
      <c r="O27" s="21">
        <v>2.507130588071016E-2</v>
      </c>
      <c r="P27" s="21">
        <v>-0.15418048279139462</v>
      </c>
    </row>
    <row r="28" spans="1:16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0</v>
      </c>
      <c r="F28" s="21">
        <v>0</v>
      </c>
      <c r="G28" s="21">
        <v>0</v>
      </c>
      <c r="H28" s="21">
        <v>1</v>
      </c>
      <c r="I28" s="21">
        <f t="shared" si="0"/>
        <v>0</v>
      </c>
      <c r="J28" s="21">
        <f t="shared" si="1"/>
        <v>0</v>
      </c>
      <c r="K28" s="21">
        <f t="shared" si="2"/>
        <v>0</v>
      </c>
      <c r="L28" s="21">
        <f t="shared" si="3"/>
        <v>0</v>
      </c>
      <c r="M28" s="21">
        <f t="shared" si="4"/>
        <v>0</v>
      </c>
      <c r="N28" s="21">
        <f t="shared" si="5"/>
        <v>5.4454272662223087</v>
      </c>
      <c r="O28" s="21">
        <v>0.14363276847356277</v>
      </c>
      <c r="P28" s="21">
        <v>0.16692976279188443</v>
      </c>
    </row>
    <row r="29" spans="1:16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0</v>
      </c>
      <c r="F29" s="21">
        <v>0</v>
      </c>
      <c r="G29" s="21">
        <v>0</v>
      </c>
      <c r="H29" s="21">
        <v>1</v>
      </c>
      <c r="I29" s="21">
        <f t="shared" si="0"/>
        <v>0</v>
      </c>
      <c r="J29" s="21">
        <f t="shared" si="1"/>
        <v>0</v>
      </c>
      <c r="K29" s="21">
        <f t="shared" si="2"/>
        <v>0</v>
      </c>
      <c r="L29" s="21">
        <f t="shared" si="3"/>
        <v>0</v>
      </c>
      <c r="M29" s="21">
        <f t="shared" si="4"/>
        <v>0</v>
      </c>
      <c r="N29" s="21">
        <f t="shared" si="5"/>
        <v>5.6548667764616276</v>
      </c>
      <c r="O29" s="21">
        <v>0.25366487237671459</v>
      </c>
      <c r="P29" s="21">
        <v>0.51994219596910796</v>
      </c>
    </row>
    <row r="30" spans="1:16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0</v>
      </c>
      <c r="F30" s="21">
        <v>0</v>
      </c>
      <c r="G30" s="21">
        <v>0</v>
      </c>
      <c r="H30" s="21">
        <v>1</v>
      </c>
      <c r="I30" s="21">
        <f t="shared" si="0"/>
        <v>0</v>
      </c>
      <c r="J30" s="21">
        <f t="shared" si="1"/>
        <v>0</v>
      </c>
      <c r="K30" s="21">
        <f t="shared" si="2"/>
        <v>0</v>
      </c>
      <c r="L30" s="21">
        <f t="shared" si="3"/>
        <v>0</v>
      </c>
      <c r="M30" s="21">
        <f t="shared" si="4"/>
        <v>0</v>
      </c>
      <c r="N30" s="21">
        <f t="shared" si="5"/>
        <v>5.8643062867009474</v>
      </c>
      <c r="O30" s="21">
        <v>1.2946583886008181</v>
      </c>
      <c r="P30" s="21">
        <v>0.87295462914633326</v>
      </c>
    </row>
    <row r="31" spans="1:16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0</v>
      </c>
      <c r="F31" s="21">
        <v>0</v>
      </c>
      <c r="G31" s="21">
        <v>0</v>
      </c>
      <c r="H31" s="21">
        <v>1</v>
      </c>
      <c r="I31" s="21">
        <f t="shared" si="0"/>
        <v>0</v>
      </c>
      <c r="J31" s="21">
        <f t="shared" si="1"/>
        <v>0</v>
      </c>
      <c r="K31" s="21">
        <f t="shared" si="2"/>
        <v>0</v>
      </c>
      <c r="L31" s="21">
        <f t="shared" si="3"/>
        <v>0</v>
      </c>
      <c r="M31" s="21">
        <f t="shared" si="4"/>
        <v>0</v>
      </c>
      <c r="N31" s="21">
        <f t="shared" si="5"/>
        <v>6.0737457969402673</v>
      </c>
      <c r="O31" s="21">
        <v>1.2745794914650472</v>
      </c>
      <c r="P31" s="21">
        <v>1.2259670623235568</v>
      </c>
    </row>
    <row r="32" spans="1:16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0</v>
      </c>
      <c r="F32" s="21">
        <v>0</v>
      </c>
      <c r="G32" s="21">
        <v>0</v>
      </c>
      <c r="H32" s="21">
        <v>1</v>
      </c>
      <c r="I32" s="21">
        <f t="shared" si="0"/>
        <v>0</v>
      </c>
      <c r="J32" s="21">
        <f t="shared" si="1"/>
        <v>0</v>
      </c>
      <c r="K32" s="21">
        <f t="shared" si="2"/>
        <v>0</v>
      </c>
      <c r="L32" s="21">
        <f t="shared" si="3"/>
        <v>0</v>
      </c>
      <c r="M32" s="21">
        <f t="shared" si="4"/>
        <v>0</v>
      </c>
      <c r="N32" s="21">
        <f t="shared" si="5"/>
        <v>6.2831853071795853</v>
      </c>
      <c r="O32" s="21">
        <v>1.3982376248155151</v>
      </c>
      <c r="P32" s="21">
        <v>1.5789794955007785</v>
      </c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A1356-41C8-1542-B8EC-B6B80B67E2E4}">
  <sheetPr codeName="Sheet4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21"/>
  </cols>
  <sheetData>
    <row r="2" spans="1:10" s="22" customFormat="1" x14ac:dyDescent="0.25">
      <c r="B2" s="22" t="s">
        <v>74</v>
      </c>
      <c r="C2" s="22" t="s">
        <v>77</v>
      </c>
      <c r="D2" s="22" t="s">
        <v>76</v>
      </c>
      <c r="E2" s="22" t="s">
        <v>80</v>
      </c>
      <c r="F2" s="22" t="s">
        <v>79</v>
      </c>
      <c r="G2" s="22" t="s">
        <v>88</v>
      </c>
      <c r="H2" s="22" t="s">
        <v>87</v>
      </c>
      <c r="I2" s="22" t="s">
        <v>2</v>
      </c>
      <c r="J2" s="22" t="s">
        <v>0</v>
      </c>
    </row>
    <row r="3" spans="1:10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f t="shared" ref="E3:E32" si="0">$B3*C3</f>
        <v>0.20943951023931953</v>
      </c>
      <c r="F3" s="21">
        <f t="shared" ref="F3:F32" si="1">$B3*D3</f>
        <v>0</v>
      </c>
      <c r="G3" s="21">
        <f t="shared" ref="G3:G32" si="2">$B3^2*D3</f>
        <v>0</v>
      </c>
      <c r="H3" s="21">
        <f t="shared" ref="H3:H32" si="3">$B3^2*E3</f>
        <v>9.1870449423110557E-3</v>
      </c>
      <c r="I3" s="21">
        <v>-1.0584942919841807</v>
      </c>
      <c r="J3" s="21" cm="1">
        <f t="array" ref="J3:J32">TREND(I3:I32,C3:H32,C3:H32,FALSE)</f>
        <v>-1.0760110124151598</v>
      </c>
    </row>
    <row r="4" spans="1:10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f t="shared" si="0"/>
        <v>0.41887902047863906</v>
      </c>
      <c r="F4" s="21">
        <f t="shared" si="1"/>
        <v>0</v>
      </c>
      <c r="G4" s="21">
        <f t="shared" si="2"/>
        <v>0</v>
      </c>
      <c r="H4" s="21">
        <f t="shared" si="3"/>
        <v>7.3496359538488445E-2</v>
      </c>
      <c r="I4" s="21">
        <v>-1.0115837814668849</v>
      </c>
      <c r="J4" s="21">
        <v>-0.75497527995230318</v>
      </c>
    </row>
    <row r="5" spans="1:10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f t="shared" si="0"/>
        <v>0.62831853071795862</v>
      </c>
      <c r="F5" s="21">
        <f t="shared" si="1"/>
        <v>0</v>
      </c>
      <c r="G5" s="21">
        <f t="shared" si="2"/>
        <v>0</v>
      </c>
      <c r="H5" s="21">
        <f t="shared" si="3"/>
        <v>0.24805021344239853</v>
      </c>
      <c r="I5" s="21">
        <v>-0.67059413777823096</v>
      </c>
      <c r="J5" s="21">
        <v>-0.44821327874827138</v>
      </c>
    </row>
    <row r="6" spans="1:10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f t="shared" si="0"/>
        <v>0.83775804095727813</v>
      </c>
      <c r="F6" s="21">
        <f t="shared" si="1"/>
        <v>0</v>
      </c>
      <c r="G6" s="21">
        <f t="shared" si="2"/>
        <v>0</v>
      </c>
      <c r="H6" s="21">
        <f t="shared" si="3"/>
        <v>0.58797087630790756</v>
      </c>
      <c r="I6" s="21">
        <v>-7.8907528339460575E-2</v>
      </c>
      <c r="J6" s="21">
        <v>-0.16286187443247691</v>
      </c>
    </row>
    <row r="7" spans="1:10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f t="shared" si="0"/>
        <v>1.0471975511965976</v>
      </c>
      <c r="F7" s="21">
        <f t="shared" si="1"/>
        <v>0</v>
      </c>
      <c r="G7" s="21">
        <f t="shared" si="2"/>
        <v>0</v>
      </c>
      <c r="H7" s="21">
        <f t="shared" si="3"/>
        <v>1.1483806177888818</v>
      </c>
      <c r="I7" s="21">
        <v>0.19372967770232674</v>
      </c>
      <c r="J7" s="21">
        <v>9.394206736566782E-2</v>
      </c>
    </row>
    <row r="8" spans="1:10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f t="shared" si="0"/>
        <v>1.2566370614359172</v>
      </c>
      <c r="F8" s="21">
        <f t="shared" si="1"/>
        <v>0</v>
      </c>
      <c r="G8" s="21">
        <f t="shared" si="2"/>
        <v>0</v>
      </c>
      <c r="H8" s="21">
        <f t="shared" si="3"/>
        <v>1.9844017075391882</v>
      </c>
      <c r="I8" s="21">
        <v>0.71211759028393917</v>
      </c>
      <c r="J8" s="21">
        <v>0.31506168101675086</v>
      </c>
    </row>
    <row r="9" spans="1:10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f t="shared" si="0"/>
        <v>1.4660765716752369</v>
      </c>
      <c r="F9" s="21">
        <f t="shared" si="1"/>
        <v>0</v>
      </c>
      <c r="G9" s="21">
        <f t="shared" si="2"/>
        <v>0</v>
      </c>
      <c r="H9" s="21">
        <f t="shared" si="3"/>
        <v>3.1511564152126925</v>
      </c>
      <c r="I9" s="21">
        <v>0.46458641028249809</v>
      </c>
      <c r="J9" s="21">
        <v>0.49336010089135923</v>
      </c>
    </row>
    <row r="10" spans="1:10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f t="shared" si="0"/>
        <v>1.6755160819145563</v>
      </c>
      <c r="F10" s="21">
        <f t="shared" si="1"/>
        <v>0</v>
      </c>
      <c r="G10" s="21">
        <f t="shared" si="2"/>
        <v>0</v>
      </c>
      <c r="H10" s="21">
        <f t="shared" si="3"/>
        <v>4.7037670104632605</v>
      </c>
      <c r="I10" s="21">
        <v>1.0904375200021745</v>
      </c>
      <c r="J10" s="21">
        <v>0.6217004613600805</v>
      </c>
    </row>
    <row r="11" spans="1:10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f t="shared" si="0"/>
        <v>1.8849555921538759</v>
      </c>
      <c r="F11" s="21">
        <f t="shared" si="1"/>
        <v>0</v>
      </c>
      <c r="G11" s="21">
        <f t="shared" si="2"/>
        <v>0</v>
      </c>
      <c r="H11" s="21">
        <f t="shared" si="3"/>
        <v>6.6973557629447606</v>
      </c>
      <c r="I11" s="21">
        <v>0.73460352450894062</v>
      </c>
      <c r="J11" s="21">
        <v>0.69294589679350282</v>
      </c>
    </row>
    <row r="12" spans="1:10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f t="shared" si="0"/>
        <v>2.0943951023931953</v>
      </c>
      <c r="F12" s="21">
        <f t="shared" si="1"/>
        <v>0</v>
      </c>
      <c r="G12" s="21">
        <f t="shared" si="2"/>
        <v>0</v>
      </c>
      <c r="H12" s="21">
        <f t="shared" si="3"/>
        <v>9.1870449423110543</v>
      </c>
      <c r="I12" s="21">
        <v>0.65405740699127635</v>
      </c>
      <c r="J12" s="21">
        <v>0.69995954156221285</v>
      </c>
    </row>
    <row r="13" spans="1:10" x14ac:dyDescent="0.25">
      <c r="A13" s="21">
        <v>11</v>
      </c>
      <c r="B13" s="21">
        <v>2.3038346126325147</v>
      </c>
      <c r="C13" s="21">
        <v>1</v>
      </c>
      <c r="D13" s="21">
        <v>0</v>
      </c>
      <c r="E13" s="21">
        <f t="shared" si="0"/>
        <v>2.3038346126325147</v>
      </c>
      <c r="F13" s="21">
        <f t="shared" si="1"/>
        <v>0</v>
      </c>
      <c r="G13" s="21">
        <f t="shared" si="2"/>
        <v>0</v>
      </c>
      <c r="H13" s="21">
        <f t="shared" si="3"/>
        <v>12.227956818216011</v>
      </c>
      <c r="I13" s="21">
        <v>0.57004534084851322</v>
      </c>
      <c r="J13" s="21">
        <v>0.6356045300367994</v>
      </c>
    </row>
    <row r="14" spans="1:10" x14ac:dyDescent="0.25">
      <c r="A14" s="21">
        <v>12</v>
      </c>
      <c r="B14" s="21">
        <v>2.5132741228718345</v>
      </c>
      <c r="C14" s="21">
        <v>1</v>
      </c>
      <c r="D14" s="21">
        <v>0</v>
      </c>
      <c r="E14" s="21">
        <f t="shared" si="0"/>
        <v>2.5132741228718345</v>
      </c>
      <c r="F14" s="21">
        <f t="shared" si="1"/>
        <v>0</v>
      </c>
      <c r="G14" s="21">
        <f t="shared" si="2"/>
        <v>0</v>
      </c>
      <c r="H14" s="21">
        <f t="shared" si="3"/>
        <v>15.875213660313506</v>
      </c>
      <c r="I14" s="21">
        <v>-0.15194780570688993</v>
      </c>
      <c r="J14" s="21">
        <v>0.49274399658784906</v>
      </c>
    </row>
    <row r="15" spans="1:10" x14ac:dyDescent="0.25">
      <c r="A15" s="21">
        <v>13</v>
      </c>
      <c r="B15" s="21">
        <v>2.7227136331111543</v>
      </c>
      <c r="C15" s="21">
        <v>1</v>
      </c>
      <c r="D15" s="21">
        <v>0</v>
      </c>
      <c r="E15" s="21">
        <f t="shared" si="0"/>
        <v>2.7227136331111543</v>
      </c>
      <c r="F15" s="21">
        <f t="shared" si="1"/>
        <v>0</v>
      </c>
      <c r="G15" s="21">
        <f t="shared" si="2"/>
        <v>0</v>
      </c>
      <c r="H15" s="21">
        <f t="shared" si="3"/>
        <v>20.183937738257399</v>
      </c>
      <c r="I15" s="21">
        <v>4.9191643383140769E-2</v>
      </c>
      <c r="J15" s="21">
        <v>0.26424107558594923</v>
      </c>
    </row>
    <row r="16" spans="1:10" x14ac:dyDescent="0.25">
      <c r="A16" s="21">
        <v>14</v>
      </c>
      <c r="B16" s="21">
        <v>2.9321531433504737</v>
      </c>
      <c r="C16" s="21">
        <v>1</v>
      </c>
      <c r="D16" s="21">
        <v>0</v>
      </c>
      <c r="E16" s="21">
        <f t="shared" si="0"/>
        <v>2.9321531433504737</v>
      </c>
      <c r="F16" s="21">
        <f t="shared" si="1"/>
        <v>0</v>
      </c>
      <c r="G16" s="21">
        <f t="shared" si="2"/>
        <v>0</v>
      </c>
      <c r="H16" s="21">
        <f t="shared" si="3"/>
        <v>25.20925132170154</v>
      </c>
      <c r="I16" s="21">
        <v>-0.23766540139636769</v>
      </c>
      <c r="J16" s="21">
        <v>-5.7041098598310747E-2</v>
      </c>
    </row>
    <row r="17" spans="1:10" x14ac:dyDescent="0.25">
      <c r="A17" s="21">
        <v>15</v>
      </c>
      <c r="B17" s="21">
        <v>3.1415926535897927</v>
      </c>
      <c r="C17" s="21">
        <v>1</v>
      </c>
      <c r="D17" s="21">
        <v>0</v>
      </c>
      <c r="E17" s="21">
        <f t="shared" si="0"/>
        <v>3.1415926535897927</v>
      </c>
      <c r="F17" s="21">
        <f t="shared" si="1"/>
        <v>0</v>
      </c>
      <c r="G17" s="21">
        <f t="shared" si="2"/>
        <v>0</v>
      </c>
      <c r="H17" s="21">
        <f t="shared" si="3"/>
        <v>31.006276680299802</v>
      </c>
      <c r="I17" s="21">
        <v>7.2641248128490127E-2</v>
      </c>
      <c r="J17" s="21">
        <v>-0.47823939159434437</v>
      </c>
    </row>
    <row r="18" spans="1:10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f t="shared" si="0"/>
        <v>0</v>
      </c>
      <c r="F18" s="21">
        <f t="shared" si="1"/>
        <v>3.3510321638291125</v>
      </c>
      <c r="G18" s="21">
        <f t="shared" si="2"/>
        <v>11.229416563017224</v>
      </c>
      <c r="H18" s="21">
        <f t="shared" si="3"/>
        <v>0</v>
      </c>
      <c r="I18" s="21">
        <v>2.1344472249498331E-2</v>
      </c>
      <c r="J18" s="21">
        <v>9.3338481297851494E-2</v>
      </c>
    </row>
    <row r="19" spans="1:10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f t="shared" si="0"/>
        <v>0</v>
      </c>
      <c r="F19" s="21">
        <f t="shared" si="1"/>
        <v>3.5604716740684323</v>
      </c>
      <c r="G19" s="21">
        <f t="shared" si="2"/>
        <v>12.676958541843666</v>
      </c>
      <c r="H19" s="21">
        <f t="shared" si="3"/>
        <v>0</v>
      </c>
      <c r="I19" s="21">
        <v>4.3416060207188134E-4</v>
      </c>
      <c r="J19" s="21">
        <v>-0.18360299006434566</v>
      </c>
    </row>
    <row r="20" spans="1:10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f t="shared" si="0"/>
        <v>0</v>
      </c>
      <c r="F20" s="21">
        <f t="shared" si="1"/>
        <v>3.7699111843077517</v>
      </c>
      <c r="G20" s="21">
        <f t="shared" si="2"/>
        <v>14.212230337568675</v>
      </c>
      <c r="H20" s="21">
        <f t="shared" si="3"/>
        <v>0</v>
      </c>
      <c r="I20" s="21">
        <v>-0.48127635421609938</v>
      </c>
      <c r="J20" s="21">
        <v>-0.39974612123682185</v>
      </c>
    </row>
    <row r="21" spans="1:10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f t="shared" si="0"/>
        <v>0</v>
      </c>
      <c r="F21" s="21">
        <f t="shared" si="1"/>
        <v>3.9793506945470711</v>
      </c>
      <c r="G21" s="21">
        <f t="shared" si="2"/>
        <v>15.835231950192258</v>
      </c>
      <c r="H21" s="21">
        <f t="shared" si="3"/>
        <v>0</v>
      </c>
      <c r="I21" s="21">
        <v>-0.33927941399176736</v>
      </c>
      <c r="J21" s="21">
        <v>-0.55509091221957618</v>
      </c>
    </row>
    <row r="22" spans="1:10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f t="shared" si="0"/>
        <v>0</v>
      </c>
      <c r="F22" s="21">
        <f t="shared" si="1"/>
        <v>4.1887902047863905</v>
      </c>
      <c r="G22" s="21">
        <f t="shared" si="2"/>
        <v>17.545963379714411</v>
      </c>
      <c r="H22" s="21">
        <f t="shared" si="3"/>
        <v>0</v>
      </c>
      <c r="I22" s="21">
        <v>-0.66663393104980051</v>
      </c>
      <c r="J22" s="21">
        <v>-0.64963736301261044</v>
      </c>
    </row>
    <row r="23" spans="1:10" x14ac:dyDescent="0.25">
      <c r="A23" s="21">
        <v>21</v>
      </c>
      <c r="B23" s="21">
        <v>4.3982297150257104</v>
      </c>
      <c r="C23" s="21">
        <v>0</v>
      </c>
      <c r="D23" s="21">
        <v>1</v>
      </c>
      <c r="E23" s="21">
        <f t="shared" si="0"/>
        <v>0</v>
      </c>
      <c r="F23" s="21">
        <f t="shared" si="1"/>
        <v>4.3982297150257104</v>
      </c>
      <c r="G23" s="21">
        <f t="shared" si="2"/>
        <v>19.34442462613514</v>
      </c>
      <c r="H23" s="21">
        <f t="shared" si="3"/>
        <v>0</v>
      </c>
      <c r="I23" s="21">
        <v>-0.82049127729304749</v>
      </c>
      <c r="J23" s="21">
        <v>-0.68338547361592639</v>
      </c>
    </row>
    <row r="24" spans="1:10" x14ac:dyDescent="0.25">
      <c r="A24" s="21">
        <v>22</v>
      </c>
      <c r="B24" s="21">
        <v>4.6076692252650293</v>
      </c>
      <c r="C24" s="21">
        <v>0</v>
      </c>
      <c r="D24" s="21">
        <v>1</v>
      </c>
      <c r="E24" s="21">
        <f t="shared" si="0"/>
        <v>0</v>
      </c>
      <c r="F24" s="21">
        <f t="shared" si="1"/>
        <v>4.6076692252650293</v>
      </c>
      <c r="G24" s="21">
        <f t="shared" si="2"/>
        <v>21.230615689454435</v>
      </c>
      <c r="H24" s="21">
        <f t="shared" si="3"/>
        <v>0</v>
      </c>
      <c r="I24" s="21">
        <v>-0.93606956280844389</v>
      </c>
      <c r="J24" s="21">
        <v>-0.65633524402951693</v>
      </c>
    </row>
    <row r="25" spans="1:10" x14ac:dyDescent="0.25">
      <c r="A25" s="21">
        <v>23</v>
      </c>
      <c r="B25" s="21">
        <v>4.8171087355043491</v>
      </c>
      <c r="C25" s="21">
        <v>0</v>
      </c>
      <c r="D25" s="21">
        <v>1</v>
      </c>
      <c r="E25" s="21">
        <f t="shared" si="0"/>
        <v>0</v>
      </c>
      <c r="F25" s="21">
        <f t="shared" si="1"/>
        <v>4.8171087355043491</v>
      </c>
      <c r="G25" s="21">
        <f t="shared" si="2"/>
        <v>23.20453656967231</v>
      </c>
      <c r="H25" s="21">
        <f t="shared" si="3"/>
        <v>0</v>
      </c>
      <c r="I25" s="21">
        <v>-0.70020245579705642</v>
      </c>
      <c r="J25" s="21">
        <v>-0.56848667425338562</v>
      </c>
    </row>
    <row r="26" spans="1:10" x14ac:dyDescent="0.25">
      <c r="A26" s="21">
        <v>24</v>
      </c>
      <c r="B26" s="21">
        <v>5.026548245743669</v>
      </c>
      <c r="C26" s="21">
        <v>0</v>
      </c>
      <c r="D26" s="21">
        <v>1</v>
      </c>
      <c r="E26" s="21">
        <f t="shared" si="0"/>
        <v>0</v>
      </c>
      <c r="F26" s="21">
        <f t="shared" si="1"/>
        <v>5.026548245743669</v>
      </c>
      <c r="G26" s="21">
        <f t="shared" si="2"/>
        <v>25.266187266788755</v>
      </c>
      <c r="H26" s="21">
        <f t="shared" si="3"/>
        <v>0</v>
      </c>
      <c r="I26" s="21">
        <v>-0.48320257654754589</v>
      </c>
      <c r="J26" s="21">
        <v>-0.41983976428753422</v>
      </c>
    </row>
    <row r="27" spans="1:10" x14ac:dyDescent="0.25">
      <c r="A27" s="21">
        <v>25</v>
      </c>
      <c r="B27" s="21">
        <v>5.2359877559829888</v>
      </c>
      <c r="C27" s="21">
        <v>0</v>
      </c>
      <c r="D27" s="21">
        <v>1</v>
      </c>
      <c r="E27" s="21">
        <f t="shared" si="0"/>
        <v>0</v>
      </c>
      <c r="F27" s="21">
        <f t="shared" si="1"/>
        <v>5.2359877559829888</v>
      </c>
      <c r="G27" s="21">
        <f t="shared" si="2"/>
        <v>27.415567780803777</v>
      </c>
      <c r="H27" s="21">
        <f t="shared" si="3"/>
        <v>0</v>
      </c>
      <c r="I27" s="21">
        <v>2.507130588071016E-2</v>
      </c>
      <c r="J27" s="21">
        <v>-0.21039451413196275</v>
      </c>
    </row>
    <row r="28" spans="1:10" x14ac:dyDescent="0.25">
      <c r="A28" s="21">
        <v>26</v>
      </c>
      <c r="B28" s="21">
        <v>5.4454272662223087</v>
      </c>
      <c r="C28" s="21">
        <v>0</v>
      </c>
      <c r="D28" s="21">
        <v>1</v>
      </c>
      <c r="E28" s="21">
        <f t="shared" si="0"/>
        <v>0</v>
      </c>
      <c r="F28" s="21">
        <f t="shared" si="1"/>
        <v>5.4454272662223087</v>
      </c>
      <c r="G28" s="21">
        <f t="shared" si="2"/>
        <v>29.652678111717368</v>
      </c>
      <c r="H28" s="21">
        <f t="shared" si="3"/>
        <v>0</v>
      </c>
      <c r="I28" s="21">
        <v>0.14363276847356277</v>
      </c>
      <c r="J28" s="21">
        <v>5.98490762133288E-2</v>
      </c>
    </row>
    <row r="29" spans="1:10" x14ac:dyDescent="0.25">
      <c r="A29" s="21">
        <v>27</v>
      </c>
      <c r="B29" s="21">
        <v>5.6548667764616276</v>
      </c>
      <c r="C29" s="21">
        <v>0</v>
      </c>
      <c r="D29" s="21">
        <v>1</v>
      </c>
      <c r="E29" s="21">
        <f t="shared" si="0"/>
        <v>0</v>
      </c>
      <c r="F29" s="21">
        <f t="shared" si="1"/>
        <v>5.6548667764616276</v>
      </c>
      <c r="G29" s="21">
        <f t="shared" si="2"/>
        <v>31.977518259529518</v>
      </c>
      <c r="H29" s="21">
        <f t="shared" si="3"/>
        <v>0</v>
      </c>
      <c r="I29" s="21">
        <v>0.25366487237671459</v>
      </c>
      <c r="J29" s="21">
        <v>0.39089100674834043</v>
      </c>
    </row>
    <row r="30" spans="1:10" x14ac:dyDescent="0.25">
      <c r="A30" s="21">
        <v>28</v>
      </c>
      <c r="B30" s="21">
        <v>5.8643062867009474</v>
      </c>
      <c r="C30" s="21">
        <v>0</v>
      </c>
      <c r="D30" s="21">
        <v>1</v>
      </c>
      <c r="E30" s="21">
        <f t="shared" si="0"/>
        <v>0</v>
      </c>
      <c r="F30" s="21">
        <f t="shared" si="1"/>
        <v>5.8643062867009474</v>
      </c>
      <c r="G30" s="21">
        <f t="shared" si="2"/>
        <v>34.390088224240252</v>
      </c>
      <c r="H30" s="21">
        <f t="shared" si="3"/>
        <v>0</v>
      </c>
      <c r="I30" s="21">
        <v>1.2946583886008181</v>
      </c>
      <c r="J30" s="21">
        <v>0.78273127747307214</v>
      </c>
    </row>
    <row r="31" spans="1:10" x14ac:dyDescent="0.25">
      <c r="A31" s="21">
        <v>29</v>
      </c>
      <c r="B31" s="21">
        <v>6.0737457969402673</v>
      </c>
      <c r="C31" s="21">
        <v>0</v>
      </c>
      <c r="D31" s="21">
        <v>1</v>
      </c>
      <c r="E31" s="21">
        <f t="shared" si="0"/>
        <v>0</v>
      </c>
      <c r="F31" s="21">
        <f t="shared" si="1"/>
        <v>6.0737457969402673</v>
      </c>
      <c r="G31" s="21">
        <f t="shared" si="2"/>
        <v>36.890388005849566</v>
      </c>
      <c r="H31" s="21">
        <f t="shared" si="3"/>
        <v>0</v>
      </c>
      <c r="I31" s="21">
        <v>1.2745794914650472</v>
      </c>
      <c r="J31" s="21">
        <v>1.235369888387531</v>
      </c>
    </row>
    <row r="32" spans="1:10" x14ac:dyDescent="0.25">
      <c r="A32" s="21">
        <v>30</v>
      </c>
      <c r="B32" s="21">
        <v>6.2831853071795853</v>
      </c>
      <c r="C32" s="21">
        <v>0</v>
      </c>
      <c r="D32" s="21">
        <v>1</v>
      </c>
      <c r="E32" s="21">
        <f t="shared" si="0"/>
        <v>0</v>
      </c>
      <c r="F32" s="21">
        <f t="shared" si="1"/>
        <v>6.2831853071795853</v>
      </c>
      <c r="G32" s="21">
        <f t="shared" si="2"/>
        <v>39.478417604357418</v>
      </c>
      <c r="H32" s="21">
        <f t="shared" si="3"/>
        <v>0</v>
      </c>
      <c r="I32" s="21">
        <v>1.3982376248155151</v>
      </c>
      <c r="J32" s="21">
        <v>1.7488068394917029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501CA-43E6-0A4F-9719-4485E65E8CE2}">
  <sheetPr codeName="Sheet45">
    <tabColor rgb="FF002060"/>
  </sheetPr>
  <dimension ref="A1:A9"/>
  <sheetViews>
    <sheetView workbookViewId="0"/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246</v>
      </c>
    </row>
    <row r="2" spans="1:1" x14ac:dyDescent="0.3">
      <c r="A2" s="95" t="s">
        <v>247</v>
      </c>
    </row>
    <row r="3" spans="1:1" x14ac:dyDescent="0.3">
      <c r="A3" s="95" t="s">
        <v>248</v>
      </c>
    </row>
    <row r="4" spans="1:1" x14ac:dyDescent="0.3">
      <c r="A4" s="95" t="s">
        <v>249</v>
      </c>
    </row>
    <row r="5" spans="1:1" x14ac:dyDescent="0.3">
      <c r="A5" s="95" t="s">
        <v>250</v>
      </c>
    </row>
    <row r="6" spans="1:1" x14ac:dyDescent="0.3">
      <c r="A6" s="95" t="s">
        <v>251</v>
      </c>
    </row>
    <row r="7" spans="1:1" x14ac:dyDescent="0.3">
      <c r="A7" s="95" t="s">
        <v>252</v>
      </c>
    </row>
    <row r="8" spans="1:1" x14ac:dyDescent="0.3">
      <c r="A8" s="95" t="s">
        <v>253</v>
      </c>
    </row>
    <row r="9" spans="1:1" x14ac:dyDescent="0.3">
      <c r="A9" s="95" t="s">
        <v>254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ED8FD-25BB-B64C-BA6E-B72523FE2522}">
  <sheetPr codeName="Sheet46">
    <tabColor rgb="FFFF0000"/>
  </sheetPr>
  <dimension ref="A1:T43"/>
  <sheetViews>
    <sheetView zoomScale="90" zoomScaleNormal="90" workbookViewId="0"/>
  </sheetViews>
  <sheetFormatPr baseColWidth="10" defaultRowHeight="16" x14ac:dyDescent="0.2"/>
  <cols>
    <col min="1" max="16384" width="10.83203125" style="24"/>
  </cols>
  <sheetData>
    <row r="1" spans="1:6" x14ac:dyDescent="0.2">
      <c r="A1" s="134" t="s">
        <v>360</v>
      </c>
    </row>
    <row r="2" spans="1:6" x14ac:dyDescent="0.2">
      <c r="A2" s="134" t="s">
        <v>361</v>
      </c>
    </row>
    <row r="4" spans="1:6" x14ac:dyDescent="0.2">
      <c r="C4" s="23" t="s">
        <v>89</v>
      </c>
      <c r="D4" s="23" t="s">
        <v>90</v>
      </c>
      <c r="E4" s="24" t="s">
        <v>91</v>
      </c>
      <c r="F4" s="24" t="s">
        <v>92</v>
      </c>
    </row>
    <row r="5" spans="1:6" ht="18" x14ac:dyDescent="0.25">
      <c r="C5" s="24">
        <v>2</v>
      </c>
      <c r="D5" s="24">
        <f>$O$40*C5+$O$41</f>
        <v>5.0000000000000018</v>
      </c>
      <c r="E5" s="24" t="s">
        <v>93</v>
      </c>
    </row>
    <row r="6" spans="1:6" x14ac:dyDescent="0.2">
      <c r="C6" s="25">
        <v>2.1</v>
      </c>
      <c r="D6" s="24">
        <f t="shared" ref="D6:D15" si="0">$O$40*C6+$O$41</f>
        <v>5.1000000000000014</v>
      </c>
    </row>
    <row r="7" spans="1:6" x14ac:dyDescent="0.2">
      <c r="C7" s="25">
        <v>2.2000000000000002</v>
      </c>
      <c r="D7" s="24">
        <f t="shared" si="0"/>
        <v>5.200000000000002</v>
      </c>
    </row>
    <row r="8" spans="1:6" x14ac:dyDescent="0.2">
      <c r="C8" s="25">
        <v>2.2999999999999998</v>
      </c>
      <c r="D8" s="24">
        <f t="shared" si="0"/>
        <v>5.3000000000000025</v>
      </c>
    </row>
    <row r="9" spans="1:6" x14ac:dyDescent="0.2">
      <c r="C9" s="25">
        <v>2.4</v>
      </c>
      <c r="D9" s="24">
        <f t="shared" si="0"/>
        <v>5.4000000000000021</v>
      </c>
    </row>
    <row r="10" spans="1:6" x14ac:dyDescent="0.2">
      <c r="C10" s="25">
        <v>2.5</v>
      </c>
      <c r="D10" s="24">
        <f t="shared" si="0"/>
        <v>5.5000000000000018</v>
      </c>
    </row>
    <row r="11" spans="1:6" x14ac:dyDescent="0.2">
      <c r="C11" s="25">
        <v>2.6</v>
      </c>
      <c r="D11" s="24">
        <f t="shared" si="0"/>
        <v>5.6000000000000023</v>
      </c>
    </row>
    <row r="12" spans="1:6" x14ac:dyDescent="0.2">
      <c r="C12" s="25">
        <v>2.7</v>
      </c>
      <c r="D12" s="24">
        <f t="shared" si="0"/>
        <v>5.7000000000000028</v>
      </c>
    </row>
    <row r="13" spans="1:6" x14ac:dyDescent="0.2">
      <c r="C13" s="25">
        <v>2.8</v>
      </c>
      <c r="D13" s="24">
        <f t="shared" si="0"/>
        <v>5.8000000000000025</v>
      </c>
    </row>
    <row r="14" spans="1:6" x14ac:dyDescent="0.2">
      <c r="C14" s="25">
        <v>2.9</v>
      </c>
      <c r="D14" s="24">
        <f t="shared" si="0"/>
        <v>5.9000000000000021</v>
      </c>
    </row>
    <row r="15" spans="1:6" ht="18" x14ac:dyDescent="0.25">
      <c r="C15" s="24">
        <v>3</v>
      </c>
      <c r="D15" s="24">
        <f t="shared" si="0"/>
        <v>6.0000000000000027</v>
      </c>
      <c r="E15" s="24" t="s">
        <v>94</v>
      </c>
      <c r="F15" s="24" t="s">
        <v>95</v>
      </c>
    </row>
    <row r="16" spans="1:6" x14ac:dyDescent="0.2">
      <c r="C16" s="25">
        <v>3.1</v>
      </c>
      <c r="D16" s="24">
        <f>$O$42*C16+$O$43</f>
        <v>6.3000000000000007</v>
      </c>
    </row>
    <row r="17" spans="3:20" x14ac:dyDescent="0.2">
      <c r="C17" s="25">
        <v>3.2</v>
      </c>
      <c r="D17" s="24">
        <f t="shared" ref="D17:D25" si="1">$O$42*C17+$O$43</f>
        <v>6.6000000000000014</v>
      </c>
    </row>
    <row r="18" spans="3:20" x14ac:dyDescent="0.2">
      <c r="C18" s="25">
        <v>3.3</v>
      </c>
      <c r="D18" s="24">
        <f t="shared" si="1"/>
        <v>6.8999999999999986</v>
      </c>
    </row>
    <row r="19" spans="3:20" x14ac:dyDescent="0.2">
      <c r="C19" s="25">
        <v>3.4</v>
      </c>
      <c r="D19" s="24">
        <f t="shared" si="1"/>
        <v>7.1999999999999993</v>
      </c>
    </row>
    <row r="20" spans="3:20" x14ac:dyDescent="0.2">
      <c r="C20" s="25">
        <v>3.5</v>
      </c>
      <c r="D20" s="24">
        <f t="shared" si="1"/>
        <v>7.5</v>
      </c>
    </row>
    <row r="21" spans="3:20" x14ac:dyDescent="0.2">
      <c r="C21" s="25">
        <v>3.6</v>
      </c>
      <c r="D21" s="24">
        <f t="shared" si="1"/>
        <v>7.8000000000000007</v>
      </c>
    </row>
    <row r="22" spans="3:20" x14ac:dyDescent="0.2">
      <c r="C22" s="25">
        <v>3.7</v>
      </c>
      <c r="D22" s="24">
        <f t="shared" si="1"/>
        <v>8.1000000000000014</v>
      </c>
    </row>
    <row r="23" spans="3:20" x14ac:dyDescent="0.2">
      <c r="C23" s="25">
        <v>3.8</v>
      </c>
      <c r="D23" s="24">
        <f t="shared" si="1"/>
        <v>8.3999999999999986</v>
      </c>
    </row>
    <row r="24" spans="3:20" x14ac:dyDescent="0.2">
      <c r="C24" s="25">
        <v>3.9</v>
      </c>
      <c r="D24" s="24">
        <f t="shared" si="1"/>
        <v>8.6999999999999993</v>
      </c>
    </row>
    <row r="25" spans="3:20" ht="18" x14ac:dyDescent="0.25">
      <c r="C25" s="24">
        <v>4</v>
      </c>
      <c r="D25" s="24">
        <f t="shared" si="1"/>
        <v>9</v>
      </c>
      <c r="E25" s="24" t="s">
        <v>95</v>
      </c>
    </row>
    <row r="31" spans="3:20" s="23" customFormat="1" ht="20" x14ac:dyDescent="0.25">
      <c r="D31" s="23" t="s">
        <v>96</v>
      </c>
      <c r="E31" s="23" t="s">
        <v>97</v>
      </c>
      <c r="G31" s="23" t="s">
        <v>98</v>
      </c>
      <c r="H31" s="23" t="s">
        <v>99</v>
      </c>
      <c r="I31" s="23" t="s">
        <v>100</v>
      </c>
      <c r="J31" s="23" t="s">
        <v>101</v>
      </c>
      <c r="L31" s="23" t="s">
        <v>102</v>
      </c>
      <c r="O31" s="23" t="s">
        <v>103</v>
      </c>
    </row>
    <row r="32" spans="3:20" ht="18" x14ac:dyDescent="0.25">
      <c r="C32" s="24" t="s">
        <v>104</v>
      </c>
      <c r="D32" s="26" t="str">
        <f>"y(" &amp; E32 &amp; ")"</f>
        <v>y(2)</v>
      </c>
      <c r="E32" s="24">
        <v>2</v>
      </c>
      <c r="G32" s="27">
        <f>E32</f>
        <v>2</v>
      </c>
      <c r="H32" s="28">
        <v>1</v>
      </c>
      <c r="I32" s="28">
        <v>0</v>
      </c>
      <c r="J32" s="29">
        <v>0</v>
      </c>
      <c r="L32" s="30" t="s">
        <v>105</v>
      </c>
      <c r="O32" s="31">
        <v>5</v>
      </c>
      <c r="Q32" s="24" cm="1">
        <f t="array" ref="Q32:R33">MINVERSE(G32:H33)</f>
        <v>-0.99999999999999989</v>
      </c>
      <c r="R32" s="24">
        <v>1</v>
      </c>
      <c r="T32" s="24" cm="1">
        <f t="array" ref="T32:T33">MMULT(_xlfn.ANCHORARRAY(Q32),O32:O33)</f>
        <v>1.0000000000000009</v>
      </c>
    </row>
    <row r="33" spans="3:20" ht="18" x14ac:dyDescent="0.25">
      <c r="C33" s="24" t="s">
        <v>104</v>
      </c>
      <c r="D33" s="26" t="str">
        <f t="shared" ref="D33:D35" si="2">"y(" &amp; E33 &amp; ")"</f>
        <v>y(3)</v>
      </c>
      <c r="E33" s="24">
        <v>3</v>
      </c>
      <c r="G33" s="32">
        <f>E33</f>
        <v>3</v>
      </c>
      <c r="H33" s="24">
        <v>1</v>
      </c>
      <c r="I33" s="24">
        <v>0</v>
      </c>
      <c r="J33" s="33">
        <v>0</v>
      </c>
      <c r="L33" s="34" t="s">
        <v>106</v>
      </c>
      <c r="N33" s="24" t="s">
        <v>107</v>
      </c>
      <c r="O33" s="35">
        <v>6</v>
      </c>
      <c r="Q33" s="24">
        <v>2.9999999999999996</v>
      </c>
      <c r="R33" s="24">
        <v>-1.9999999999999998</v>
      </c>
      <c r="T33" s="24">
        <v>3</v>
      </c>
    </row>
    <row r="34" spans="3:20" ht="18" x14ac:dyDescent="0.25">
      <c r="C34" s="24" t="s">
        <v>108</v>
      </c>
      <c r="D34" s="26" t="str">
        <f t="shared" si="2"/>
        <v>y(3)</v>
      </c>
      <c r="E34" s="24">
        <v>3</v>
      </c>
      <c r="G34" s="32">
        <v>0</v>
      </c>
      <c r="H34" s="24">
        <v>0</v>
      </c>
      <c r="I34" s="24">
        <f>E34</f>
        <v>3</v>
      </c>
      <c r="J34" s="33">
        <v>1</v>
      </c>
      <c r="L34" s="34" t="s">
        <v>109</v>
      </c>
      <c r="O34" s="35">
        <v>6</v>
      </c>
    </row>
    <row r="35" spans="3:20" ht="18" x14ac:dyDescent="0.25">
      <c r="C35" s="24" t="s">
        <v>108</v>
      </c>
      <c r="D35" s="26" t="str">
        <f t="shared" si="2"/>
        <v>y(4)</v>
      </c>
      <c r="E35" s="24">
        <v>4</v>
      </c>
      <c r="G35" s="36">
        <v>0</v>
      </c>
      <c r="H35" s="37">
        <v>0</v>
      </c>
      <c r="I35" s="37">
        <f>E35</f>
        <v>4</v>
      </c>
      <c r="J35" s="38">
        <v>1</v>
      </c>
      <c r="L35" s="39" t="s">
        <v>110</v>
      </c>
      <c r="O35" s="40">
        <v>9</v>
      </c>
    </row>
    <row r="39" spans="3:20" x14ac:dyDescent="0.2">
      <c r="L39" s="23" t="s">
        <v>102</v>
      </c>
      <c r="O39" s="23" t="s">
        <v>102</v>
      </c>
    </row>
    <row r="40" spans="3:20" ht="18" x14ac:dyDescent="0.25">
      <c r="I40" s="23"/>
      <c r="L40" s="30" t="s">
        <v>105</v>
      </c>
      <c r="O40" s="31">
        <f t="array" ref="O40:O43">MMULT(MINVERSE(G32:J35),O32:O35)</f>
        <v>1.0000000000000009</v>
      </c>
    </row>
    <row r="41" spans="3:20" ht="18" x14ac:dyDescent="0.25">
      <c r="L41" s="34" t="s">
        <v>106</v>
      </c>
      <c r="N41" s="24" t="s">
        <v>107</v>
      </c>
      <c r="O41" s="35">
        <v>3</v>
      </c>
    </row>
    <row r="42" spans="3:20" ht="18" x14ac:dyDescent="0.25">
      <c r="L42" s="34" t="s">
        <v>109</v>
      </c>
      <c r="O42" s="35">
        <v>3</v>
      </c>
    </row>
    <row r="43" spans="3:20" ht="18" x14ac:dyDescent="0.25">
      <c r="L43" s="39" t="s">
        <v>110</v>
      </c>
      <c r="O43" s="40">
        <v>-3</v>
      </c>
    </row>
  </sheetData>
  <hyperlinks>
    <hyperlink ref="A1" r:id="rId1" xr:uid="{77956F44-4778-4B42-AA7F-A36223DC37DD}"/>
    <hyperlink ref="A2" r:id="rId2" xr:uid="{6AF4CD08-42D4-4249-91EA-C5EF783EC4A6}"/>
  </hyperlinks>
  <pageMargins left="0.7" right="0.7" top="0.75" bottom="0.75" header="0.3" footer="0.3"/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35ABB-DF2E-4548-9A08-5EE2A74EC9CF}">
  <sheetPr codeName="Sheet47">
    <tabColor rgb="FFFF0000"/>
  </sheetPr>
  <dimension ref="A1:O43"/>
  <sheetViews>
    <sheetView zoomScale="90" zoomScaleNormal="90" workbookViewId="0"/>
  </sheetViews>
  <sheetFormatPr baseColWidth="10" defaultRowHeight="16" x14ac:dyDescent="0.2"/>
  <cols>
    <col min="1" max="16384" width="10.83203125" style="24"/>
  </cols>
  <sheetData>
    <row r="1" spans="1:6" x14ac:dyDescent="0.2">
      <c r="A1" s="134" t="s">
        <v>363</v>
      </c>
    </row>
    <row r="4" spans="1:6" x14ac:dyDescent="0.2">
      <c r="C4" s="23" t="s">
        <v>89</v>
      </c>
      <c r="D4" s="23" t="s">
        <v>90</v>
      </c>
      <c r="E4" s="24" t="s">
        <v>91</v>
      </c>
      <c r="F4" s="24" t="s">
        <v>92</v>
      </c>
    </row>
    <row r="5" spans="1:6" ht="18" x14ac:dyDescent="0.25">
      <c r="C5" s="24">
        <v>2</v>
      </c>
      <c r="D5" s="24">
        <f>$O$40*C5+$O$41</f>
        <v>5.0000000000000018</v>
      </c>
      <c r="E5" s="24" t="s">
        <v>93</v>
      </c>
    </row>
    <row r="6" spans="1:6" x14ac:dyDescent="0.2">
      <c r="C6" s="25">
        <v>2.1</v>
      </c>
      <c r="D6" s="24">
        <f t="shared" ref="D6:D15" si="0">$O$40*C6+$O$41</f>
        <v>5.1000000000000014</v>
      </c>
    </row>
    <row r="7" spans="1:6" x14ac:dyDescent="0.2">
      <c r="C7" s="25">
        <v>2.2000000000000002</v>
      </c>
      <c r="D7" s="24">
        <f t="shared" si="0"/>
        <v>5.200000000000002</v>
      </c>
    </row>
    <row r="8" spans="1:6" x14ac:dyDescent="0.2">
      <c r="C8" s="25">
        <v>2.2999999999999998</v>
      </c>
      <c r="D8" s="24">
        <f t="shared" si="0"/>
        <v>5.3000000000000025</v>
      </c>
    </row>
    <row r="9" spans="1:6" x14ac:dyDescent="0.2">
      <c r="C9" s="25">
        <v>2.4</v>
      </c>
      <c r="D9" s="24">
        <f t="shared" si="0"/>
        <v>5.4000000000000021</v>
      </c>
    </row>
    <row r="10" spans="1:6" x14ac:dyDescent="0.2">
      <c r="C10" s="25">
        <v>2.5</v>
      </c>
      <c r="D10" s="24">
        <f t="shared" si="0"/>
        <v>5.5000000000000018</v>
      </c>
    </row>
    <row r="11" spans="1:6" x14ac:dyDescent="0.2">
      <c r="C11" s="25">
        <v>2.6</v>
      </c>
      <c r="D11" s="24">
        <f t="shared" si="0"/>
        <v>5.6000000000000023</v>
      </c>
    </row>
    <row r="12" spans="1:6" x14ac:dyDescent="0.2">
      <c r="C12" s="25">
        <v>2.7</v>
      </c>
      <c r="D12" s="24">
        <f t="shared" si="0"/>
        <v>5.7000000000000028</v>
      </c>
    </row>
    <row r="13" spans="1:6" x14ac:dyDescent="0.2">
      <c r="C13" s="25">
        <v>2.8</v>
      </c>
      <c r="D13" s="24">
        <f t="shared" si="0"/>
        <v>5.8000000000000025</v>
      </c>
    </row>
    <row r="14" spans="1:6" x14ac:dyDescent="0.2">
      <c r="C14" s="25">
        <v>2.9</v>
      </c>
      <c r="D14" s="24">
        <f t="shared" si="0"/>
        <v>5.9000000000000021</v>
      </c>
    </row>
    <row r="15" spans="1:6" ht="18" x14ac:dyDescent="0.25">
      <c r="C15" s="24">
        <v>3</v>
      </c>
      <c r="D15" s="24">
        <f t="shared" si="0"/>
        <v>6.0000000000000027</v>
      </c>
      <c r="E15" s="24" t="s">
        <v>94</v>
      </c>
      <c r="F15" s="24" t="s">
        <v>95</v>
      </c>
    </row>
    <row r="16" spans="1:6" x14ac:dyDescent="0.2">
      <c r="C16" s="25">
        <v>3.1</v>
      </c>
      <c r="D16" s="24">
        <f>$O$42*C16+$O$43</f>
        <v>6.1</v>
      </c>
    </row>
    <row r="17" spans="3:15" x14ac:dyDescent="0.2">
      <c r="C17" s="25">
        <v>3.2</v>
      </c>
      <c r="D17" s="24">
        <f t="shared" ref="D17:D25" si="1">$O$42*C17+$O$43</f>
        <v>6.2</v>
      </c>
    </row>
    <row r="18" spans="3:15" x14ac:dyDescent="0.2">
      <c r="C18" s="25">
        <v>3.3</v>
      </c>
      <c r="D18" s="24">
        <f t="shared" si="1"/>
        <v>6.3</v>
      </c>
    </row>
    <row r="19" spans="3:15" x14ac:dyDescent="0.2">
      <c r="C19" s="25">
        <v>3.4</v>
      </c>
      <c r="D19" s="24">
        <f t="shared" si="1"/>
        <v>6.4</v>
      </c>
    </row>
    <row r="20" spans="3:15" x14ac:dyDescent="0.2">
      <c r="C20" s="25">
        <v>3.5</v>
      </c>
      <c r="D20" s="24">
        <f t="shared" si="1"/>
        <v>6.5</v>
      </c>
    </row>
    <row r="21" spans="3:15" x14ac:dyDescent="0.2">
      <c r="C21" s="25">
        <v>3.6</v>
      </c>
      <c r="D21" s="24">
        <f t="shared" si="1"/>
        <v>6.6</v>
      </c>
    </row>
    <row r="22" spans="3:15" x14ac:dyDescent="0.2">
      <c r="C22" s="25">
        <v>3.7</v>
      </c>
      <c r="D22" s="24">
        <f t="shared" si="1"/>
        <v>6.7</v>
      </c>
    </row>
    <row r="23" spans="3:15" x14ac:dyDescent="0.2">
      <c r="C23" s="25">
        <v>3.8</v>
      </c>
      <c r="D23" s="24">
        <f t="shared" si="1"/>
        <v>6.8</v>
      </c>
    </row>
    <row r="24" spans="3:15" x14ac:dyDescent="0.2">
      <c r="C24" s="25">
        <v>3.9</v>
      </c>
      <c r="D24" s="24">
        <f t="shared" si="1"/>
        <v>6.9</v>
      </c>
    </row>
    <row r="25" spans="3:15" ht="18" x14ac:dyDescent="0.25">
      <c r="C25" s="24">
        <v>4</v>
      </c>
      <c r="D25" s="24">
        <f t="shared" si="1"/>
        <v>7</v>
      </c>
      <c r="E25" s="24" t="s">
        <v>95</v>
      </c>
    </row>
    <row r="31" spans="3:15" s="23" customFormat="1" ht="20" x14ac:dyDescent="0.25">
      <c r="D31" s="23" t="s">
        <v>96</v>
      </c>
      <c r="E31" s="23" t="s">
        <v>97</v>
      </c>
      <c r="G31" s="23" t="s">
        <v>98</v>
      </c>
      <c r="H31" s="23" t="s">
        <v>99</v>
      </c>
      <c r="I31" s="23" t="s">
        <v>100</v>
      </c>
      <c r="J31" s="23" t="s">
        <v>101</v>
      </c>
      <c r="L31" s="23" t="s">
        <v>102</v>
      </c>
      <c r="O31" s="23" t="s">
        <v>103</v>
      </c>
    </row>
    <row r="32" spans="3:15" ht="18" x14ac:dyDescent="0.25">
      <c r="C32" s="24" t="s">
        <v>104</v>
      </c>
      <c r="D32" s="26" t="str">
        <f>"y(" &amp; E32 &amp; ")"</f>
        <v>y(2)</v>
      </c>
      <c r="E32" s="24">
        <v>2</v>
      </c>
      <c r="G32" s="27">
        <f>E32</f>
        <v>2</v>
      </c>
      <c r="H32" s="28">
        <v>1</v>
      </c>
      <c r="I32" s="28">
        <v>0</v>
      </c>
      <c r="J32" s="29">
        <v>0</v>
      </c>
      <c r="L32" s="30" t="s">
        <v>105</v>
      </c>
      <c r="O32" s="31">
        <v>5</v>
      </c>
    </row>
    <row r="33" spans="3:15" ht="18" x14ac:dyDescent="0.25">
      <c r="C33" s="24" t="s">
        <v>104</v>
      </c>
      <c r="D33" s="26" t="str">
        <f t="shared" ref="D33:D35" si="2">"y(" &amp; E33 &amp; ")"</f>
        <v>y(3)</v>
      </c>
      <c r="E33" s="24">
        <v>3</v>
      </c>
      <c r="G33" s="32">
        <v>3</v>
      </c>
      <c r="H33" s="24">
        <v>1</v>
      </c>
      <c r="I33" s="24">
        <v>0</v>
      </c>
      <c r="J33" s="33">
        <v>0</v>
      </c>
      <c r="L33" s="34" t="s">
        <v>106</v>
      </c>
      <c r="N33" s="24" t="s">
        <v>107</v>
      </c>
      <c r="O33" s="35">
        <v>6</v>
      </c>
    </row>
    <row r="34" spans="3:15" ht="18" x14ac:dyDescent="0.25">
      <c r="C34" s="24" t="s">
        <v>108</v>
      </c>
      <c r="D34" s="26" t="str">
        <f t="shared" si="2"/>
        <v>y(3)</v>
      </c>
      <c r="E34" s="24">
        <v>3</v>
      </c>
      <c r="G34" s="32">
        <v>0</v>
      </c>
      <c r="H34" s="24">
        <v>0</v>
      </c>
      <c r="I34" s="24">
        <v>3</v>
      </c>
      <c r="J34" s="33">
        <v>1</v>
      </c>
      <c r="L34" s="34" t="s">
        <v>109</v>
      </c>
      <c r="O34" s="35">
        <v>6</v>
      </c>
    </row>
    <row r="35" spans="3:15" ht="18" x14ac:dyDescent="0.25">
      <c r="C35" s="24" t="s">
        <v>108</v>
      </c>
      <c r="D35" s="26" t="str">
        <f t="shared" si="2"/>
        <v>y(4)</v>
      </c>
      <c r="E35" s="24">
        <v>4</v>
      </c>
      <c r="G35" s="36">
        <v>0</v>
      </c>
      <c r="H35" s="37">
        <v>0</v>
      </c>
      <c r="I35" s="37">
        <f>E35</f>
        <v>4</v>
      </c>
      <c r="J35" s="38">
        <v>1</v>
      </c>
      <c r="L35" s="39" t="s">
        <v>110</v>
      </c>
      <c r="O35" s="40">
        <v>7</v>
      </c>
    </row>
    <row r="39" spans="3:15" x14ac:dyDescent="0.2">
      <c r="L39" s="23" t="s">
        <v>102</v>
      </c>
      <c r="O39" s="23" t="s">
        <v>102</v>
      </c>
    </row>
    <row r="40" spans="3:15" ht="18" x14ac:dyDescent="0.25">
      <c r="I40" s="23"/>
      <c r="L40" s="30" t="s">
        <v>105</v>
      </c>
      <c r="O40" s="31">
        <f t="array" ref="O40:O43">MMULT(MINVERSE(G32:J35),O32:O35)</f>
        <v>1.0000000000000009</v>
      </c>
    </row>
    <row r="41" spans="3:15" ht="18" x14ac:dyDescent="0.25">
      <c r="L41" s="34" t="s">
        <v>106</v>
      </c>
      <c r="N41" s="24" t="s">
        <v>107</v>
      </c>
      <c r="O41" s="35">
        <v>3</v>
      </c>
    </row>
    <row r="42" spans="3:15" ht="18" x14ac:dyDescent="0.25">
      <c r="L42" s="34" t="s">
        <v>109</v>
      </c>
      <c r="O42" s="35">
        <v>1</v>
      </c>
    </row>
    <row r="43" spans="3:15" ht="18" x14ac:dyDescent="0.25">
      <c r="L43" s="39" t="s">
        <v>110</v>
      </c>
      <c r="O43" s="40">
        <v>3</v>
      </c>
    </row>
  </sheetData>
  <hyperlinks>
    <hyperlink ref="A1" r:id="rId1" display="Constraints" xr:uid="{EB05B6F5-1973-9541-8D2D-A874B1CFCAF6}"/>
  </hyperlinks>
  <pageMargins left="0.7" right="0.7" top="0.75" bottom="0.75" header="0.3" footer="0.3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4B237-D40D-1941-AFA2-0695D868FACD}">
  <sheetPr codeName="Sheet48">
    <tabColor rgb="FFFF0000"/>
  </sheetPr>
  <dimension ref="A1:O43"/>
  <sheetViews>
    <sheetView zoomScale="90" zoomScaleNormal="90" workbookViewId="0"/>
  </sheetViews>
  <sheetFormatPr baseColWidth="10" defaultRowHeight="16" x14ac:dyDescent="0.2"/>
  <cols>
    <col min="1" max="16384" width="10.83203125" style="24"/>
  </cols>
  <sheetData>
    <row r="1" spans="1:6" x14ac:dyDescent="0.2">
      <c r="A1" s="134" t="s">
        <v>362</v>
      </c>
    </row>
    <row r="4" spans="1:6" x14ac:dyDescent="0.2">
      <c r="C4" s="23" t="s">
        <v>89</v>
      </c>
      <c r="D4" s="23" t="s">
        <v>90</v>
      </c>
      <c r="E4" s="24" t="s">
        <v>91</v>
      </c>
      <c r="F4" s="24" t="s">
        <v>92</v>
      </c>
    </row>
    <row r="5" spans="1:6" ht="18" x14ac:dyDescent="0.25">
      <c r="C5" s="24">
        <v>2</v>
      </c>
      <c r="D5" s="24">
        <f>$O$40*C5+$O$41</f>
        <v>5</v>
      </c>
      <c r="E5" s="24" t="s">
        <v>93</v>
      </c>
    </row>
    <row r="6" spans="1:6" x14ac:dyDescent="0.2">
      <c r="C6" s="25">
        <v>2.1</v>
      </c>
      <c r="D6" s="24">
        <f t="shared" ref="D6:D15" si="0">$O$40*C6+$O$41</f>
        <v>5.0999999999999996</v>
      </c>
    </row>
    <row r="7" spans="1:6" x14ac:dyDescent="0.2">
      <c r="C7" s="25">
        <v>2.2000000000000002</v>
      </c>
      <c r="D7" s="24">
        <f t="shared" si="0"/>
        <v>5.2</v>
      </c>
    </row>
    <row r="8" spans="1:6" x14ac:dyDescent="0.2">
      <c r="C8" s="25">
        <v>2.2999999999999998</v>
      </c>
      <c r="D8" s="24">
        <f t="shared" si="0"/>
        <v>5.3</v>
      </c>
    </row>
    <row r="9" spans="1:6" x14ac:dyDescent="0.2">
      <c r="C9" s="25">
        <v>2.4</v>
      </c>
      <c r="D9" s="24">
        <f t="shared" si="0"/>
        <v>5.4</v>
      </c>
    </row>
    <row r="10" spans="1:6" x14ac:dyDescent="0.2">
      <c r="C10" s="25">
        <v>2.5</v>
      </c>
      <c r="D10" s="24">
        <f t="shared" si="0"/>
        <v>5.5</v>
      </c>
    </row>
    <row r="11" spans="1:6" x14ac:dyDescent="0.2">
      <c r="C11" s="25">
        <v>2.6</v>
      </c>
      <c r="D11" s="24">
        <f t="shared" si="0"/>
        <v>5.6</v>
      </c>
    </row>
    <row r="12" spans="1:6" x14ac:dyDescent="0.2">
      <c r="C12" s="25">
        <v>2.7</v>
      </c>
      <c r="D12" s="24">
        <f t="shared" si="0"/>
        <v>5.7</v>
      </c>
    </row>
    <row r="13" spans="1:6" x14ac:dyDescent="0.2">
      <c r="C13" s="25">
        <v>2.8</v>
      </c>
      <c r="D13" s="24">
        <f t="shared" si="0"/>
        <v>5.8</v>
      </c>
    </row>
    <row r="14" spans="1:6" x14ac:dyDescent="0.2">
      <c r="C14" s="25">
        <v>2.9</v>
      </c>
      <c r="D14" s="24">
        <f t="shared" si="0"/>
        <v>5.9</v>
      </c>
    </row>
    <row r="15" spans="1:6" ht="18" x14ac:dyDescent="0.25">
      <c r="C15" s="24">
        <v>3</v>
      </c>
      <c r="D15" s="24">
        <f t="shared" si="0"/>
        <v>6</v>
      </c>
      <c r="E15" s="24" t="s">
        <v>94</v>
      </c>
      <c r="F15" s="24" t="s">
        <v>95</v>
      </c>
    </row>
    <row r="16" spans="1:6" x14ac:dyDescent="0.2">
      <c r="C16" s="25">
        <v>3.1</v>
      </c>
      <c r="D16" s="24">
        <f t="shared" ref="D16:D24" si="1">$O$42*C16+$O$43</f>
        <v>6.1</v>
      </c>
    </row>
    <row r="17" spans="3:15" x14ac:dyDescent="0.2">
      <c r="C17" s="25">
        <v>3.2</v>
      </c>
      <c r="D17" s="24">
        <f t="shared" si="1"/>
        <v>6.2</v>
      </c>
    </row>
    <row r="18" spans="3:15" x14ac:dyDescent="0.2">
      <c r="C18" s="25">
        <v>3.3</v>
      </c>
      <c r="D18" s="24">
        <f t="shared" si="1"/>
        <v>6.3</v>
      </c>
    </row>
    <row r="19" spans="3:15" x14ac:dyDescent="0.2">
      <c r="C19" s="25">
        <v>3.4</v>
      </c>
      <c r="D19" s="24">
        <f t="shared" si="1"/>
        <v>6.4</v>
      </c>
    </row>
    <row r="20" spans="3:15" x14ac:dyDescent="0.2">
      <c r="C20" s="25">
        <v>3.5</v>
      </c>
      <c r="D20" s="24">
        <f t="shared" si="1"/>
        <v>6.5</v>
      </c>
    </row>
    <row r="21" spans="3:15" x14ac:dyDescent="0.2">
      <c r="C21" s="25">
        <v>3.6</v>
      </c>
      <c r="D21" s="24">
        <f t="shared" si="1"/>
        <v>6.6</v>
      </c>
    </row>
    <row r="22" spans="3:15" x14ac:dyDescent="0.2">
      <c r="C22" s="25">
        <v>3.7</v>
      </c>
      <c r="D22" s="24">
        <f t="shared" si="1"/>
        <v>6.7</v>
      </c>
    </row>
    <row r="23" spans="3:15" x14ac:dyDescent="0.2">
      <c r="C23" s="25">
        <v>3.8</v>
      </c>
      <c r="D23" s="24">
        <f t="shared" si="1"/>
        <v>6.8</v>
      </c>
    </row>
    <row r="24" spans="3:15" x14ac:dyDescent="0.2">
      <c r="C24" s="25">
        <v>3.9</v>
      </c>
      <c r="D24" s="24">
        <f t="shared" si="1"/>
        <v>6.9</v>
      </c>
    </row>
    <row r="25" spans="3:15" ht="18" x14ac:dyDescent="0.25">
      <c r="C25" s="24">
        <v>4</v>
      </c>
      <c r="D25" s="24">
        <f>$O$42*C25+$O$43</f>
        <v>7</v>
      </c>
      <c r="E25" s="24" t="s">
        <v>95</v>
      </c>
    </row>
    <row r="31" spans="3:15" s="23" customFormat="1" ht="20" x14ac:dyDescent="0.25">
      <c r="D31" s="23" t="s">
        <v>96</v>
      </c>
      <c r="E31" s="23" t="s">
        <v>97</v>
      </c>
      <c r="G31" s="23" t="s">
        <v>98</v>
      </c>
      <c r="H31" s="23" t="s">
        <v>99</v>
      </c>
      <c r="I31" s="23" t="s">
        <v>100</v>
      </c>
      <c r="J31" s="23" t="s">
        <v>101</v>
      </c>
      <c r="L31" s="23" t="s">
        <v>102</v>
      </c>
      <c r="O31" s="23" t="s">
        <v>103</v>
      </c>
    </row>
    <row r="32" spans="3:15" ht="18" x14ac:dyDescent="0.25">
      <c r="C32" s="24" t="s">
        <v>104</v>
      </c>
      <c r="D32" s="26" t="str">
        <f>"y(" &amp; E32 &amp; ")"</f>
        <v>y(2)</v>
      </c>
      <c r="E32" s="24">
        <v>2</v>
      </c>
      <c r="G32" s="27">
        <f>E32</f>
        <v>2</v>
      </c>
      <c r="H32" s="28">
        <v>1</v>
      </c>
      <c r="I32" s="28">
        <v>0</v>
      </c>
      <c r="J32" s="29">
        <v>0</v>
      </c>
      <c r="L32" s="30" t="s">
        <v>105</v>
      </c>
      <c r="O32" s="31">
        <v>5</v>
      </c>
    </row>
    <row r="33" spans="3:15" ht="18" x14ac:dyDescent="0.25">
      <c r="C33" s="24" t="s">
        <v>104</v>
      </c>
      <c r="D33" s="41" t="str">
        <f>"y'(" &amp; E33 &amp; ")"</f>
        <v>y'(3)</v>
      </c>
      <c r="E33" s="18">
        <v>3</v>
      </c>
      <c r="F33" s="18"/>
      <c r="G33" s="42">
        <v>1</v>
      </c>
      <c r="H33" s="18">
        <v>0</v>
      </c>
      <c r="I33" s="18">
        <v>-1</v>
      </c>
      <c r="J33" s="43">
        <v>0</v>
      </c>
      <c r="L33" s="34" t="s">
        <v>106</v>
      </c>
      <c r="N33" s="24" t="s">
        <v>107</v>
      </c>
      <c r="O33" s="35">
        <v>0</v>
      </c>
    </row>
    <row r="34" spans="3:15" ht="18" x14ac:dyDescent="0.25">
      <c r="C34" s="24" t="s">
        <v>108</v>
      </c>
      <c r="D34" s="26" t="str">
        <f>"y(" &amp; E34 &amp; ")"</f>
        <v>y(3)</v>
      </c>
      <c r="E34" s="24">
        <v>3</v>
      </c>
      <c r="G34" s="32">
        <v>0</v>
      </c>
      <c r="H34" s="24">
        <v>0</v>
      </c>
      <c r="I34" s="24">
        <v>3</v>
      </c>
      <c r="J34" s="33">
        <v>1</v>
      </c>
      <c r="L34" s="34" t="s">
        <v>109</v>
      </c>
      <c r="O34" s="35">
        <v>6</v>
      </c>
    </row>
    <row r="35" spans="3:15" ht="18" x14ac:dyDescent="0.25">
      <c r="C35" s="24" t="s">
        <v>108</v>
      </c>
      <c r="D35" s="26" t="str">
        <f t="shared" ref="D35" si="2">"y(" &amp; E35 &amp; ")"</f>
        <v>y(4)</v>
      </c>
      <c r="E35" s="24">
        <v>4</v>
      </c>
      <c r="G35" s="36">
        <v>0</v>
      </c>
      <c r="H35" s="37">
        <v>0</v>
      </c>
      <c r="I35" s="37">
        <f>E35</f>
        <v>4</v>
      </c>
      <c r="J35" s="38">
        <v>1</v>
      </c>
      <c r="L35" s="39" t="s">
        <v>110</v>
      </c>
      <c r="O35" s="40">
        <v>7</v>
      </c>
    </row>
    <row r="39" spans="3:15" x14ac:dyDescent="0.2">
      <c r="L39" s="23" t="s">
        <v>102</v>
      </c>
      <c r="O39" s="23" t="s">
        <v>102</v>
      </c>
    </row>
    <row r="40" spans="3:15" ht="18" x14ac:dyDescent="0.25">
      <c r="I40" s="23"/>
      <c r="L40" s="30" t="s">
        <v>105</v>
      </c>
      <c r="O40" s="31">
        <f t="array" ref="O40:O43">MMULT(MINVERSE(G32:J35),O32:O35)</f>
        <v>1</v>
      </c>
    </row>
    <row r="41" spans="3:15" ht="18" x14ac:dyDescent="0.25">
      <c r="L41" s="34" t="s">
        <v>106</v>
      </c>
      <c r="N41" s="24" t="s">
        <v>107</v>
      </c>
      <c r="O41" s="35">
        <v>3</v>
      </c>
    </row>
    <row r="42" spans="3:15" ht="18" x14ac:dyDescent="0.25">
      <c r="L42" s="34" t="s">
        <v>109</v>
      </c>
      <c r="O42" s="35">
        <v>1</v>
      </c>
    </row>
    <row r="43" spans="3:15" ht="18" x14ac:dyDescent="0.25">
      <c r="L43" s="39" t="s">
        <v>110</v>
      </c>
      <c r="O43" s="40">
        <v>3</v>
      </c>
    </row>
  </sheetData>
  <hyperlinks>
    <hyperlink ref="A1" r:id="rId1" xr:uid="{32AF102B-712C-1A42-9048-2AA60BC09C2D}"/>
  </hyperlinks>
  <pageMargins left="0.7" right="0.7" top="0.75" bottom="0.75" header="0.3" footer="0.3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A5589-7C0B-2F4B-9577-B12216C03102}">
  <sheetPr codeName="Sheet50">
    <tabColor rgb="FFFF0000"/>
  </sheetPr>
  <dimension ref="A1:Y33"/>
  <sheetViews>
    <sheetView zoomScale="90" zoomScaleNormal="90" workbookViewId="0"/>
  </sheetViews>
  <sheetFormatPr baseColWidth="10" defaultRowHeight="16" x14ac:dyDescent="0.2"/>
  <cols>
    <col min="1" max="16384" width="10.83203125" style="45"/>
  </cols>
  <sheetData>
    <row r="1" spans="1:3" x14ac:dyDescent="0.2">
      <c r="A1" s="134" t="s">
        <v>364</v>
      </c>
    </row>
    <row r="2" spans="1:3" s="44" customFormat="1" ht="26" x14ac:dyDescent="0.3"/>
    <row r="3" spans="1:3" ht="29" x14ac:dyDescent="0.3">
      <c r="C3" s="44" t="s">
        <v>111</v>
      </c>
    </row>
    <row r="4" spans="1:3" ht="26" x14ac:dyDescent="0.3">
      <c r="C4" s="44"/>
    </row>
    <row r="5" spans="1:3" ht="29" x14ac:dyDescent="0.3">
      <c r="C5" s="44" t="s">
        <v>112</v>
      </c>
    </row>
    <row r="6" spans="1:3" ht="26" x14ac:dyDescent="0.3">
      <c r="C6" s="44"/>
    </row>
    <row r="7" spans="1:3" ht="26" x14ac:dyDescent="0.3">
      <c r="C7" s="44" t="s">
        <v>113</v>
      </c>
    </row>
    <row r="11" spans="1:3" x14ac:dyDescent="0.2">
      <c r="B11" s="26" t="s">
        <v>89</v>
      </c>
      <c r="C11" s="26" t="s">
        <v>90</v>
      </c>
    </row>
    <row r="12" spans="1:3" x14ac:dyDescent="0.2">
      <c r="B12" s="45">
        <v>2</v>
      </c>
      <c r="C12" s="45">
        <v>1</v>
      </c>
    </row>
    <row r="13" spans="1:3" x14ac:dyDescent="0.2">
      <c r="B13" s="45">
        <v>3</v>
      </c>
      <c r="C13" s="45">
        <v>2</v>
      </c>
    </row>
    <row r="14" spans="1:3" x14ac:dyDescent="0.2">
      <c r="B14" s="45">
        <v>4</v>
      </c>
      <c r="C14" s="45">
        <v>6</v>
      </c>
    </row>
    <row r="15" spans="1:3" x14ac:dyDescent="0.2">
      <c r="B15" s="45">
        <v>5</v>
      </c>
      <c r="C15" s="45">
        <v>9</v>
      </c>
    </row>
    <row r="23" spans="2:25" s="26" customFormat="1" ht="20" x14ac:dyDescent="0.25">
      <c r="B23" s="26" t="s">
        <v>114</v>
      </c>
      <c r="C23" s="26" t="s">
        <v>115</v>
      </c>
      <c r="D23" s="26" t="s">
        <v>97</v>
      </c>
      <c r="F23" s="23" t="s">
        <v>116</v>
      </c>
      <c r="G23" s="23" t="s">
        <v>117</v>
      </c>
      <c r="H23" s="23" t="s">
        <v>98</v>
      </c>
      <c r="I23" s="23" t="s">
        <v>99</v>
      </c>
      <c r="J23" s="23" t="s">
        <v>118</v>
      </c>
      <c r="K23" s="23" t="s">
        <v>119</v>
      </c>
      <c r="L23" s="23" t="s">
        <v>100</v>
      </c>
      <c r="M23" s="23" t="s">
        <v>101</v>
      </c>
      <c r="N23" s="23" t="s">
        <v>120</v>
      </c>
      <c r="O23" s="23" t="s">
        <v>121</v>
      </c>
      <c r="P23" s="23" t="s">
        <v>122</v>
      </c>
      <c r="Q23" s="23" t="s">
        <v>123</v>
      </c>
      <c r="R23" s="23" t="s">
        <v>124</v>
      </c>
      <c r="S23" s="23" t="s">
        <v>125</v>
      </c>
      <c r="T23" s="23" t="s">
        <v>126</v>
      </c>
      <c r="U23" s="23" t="s">
        <v>127</v>
      </c>
      <c r="V23" s="23" t="s">
        <v>128</v>
      </c>
      <c r="W23" s="23" t="s">
        <v>129</v>
      </c>
      <c r="X23" s="23" t="s">
        <v>130</v>
      </c>
      <c r="Y23" s="23" t="s">
        <v>131</v>
      </c>
    </row>
    <row r="24" spans="2:25" x14ac:dyDescent="0.2">
      <c r="B24" s="26" t="s">
        <v>132</v>
      </c>
      <c r="C24" s="45">
        <v>2</v>
      </c>
      <c r="D24" s="45">
        <v>3</v>
      </c>
      <c r="F24" s="46">
        <f>time^3</f>
        <v>27</v>
      </c>
      <c r="G24" s="47">
        <f>time^2</f>
        <v>9</v>
      </c>
      <c r="H24" s="47">
        <f>time^1</f>
        <v>3</v>
      </c>
      <c r="I24" s="47">
        <f>time^0</f>
        <v>1</v>
      </c>
      <c r="J24" s="47">
        <v>0</v>
      </c>
      <c r="K24" s="47">
        <v>0</v>
      </c>
      <c r="L24" s="47">
        <v>0</v>
      </c>
      <c r="M24" s="48">
        <v>0</v>
      </c>
      <c r="N24" s="45">
        <v>0</v>
      </c>
      <c r="O24" s="45">
        <v>0</v>
      </c>
      <c r="P24" s="45">
        <v>0</v>
      </c>
      <c r="Q24" s="45">
        <v>0</v>
      </c>
      <c r="R24" s="45">
        <v>0</v>
      </c>
      <c r="S24" s="45">
        <v>0</v>
      </c>
      <c r="T24" s="45">
        <v>0</v>
      </c>
      <c r="U24" s="45">
        <v>0</v>
      </c>
      <c r="V24" s="45">
        <v>0</v>
      </c>
      <c r="W24" s="45">
        <v>0</v>
      </c>
      <c r="X24" s="45">
        <v>0</v>
      </c>
      <c r="Y24" s="45">
        <v>0</v>
      </c>
    </row>
    <row r="25" spans="2:25" x14ac:dyDescent="0.2">
      <c r="B25" s="26" t="s">
        <v>132</v>
      </c>
      <c r="C25" s="45">
        <v>2</v>
      </c>
      <c r="D25" s="45">
        <v>3</v>
      </c>
      <c r="F25" s="49">
        <v>0</v>
      </c>
      <c r="G25" s="45">
        <v>0</v>
      </c>
      <c r="H25" s="45">
        <v>0</v>
      </c>
      <c r="I25" s="45">
        <v>0</v>
      </c>
      <c r="J25" s="45">
        <f>time^3</f>
        <v>27</v>
      </c>
      <c r="K25" s="45">
        <f>time^2</f>
        <v>9</v>
      </c>
      <c r="L25" s="45">
        <f>time^1</f>
        <v>3</v>
      </c>
      <c r="M25" s="50">
        <f>time^0</f>
        <v>1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</row>
    <row r="26" spans="2:25" x14ac:dyDescent="0.2">
      <c r="B26" s="26" t="s">
        <v>133</v>
      </c>
      <c r="C26" s="45">
        <v>0</v>
      </c>
      <c r="D26" s="45">
        <v>3</v>
      </c>
      <c r="F26" s="49">
        <f>3*time^2</f>
        <v>27</v>
      </c>
      <c r="G26" s="45">
        <f>2*time</f>
        <v>6</v>
      </c>
      <c r="H26" s="45">
        <f>time^0</f>
        <v>1</v>
      </c>
      <c r="I26" s="45">
        <v>0</v>
      </c>
      <c r="J26" s="45">
        <f>-3*time^2</f>
        <v>-27</v>
      </c>
      <c r="K26" s="45">
        <f>-2*time</f>
        <v>-6</v>
      </c>
      <c r="L26" s="45">
        <f>-(time^0)</f>
        <v>-1</v>
      </c>
      <c r="M26" s="50">
        <v>0</v>
      </c>
      <c r="N26" s="45">
        <v>0</v>
      </c>
      <c r="O26" s="45">
        <v>0</v>
      </c>
      <c r="P26" s="45">
        <v>0</v>
      </c>
      <c r="Q26" s="45">
        <v>0</v>
      </c>
      <c r="R26" s="45">
        <v>0</v>
      </c>
      <c r="S26" s="45">
        <v>0</v>
      </c>
      <c r="T26" s="45">
        <v>0</v>
      </c>
      <c r="U26" s="45">
        <v>0</v>
      </c>
      <c r="V26" s="45">
        <v>0</v>
      </c>
      <c r="W26" s="45">
        <v>0</v>
      </c>
      <c r="X26" s="45">
        <v>0</v>
      </c>
      <c r="Y26" s="45">
        <v>0</v>
      </c>
    </row>
    <row r="27" spans="2:25" x14ac:dyDescent="0.2">
      <c r="B27" s="26" t="s">
        <v>134</v>
      </c>
      <c r="C27" s="45">
        <v>0</v>
      </c>
      <c r="D27" s="45">
        <v>3</v>
      </c>
      <c r="F27" s="51">
        <f>2*3*time^1</f>
        <v>18</v>
      </c>
      <c r="G27" s="52">
        <f>2*time^0</f>
        <v>2</v>
      </c>
      <c r="H27" s="52">
        <v>0</v>
      </c>
      <c r="I27" s="52">
        <v>0</v>
      </c>
      <c r="J27" s="52">
        <f>-2*3*time^1</f>
        <v>-18</v>
      </c>
      <c r="K27" s="52">
        <f>-2*time^0</f>
        <v>-2</v>
      </c>
      <c r="L27" s="52">
        <v>0</v>
      </c>
      <c r="M27" s="53">
        <v>0</v>
      </c>
      <c r="N27" s="45">
        <v>0</v>
      </c>
      <c r="O27" s="45">
        <v>0</v>
      </c>
      <c r="P27" s="45">
        <v>0</v>
      </c>
      <c r="Q27" s="45">
        <v>0</v>
      </c>
      <c r="R27" s="45">
        <v>0</v>
      </c>
      <c r="S27" s="45">
        <v>0</v>
      </c>
      <c r="T27" s="45">
        <v>0</v>
      </c>
      <c r="U27" s="45">
        <v>0</v>
      </c>
      <c r="V27" s="45">
        <v>0</v>
      </c>
      <c r="W27" s="45">
        <v>0</v>
      </c>
      <c r="X27" s="45">
        <v>0</v>
      </c>
      <c r="Y27" s="45">
        <v>0</v>
      </c>
    </row>
    <row r="30" spans="2:25" x14ac:dyDescent="0.2">
      <c r="F30" s="23"/>
      <c r="G30" s="23"/>
      <c r="H30" s="23"/>
      <c r="I30" s="23"/>
    </row>
    <row r="31" spans="2:25" x14ac:dyDescent="0.2">
      <c r="F31" s="23"/>
      <c r="G31" s="23"/>
    </row>
    <row r="32" spans="2:25" x14ac:dyDescent="0.2">
      <c r="F32" s="23"/>
      <c r="G32" s="23"/>
    </row>
    <row r="33" spans="6:8" x14ac:dyDescent="0.2">
      <c r="F33" s="23"/>
      <c r="G33" s="23"/>
      <c r="H33" s="23"/>
    </row>
  </sheetData>
  <hyperlinks>
    <hyperlink ref="A1" r:id="rId1" xr:uid="{DE17E81A-5E5B-5142-A4F4-CF192A0AC4EF}"/>
  </hyperlinks>
  <pageMargins left="0.7" right="0.7" top="0.75" bottom="0.75" header="0.3" footer="0.3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850D5-5B32-0542-B3F8-15C74DE6774E}">
  <sheetPr codeName="Sheet51">
    <tabColor rgb="FFFF0000"/>
  </sheetPr>
  <dimension ref="A1:Y36"/>
  <sheetViews>
    <sheetView zoomScale="90" zoomScaleNormal="90" workbookViewId="0"/>
  </sheetViews>
  <sheetFormatPr baseColWidth="10" defaultRowHeight="16" x14ac:dyDescent="0.2"/>
  <cols>
    <col min="1" max="16384" width="10.83203125" style="45"/>
  </cols>
  <sheetData>
    <row r="1" spans="1:3" x14ac:dyDescent="0.2">
      <c r="A1" s="134" t="s">
        <v>365</v>
      </c>
    </row>
    <row r="2" spans="1:3" s="44" customFormat="1" ht="26" x14ac:dyDescent="0.3"/>
    <row r="3" spans="1:3" ht="29" x14ac:dyDescent="0.3">
      <c r="C3" s="44" t="s">
        <v>111</v>
      </c>
    </row>
    <row r="4" spans="1:3" ht="26" x14ac:dyDescent="0.3">
      <c r="C4" s="44"/>
    </row>
    <row r="5" spans="1:3" ht="29" x14ac:dyDescent="0.3">
      <c r="C5" s="44" t="s">
        <v>112</v>
      </c>
    </row>
    <row r="6" spans="1:3" ht="26" x14ac:dyDescent="0.3">
      <c r="C6" s="44"/>
    </row>
    <row r="7" spans="1:3" ht="26" x14ac:dyDescent="0.3">
      <c r="C7" s="44" t="s">
        <v>113</v>
      </c>
    </row>
    <row r="11" spans="1:3" x14ac:dyDescent="0.2">
      <c r="B11" s="26" t="s">
        <v>89</v>
      </c>
      <c r="C11" s="26" t="s">
        <v>90</v>
      </c>
    </row>
    <row r="12" spans="1:3" x14ac:dyDescent="0.2">
      <c r="B12" s="45">
        <v>2</v>
      </c>
      <c r="C12" s="45">
        <v>1</v>
      </c>
    </row>
    <row r="13" spans="1:3" x14ac:dyDescent="0.2">
      <c r="B13" s="45">
        <v>3</v>
      </c>
      <c r="C13" s="45">
        <v>2</v>
      </c>
    </row>
    <row r="14" spans="1:3" x14ac:dyDescent="0.2">
      <c r="B14" s="45">
        <v>4</v>
      </c>
      <c r="C14" s="45">
        <v>6</v>
      </c>
    </row>
    <row r="15" spans="1:3" x14ac:dyDescent="0.2">
      <c r="B15" s="45">
        <v>5</v>
      </c>
      <c r="C15" s="45">
        <v>9</v>
      </c>
    </row>
    <row r="24" spans="2:25" s="54" customFormat="1" ht="20" x14ac:dyDescent="0.25">
      <c r="B24" s="54" t="s">
        <v>114</v>
      </c>
      <c r="C24" s="54" t="s">
        <v>115</v>
      </c>
      <c r="D24" s="54" t="s">
        <v>97</v>
      </c>
      <c r="F24" s="55" t="s">
        <v>135</v>
      </c>
      <c r="G24" s="55" t="s">
        <v>136</v>
      </c>
      <c r="H24" s="55" t="s">
        <v>137</v>
      </c>
      <c r="I24" s="55" t="s">
        <v>138</v>
      </c>
      <c r="J24" s="55" t="s">
        <v>139</v>
      </c>
      <c r="K24" s="55" t="s">
        <v>140</v>
      </c>
      <c r="L24" s="55" t="s">
        <v>141</v>
      </c>
      <c r="M24" s="55" t="s">
        <v>142</v>
      </c>
      <c r="N24" s="55" t="s">
        <v>143</v>
      </c>
      <c r="O24" s="55" t="s">
        <v>144</v>
      </c>
      <c r="P24" s="55" t="s">
        <v>145</v>
      </c>
      <c r="Q24" s="55" t="s">
        <v>146</v>
      </c>
      <c r="R24" s="45"/>
      <c r="T24" s="45"/>
      <c r="U24" s="45"/>
      <c r="V24" s="56"/>
      <c r="W24" s="56"/>
      <c r="X24" s="56"/>
      <c r="Y24" s="56"/>
    </row>
    <row r="25" spans="2:25" ht="18" x14ac:dyDescent="0.25">
      <c r="B25" s="26" t="s">
        <v>132</v>
      </c>
      <c r="C25" s="45">
        <v>2</v>
      </c>
      <c r="D25" s="45">
        <v>3</v>
      </c>
      <c r="F25" s="46">
        <f>time^3</f>
        <v>27</v>
      </c>
      <c r="G25" s="47">
        <f>time^2</f>
        <v>9</v>
      </c>
      <c r="H25" s="47">
        <f>time^1</f>
        <v>3</v>
      </c>
      <c r="I25" s="47">
        <f>time^0</f>
        <v>1</v>
      </c>
      <c r="J25" s="47">
        <v>0</v>
      </c>
      <c r="K25" s="47">
        <v>0</v>
      </c>
      <c r="L25" s="47">
        <v>0</v>
      </c>
      <c r="M25" s="48">
        <v>0</v>
      </c>
      <c r="N25" s="45">
        <v>0</v>
      </c>
      <c r="O25" s="45">
        <v>0</v>
      </c>
      <c r="P25" s="45">
        <v>0</v>
      </c>
      <c r="Q25" s="45">
        <v>0</v>
      </c>
      <c r="S25" s="23" t="s">
        <v>147</v>
      </c>
      <c r="T25" s="45">
        <f t="array" ref="T25:T36">MMULT(MINVERSE(F25:Q36),C25:C36)</f>
        <v>0.86666666666666714</v>
      </c>
    </row>
    <row r="26" spans="2:25" ht="18" x14ac:dyDescent="0.25">
      <c r="B26" s="26" t="s">
        <v>132</v>
      </c>
      <c r="C26" s="45">
        <v>2</v>
      </c>
      <c r="D26" s="45">
        <v>3</v>
      </c>
      <c r="F26" s="49">
        <v>0</v>
      </c>
      <c r="G26" s="45">
        <v>0</v>
      </c>
      <c r="H26" s="45">
        <v>0</v>
      </c>
      <c r="I26" s="45">
        <v>0</v>
      </c>
      <c r="J26" s="45">
        <f>time^3</f>
        <v>27</v>
      </c>
      <c r="K26" s="45">
        <f>time^2</f>
        <v>9</v>
      </c>
      <c r="L26" s="45">
        <f>time^1</f>
        <v>3</v>
      </c>
      <c r="M26" s="50">
        <f>time^0</f>
        <v>1</v>
      </c>
      <c r="N26" s="45">
        <v>0</v>
      </c>
      <c r="O26" s="45">
        <v>0</v>
      </c>
      <c r="P26" s="45">
        <v>0</v>
      </c>
      <c r="Q26" s="45">
        <v>0</v>
      </c>
      <c r="S26" s="23" t="s">
        <v>148</v>
      </c>
      <c r="T26" s="45">
        <v>-5.1999999999999922</v>
      </c>
    </row>
    <row r="27" spans="2:25" ht="18" x14ac:dyDescent="0.25">
      <c r="B27" s="26" t="s">
        <v>133</v>
      </c>
      <c r="C27" s="45">
        <v>0</v>
      </c>
      <c r="D27" s="45">
        <v>3</v>
      </c>
      <c r="F27" s="49">
        <f>3*time^2</f>
        <v>27</v>
      </c>
      <c r="G27" s="45">
        <f>2*time</f>
        <v>6</v>
      </c>
      <c r="H27" s="45">
        <f>time^0</f>
        <v>1</v>
      </c>
      <c r="I27" s="45">
        <v>0</v>
      </c>
      <c r="J27" s="45">
        <f>-3*time^2</f>
        <v>-27</v>
      </c>
      <c r="K27" s="45">
        <f>-2*time</f>
        <v>-6</v>
      </c>
      <c r="L27" s="45">
        <f>-(time^0)</f>
        <v>-1</v>
      </c>
      <c r="M27" s="50">
        <v>0</v>
      </c>
      <c r="N27" s="45">
        <v>0</v>
      </c>
      <c r="O27" s="45">
        <v>0</v>
      </c>
      <c r="P27" s="45">
        <v>0</v>
      </c>
      <c r="Q27" s="45">
        <v>0</v>
      </c>
      <c r="S27" s="23" t="s">
        <v>105</v>
      </c>
      <c r="T27" s="45">
        <v>10.533333333333299</v>
      </c>
    </row>
    <row r="28" spans="2:25" ht="18" x14ac:dyDescent="0.25">
      <c r="B28" s="26" t="s">
        <v>134</v>
      </c>
      <c r="C28" s="45">
        <v>0</v>
      </c>
      <c r="D28" s="45">
        <v>3</v>
      </c>
      <c r="F28" s="51">
        <f>2*3*time^1</f>
        <v>18</v>
      </c>
      <c r="G28" s="52">
        <f>2*time^0</f>
        <v>2</v>
      </c>
      <c r="H28" s="52">
        <v>0</v>
      </c>
      <c r="I28" s="52">
        <v>0</v>
      </c>
      <c r="J28" s="52">
        <f>-2*3*time^1</f>
        <v>-18</v>
      </c>
      <c r="K28" s="52">
        <f>-2*time^0</f>
        <v>-2</v>
      </c>
      <c r="L28" s="52">
        <v>0</v>
      </c>
      <c r="M28" s="53">
        <v>0</v>
      </c>
      <c r="N28" s="45">
        <v>0</v>
      </c>
      <c r="O28" s="45">
        <v>0</v>
      </c>
      <c r="P28" s="45">
        <v>0</v>
      </c>
      <c r="Q28" s="45">
        <v>0</v>
      </c>
      <c r="S28" s="23" t="s">
        <v>106</v>
      </c>
      <c r="T28" s="45">
        <v>-6.1999999999999789</v>
      </c>
    </row>
    <row r="29" spans="2:25" ht="18" x14ac:dyDescent="0.25">
      <c r="B29" s="26" t="s">
        <v>149</v>
      </c>
      <c r="C29" s="45">
        <v>6</v>
      </c>
      <c r="D29" s="45">
        <v>4</v>
      </c>
      <c r="F29" s="45">
        <v>0</v>
      </c>
      <c r="G29" s="45">
        <v>0</v>
      </c>
      <c r="H29" s="45">
        <v>0</v>
      </c>
      <c r="I29" s="45">
        <v>0</v>
      </c>
      <c r="J29" s="46">
        <f>time^3</f>
        <v>64</v>
      </c>
      <c r="K29" s="47">
        <f>time^2</f>
        <v>16</v>
      </c>
      <c r="L29" s="47">
        <f>time^1</f>
        <v>4</v>
      </c>
      <c r="M29" s="47">
        <f>time^0</f>
        <v>1</v>
      </c>
      <c r="N29" s="47">
        <v>0</v>
      </c>
      <c r="O29" s="47">
        <v>0</v>
      </c>
      <c r="P29" s="47">
        <v>0</v>
      </c>
      <c r="Q29" s="48">
        <v>0</v>
      </c>
      <c r="S29" s="23" t="s">
        <v>150</v>
      </c>
      <c r="T29" s="45">
        <v>-1.3333333333333339</v>
      </c>
    </row>
    <row r="30" spans="2:25" ht="18" x14ac:dyDescent="0.25">
      <c r="B30" s="26" t="s">
        <v>149</v>
      </c>
      <c r="C30" s="45">
        <v>6</v>
      </c>
      <c r="D30" s="45">
        <v>4</v>
      </c>
      <c r="F30" s="45">
        <v>0</v>
      </c>
      <c r="G30" s="45">
        <v>0</v>
      </c>
      <c r="H30" s="45">
        <v>0</v>
      </c>
      <c r="I30" s="45">
        <v>0</v>
      </c>
      <c r="J30" s="49">
        <v>0</v>
      </c>
      <c r="K30" s="45">
        <v>0</v>
      </c>
      <c r="L30" s="45">
        <v>0</v>
      </c>
      <c r="M30" s="45">
        <v>0</v>
      </c>
      <c r="N30" s="45">
        <f>time^3</f>
        <v>64</v>
      </c>
      <c r="O30" s="45">
        <f>time^2</f>
        <v>16</v>
      </c>
      <c r="P30" s="45">
        <f>time^1</f>
        <v>4</v>
      </c>
      <c r="Q30" s="50">
        <f>time^0</f>
        <v>1</v>
      </c>
      <c r="S30" s="23" t="s">
        <v>151</v>
      </c>
      <c r="T30" s="45">
        <v>14.600000000000019</v>
      </c>
    </row>
    <row r="31" spans="2:25" ht="18" x14ac:dyDescent="0.25">
      <c r="B31" s="26" t="s">
        <v>152</v>
      </c>
      <c r="C31" s="45">
        <v>0</v>
      </c>
      <c r="D31" s="45">
        <v>4</v>
      </c>
      <c r="F31" s="45">
        <v>0</v>
      </c>
      <c r="G31" s="45">
        <v>0</v>
      </c>
      <c r="H31" s="45">
        <v>0</v>
      </c>
      <c r="I31" s="45">
        <v>0</v>
      </c>
      <c r="J31" s="49">
        <f>3*time^2</f>
        <v>48</v>
      </c>
      <c r="K31" s="45">
        <f>2*time</f>
        <v>8</v>
      </c>
      <c r="L31" s="45">
        <f>time^0</f>
        <v>1</v>
      </c>
      <c r="M31" s="45">
        <v>0</v>
      </c>
      <c r="N31" s="45">
        <f>-3*time^2</f>
        <v>-48</v>
      </c>
      <c r="O31" s="45">
        <f>-2*time</f>
        <v>-8</v>
      </c>
      <c r="P31" s="45">
        <f>-(time^0)</f>
        <v>-1</v>
      </c>
      <c r="Q31" s="50">
        <v>0</v>
      </c>
      <c r="S31" s="23" t="s">
        <v>109</v>
      </c>
      <c r="T31" s="45">
        <v>-48.86666666666676</v>
      </c>
    </row>
    <row r="32" spans="2:25" ht="18" x14ac:dyDescent="0.25">
      <c r="B32" s="26" t="s">
        <v>153</v>
      </c>
      <c r="C32" s="45">
        <v>0</v>
      </c>
      <c r="D32" s="45">
        <v>4</v>
      </c>
      <c r="F32" s="45">
        <v>0</v>
      </c>
      <c r="G32" s="45">
        <v>0</v>
      </c>
      <c r="H32" s="45">
        <v>0</v>
      </c>
      <c r="I32" s="45">
        <v>0</v>
      </c>
      <c r="J32" s="51">
        <f>2*3*time^1</f>
        <v>24</v>
      </c>
      <c r="K32" s="52">
        <f>2*time^0</f>
        <v>2</v>
      </c>
      <c r="L32" s="52">
        <v>0</v>
      </c>
      <c r="M32" s="52">
        <v>0</v>
      </c>
      <c r="N32" s="52">
        <f>-2*3*time^1</f>
        <v>-24</v>
      </c>
      <c r="O32" s="52">
        <f>-2*time^0</f>
        <v>-2</v>
      </c>
      <c r="P32" s="52">
        <v>0</v>
      </c>
      <c r="Q32" s="53">
        <v>0</v>
      </c>
      <c r="S32" s="23" t="s">
        <v>110</v>
      </c>
      <c r="T32" s="45">
        <v>53.200000000000088</v>
      </c>
    </row>
    <row r="33" spans="2:20" ht="18" x14ac:dyDescent="0.25">
      <c r="B33" s="26" t="s">
        <v>154</v>
      </c>
      <c r="C33" s="45">
        <v>1</v>
      </c>
      <c r="D33" s="45">
        <v>2</v>
      </c>
      <c r="F33" s="57">
        <f>time^3</f>
        <v>8</v>
      </c>
      <c r="G33" s="58">
        <f>time^2</f>
        <v>4</v>
      </c>
      <c r="H33" s="58">
        <f>time^1</f>
        <v>2</v>
      </c>
      <c r="I33" s="59">
        <f>time^0</f>
        <v>1</v>
      </c>
      <c r="J33" s="45">
        <v>0</v>
      </c>
      <c r="K33" s="45">
        <v>0</v>
      </c>
      <c r="L33" s="45">
        <v>0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S33" s="23" t="s">
        <v>155</v>
      </c>
      <c r="T33" s="45">
        <v>0.4666666666666659</v>
      </c>
    </row>
    <row r="34" spans="2:20" ht="18" x14ac:dyDescent="0.25">
      <c r="B34" s="26" t="s">
        <v>156</v>
      </c>
      <c r="C34" s="45">
        <v>9</v>
      </c>
      <c r="D34" s="45">
        <v>5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57">
        <f>time^3</f>
        <v>125</v>
      </c>
      <c r="O34" s="58">
        <f>time^2</f>
        <v>25</v>
      </c>
      <c r="P34" s="58">
        <f>time^1</f>
        <v>5</v>
      </c>
      <c r="Q34" s="59">
        <f>time^0</f>
        <v>1</v>
      </c>
      <c r="S34" s="23" t="s">
        <v>157</v>
      </c>
      <c r="T34" s="45">
        <v>-6.9999999999999929</v>
      </c>
    </row>
    <row r="35" spans="2:20" ht="18" x14ac:dyDescent="0.25">
      <c r="B35" s="26" t="s">
        <v>158</v>
      </c>
      <c r="C35" s="45">
        <v>0</v>
      </c>
      <c r="D35" s="45">
        <v>2</v>
      </c>
      <c r="F35" s="57">
        <f>2*3*time^1</f>
        <v>12</v>
      </c>
      <c r="G35" s="58">
        <f>2*time^0</f>
        <v>2</v>
      </c>
      <c r="H35" s="58">
        <v>0</v>
      </c>
      <c r="I35" s="59">
        <v>0</v>
      </c>
      <c r="J35" s="45">
        <v>0</v>
      </c>
      <c r="K35" s="45">
        <v>0</v>
      </c>
      <c r="L35" s="45">
        <v>0</v>
      </c>
      <c r="M35" s="45">
        <v>0</v>
      </c>
      <c r="N35" s="45">
        <v>0</v>
      </c>
      <c r="O35" s="45">
        <v>0</v>
      </c>
      <c r="P35" s="45">
        <v>0</v>
      </c>
      <c r="Q35" s="45">
        <v>0</v>
      </c>
      <c r="S35" s="23" t="s">
        <v>159</v>
      </c>
      <c r="T35" s="45">
        <v>37.533333333333303</v>
      </c>
    </row>
    <row r="36" spans="2:20" ht="18" x14ac:dyDescent="0.25">
      <c r="B36" s="26" t="s">
        <v>160</v>
      </c>
      <c r="C36" s="45">
        <v>0</v>
      </c>
      <c r="D36" s="45">
        <v>5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57">
        <f>2*3*time^1</f>
        <v>30</v>
      </c>
      <c r="O36" s="58">
        <f>2*time^0</f>
        <v>2</v>
      </c>
      <c r="P36" s="58">
        <v>0</v>
      </c>
      <c r="Q36" s="59">
        <v>0</v>
      </c>
      <c r="S36" s="23" t="s">
        <v>161</v>
      </c>
      <c r="T36" s="45">
        <v>-61.999999999999943</v>
      </c>
    </row>
  </sheetData>
  <hyperlinks>
    <hyperlink ref="A1" r:id="rId1" xr:uid="{983F2424-D872-A74A-918E-A2EF63FE6EF5}"/>
  </hyperlinks>
  <pageMargins left="0.7" right="0.7" top="0.75" bottom="0.75" header="0.3" footer="0.3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306D-6753-614D-9B69-0C54864906B7}">
  <sheetPr codeName="Sheet52">
    <tabColor rgb="FFFF0000"/>
  </sheetPr>
  <dimension ref="A1:AC39"/>
  <sheetViews>
    <sheetView zoomScale="90" zoomScaleNormal="90" workbookViewId="0"/>
  </sheetViews>
  <sheetFormatPr baseColWidth="10" defaultRowHeight="16" x14ac:dyDescent="0.2"/>
  <cols>
    <col min="1" max="16384" width="10.83203125" style="45"/>
  </cols>
  <sheetData>
    <row r="1" spans="1:29" x14ac:dyDescent="0.2">
      <c r="A1" s="45" t="s">
        <v>162</v>
      </c>
    </row>
    <row r="2" spans="1:29" s="44" customFormat="1" ht="26" x14ac:dyDescent="0.3"/>
    <row r="3" spans="1:29" ht="29" x14ac:dyDescent="0.3">
      <c r="C3" s="44" t="s">
        <v>111</v>
      </c>
    </row>
    <row r="4" spans="1:29" ht="26" x14ac:dyDescent="0.3">
      <c r="C4" s="44"/>
    </row>
    <row r="5" spans="1:29" ht="29" x14ac:dyDescent="0.3">
      <c r="C5" s="44" t="s">
        <v>112</v>
      </c>
    </row>
    <row r="6" spans="1:29" ht="26" x14ac:dyDescent="0.3">
      <c r="C6" s="44"/>
    </row>
    <row r="7" spans="1:29" ht="26" x14ac:dyDescent="0.3">
      <c r="C7" s="44" t="s">
        <v>113</v>
      </c>
      <c r="AA7" s="26" t="s">
        <v>163</v>
      </c>
      <c r="AB7" s="26" t="s">
        <v>89</v>
      </c>
      <c r="AC7" s="26"/>
    </row>
    <row r="8" spans="1:29" x14ac:dyDescent="0.2">
      <c r="AA8" s="45">
        <f>ROUNDDOWN(AB8,0)-1</f>
        <v>1</v>
      </c>
      <c r="AB8" s="45">
        <v>2</v>
      </c>
      <c r="AC8" s="60">
        <f t="shared" ref="AC8:AC24" ca="1" si="0">INDIRECT("a" &amp; i &amp; "_") * t^3 + INDIRECT("b" &amp; i &amp; "_") * t^2 + INDIRECT("_c" &amp; i) * t^1 + INDIRECT("d" &amp; i &amp; "_")</f>
        <v>1.0000000000000129</v>
      </c>
    </row>
    <row r="9" spans="1:29" x14ac:dyDescent="0.2">
      <c r="AA9" s="45">
        <f t="shared" ref="AA9:AA37" si="1">ROUNDDOWN(AB9,0)-1</f>
        <v>1</v>
      </c>
      <c r="AB9" s="45">
        <v>2.1</v>
      </c>
      <c r="AC9" s="60">
        <f t="shared" ca="1" si="0"/>
        <v>1.9706000000000174</v>
      </c>
    </row>
    <row r="10" spans="1:29" x14ac:dyDescent="0.2">
      <c r="AA10" s="45">
        <f t="shared" si="1"/>
        <v>1</v>
      </c>
      <c r="AB10" s="45">
        <v>2.2000000000000002</v>
      </c>
      <c r="AC10" s="60">
        <f t="shared" ca="1" si="0"/>
        <v>2.9248000000000105</v>
      </c>
    </row>
    <row r="11" spans="1:29" x14ac:dyDescent="0.2">
      <c r="B11" s="26" t="s">
        <v>89</v>
      </c>
      <c r="C11" s="26" t="s">
        <v>90</v>
      </c>
      <c r="AA11" s="45">
        <f t="shared" si="1"/>
        <v>1</v>
      </c>
      <c r="AB11" s="45">
        <v>2.2999999999999998</v>
      </c>
      <c r="AC11" s="60">
        <f t="shared" ca="1" si="0"/>
        <v>3.8462000000000161</v>
      </c>
    </row>
    <row r="12" spans="1:29" x14ac:dyDescent="0.2">
      <c r="B12" s="45">
        <v>2</v>
      </c>
      <c r="C12" s="45">
        <v>1</v>
      </c>
      <c r="AA12" s="45">
        <f t="shared" si="1"/>
        <v>1</v>
      </c>
      <c r="AB12" s="45">
        <v>2.4</v>
      </c>
      <c r="AC12" s="60">
        <f t="shared" ca="1" si="0"/>
        <v>4.718400000000015</v>
      </c>
    </row>
    <row r="13" spans="1:29" x14ac:dyDescent="0.2">
      <c r="B13" s="45">
        <v>3</v>
      </c>
      <c r="C13" s="45">
        <v>8</v>
      </c>
      <c r="AA13" s="45">
        <f t="shared" si="1"/>
        <v>1</v>
      </c>
      <c r="AB13" s="45">
        <v>2.5</v>
      </c>
      <c r="AC13" s="60">
        <f t="shared" ca="1" si="0"/>
        <v>5.5250000000000181</v>
      </c>
    </row>
    <row r="14" spans="1:29" x14ac:dyDescent="0.2">
      <c r="B14" s="45">
        <v>4</v>
      </c>
      <c r="C14" s="45">
        <v>6</v>
      </c>
      <c r="AA14" s="45">
        <f t="shared" si="1"/>
        <v>1</v>
      </c>
      <c r="AB14" s="45">
        <v>2.6</v>
      </c>
      <c r="AC14" s="60">
        <f t="shared" ca="1" si="0"/>
        <v>6.2496000000000063</v>
      </c>
    </row>
    <row r="15" spans="1:29" x14ac:dyDescent="0.2">
      <c r="B15" s="45">
        <v>5</v>
      </c>
      <c r="C15" s="45">
        <v>9</v>
      </c>
      <c r="AA15" s="45">
        <f t="shared" si="1"/>
        <v>1</v>
      </c>
      <c r="AB15" s="45">
        <v>2.7</v>
      </c>
      <c r="AC15" s="60">
        <f t="shared" ca="1" si="0"/>
        <v>6.8758000000000177</v>
      </c>
    </row>
    <row r="16" spans="1:29" x14ac:dyDescent="0.2">
      <c r="AA16" s="45">
        <f t="shared" si="1"/>
        <v>1</v>
      </c>
      <c r="AB16" s="45">
        <v>2.8</v>
      </c>
      <c r="AC16" s="60">
        <f t="shared" ca="1" si="0"/>
        <v>7.3871999999999982</v>
      </c>
    </row>
    <row r="17" spans="2:29" x14ac:dyDescent="0.2">
      <c r="AA17" s="45">
        <f t="shared" si="1"/>
        <v>1</v>
      </c>
      <c r="AB17" s="45">
        <v>2.9</v>
      </c>
      <c r="AC17" s="60">
        <f t="shared" ca="1" si="0"/>
        <v>7.7674000000000145</v>
      </c>
    </row>
    <row r="18" spans="2:29" x14ac:dyDescent="0.2">
      <c r="AA18" s="45">
        <f t="shared" si="1"/>
        <v>2</v>
      </c>
      <c r="AB18" s="45">
        <v>3</v>
      </c>
      <c r="AC18" s="60">
        <f t="shared" ca="1" si="0"/>
        <v>8.0000000000001137</v>
      </c>
    </row>
    <row r="19" spans="2:29" x14ac:dyDescent="0.2">
      <c r="AA19" s="45">
        <f t="shared" si="1"/>
        <v>2</v>
      </c>
      <c r="AB19" s="45">
        <v>3.1</v>
      </c>
      <c r="AC19" s="60">
        <f t="shared" ca="1" si="0"/>
        <v>8.075999999999965</v>
      </c>
    </row>
    <row r="20" spans="2:29" x14ac:dyDescent="0.2">
      <c r="AA20" s="45">
        <f t="shared" si="1"/>
        <v>2</v>
      </c>
      <c r="AB20" s="45">
        <v>3.2</v>
      </c>
      <c r="AC20" s="60">
        <f t="shared" ca="1" si="0"/>
        <v>8.0160000000000196</v>
      </c>
    </row>
    <row r="21" spans="2:29" x14ac:dyDescent="0.2">
      <c r="AA21" s="45">
        <f t="shared" si="1"/>
        <v>2</v>
      </c>
      <c r="AB21" s="45">
        <v>3.3</v>
      </c>
      <c r="AC21" s="60">
        <f t="shared" ca="1" si="0"/>
        <v>7.84800000000007</v>
      </c>
    </row>
    <row r="22" spans="2:29" x14ac:dyDescent="0.2">
      <c r="AA22" s="45">
        <f t="shared" si="1"/>
        <v>2</v>
      </c>
      <c r="AB22" s="45">
        <v>3.4</v>
      </c>
      <c r="AC22" s="60">
        <f t="shared" ca="1" si="0"/>
        <v>7.5999999999999659</v>
      </c>
    </row>
    <row r="23" spans="2:29" x14ac:dyDescent="0.2">
      <c r="AA23" s="45">
        <f t="shared" si="1"/>
        <v>2</v>
      </c>
      <c r="AB23" s="45">
        <v>3.5</v>
      </c>
      <c r="AC23" s="60">
        <f t="shared" ca="1" si="0"/>
        <v>7.3000000000000682</v>
      </c>
    </row>
    <row r="24" spans="2:29" s="54" customFormat="1" ht="20" x14ac:dyDescent="0.25">
      <c r="B24" s="54" t="s">
        <v>114</v>
      </c>
      <c r="C24" s="54" t="s">
        <v>115</v>
      </c>
      <c r="D24" s="54" t="s">
        <v>97</v>
      </c>
      <c r="F24" s="55" t="s">
        <v>135</v>
      </c>
      <c r="G24" s="55" t="s">
        <v>136</v>
      </c>
      <c r="H24" s="55" t="s">
        <v>137</v>
      </c>
      <c r="I24" s="55" t="s">
        <v>138</v>
      </c>
      <c r="J24" s="55" t="s">
        <v>139</v>
      </c>
      <c r="K24" s="55" t="s">
        <v>140</v>
      </c>
      <c r="L24" s="55" t="s">
        <v>141</v>
      </c>
      <c r="M24" s="55" t="s">
        <v>142</v>
      </c>
      <c r="N24" s="55" t="s">
        <v>143</v>
      </c>
      <c r="O24" s="55" t="s">
        <v>144</v>
      </c>
      <c r="P24" s="55" t="s">
        <v>145</v>
      </c>
      <c r="Q24" s="55" t="s">
        <v>146</v>
      </c>
      <c r="R24" s="45"/>
      <c r="T24" s="45"/>
      <c r="U24" s="45"/>
      <c r="V24" s="56"/>
      <c r="W24" s="56"/>
      <c r="X24" s="56"/>
      <c r="Y24" s="56"/>
      <c r="AA24" s="45">
        <f t="shared" si="1"/>
        <v>2</v>
      </c>
      <c r="AB24" s="45">
        <v>3.6</v>
      </c>
      <c r="AC24" s="60">
        <f t="shared" ca="1" si="0"/>
        <v>6.9759999999999991</v>
      </c>
    </row>
    <row r="25" spans="2:29" ht="18" x14ac:dyDescent="0.25">
      <c r="B25" s="26" t="s">
        <v>132</v>
      </c>
      <c r="C25" s="45">
        <f>VLOOKUP(D25,$B$12:$C$15,2,0)</f>
        <v>8</v>
      </c>
      <c r="D25" s="45">
        <f>$B$13</f>
        <v>3</v>
      </c>
      <c r="F25" s="46">
        <f>time^3</f>
        <v>27</v>
      </c>
      <c r="G25" s="47">
        <f>time^2</f>
        <v>9</v>
      </c>
      <c r="H25" s="47">
        <f>time^1</f>
        <v>3</v>
      </c>
      <c r="I25" s="47">
        <f>time^0</f>
        <v>1</v>
      </c>
      <c r="J25" s="47">
        <v>0</v>
      </c>
      <c r="K25" s="47">
        <v>0</v>
      </c>
      <c r="L25" s="47">
        <v>0</v>
      </c>
      <c r="M25" s="48">
        <v>0</v>
      </c>
      <c r="N25" s="45">
        <v>0</v>
      </c>
      <c r="O25" s="45">
        <v>0</v>
      </c>
      <c r="P25" s="45">
        <v>0</v>
      </c>
      <c r="Q25" s="45">
        <v>0</v>
      </c>
      <c r="S25" s="23" t="s">
        <v>147</v>
      </c>
      <c r="T25" s="45">
        <f t="array" ref="T25:T36">MMULT(MINVERSE(F25:Q36),value)</f>
        <v>-2.7333333333333303</v>
      </c>
      <c r="AA25" s="45">
        <f t="shared" si="1"/>
        <v>2</v>
      </c>
      <c r="AB25" s="45">
        <v>3.7</v>
      </c>
      <c r="AC25" s="60">
        <f t="shared" ref="AC25:AC28" ca="1" si="2">INDIRECT("a" &amp; i &amp; "_") * t^3 + INDIRECT("b" &amp; i &amp; "_") * t^2 + INDIRECT("_c" &amp; i) * t^1 + INDIRECT("d" &amp; i &amp; "_")</f>
        <v>6.6560000000001196</v>
      </c>
    </row>
    <row r="26" spans="2:29" ht="18" x14ac:dyDescent="0.25">
      <c r="B26" s="26" t="s">
        <v>132</v>
      </c>
      <c r="C26" s="45">
        <f>VLOOKUP(D26,$B$12:$C$15,2,0)</f>
        <v>8</v>
      </c>
      <c r="D26" s="45">
        <f>$B$13</f>
        <v>3</v>
      </c>
      <c r="F26" s="49">
        <v>0</v>
      </c>
      <c r="G26" s="45">
        <v>0</v>
      </c>
      <c r="H26" s="45">
        <v>0</v>
      </c>
      <c r="I26" s="45">
        <v>0</v>
      </c>
      <c r="J26" s="45">
        <f>time^3</f>
        <v>27</v>
      </c>
      <c r="K26" s="45">
        <f>time^2</f>
        <v>9</v>
      </c>
      <c r="L26" s="45">
        <f>time^1</f>
        <v>3</v>
      </c>
      <c r="M26" s="50">
        <f>time^0</f>
        <v>1</v>
      </c>
      <c r="N26" s="45">
        <v>0</v>
      </c>
      <c r="O26" s="45">
        <v>0</v>
      </c>
      <c r="P26" s="45">
        <v>0</v>
      </c>
      <c r="Q26" s="45">
        <v>0</v>
      </c>
      <c r="S26" s="23" t="s">
        <v>148</v>
      </c>
      <c r="T26" s="45">
        <v>16.39999999999997</v>
      </c>
      <c r="AA26" s="45">
        <f t="shared" si="1"/>
        <v>2</v>
      </c>
      <c r="AB26" s="45">
        <v>3.8</v>
      </c>
      <c r="AC26" s="60">
        <f t="shared" ca="1" si="2"/>
        <v>6.367999999999995</v>
      </c>
    </row>
    <row r="27" spans="2:29" ht="18" x14ac:dyDescent="0.25">
      <c r="B27" s="26" t="s">
        <v>133</v>
      </c>
      <c r="C27" s="45">
        <v>0</v>
      </c>
      <c r="D27" s="45">
        <f>$B$13</f>
        <v>3</v>
      </c>
      <c r="F27" s="49">
        <f>3*time^2</f>
        <v>27</v>
      </c>
      <c r="G27" s="45">
        <f>2*time</f>
        <v>6</v>
      </c>
      <c r="H27" s="45">
        <f>time^0</f>
        <v>1</v>
      </c>
      <c r="I27" s="45">
        <v>0</v>
      </c>
      <c r="J27" s="45">
        <f>-3*time^2</f>
        <v>-27</v>
      </c>
      <c r="K27" s="45">
        <f>-2*time</f>
        <v>-6</v>
      </c>
      <c r="L27" s="45">
        <f>-(time^0)</f>
        <v>-1</v>
      </c>
      <c r="M27" s="50">
        <v>0</v>
      </c>
      <c r="N27" s="45">
        <v>0</v>
      </c>
      <c r="O27" s="45">
        <v>0</v>
      </c>
      <c r="P27" s="45">
        <v>0</v>
      </c>
      <c r="Q27" s="45">
        <v>0</v>
      </c>
      <c r="S27" s="23" t="s">
        <v>105</v>
      </c>
      <c r="T27" s="45">
        <v>-23.066666666666581</v>
      </c>
      <c r="AA27" s="45">
        <f t="shared" si="1"/>
        <v>2</v>
      </c>
      <c r="AB27" s="45">
        <v>3.9</v>
      </c>
      <c r="AC27" s="60">
        <f t="shared" ca="1" si="2"/>
        <v>6.1399999999999864</v>
      </c>
    </row>
    <row r="28" spans="2:29" ht="18" x14ac:dyDescent="0.25">
      <c r="B28" s="26" t="s">
        <v>134</v>
      </c>
      <c r="C28" s="45">
        <v>0</v>
      </c>
      <c r="D28" s="45">
        <f>$B$13</f>
        <v>3</v>
      </c>
      <c r="F28" s="51">
        <f>2*3*time^1</f>
        <v>18</v>
      </c>
      <c r="G28" s="52">
        <f>2*time^0</f>
        <v>2</v>
      </c>
      <c r="H28" s="52">
        <v>0</v>
      </c>
      <c r="I28" s="52">
        <v>0</v>
      </c>
      <c r="J28" s="52">
        <f>-2*3*time^1</f>
        <v>-18</v>
      </c>
      <c r="K28" s="52">
        <f>-2*time^0</f>
        <v>-2</v>
      </c>
      <c r="L28" s="52">
        <v>0</v>
      </c>
      <c r="M28" s="53">
        <v>0</v>
      </c>
      <c r="N28" s="45">
        <v>0</v>
      </c>
      <c r="O28" s="45">
        <v>0</v>
      </c>
      <c r="P28" s="45">
        <v>0</v>
      </c>
      <c r="Q28" s="45">
        <v>0</v>
      </c>
      <c r="S28" s="23" t="s">
        <v>106</v>
      </c>
      <c r="T28" s="45">
        <v>3.3999999999999404</v>
      </c>
      <c r="AA28" s="45">
        <f t="shared" si="1"/>
        <v>3</v>
      </c>
      <c r="AB28" s="45">
        <v>4</v>
      </c>
      <c r="AC28" s="60">
        <f t="shared" ca="1" si="2"/>
        <v>5.9999999999999716</v>
      </c>
    </row>
    <row r="29" spans="2:29" ht="18" x14ac:dyDescent="0.25">
      <c r="B29" s="26" t="s">
        <v>149</v>
      </c>
      <c r="C29" s="45">
        <f>VLOOKUP(D29,$B$12:$C$15,2,0)</f>
        <v>6</v>
      </c>
      <c r="D29" s="45">
        <f t="array" ref="D29:D32">B14</f>
        <v>4</v>
      </c>
      <c r="F29" s="45">
        <v>0</v>
      </c>
      <c r="G29" s="45">
        <v>0</v>
      </c>
      <c r="H29" s="45">
        <v>0</v>
      </c>
      <c r="I29" s="45">
        <v>0</v>
      </c>
      <c r="J29" s="46">
        <f>time^3</f>
        <v>64</v>
      </c>
      <c r="K29" s="47">
        <f>time^2</f>
        <v>16</v>
      </c>
      <c r="L29" s="47">
        <f>time^1</f>
        <v>4</v>
      </c>
      <c r="M29" s="47">
        <f>time^0</f>
        <v>1</v>
      </c>
      <c r="N29" s="47">
        <v>0</v>
      </c>
      <c r="O29" s="47">
        <v>0</v>
      </c>
      <c r="P29" s="47">
        <v>0</v>
      </c>
      <c r="Q29" s="48">
        <v>0</v>
      </c>
      <c r="S29" s="23" t="s">
        <v>150</v>
      </c>
      <c r="T29" s="45">
        <v>4.6666666666666661</v>
      </c>
      <c r="AA29" s="45">
        <f t="shared" si="1"/>
        <v>3</v>
      </c>
      <c r="AB29" s="45">
        <v>4.0999999999999996</v>
      </c>
      <c r="AC29" s="60">
        <f t="shared" ref="AC29:AC38" ca="1" si="3">INDIRECT("a" &amp; i &amp; "_") * t^3 + INDIRECT("b" &amp; i &amp; "_") * t^2 + INDIRECT("_c" &amp; i) * t^1 + INDIRECT("d" &amp; i &amp; "_")</f>
        <v>5.9694000000000926</v>
      </c>
    </row>
    <row r="30" spans="2:29" ht="18" x14ac:dyDescent="0.25">
      <c r="B30" s="26" t="s">
        <v>149</v>
      </c>
      <c r="C30" s="45">
        <f>VLOOKUP(D30,$B$12:$C$15,2,0)</f>
        <v>6</v>
      </c>
      <c r="D30" s="45">
        <v>4</v>
      </c>
      <c r="F30" s="45">
        <v>0</v>
      </c>
      <c r="G30" s="45">
        <v>0</v>
      </c>
      <c r="H30" s="45">
        <v>0</v>
      </c>
      <c r="I30" s="45">
        <v>0</v>
      </c>
      <c r="J30" s="49">
        <v>0</v>
      </c>
      <c r="K30" s="45">
        <v>0</v>
      </c>
      <c r="L30" s="45">
        <v>0</v>
      </c>
      <c r="M30" s="45">
        <v>0</v>
      </c>
      <c r="N30" s="45">
        <f>time^3</f>
        <v>64</v>
      </c>
      <c r="O30" s="45">
        <f>time^2</f>
        <v>16</v>
      </c>
      <c r="P30" s="45">
        <f>time^1</f>
        <v>4</v>
      </c>
      <c r="Q30" s="50">
        <f>time^0</f>
        <v>1</v>
      </c>
      <c r="S30" s="23" t="s">
        <v>151</v>
      </c>
      <c r="T30" s="45">
        <v>-50.2</v>
      </c>
      <c r="AA30" s="45">
        <f t="shared" si="1"/>
        <v>3</v>
      </c>
      <c r="AB30" s="45">
        <v>4.2</v>
      </c>
      <c r="AC30" s="60">
        <f t="shared" ca="1" si="3"/>
        <v>6.0431999999999277</v>
      </c>
    </row>
    <row r="31" spans="2:29" ht="18" x14ac:dyDescent="0.25">
      <c r="B31" s="26" t="s">
        <v>152</v>
      </c>
      <c r="C31" s="45">
        <v>0</v>
      </c>
      <c r="D31" s="45">
        <v>4</v>
      </c>
      <c r="F31" s="45">
        <v>0</v>
      </c>
      <c r="G31" s="45">
        <v>0</v>
      </c>
      <c r="H31" s="45">
        <v>0</v>
      </c>
      <c r="I31" s="45">
        <v>0</v>
      </c>
      <c r="J31" s="49">
        <f>3*time^2</f>
        <v>48</v>
      </c>
      <c r="K31" s="45">
        <f>2*time</f>
        <v>8</v>
      </c>
      <c r="L31" s="45">
        <f>time^0</f>
        <v>1</v>
      </c>
      <c r="M31" s="45">
        <v>0</v>
      </c>
      <c r="N31" s="45">
        <f>-3*time^2</f>
        <v>-48</v>
      </c>
      <c r="O31" s="45">
        <f>-2*time</f>
        <v>-8</v>
      </c>
      <c r="P31" s="45">
        <f>-(time^0)</f>
        <v>-1</v>
      </c>
      <c r="Q31" s="50">
        <v>0</v>
      </c>
      <c r="S31" s="23" t="s">
        <v>109</v>
      </c>
      <c r="T31" s="45">
        <v>176.73333333333338</v>
      </c>
      <c r="AA31" s="45">
        <f t="shared" si="1"/>
        <v>3</v>
      </c>
      <c r="AB31" s="45">
        <v>4.3</v>
      </c>
      <c r="AC31" s="60">
        <f t="shared" ca="1" si="3"/>
        <v>6.2098000000000013</v>
      </c>
    </row>
    <row r="32" spans="2:29" ht="18" x14ac:dyDescent="0.25">
      <c r="B32" s="26" t="s">
        <v>153</v>
      </c>
      <c r="C32" s="45">
        <v>0</v>
      </c>
      <c r="D32" s="45">
        <v>4</v>
      </c>
      <c r="F32" s="45">
        <v>0</v>
      </c>
      <c r="G32" s="45">
        <v>0</v>
      </c>
      <c r="H32" s="45">
        <v>0</v>
      </c>
      <c r="I32" s="45">
        <v>0</v>
      </c>
      <c r="J32" s="51">
        <f>2*3*time^1</f>
        <v>24</v>
      </c>
      <c r="K32" s="52">
        <f>2*time^0</f>
        <v>2</v>
      </c>
      <c r="L32" s="52">
        <v>0</v>
      </c>
      <c r="M32" s="52">
        <v>0</v>
      </c>
      <c r="N32" s="52">
        <f>-2*3*time^1</f>
        <v>-24</v>
      </c>
      <c r="O32" s="52">
        <f>-2*time^0</f>
        <v>-2</v>
      </c>
      <c r="P32" s="52">
        <v>0</v>
      </c>
      <c r="Q32" s="53">
        <v>0</v>
      </c>
      <c r="S32" s="23" t="s">
        <v>110</v>
      </c>
      <c r="T32" s="45">
        <v>-196.40000000000003</v>
      </c>
      <c r="AA32" s="45">
        <f t="shared" si="1"/>
        <v>3</v>
      </c>
      <c r="AB32" s="45">
        <v>4.4000000000000004</v>
      </c>
      <c r="AC32" s="60">
        <f t="shared" ca="1" si="3"/>
        <v>6.4575999999999851</v>
      </c>
    </row>
    <row r="33" spans="2:29" ht="18" x14ac:dyDescent="0.25">
      <c r="B33" s="26" t="s">
        <v>154</v>
      </c>
      <c r="C33" s="45">
        <v>1</v>
      </c>
      <c r="D33" s="45">
        <v>2</v>
      </c>
      <c r="F33" s="57">
        <f>time^3</f>
        <v>8</v>
      </c>
      <c r="G33" s="58">
        <f>time^2</f>
        <v>4</v>
      </c>
      <c r="H33" s="58">
        <f>time^1</f>
        <v>2</v>
      </c>
      <c r="I33" s="59">
        <f>time^0</f>
        <v>1</v>
      </c>
      <c r="J33" s="45">
        <v>0</v>
      </c>
      <c r="K33" s="45">
        <v>0</v>
      </c>
      <c r="L33" s="45">
        <v>0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S33" s="23" t="s">
        <v>155</v>
      </c>
      <c r="T33" s="45">
        <v>-1.9333333333333318</v>
      </c>
      <c r="AA33" s="45">
        <f t="shared" si="1"/>
        <v>3</v>
      </c>
      <c r="AB33" s="45">
        <v>4.5</v>
      </c>
      <c r="AC33" s="60">
        <f t="shared" ca="1" si="3"/>
        <v>6.774999999999892</v>
      </c>
    </row>
    <row r="34" spans="2:29" ht="18" x14ac:dyDescent="0.25">
      <c r="B34" s="26" t="s">
        <v>156</v>
      </c>
      <c r="C34" s="45">
        <v>9</v>
      </c>
      <c r="D34" s="45">
        <v>5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57">
        <f>time^3</f>
        <v>125</v>
      </c>
      <c r="O34" s="58">
        <f>time^2</f>
        <v>25</v>
      </c>
      <c r="P34" s="58">
        <f>time^1</f>
        <v>5</v>
      </c>
      <c r="Q34" s="59">
        <f>time^0</f>
        <v>1</v>
      </c>
      <c r="S34" s="23" t="s">
        <v>157</v>
      </c>
      <c r="T34" s="45">
        <v>28.999999999999961</v>
      </c>
      <c r="AA34" s="45">
        <f t="shared" si="1"/>
        <v>3</v>
      </c>
      <c r="AB34" s="45">
        <v>4.5999999999999996</v>
      </c>
      <c r="AC34" s="60">
        <f t="shared" ca="1" si="3"/>
        <v>7.1503999999999053</v>
      </c>
    </row>
    <row r="35" spans="2:29" ht="18" x14ac:dyDescent="0.25">
      <c r="B35" s="26" t="s">
        <v>158</v>
      </c>
      <c r="C35" s="45">
        <v>0</v>
      </c>
      <c r="D35" s="45">
        <v>2</v>
      </c>
      <c r="F35" s="57">
        <f>2*3*time^1</f>
        <v>12</v>
      </c>
      <c r="G35" s="58">
        <f>2*time^0</f>
        <v>2</v>
      </c>
      <c r="H35" s="58">
        <v>0</v>
      </c>
      <c r="I35" s="59">
        <v>0</v>
      </c>
      <c r="J35" s="45">
        <v>0</v>
      </c>
      <c r="K35" s="45">
        <v>0</v>
      </c>
      <c r="L35" s="45">
        <v>0</v>
      </c>
      <c r="M35" s="45">
        <v>0</v>
      </c>
      <c r="N35" s="45">
        <v>0</v>
      </c>
      <c r="O35" s="45">
        <v>0</v>
      </c>
      <c r="P35" s="45">
        <v>0</v>
      </c>
      <c r="Q35" s="45">
        <v>0</v>
      </c>
      <c r="S35" s="23" t="s">
        <v>159</v>
      </c>
      <c r="T35" s="45">
        <v>-140.06666666666649</v>
      </c>
      <c r="AA35" s="45">
        <f t="shared" si="1"/>
        <v>3</v>
      </c>
      <c r="AB35" s="45">
        <v>4.7</v>
      </c>
      <c r="AC35" s="60">
        <f t="shared" ca="1" si="3"/>
        <v>7.5721999999998673</v>
      </c>
    </row>
    <row r="36" spans="2:29" ht="18" x14ac:dyDescent="0.25">
      <c r="B36" s="26" t="s">
        <v>160</v>
      </c>
      <c r="C36" s="45">
        <v>0</v>
      </c>
      <c r="D36" s="45">
        <v>5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57">
        <f>2*3*time^1</f>
        <v>30</v>
      </c>
      <c r="O36" s="58">
        <f>2*time^0</f>
        <v>2</v>
      </c>
      <c r="P36" s="58">
        <v>0</v>
      </c>
      <c r="Q36" s="59">
        <v>0</v>
      </c>
      <c r="S36" s="23" t="s">
        <v>161</v>
      </c>
      <c r="T36" s="45">
        <v>225.9999999999998</v>
      </c>
      <c r="AA36" s="45">
        <f t="shared" si="1"/>
        <v>3</v>
      </c>
      <c r="AB36" s="45">
        <v>4.8</v>
      </c>
      <c r="AC36" s="60">
        <f t="shared" ca="1" si="3"/>
        <v>8.0287999999999045</v>
      </c>
    </row>
    <row r="37" spans="2:29" x14ac:dyDescent="0.2">
      <c r="AA37" s="45">
        <f t="shared" si="1"/>
        <v>3</v>
      </c>
      <c r="AB37" s="45">
        <v>4.9000000000000004</v>
      </c>
      <c r="AC37" s="60">
        <f t="shared" ca="1" si="3"/>
        <v>8.5085999999998592</v>
      </c>
    </row>
    <row r="38" spans="2:29" x14ac:dyDescent="0.2">
      <c r="AA38" s="45">
        <v>3</v>
      </c>
      <c r="AB38" s="45">
        <v>5</v>
      </c>
      <c r="AC38" s="60">
        <f t="shared" ca="1" si="3"/>
        <v>8.999999999999801</v>
      </c>
    </row>
    <row r="39" spans="2:29" s="26" customFormat="1" x14ac:dyDescent="0.2"/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0CB29-141E-2541-915D-109BFB699CC5}">
  <sheetPr codeName="Sheet53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45"/>
    <col min="4" max="4" width="22.33203125" style="45" bestFit="1" customWidth="1"/>
    <col min="5" max="5" width="10.83203125" style="45"/>
    <col min="6" max="38" width="3.83203125" style="45" customWidth="1"/>
    <col min="39" max="39" width="5.1640625" style="45" bestFit="1" customWidth="1"/>
    <col min="40" max="40" width="7" style="45" bestFit="1" customWidth="1"/>
    <col min="41" max="42" width="3.83203125" customWidth="1"/>
    <col min="44" max="16384" width="10.83203125" style="45"/>
  </cols>
  <sheetData>
    <row r="1" spans="1:43" x14ac:dyDescent="0.2">
      <c r="A1" s="45" t="s">
        <v>162</v>
      </c>
      <c r="AO1" s="45"/>
      <c r="AP1" s="45"/>
      <c r="AQ1" s="45"/>
    </row>
    <row r="2" spans="1:43" s="44" customFormat="1" ht="26" x14ac:dyDescent="0.3"/>
    <row r="3" spans="1:43" ht="29" x14ac:dyDescent="0.3">
      <c r="C3" s="44" t="s">
        <v>111</v>
      </c>
      <c r="AO3" s="45"/>
      <c r="AP3" s="45"/>
      <c r="AQ3" s="45"/>
    </row>
    <row r="4" spans="1:43" ht="26" x14ac:dyDescent="0.3">
      <c r="C4" s="44"/>
      <c r="AO4" s="45"/>
      <c r="AP4" s="45"/>
      <c r="AQ4" s="45"/>
    </row>
    <row r="5" spans="1:43" ht="29" x14ac:dyDescent="0.3">
      <c r="C5" s="44" t="s">
        <v>112</v>
      </c>
      <c r="AO5" s="45"/>
      <c r="AP5" s="45"/>
      <c r="AQ5" s="45"/>
    </row>
    <row r="6" spans="1:43" ht="26" x14ac:dyDescent="0.3">
      <c r="C6" s="44"/>
      <c r="AO6" s="45"/>
      <c r="AP6" s="45"/>
      <c r="AQ6" s="45"/>
    </row>
    <row r="7" spans="1:43" ht="26" x14ac:dyDescent="0.3">
      <c r="C7" s="44" t="s">
        <v>113</v>
      </c>
      <c r="AO7" s="45"/>
      <c r="AP7" s="45"/>
      <c r="AQ7" s="45"/>
    </row>
    <row r="8" spans="1:43" x14ac:dyDescent="0.2">
      <c r="AO8" s="45"/>
      <c r="AP8" s="45"/>
      <c r="AQ8" s="45"/>
    </row>
    <row r="9" spans="1:43" x14ac:dyDescent="0.2">
      <c r="AO9" s="45"/>
      <c r="AP9" s="45"/>
      <c r="AQ9" s="45"/>
    </row>
    <row r="10" spans="1:43" x14ac:dyDescent="0.2">
      <c r="AO10" s="45"/>
      <c r="AP10" s="45"/>
      <c r="AQ10" s="45"/>
    </row>
    <row r="11" spans="1:43" x14ac:dyDescent="0.2">
      <c r="B11" s="26" t="s">
        <v>89</v>
      </c>
      <c r="C11" s="26" t="s">
        <v>90</v>
      </c>
      <c r="AO11" s="45"/>
      <c r="AP11" s="45"/>
      <c r="AQ11" s="45"/>
    </row>
    <row r="12" spans="1:43" x14ac:dyDescent="0.2">
      <c r="B12" s="45">
        <v>0</v>
      </c>
      <c r="C12" s="61">
        <v>0</v>
      </c>
      <c r="D12" s="62"/>
      <c r="AO12" s="45"/>
      <c r="AP12" s="45"/>
      <c r="AQ12" s="45"/>
    </row>
    <row r="13" spans="1:43" x14ac:dyDescent="0.2">
      <c r="B13" s="45">
        <v>1</v>
      </c>
      <c r="C13" s="61">
        <v>0.02</v>
      </c>
      <c r="D13" s="62"/>
      <c r="AO13" s="45"/>
      <c r="AP13" s="45"/>
      <c r="AQ13" s="45"/>
    </row>
    <row r="14" spans="1:43" x14ac:dyDescent="0.2">
      <c r="B14" s="45">
        <v>2</v>
      </c>
      <c r="C14" s="61">
        <v>3.7869296080000003E-2</v>
      </c>
      <c r="D14" s="62"/>
      <c r="AO14" s="45"/>
      <c r="AP14" s="45"/>
      <c r="AQ14" s="45"/>
    </row>
    <row r="15" spans="1:43" x14ac:dyDescent="0.2">
      <c r="B15" s="45">
        <v>3</v>
      </c>
      <c r="C15" s="61">
        <v>4.4685005659999999E-2</v>
      </c>
      <c r="D15" s="62"/>
      <c r="AO15" s="45"/>
      <c r="AP15" s="45"/>
      <c r="AQ15" s="45"/>
    </row>
    <row r="16" spans="1:43" x14ac:dyDescent="0.2">
      <c r="B16" s="45">
        <v>4</v>
      </c>
      <c r="C16" s="61">
        <v>5.1500715240000002E-2</v>
      </c>
      <c r="D16" s="62"/>
      <c r="AO16" s="45"/>
      <c r="AP16" s="45"/>
      <c r="AQ16" s="45"/>
    </row>
    <row r="17" spans="2:43" x14ac:dyDescent="0.2">
      <c r="B17" s="45">
        <v>5</v>
      </c>
      <c r="C17" s="61">
        <v>5.8316424819999997E-2</v>
      </c>
      <c r="D17" s="62"/>
      <c r="AO17" s="45"/>
      <c r="AP17" s="45"/>
      <c r="AQ17" s="45"/>
    </row>
    <row r="18" spans="2:43" x14ac:dyDescent="0.2">
      <c r="B18" s="45">
        <v>7</v>
      </c>
      <c r="C18" s="61">
        <v>6.51321344E-2</v>
      </c>
      <c r="D18" s="62"/>
      <c r="AO18" s="45"/>
      <c r="AP18" s="45"/>
      <c r="AQ18" s="45"/>
    </row>
    <row r="19" spans="2:43" x14ac:dyDescent="0.2">
      <c r="B19" s="45">
        <v>10</v>
      </c>
      <c r="C19" s="61">
        <v>6.7430707199999995E-2</v>
      </c>
      <c r="D19" s="62"/>
      <c r="AO19" s="45"/>
      <c r="AP19" s="45"/>
      <c r="AQ19" s="45"/>
    </row>
    <row r="20" spans="2:43" x14ac:dyDescent="0.2">
      <c r="B20" s="45">
        <v>30</v>
      </c>
      <c r="C20" s="61">
        <v>0.08</v>
      </c>
      <c r="D20" s="62"/>
      <c r="AO20" s="45"/>
      <c r="AP20" s="45"/>
      <c r="AQ20" s="45"/>
    </row>
    <row r="21" spans="2:43" x14ac:dyDescent="0.2">
      <c r="AO21" s="45"/>
      <c r="AP21" s="45"/>
      <c r="AQ21" s="45"/>
    </row>
    <row r="22" spans="2:43" x14ac:dyDescent="0.2">
      <c r="AO22" s="45"/>
      <c r="AP22" s="45"/>
      <c r="AQ22" s="45"/>
    </row>
    <row r="23" spans="2:43" x14ac:dyDescent="0.2">
      <c r="AO23" s="45"/>
      <c r="AP23" s="45"/>
      <c r="AQ23" s="45"/>
    </row>
    <row r="24" spans="2:43" x14ac:dyDescent="0.2">
      <c r="AO24" s="45"/>
      <c r="AP24" s="45"/>
      <c r="AQ24" s="45"/>
    </row>
    <row r="25" spans="2:43" x14ac:dyDescent="0.2">
      <c r="AO25" s="45"/>
      <c r="AP25" s="45"/>
      <c r="AQ25" s="45"/>
    </row>
    <row r="26" spans="2:43" x14ac:dyDescent="0.2">
      <c r="AO26" s="45"/>
      <c r="AP26" s="45"/>
      <c r="AQ26" s="45"/>
    </row>
    <row r="27" spans="2:43" s="54" customFormat="1" x14ac:dyDescent="0.2">
      <c r="B27" s="54" t="s">
        <v>114</v>
      </c>
      <c r="C27" s="54" t="s">
        <v>115</v>
      </c>
      <c r="D27" s="54" t="s">
        <v>97</v>
      </c>
      <c r="F27" s="63" t="s">
        <v>164</v>
      </c>
      <c r="G27" s="63" t="s">
        <v>165</v>
      </c>
      <c r="H27" s="63" t="s">
        <v>166</v>
      </c>
      <c r="I27" s="63" t="s">
        <v>167</v>
      </c>
      <c r="J27" s="63" t="s">
        <v>168</v>
      </c>
      <c r="K27" s="63" t="s">
        <v>169</v>
      </c>
      <c r="L27" s="63" t="s">
        <v>170</v>
      </c>
      <c r="M27" s="63" t="s">
        <v>171</v>
      </c>
      <c r="N27" s="63" t="s">
        <v>172</v>
      </c>
      <c r="O27" s="63" t="s">
        <v>173</v>
      </c>
      <c r="P27" s="63" t="s">
        <v>174</v>
      </c>
      <c r="Q27" s="63" t="s">
        <v>175</v>
      </c>
      <c r="R27" s="63" t="s">
        <v>176</v>
      </c>
      <c r="S27" s="63" t="s">
        <v>177</v>
      </c>
      <c r="T27" s="63" t="s">
        <v>178</v>
      </c>
      <c r="U27" s="63" t="s">
        <v>179</v>
      </c>
      <c r="V27" s="63" t="s">
        <v>180</v>
      </c>
      <c r="W27" s="63" t="s">
        <v>181</v>
      </c>
      <c r="X27" s="63" t="s">
        <v>182</v>
      </c>
      <c r="Y27" s="63" t="s">
        <v>183</v>
      </c>
      <c r="Z27" s="63" t="s">
        <v>184</v>
      </c>
      <c r="AA27" s="63" t="s">
        <v>185</v>
      </c>
      <c r="AB27" s="63" t="s">
        <v>186</v>
      </c>
      <c r="AC27" s="63" t="s">
        <v>187</v>
      </c>
      <c r="AD27" s="63" t="s">
        <v>188</v>
      </c>
      <c r="AE27" s="63" t="s">
        <v>189</v>
      </c>
      <c r="AF27" s="63" t="s">
        <v>190</v>
      </c>
      <c r="AG27" s="63" t="s">
        <v>191</v>
      </c>
      <c r="AH27" s="63" t="s">
        <v>192</v>
      </c>
      <c r="AI27" s="63" t="s">
        <v>193</v>
      </c>
      <c r="AJ27" s="63" t="s">
        <v>194</v>
      </c>
      <c r="AK27" s="63" t="s">
        <v>195</v>
      </c>
      <c r="AL27" s="64"/>
      <c r="AM27" s="64"/>
      <c r="AN27" s="54" t="s">
        <v>196</v>
      </c>
      <c r="AO27" s="45"/>
      <c r="AP27" s="45"/>
      <c r="AQ27" s="45"/>
    </row>
    <row r="28" spans="2:43" x14ac:dyDescent="0.2">
      <c r="B28" s="26" t="str">
        <f>"y(" &amp; D28 &amp; ")"</f>
        <v>y(1)</v>
      </c>
      <c r="C28" s="45">
        <f>VLOOKUP(D28,$B$12:$C$20,2,0)</f>
        <v>0.02</v>
      </c>
      <c r="D28" s="45">
        <v>1</v>
      </c>
      <c r="F28" s="65">
        <f>time^3</f>
        <v>1</v>
      </c>
      <c r="G28" s="66">
        <f>time^2</f>
        <v>1</v>
      </c>
      <c r="H28" s="66">
        <f>time^1</f>
        <v>1</v>
      </c>
      <c r="I28" s="66">
        <f>time^0</f>
        <v>1</v>
      </c>
      <c r="J28" s="66">
        <v>0</v>
      </c>
      <c r="K28" s="66">
        <v>0</v>
      </c>
      <c r="L28" s="66">
        <v>0</v>
      </c>
      <c r="M28" s="67">
        <v>0</v>
      </c>
      <c r="N28" s="66"/>
      <c r="O28" s="66"/>
      <c r="P28" s="66"/>
      <c r="Q28" s="66"/>
      <c r="R28" s="66"/>
      <c r="S28" s="68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7"/>
      <c r="AM28" s="45" t="str">
        <f>"a_"&amp; time</f>
        <v>a_1</v>
      </c>
      <c r="AN28" s="69">
        <f t="array" ref="AN28:AN59">MMULT(MINVERSE(dmat),value)</f>
        <v>2.2001428227434448E-4</v>
      </c>
      <c r="AO28" s="45"/>
      <c r="AP28" s="45"/>
      <c r="AQ28" s="45"/>
    </row>
    <row r="29" spans="2:43" x14ac:dyDescent="0.2">
      <c r="B29" s="26" t="str">
        <f t="shared" ref="B29:B37" si="0">"y(" &amp; D29 &amp; ")"</f>
        <v>y(1)</v>
      </c>
      <c r="C29" s="45">
        <f>VLOOKUP(D29,$B$12:$C$20,2,0)</f>
        <v>0.02</v>
      </c>
      <c r="D29" s="45">
        <v>1</v>
      </c>
      <c r="F29" s="70">
        <v>0</v>
      </c>
      <c r="G29" s="71">
        <v>0</v>
      </c>
      <c r="H29" s="71">
        <v>0</v>
      </c>
      <c r="I29" s="71">
        <v>0</v>
      </c>
      <c r="J29" s="71">
        <f>time^3</f>
        <v>1</v>
      </c>
      <c r="K29" s="71">
        <f>time^2</f>
        <v>1</v>
      </c>
      <c r="L29" s="71">
        <f>time^1</f>
        <v>1</v>
      </c>
      <c r="M29" s="72">
        <f>time^0</f>
        <v>1</v>
      </c>
      <c r="N29" s="71"/>
      <c r="O29" s="71"/>
      <c r="P29" s="71"/>
      <c r="Q29" s="71"/>
      <c r="R29" s="71"/>
      <c r="S29" s="63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2"/>
      <c r="AM29" s="45" t="str">
        <f>"b_"&amp; time</f>
        <v>b_1</v>
      </c>
      <c r="AN29" s="69">
        <v>0</v>
      </c>
      <c r="AO29" s="45"/>
      <c r="AP29" s="45"/>
      <c r="AQ29" s="45"/>
    </row>
    <row r="30" spans="2:43" x14ac:dyDescent="0.2">
      <c r="B30" s="26" t="str">
        <f>"y'(" &amp; D30 &amp; ")"</f>
        <v>y'(1)</v>
      </c>
      <c r="C30" s="45">
        <v>0</v>
      </c>
      <c r="D30" s="45">
        <v>1</v>
      </c>
      <c r="F30" s="70">
        <f>3*time^2</f>
        <v>3</v>
      </c>
      <c r="G30" s="71">
        <f>2*time</f>
        <v>2</v>
      </c>
      <c r="H30" s="71">
        <f>time^0</f>
        <v>1</v>
      </c>
      <c r="I30" s="71">
        <v>0</v>
      </c>
      <c r="J30" s="71">
        <f>-3*time^2</f>
        <v>-3</v>
      </c>
      <c r="K30" s="71">
        <f>-2*time</f>
        <v>-2</v>
      </c>
      <c r="L30" s="71">
        <f>-(time^0)</f>
        <v>-1</v>
      </c>
      <c r="M30" s="72">
        <v>0</v>
      </c>
      <c r="N30" s="71"/>
      <c r="O30" s="71"/>
      <c r="P30" s="71"/>
      <c r="Q30" s="71"/>
      <c r="R30" s="71"/>
      <c r="S30" s="63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2"/>
      <c r="AM30" s="45" t="str">
        <f>"c_"&amp; time</f>
        <v>c_1</v>
      </c>
      <c r="AN30" s="69">
        <v>1.9779985717725733E-2</v>
      </c>
      <c r="AO30" s="45"/>
      <c r="AP30" s="45"/>
      <c r="AQ30" s="45"/>
    </row>
    <row r="31" spans="2:43" x14ac:dyDescent="0.2">
      <c r="B31" s="26" t="str">
        <f>"y''(" &amp; D31 &amp; ")"</f>
        <v>y''(1)</v>
      </c>
      <c r="C31" s="45">
        <v>0</v>
      </c>
      <c r="D31" s="45">
        <v>1</v>
      </c>
      <c r="F31" s="73">
        <f>2*3*time^1</f>
        <v>6</v>
      </c>
      <c r="G31" s="74">
        <f>2*time^0</f>
        <v>2</v>
      </c>
      <c r="H31" s="74">
        <v>0</v>
      </c>
      <c r="I31" s="74">
        <v>0</v>
      </c>
      <c r="J31" s="74">
        <f>-2*3*time^1</f>
        <v>-6</v>
      </c>
      <c r="K31" s="74">
        <f>-2*time^0</f>
        <v>-2</v>
      </c>
      <c r="L31" s="74">
        <v>0</v>
      </c>
      <c r="M31" s="75">
        <v>0</v>
      </c>
      <c r="N31" s="71"/>
      <c r="O31" s="71"/>
      <c r="P31" s="71"/>
      <c r="Q31" s="71"/>
      <c r="R31" s="71"/>
      <c r="S31" s="63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2"/>
      <c r="AM31" s="45" t="str">
        <f>"d_"&amp; time</f>
        <v>d_1</v>
      </c>
      <c r="AN31" s="69">
        <v>-7.839151029209042E-17</v>
      </c>
      <c r="AO31" s="45"/>
      <c r="AP31" s="45"/>
      <c r="AQ31" s="45"/>
    </row>
    <row r="32" spans="2:43" x14ac:dyDescent="0.2">
      <c r="B32" s="26" t="str">
        <f t="shared" ref="B32" si="1">"y(" &amp; D32 &amp; ")"</f>
        <v>y(2)</v>
      </c>
      <c r="C32" s="45">
        <f t="shared" ref="C32:C33" si="2">VLOOKUP(D32,$B$12:$C$20,2,0)</f>
        <v>3.7869296080000003E-2</v>
      </c>
      <c r="D32" s="45">
        <f>D28+1</f>
        <v>2</v>
      </c>
      <c r="F32" s="70"/>
      <c r="G32" s="71"/>
      <c r="H32" s="71"/>
      <c r="I32" s="71"/>
      <c r="J32" s="65">
        <f>time^3</f>
        <v>8</v>
      </c>
      <c r="K32" s="66">
        <f>time^2</f>
        <v>4</v>
      </c>
      <c r="L32" s="66">
        <f>time^1</f>
        <v>2</v>
      </c>
      <c r="M32" s="66">
        <f>time^0</f>
        <v>1</v>
      </c>
      <c r="N32" s="66">
        <v>0</v>
      </c>
      <c r="O32" s="66">
        <v>0</v>
      </c>
      <c r="P32" s="66">
        <v>0</v>
      </c>
      <c r="Q32" s="67">
        <v>0</v>
      </c>
      <c r="R32" s="71"/>
      <c r="S32" s="63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2"/>
      <c r="AM32" s="45" t="str">
        <f>"a_"&amp; time</f>
        <v>a_2</v>
      </c>
      <c r="AN32" s="69">
        <v>-3.2307753313717503E-3</v>
      </c>
      <c r="AO32" s="45"/>
      <c r="AP32" s="45"/>
      <c r="AQ32" s="45"/>
    </row>
    <row r="33" spans="2:43" x14ac:dyDescent="0.2">
      <c r="B33" s="26" t="str">
        <f t="shared" si="0"/>
        <v>y(2)</v>
      </c>
      <c r="C33" s="45">
        <f t="shared" si="2"/>
        <v>3.7869296080000003E-2</v>
      </c>
      <c r="D33" s="45">
        <f t="shared" ref="D33:D47" si="3">D29+1</f>
        <v>2</v>
      </c>
      <c r="F33" s="70"/>
      <c r="G33" s="71"/>
      <c r="H33" s="71"/>
      <c r="I33" s="71"/>
      <c r="J33" s="70">
        <v>0</v>
      </c>
      <c r="K33" s="71">
        <v>0</v>
      </c>
      <c r="L33" s="71">
        <v>0</v>
      </c>
      <c r="M33" s="71">
        <v>0</v>
      </c>
      <c r="N33" s="71">
        <f>time^3</f>
        <v>8</v>
      </c>
      <c r="O33" s="71">
        <f>time^2</f>
        <v>4</v>
      </c>
      <c r="P33" s="71">
        <f>time^1</f>
        <v>2</v>
      </c>
      <c r="Q33" s="72">
        <f>time^0</f>
        <v>1</v>
      </c>
      <c r="R33" s="71"/>
      <c r="S33" s="63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2"/>
      <c r="AM33" s="45" t="str">
        <f>"b_"&amp; time</f>
        <v>b_2</v>
      </c>
      <c r="AN33" s="69">
        <v>1.0352368840938287E-2</v>
      </c>
      <c r="AO33" s="45"/>
      <c r="AP33" s="45"/>
      <c r="AQ33" s="45"/>
    </row>
    <row r="34" spans="2:43" x14ac:dyDescent="0.2">
      <c r="B34" s="26" t="str">
        <f t="shared" ref="B34" si="4">"y'(" &amp; D34 &amp; ")"</f>
        <v>y'(2)</v>
      </c>
      <c r="C34" s="45">
        <v>0</v>
      </c>
      <c r="D34" s="45">
        <f t="shared" si="3"/>
        <v>2</v>
      </c>
      <c r="F34" s="70"/>
      <c r="G34" s="71"/>
      <c r="H34" s="71"/>
      <c r="I34" s="71"/>
      <c r="J34" s="70">
        <f>3*time^2</f>
        <v>12</v>
      </c>
      <c r="K34" s="71">
        <f>2*time</f>
        <v>4</v>
      </c>
      <c r="L34" s="71">
        <f>time^0</f>
        <v>1</v>
      </c>
      <c r="M34" s="71">
        <v>0</v>
      </c>
      <c r="N34" s="71">
        <f>-3*time^2</f>
        <v>-12</v>
      </c>
      <c r="O34" s="71">
        <f>-2*time</f>
        <v>-4</v>
      </c>
      <c r="P34" s="71">
        <f>-(time^0)</f>
        <v>-1</v>
      </c>
      <c r="Q34" s="72">
        <v>0</v>
      </c>
      <c r="R34" s="71"/>
      <c r="S34" s="63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2"/>
      <c r="AM34" s="45" t="str">
        <f>"c_"&amp; time</f>
        <v>c_2</v>
      </c>
      <c r="AN34" s="69">
        <v>9.4276168767874532E-3</v>
      </c>
      <c r="AO34" s="45"/>
      <c r="AP34" s="45"/>
      <c r="AQ34" s="45"/>
    </row>
    <row r="35" spans="2:43" x14ac:dyDescent="0.2">
      <c r="B35" s="26" t="str">
        <f t="shared" ref="B35" si="5">"y''(" &amp; D35 &amp; ")"</f>
        <v>y''(2)</v>
      </c>
      <c r="C35" s="45">
        <v>0</v>
      </c>
      <c r="D35" s="45">
        <f t="shared" si="3"/>
        <v>2</v>
      </c>
      <c r="F35" s="70"/>
      <c r="G35" s="71"/>
      <c r="H35" s="71"/>
      <c r="I35" s="71"/>
      <c r="J35" s="73">
        <f>2*3*time^1</f>
        <v>12</v>
      </c>
      <c r="K35" s="74">
        <f>2*time^0</f>
        <v>2</v>
      </c>
      <c r="L35" s="74">
        <v>0</v>
      </c>
      <c r="M35" s="74">
        <v>0</v>
      </c>
      <c r="N35" s="74">
        <f>-2*3*time^1</f>
        <v>-12</v>
      </c>
      <c r="O35" s="74">
        <f>-2*time^0</f>
        <v>-2</v>
      </c>
      <c r="P35" s="74">
        <v>0</v>
      </c>
      <c r="Q35" s="75">
        <v>0</v>
      </c>
      <c r="R35" s="71"/>
      <c r="S35" s="63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2"/>
      <c r="AM35" s="45" t="str">
        <f>"d_"&amp; time</f>
        <v>d_2</v>
      </c>
      <c r="AN35" s="69">
        <v>3.4507896136459714E-3</v>
      </c>
      <c r="AO35" s="45"/>
      <c r="AP35" s="45"/>
      <c r="AQ35" s="45"/>
    </row>
    <row r="36" spans="2:43" x14ac:dyDescent="0.2">
      <c r="B36" s="26" t="str">
        <f t="shared" ref="B36:B53" si="6">"y(" &amp; D36 &amp; ")"</f>
        <v>y(3)</v>
      </c>
      <c r="C36" s="45">
        <f t="shared" ref="C36:C37" si="7">VLOOKUP(D36,$B$12:$C$20,2,0)</f>
        <v>4.4685005659999999E-2</v>
      </c>
      <c r="D36" s="45">
        <f t="shared" si="3"/>
        <v>3</v>
      </c>
      <c r="F36" s="70"/>
      <c r="G36" s="71"/>
      <c r="H36" s="71"/>
      <c r="I36" s="71"/>
      <c r="J36" s="71"/>
      <c r="K36" s="71"/>
      <c r="L36" s="71"/>
      <c r="M36" s="71"/>
      <c r="N36" s="65">
        <f>time^3</f>
        <v>27</v>
      </c>
      <c r="O36" s="66">
        <f>time^2</f>
        <v>9</v>
      </c>
      <c r="P36" s="66">
        <f>time^1</f>
        <v>3</v>
      </c>
      <c r="Q36" s="66">
        <f>time^0</f>
        <v>1</v>
      </c>
      <c r="R36" s="66">
        <v>0</v>
      </c>
      <c r="S36" s="66">
        <v>0</v>
      </c>
      <c r="T36" s="66">
        <v>0</v>
      </c>
      <c r="U36" s="67">
        <v>0</v>
      </c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2"/>
      <c r="AM36" s="45" t="str">
        <f>"a_"&amp; time</f>
        <v>a_3</v>
      </c>
      <c r="AN36" s="69">
        <v>3.7802044632124329E-3</v>
      </c>
      <c r="AO36" s="45"/>
      <c r="AP36" s="45"/>
      <c r="AQ36" s="45"/>
    </row>
    <row r="37" spans="2:43" x14ac:dyDescent="0.2">
      <c r="B37" s="26" t="str">
        <f t="shared" si="0"/>
        <v>y(3)</v>
      </c>
      <c r="C37" s="45">
        <f t="shared" si="7"/>
        <v>4.4685005659999999E-2</v>
      </c>
      <c r="D37" s="45">
        <f t="shared" si="3"/>
        <v>3</v>
      </c>
      <c r="E37" s="26"/>
      <c r="F37" s="76"/>
      <c r="G37" s="77"/>
      <c r="H37" s="77"/>
      <c r="I37" s="77"/>
      <c r="J37" s="77"/>
      <c r="K37" s="77"/>
      <c r="L37" s="77"/>
      <c r="M37" s="77"/>
      <c r="N37" s="70">
        <v>0</v>
      </c>
      <c r="O37" s="71">
        <v>0</v>
      </c>
      <c r="P37" s="71">
        <v>0</v>
      </c>
      <c r="Q37" s="71">
        <v>0</v>
      </c>
      <c r="R37" s="71">
        <f>time^3</f>
        <v>27</v>
      </c>
      <c r="S37" s="71">
        <f>time^2</f>
        <v>9</v>
      </c>
      <c r="T37" s="71">
        <f>time^1</f>
        <v>3</v>
      </c>
      <c r="U37" s="72">
        <f>time^0</f>
        <v>1</v>
      </c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2"/>
      <c r="AM37" s="45" t="str">
        <f>"b_"&amp; time</f>
        <v>b_3</v>
      </c>
      <c r="AN37" s="69">
        <v>-3.1713509926566665E-2</v>
      </c>
      <c r="AO37" s="45"/>
      <c r="AP37" s="45"/>
      <c r="AQ37" s="45"/>
    </row>
    <row r="38" spans="2:43" x14ac:dyDescent="0.2">
      <c r="B38" s="26" t="str">
        <f t="shared" ref="B38" si="8">"y'(" &amp; D38 &amp; ")"</f>
        <v>y'(3)</v>
      </c>
      <c r="C38" s="45">
        <v>0</v>
      </c>
      <c r="D38" s="45">
        <f t="shared" si="3"/>
        <v>3</v>
      </c>
      <c r="F38" s="70"/>
      <c r="G38" s="78"/>
      <c r="H38" s="71"/>
      <c r="I38" s="71"/>
      <c r="J38" s="71"/>
      <c r="K38" s="71"/>
      <c r="L38" s="71"/>
      <c r="M38" s="71"/>
      <c r="N38" s="70">
        <f>3*time^2</f>
        <v>27</v>
      </c>
      <c r="O38" s="71">
        <f>2*time</f>
        <v>6</v>
      </c>
      <c r="P38" s="71">
        <f>time^0</f>
        <v>1</v>
      </c>
      <c r="Q38" s="71">
        <v>0</v>
      </c>
      <c r="R38" s="71">
        <f>-3*time^2</f>
        <v>-27</v>
      </c>
      <c r="S38" s="71">
        <f>-2*time</f>
        <v>-6</v>
      </c>
      <c r="T38" s="71">
        <f>-(time^0)</f>
        <v>-1</v>
      </c>
      <c r="U38" s="72">
        <v>0</v>
      </c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2"/>
      <c r="AM38" s="45" t="str">
        <f>"c_"&amp; time</f>
        <v>c_3</v>
      </c>
      <c r="AN38" s="69">
        <v>9.3559374411797319E-2</v>
      </c>
      <c r="AO38" s="45"/>
      <c r="AP38" s="45"/>
      <c r="AQ38" s="45"/>
    </row>
    <row r="39" spans="2:43" x14ac:dyDescent="0.2">
      <c r="B39" s="26" t="str">
        <f t="shared" ref="B39" si="9">"y''(" &amp; D39 &amp; ")"</f>
        <v>y''(3)</v>
      </c>
      <c r="C39" s="45">
        <v>0</v>
      </c>
      <c r="D39" s="45">
        <f t="shared" si="3"/>
        <v>3</v>
      </c>
      <c r="F39" s="70"/>
      <c r="G39" s="78"/>
      <c r="H39" s="71"/>
      <c r="I39" s="71"/>
      <c r="J39" s="71"/>
      <c r="K39" s="71"/>
      <c r="L39" s="71"/>
      <c r="M39" s="71"/>
      <c r="N39" s="73">
        <f>2*3*time^1</f>
        <v>18</v>
      </c>
      <c r="O39" s="74">
        <f>2*time^0</f>
        <v>2</v>
      </c>
      <c r="P39" s="74">
        <v>0</v>
      </c>
      <c r="Q39" s="74">
        <v>0</v>
      </c>
      <c r="R39" s="74">
        <f>-2*3*time^1</f>
        <v>-18</v>
      </c>
      <c r="S39" s="74">
        <f>-2*time^0</f>
        <v>-2</v>
      </c>
      <c r="T39" s="74">
        <v>0</v>
      </c>
      <c r="U39" s="75">
        <v>0</v>
      </c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2"/>
      <c r="AM39" s="45" t="str">
        <f>"d_"&amp; time</f>
        <v>d_3</v>
      </c>
      <c r="AN39" s="69">
        <v>-5.2637048743027472E-2</v>
      </c>
      <c r="AO39" s="45"/>
      <c r="AP39" s="45"/>
      <c r="AQ39" s="45"/>
    </row>
    <row r="40" spans="2:43" x14ac:dyDescent="0.2">
      <c r="B40" s="26" t="str">
        <f t="shared" si="6"/>
        <v>y(4)</v>
      </c>
      <c r="C40" s="45">
        <f t="shared" ref="C40:C41" si="10">VLOOKUP(D40,$B$12:$C$20,2,0)</f>
        <v>5.1500715240000002E-2</v>
      </c>
      <c r="D40" s="45">
        <f t="shared" si="3"/>
        <v>4</v>
      </c>
      <c r="F40" s="70"/>
      <c r="G40" s="78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65">
        <f>time^3</f>
        <v>64</v>
      </c>
      <c r="S40" s="66">
        <f>time^2</f>
        <v>16</v>
      </c>
      <c r="T40" s="66">
        <f>time^1</f>
        <v>4</v>
      </c>
      <c r="U40" s="66">
        <f>time^0</f>
        <v>1</v>
      </c>
      <c r="V40" s="66">
        <v>0</v>
      </c>
      <c r="W40" s="66">
        <v>0</v>
      </c>
      <c r="X40" s="66">
        <v>0</v>
      </c>
      <c r="Y40" s="67">
        <v>0</v>
      </c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2"/>
      <c r="AM40" s="45" t="str">
        <f>"a_"&amp; time</f>
        <v>a_4</v>
      </c>
      <c r="AN40" s="69">
        <v>-8.3645602147852454E-4</v>
      </c>
      <c r="AO40" s="45"/>
      <c r="AP40" s="45"/>
      <c r="AQ40" s="45"/>
    </row>
    <row r="41" spans="2:43" x14ac:dyDescent="0.2">
      <c r="B41" s="26" t="str">
        <f t="shared" si="6"/>
        <v>y(4)</v>
      </c>
      <c r="C41" s="45">
        <f t="shared" si="10"/>
        <v>5.1500715240000002E-2</v>
      </c>
      <c r="D41" s="45">
        <f t="shared" si="3"/>
        <v>4</v>
      </c>
      <c r="F41" s="70"/>
      <c r="G41" s="78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>
        <v>0</v>
      </c>
      <c r="S41" s="71">
        <v>0</v>
      </c>
      <c r="T41" s="71">
        <v>0</v>
      </c>
      <c r="U41" s="71">
        <v>0</v>
      </c>
      <c r="V41" s="71">
        <f>time^3</f>
        <v>64</v>
      </c>
      <c r="W41" s="71">
        <f>time^2</f>
        <v>16</v>
      </c>
      <c r="X41" s="71">
        <f>time^1</f>
        <v>4</v>
      </c>
      <c r="Y41" s="72">
        <f>time^0</f>
        <v>1</v>
      </c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2"/>
      <c r="AM41" s="45" t="str">
        <f>"b_"&amp; time</f>
        <v>b_4</v>
      </c>
      <c r="AN41" s="69">
        <v>9.8364344356520125E-3</v>
      </c>
      <c r="AO41" s="45"/>
      <c r="AP41" s="45"/>
      <c r="AQ41" s="45"/>
    </row>
    <row r="42" spans="2:43" s="26" customFormat="1" x14ac:dyDescent="0.2">
      <c r="B42" s="26" t="str">
        <f t="shared" ref="B42:B54" si="11">"y'(" &amp; D42 &amp; ")"</f>
        <v>y'(4)</v>
      </c>
      <c r="C42" s="45">
        <v>0</v>
      </c>
      <c r="D42" s="45">
        <f t="shared" si="3"/>
        <v>4</v>
      </c>
      <c r="E42" s="45"/>
      <c r="F42" s="70"/>
      <c r="G42" s="78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>
        <f>3*time^2</f>
        <v>48</v>
      </c>
      <c r="S42" s="71">
        <f>2*time</f>
        <v>8</v>
      </c>
      <c r="T42" s="71">
        <f>time^0</f>
        <v>1</v>
      </c>
      <c r="U42" s="71">
        <v>0</v>
      </c>
      <c r="V42" s="71">
        <f>-3*time^2</f>
        <v>-48</v>
      </c>
      <c r="W42" s="71">
        <f>-2*time</f>
        <v>-8</v>
      </c>
      <c r="X42" s="71">
        <f>-(time^0)</f>
        <v>-1</v>
      </c>
      <c r="Y42" s="72">
        <v>0</v>
      </c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9"/>
      <c r="AM42" s="45" t="str">
        <f>"c_"&amp; time</f>
        <v>c_4</v>
      </c>
      <c r="AN42" s="69">
        <v>-3.109045867485917E-2</v>
      </c>
    </row>
    <row r="43" spans="2:43" x14ac:dyDescent="0.2">
      <c r="B43" s="26" t="str">
        <f t="shared" ref="B43:B59" si="12">"y''(" &amp; D43 &amp; ")"</f>
        <v>y''(4)</v>
      </c>
      <c r="C43" s="45">
        <v>0</v>
      </c>
      <c r="D43" s="45">
        <f t="shared" si="3"/>
        <v>4</v>
      </c>
      <c r="F43" s="70"/>
      <c r="G43" s="78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3">
        <f>2*3*time^1</f>
        <v>24</v>
      </c>
      <c r="S43" s="74">
        <f>2*time^0</f>
        <v>2</v>
      </c>
      <c r="T43" s="74">
        <v>0</v>
      </c>
      <c r="U43" s="74">
        <v>0</v>
      </c>
      <c r="V43" s="74">
        <f>-2*3*time^1</f>
        <v>-24</v>
      </c>
      <c r="W43" s="74">
        <f>-2*time^0</f>
        <v>-2</v>
      </c>
      <c r="X43" s="74">
        <v>0</v>
      </c>
      <c r="Y43" s="75">
        <v>0</v>
      </c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2"/>
      <c r="AM43" s="45" t="str">
        <f>"d_"&amp; time</f>
        <v>d_4</v>
      </c>
      <c r="AN43" s="69">
        <v>7.2012784343629788E-2</v>
      </c>
      <c r="AO43" s="45"/>
      <c r="AP43" s="45"/>
      <c r="AQ43" s="45"/>
    </row>
    <row r="44" spans="2:43" x14ac:dyDescent="0.2">
      <c r="B44" s="26" t="str">
        <f t="shared" si="6"/>
        <v>y(5)</v>
      </c>
      <c r="C44" s="45">
        <f t="shared" ref="C44:C58" si="13">VLOOKUP(D44,$B$12:$C$20,2,0)</f>
        <v>5.8316424819999997E-2</v>
      </c>
      <c r="D44" s="45">
        <f t="shared" si="3"/>
        <v>5</v>
      </c>
      <c r="F44" s="70"/>
      <c r="G44" s="78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65">
        <f>time^3</f>
        <v>125</v>
      </c>
      <c r="W44" s="66">
        <f>time^2</f>
        <v>25</v>
      </c>
      <c r="X44" s="66">
        <f>time^1</f>
        <v>5</v>
      </c>
      <c r="Y44" s="66">
        <f>time^0</f>
        <v>1</v>
      </c>
      <c r="Z44" s="66">
        <v>0</v>
      </c>
      <c r="AA44" s="66">
        <v>0</v>
      </c>
      <c r="AB44" s="66">
        <v>0</v>
      </c>
      <c r="AC44" s="67">
        <v>0</v>
      </c>
      <c r="AD44" s="71"/>
      <c r="AE44" s="71"/>
      <c r="AF44" s="71"/>
      <c r="AG44" s="71"/>
      <c r="AH44" s="71"/>
      <c r="AI44" s="63"/>
      <c r="AJ44" s="71"/>
      <c r="AK44" s="72"/>
      <c r="AM44" s="45" t="str">
        <f>"a_"&amp; time</f>
        <v>a_5</v>
      </c>
      <c r="AN44" s="69">
        <v>-4.3438037729781614E-4</v>
      </c>
      <c r="AO44" s="45"/>
      <c r="AP44" s="45"/>
      <c r="AQ44" s="45"/>
    </row>
    <row r="45" spans="2:43" x14ac:dyDescent="0.2">
      <c r="B45" s="26" t="str">
        <f t="shared" si="6"/>
        <v>y(5)</v>
      </c>
      <c r="C45" s="45">
        <f t="shared" si="13"/>
        <v>5.8316424819999997E-2</v>
      </c>
      <c r="D45" s="45">
        <f t="shared" si="3"/>
        <v>5</v>
      </c>
      <c r="F45" s="70"/>
      <c r="G45" s="78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0">
        <v>0</v>
      </c>
      <c r="W45" s="71">
        <v>0</v>
      </c>
      <c r="X45" s="71">
        <v>0</v>
      </c>
      <c r="Y45" s="71">
        <v>0</v>
      </c>
      <c r="Z45" s="71">
        <f>time^3</f>
        <v>125</v>
      </c>
      <c r="AA45" s="71">
        <f>time^2</f>
        <v>25</v>
      </c>
      <c r="AB45" s="71">
        <f>time^1</f>
        <v>5</v>
      </c>
      <c r="AC45" s="72">
        <f>time^0</f>
        <v>1</v>
      </c>
      <c r="AD45" s="71"/>
      <c r="AE45" s="71"/>
      <c r="AF45" s="71"/>
      <c r="AG45" s="71"/>
      <c r="AH45" s="71"/>
      <c r="AI45" s="63"/>
      <c r="AJ45" s="71"/>
      <c r="AK45" s="72"/>
      <c r="AM45" s="45" t="str">
        <f>"b_"&amp; time</f>
        <v>b_5</v>
      </c>
      <c r="AN45" s="69">
        <v>5.0115267054838229E-3</v>
      </c>
      <c r="AO45" s="45"/>
      <c r="AP45" s="45"/>
      <c r="AQ45" s="45"/>
    </row>
    <row r="46" spans="2:43" x14ac:dyDescent="0.2">
      <c r="B46" s="26" t="str">
        <f t="shared" si="11"/>
        <v>y'(5)</v>
      </c>
      <c r="C46" s="45">
        <v>0</v>
      </c>
      <c r="D46" s="45">
        <f t="shared" si="3"/>
        <v>5</v>
      </c>
      <c r="F46" s="70"/>
      <c r="G46" s="78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0">
        <f>3*time^2</f>
        <v>75</v>
      </c>
      <c r="W46" s="71">
        <f>2*time</f>
        <v>10</v>
      </c>
      <c r="X46" s="71">
        <f>time^0</f>
        <v>1</v>
      </c>
      <c r="Y46" s="71">
        <v>0</v>
      </c>
      <c r="Z46" s="71">
        <f>-3*time^2</f>
        <v>-75</v>
      </c>
      <c r="AA46" s="71">
        <f>-2*time</f>
        <v>-10</v>
      </c>
      <c r="AB46" s="71">
        <f>-(time^0)</f>
        <v>-1</v>
      </c>
      <c r="AC46" s="72">
        <v>0</v>
      </c>
      <c r="AD46" s="71"/>
      <c r="AE46" s="71"/>
      <c r="AF46" s="71"/>
      <c r="AG46" s="71"/>
      <c r="AH46" s="71"/>
      <c r="AI46" s="63"/>
      <c r="AJ46" s="71"/>
      <c r="AK46" s="72"/>
      <c r="AM46" s="45" t="str">
        <f>"c_"&amp; time</f>
        <v>c_5</v>
      </c>
      <c r="AN46" s="69">
        <v>-1.1790827754186996E-2</v>
      </c>
      <c r="AO46" s="45"/>
      <c r="AP46" s="45"/>
      <c r="AQ46" s="45"/>
    </row>
    <row r="47" spans="2:43" x14ac:dyDescent="0.2">
      <c r="B47" s="26" t="str">
        <f t="shared" si="12"/>
        <v>y''(5)</v>
      </c>
      <c r="C47" s="45">
        <v>0</v>
      </c>
      <c r="D47" s="45">
        <f t="shared" si="3"/>
        <v>5</v>
      </c>
      <c r="F47" s="70"/>
      <c r="G47" s="78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3">
        <f>2*3*time^1</f>
        <v>30</v>
      </c>
      <c r="W47" s="74">
        <f>2*time^0</f>
        <v>2</v>
      </c>
      <c r="X47" s="74">
        <v>0</v>
      </c>
      <c r="Y47" s="74">
        <v>0</v>
      </c>
      <c r="Z47" s="74">
        <f>-2*3*time^1</f>
        <v>-30</v>
      </c>
      <c r="AA47" s="74">
        <f>-2*time^0</f>
        <v>-2</v>
      </c>
      <c r="AB47" s="74">
        <v>0</v>
      </c>
      <c r="AC47" s="75">
        <v>0</v>
      </c>
      <c r="AD47" s="71"/>
      <c r="AE47" s="71"/>
      <c r="AF47" s="71"/>
      <c r="AG47" s="71"/>
      <c r="AH47" s="71"/>
      <c r="AI47" s="63"/>
      <c r="AJ47" s="71"/>
      <c r="AK47" s="72"/>
      <c r="AM47" s="45" t="str">
        <f>"d_"&amp; time</f>
        <v>d_5</v>
      </c>
      <c r="AN47" s="69">
        <v>4.6279943116066397E-2</v>
      </c>
      <c r="AO47" s="45"/>
      <c r="AP47" s="45"/>
      <c r="AQ47" s="45"/>
    </row>
    <row r="48" spans="2:43" x14ac:dyDescent="0.2">
      <c r="B48" s="26" t="str">
        <f t="shared" si="6"/>
        <v>y(7)</v>
      </c>
      <c r="C48" s="45">
        <f t="shared" ref="C48:C49" si="14">VLOOKUP(D48,$B$12:$C$20,2,0)</f>
        <v>6.51321344E-2</v>
      </c>
      <c r="D48" s="45">
        <v>7</v>
      </c>
      <c r="F48" s="70"/>
      <c r="G48" s="78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65">
        <f>time^3</f>
        <v>343</v>
      </c>
      <c r="AA48" s="66">
        <f>time^2</f>
        <v>49</v>
      </c>
      <c r="AB48" s="66">
        <f>time^1</f>
        <v>7</v>
      </c>
      <c r="AC48" s="66">
        <f>time^0</f>
        <v>1</v>
      </c>
      <c r="AD48" s="66">
        <v>0</v>
      </c>
      <c r="AE48" s="66">
        <v>0</v>
      </c>
      <c r="AF48" s="66">
        <v>0</v>
      </c>
      <c r="AG48" s="67">
        <v>0</v>
      </c>
      <c r="AH48" s="71"/>
      <c r="AI48" s="63"/>
      <c r="AJ48" s="71"/>
      <c r="AK48" s="72"/>
      <c r="AM48" s="45" t="str">
        <f>"a_"&amp; time</f>
        <v>a_7</v>
      </c>
      <c r="AN48" s="69">
        <v>1.67575423663407E-4</v>
      </c>
      <c r="AO48" s="45"/>
      <c r="AP48" s="45"/>
      <c r="AQ48" s="45"/>
    </row>
    <row r="49" spans="2:40" s="45" customFormat="1" x14ac:dyDescent="0.2">
      <c r="B49" s="26" t="str">
        <f t="shared" si="6"/>
        <v>y(7)</v>
      </c>
      <c r="C49" s="45">
        <f t="shared" si="14"/>
        <v>6.51321344E-2</v>
      </c>
      <c r="D49" s="45">
        <v>7</v>
      </c>
      <c r="F49" s="70"/>
      <c r="G49" s="78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0">
        <v>0</v>
      </c>
      <c r="AA49" s="71">
        <v>0</v>
      </c>
      <c r="AB49" s="71">
        <v>0</v>
      </c>
      <c r="AC49" s="71">
        <v>0</v>
      </c>
      <c r="AD49" s="71">
        <f>time^3</f>
        <v>343</v>
      </c>
      <c r="AE49" s="71">
        <f>time^2</f>
        <v>49</v>
      </c>
      <c r="AF49" s="71">
        <f>time^1</f>
        <v>7</v>
      </c>
      <c r="AG49" s="72">
        <f>time^0</f>
        <v>1</v>
      </c>
      <c r="AH49" s="71"/>
      <c r="AI49" s="63"/>
      <c r="AJ49" s="71"/>
      <c r="AK49" s="72"/>
      <c r="AM49" s="45" t="str">
        <f>"b_"&amp; time</f>
        <v>b_7</v>
      </c>
      <c r="AN49" s="69">
        <v>-4.0178103089348847E-3</v>
      </c>
    </row>
    <row r="50" spans="2:40" s="45" customFormat="1" x14ac:dyDescent="0.2">
      <c r="B50" s="26" t="str">
        <f t="shared" si="11"/>
        <v>y'(7)</v>
      </c>
      <c r="C50" s="45">
        <v>0</v>
      </c>
      <c r="D50" s="45">
        <v>7</v>
      </c>
      <c r="F50" s="70"/>
      <c r="G50" s="78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0">
        <f>3*time^2</f>
        <v>147</v>
      </c>
      <c r="AA50" s="71">
        <f>2*time</f>
        <v>14</v>
      </c>
      <c r="AB50" s="71">
        <f>time^0</f>
        <v>1</v>
      </c>
      <c r="AC50" s="71">
        <v>0</v>
      </c>
      <c r="AD50" s="71">
        <f>-3*time^2</f>
        <v>-147</v>
      </c>
      <c r="AE50" s="71">
        <f>-2*time</f>
        <v>-14</v>
      </c>
      <c r="AF50" s="71">
        <f>-(time^0)</f>
        <v>-1</v>
      </c>
      <c r="AG50" s="72">
        <v>0</v>
      </c>
      <c r="AH50" s="71"/>
      <c r="AI50" s="63"/>
      <c r="AJ50" s="71"/>
      <c r="AK50" s="72"/>
      <c r="AM50" s="45" t="str">
        <f>"c_"&amp; time</f>
        <v>c_7</v>
      </c>
      <c r="AN50" s="69">
        <v>3.3355857317907869E-2</v>
      </c>
    </row>
    <row r="51" spans="2:40" s="45" customFormat="1" x14ac:dyDescent="0.2">
      <c r="B51" s="26" t="str">
        <f t="shared" si="12"/>
        <v>y''(7)</v>
      </c>
      <c r="C51" s="45">
        <v>0</v>
      </c>
      <c r="D51" s="45">
        <v>7</v>
      </c>
      <c r="F51" s="70"/>
      <c r="G51" s="78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3">
        <f>2*3*time^1</f>
        <v>42</v>
      </c>
      <c r="AA51" s="74">
        <f>2*time^0</f>
        <v>2</v>
      </c>
      <c r="AB51" s="74">
        <v>0</v>
      </c>
      <c r="AC51" s="74">
        <v>0</v>
      </c>
      <c r="AD51" s="74">
        <f>-2*3*time^1</f>
        <v>-42</v>
      </c>
      <c r="AE51" s="74">
        <f>-2*time^0</f>
        <v>-2</v>
      </c>
      <c r="AF51" s="74">
        <v>0</v>
      </c>
      <c r="AG51" s="75">
        <v>0</v>
      </c>
      <c r="AH51" s="71"/>
      <c r="AI51" s="63"/>
      <c r="AJ51" s="71"/>
      <c r="AK51" s="72"/>
      <c r="AM51" s="45" t="str">
        <f>"d_"&amp; time</f>
        <v>d_7</v>
      </c>
      <c r="AN51" s="69">
        <v>-2.8964532004091593E-2</v>
      </c>
    </row>
    <row r="52" spans="2:40" s="45" customFormat="1" x14ac:dyDescent="0.2">
      <c r="B52" s="26" t="str">
        <f t="shared" si="6"/>
        <v>y(10)</v>
      </c>
      <c r="C52" s="45">
        <f t="shared" ref="C52:C53" si="15">VLOOKUP(D52,$B$12:$C$20,2,0)</f>
        <v>6.7430707199999995E-2</v>
      </c>
      <c r="D52" s="45">
        <v>10</v>
      </c>
      <c r="F52" s="70"/>
      <c r="G52" s="78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65">
        <f>time^3</f>
        <v>1000</v>
      </c>
      <c r="AE52" s="66">
        <f>time^2</f>
        <v>100</v>
      </c>
      <c r="AF52" s="66">
        <f>time^1</f>
        <v>10</v>
      </c>
      <c r="AG52" s="66">
        <f>time^0</f>
        <v>1</v>
      </c>
      <c r="AH52" s="66">
        <v>0</v>
      </c>
      <c r="AI52" s="66">
        <v>0</v>
      </c>
      <c r="AJ52" s="66">
        <v>0</v>
      </c>
      <c r="AK52" s="67">
        <v>0</v>
      </c>
      <c r="AM52" s="45" t="str">
        <f>"a_"&amp; time</f>
        <v>a_10</v>
      </c>
      <c r="AN52" s="69">
        <v>5.8029988667057242E-5</v>
      </c>
    </row>
    <row r="53" spans="2:40" s="45" customFormat="1" x14ac:dyDescent="0.2">
      <c r="B53" s="26" t="str">
        <f t="shared" si="6"/>
        <v>y(10)</v>
      </c>
      <c r="C53" s="45">
        <f t="shared" si="15"/>
        <v>6.7430707199999995E-2</v>
      </c>
      <c r="D53" s="45">
        <v>10</v>
      </c>
      <c r="F53" s="70"/>
      <c r="G53" s="78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7"/>
      <c r="W53" s="77"/>
      <c r="X53" s="77"/>
      <c r="Y53" s="77"/>
      <c r="Z53" s="77"/>
      <c r="AA53" s="77"/>
      <c r="AB53" s="77"/>
      <c r="AC53" s="77"/>
      <c r="AD53" s="70">
        <v>0</v>
      </c>
      <c r="AE53" s="71">
        <v>0</v>
      </c>
      <c r="AF53" s="71">
        <v>0</v>
      </c>
      <c r="AG53" s="71">
        <v>0</v>
      </c>
      <c r="AH53" s="71">
        <f>time^3</f>
        <v>1000</v>
      </c>
      <c r="AI53" s="71">
        <f>time^2</f>
        <v>100</v>
      </c>
      <c r="AJ53" s="71">
        <f>time^1</f>
        <v>10</v>
      </c>
      <c r="AK53" s="72">
        <f>time^0</f>
        <v>1</v>
      </c>
      <c r="AM53" s="45" t="str">
        <f>"b_"&amp; time</f>
        <v>b_10</v>
      </c>
      <c r="AN53" s="69">
        <v>-1.7173561740115328E-3</v>
      </c>
    </row>
    <row r="54" spans="2:40" s="45" customFormat="1" x14ac:dyDescent="0.2">
      <c r="B54" s="26" t="str">
        <f t="shared" si="11"/>
        <v>y'(10)</v>
      </c>
      <c r="C54" s="45">
        <v>0</v>
      </c>
      <c r="D54" s="45">
        <v>10</v>
      </c>
      <c r="F54" s="70"/>
      <c r="G54" s="78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8"/>
      <c r="X54" s="71"/>
      <c r="Y54" s="71"/>
      <c r="Z54" s="71"/>
      <c r="AA54" s="71"/>
      <c r="AB54" s="71"/>
      <c r="AC54" s="71"/>
      <c r="AD54" s="70">
        <f>3*time^2</f>
        <v>300</v>
      </c>
      <c r="AE54" s="71">
        <f>2*time</f>
        <v>20</v>
      </c>
      <c r="AF54" s="71">
        <f>time^0</f>
        <v>1</v>
      </c>
      <c r="AG54" s="71">
        <v>0</v>
      </c>
      <c r="AH54" s="71">
        <f>-3*time^2</f>
        <v>-300</v>
      </c>
      <c r="AI54" s="71">
        <f>-2*time</f>
        <v>-20</v>
      </c>
      <c r="AJ54" s="71">
        <f>-(time^0)</f>
        <v>-1</v>
      </c>
      <c r="AK54" s="72">
        <v>0</v>
      </c>
      <c r="AM54" s="45" t="str">
        <f>"c_"&amp; time</f>
        <v>c_10</v>
      </c>
      <c r="AN54" s="69">
        <v>1.7252678373443606E-2</v>
      </c>
    </row>
    <row r="55" spans="2:40" s="45" customFormat="1" x14ac:dyDescent="0.2">
      <c r="B55" s="26" t="str">
        <f t="shared" si="12"/>
        <v>y''(10)</v>
      </c>
      <c r="C55" s="45">
        <v>0</v>
      </c>
      <c r="D55" s="45">
        <v>10</v>
      </c>
      <c r="F55" s="70"/>
      <c r="G55" s="78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8"/>
      <c r="X55" s="71"/>
      <c r="Y55" s="71"/>
      <c r="Z55" s="71"/>
      <c r="AA55" s="71"/>
      <c r="AB55" s="71"/>
      <c r="AC55" s="71"/>
      <c r="AD55" s="73">
        <f>2*3*time^1</f>
        <v>60</v>
      </c>
      <c r="AE55" s="74">
        <f>2*time^0</f>
        <v>2</v>
      </c>
      <c r="AF55" s="74">
        <v>0</v>
      </c>
      <c r="AG55" s="74">
        <v>0</v>
      </c>
      <c r="AH55" s="74">
        <f>-2*3*time^1</f>
        <v>-60</v>
      </c>
      <c r="AI55" s="74">
        <f>-2*time^0</f>
        <v>-2</v>
      </c>
      <c r="AJ55" s="74">
        <v>0</v>
      </c>
      <c r="AK55" s="75">
        <v>0</v>
      </c>
      <c r="AM55" s="45" t="str">
        <f>"d_"&amp; time</f>
        <v>d_10</v>
      </c>
      <c r="AN55" s="69">
        <v>8.6095521996589208E-3</v>
      </c>
    </row>
    <row r="56" spans="2:40" s="45" customFormat="1" x14ac:dyDescent="0.2">
      <c r="B56" s="26" t="str">
        <f t="shared" ref="B56" si="16">"y(" &amp; D56 &amp; ")"</f>
        <v>y(0)</v>
      </c>
      <c r="C56" s="45">
        <f t="shared" si="13"/>
        <v>0</v>
      </c>
      <c r="D56" s="45">
        <v>0</v>
      </c>
      <c r="F56" s="80">
        <f>time^3</f>
        <v>0</v>
      </c>
      <c r="G56" s="81">
        <f>time^2</f>
        <v>0</v>
      </c>
      <c r="H56" s="81">
        <f>time^1</f>
        <v>0</v>
      </c>
      <c r="I56" s="82">
        <v>1</v>
      </c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8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2"/>
      <c r="AM56" s="45" t="s">
        <v>197</v>
      </c>
      <c r="AN56" s="69">
        <v>-3.9239143333689845E-7</v>
      </c>
    </row>
    <row r="57" spans="2:40" s="45" customFormat="1" x14ac:dyDescent="0.2">
      <c r="B57" s="26" t="str">
        <f t="shared" si="12"/>
        <v>y''(0)</v>
      </c>
      <c r="C57" s="45">
        <v>0</v>
      </c>
      <c r="D57" s="45">
        <v>0</v>
      </c>
      <c r="F57" s="80">
        <f>2*3*time^1</f>
        <v>0</v>
      </c>
      <c r="G57" s="81">
        <f>2*1</f>
        <v>2</v>
      </c>
      <c r="H57" s="81">
        <v>0</v>
      </c>
      <c r="I57" s="82">
        <v>0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8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63"/>
      <c r="AJ57" s="71"/>
      <c r="AK57" s="72"/>
      <c r="AM57" s="45" t="s">
        <v>198</v>
      </c>
      <c r="AN57" s="69">
        <v>3.5315229000323055E-5</v>
      </c>
    </row>
    <row r="58" spans="2:40" s="45" customFormat="1" x14ac:dyDescent="0.2">
      <c r="B58" s="26" t="str">
        <f t="shared" ref="B58" si="17">"y(" &amp; D58 &amp; ")"</f>
        <v>y(30)</v>
      </c>
      <c r="C58" s="45">
        <f t="shared" si="13"/>
        <v>0.08</v>
      </c>
      <c r="D58" s="45">
        <v>30</v>
      </c>
      <c r="F58" s="70"/>
      <c r="G58" s="78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8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80">
        <f>time^3</f>
        <v>27000</v>
      </c>
      <c r="AI58" s="81">
        <f>time^2</f>
        <v>900</v>
      </c>
      <c r="AJ58" s="81">
        <f>time^1</f>
        <v>30</v>
      </c>
      <c r="AK58" s="82">
        <f>time^0</f>
        <v>1</v>
      </c>
      <c r="AM58" s="45" t="str">
        <f>"c_"&amp; time</f>
        <v>c_30</v>
      </c>
      <c r="AN58" s="69">
        <v>-2.7403565667492077E-4</v>
      </c>
    </row>
    <row r="59" spans="2:40" s="45" customFormat="1" x14ac:dyDescent="0.2">
      <c r="B59" s="26" t="str">
        <f t="shared" si="12"/>
        <v>y''(30)</v>
      </c>
      <c r="C59" s="45">
        <v>0</v>
      </c>
      <c r="D59" s="45">
        <v>30</v>
      </c>
      <c r="F59" s="73"/>
      <c r="G59" s="83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83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80">
        <f>2*3*time^1</f>
        <v>180</v>
      </c>
      <c r="AI59" s="81">
        <f>2*time^0</f>
        <v>2</v>
      </c>
      <c r="AJ59" s="81">
        <v>0</v>
      </c>
      <c r="AK59" s="82">
        <v>0</v>
      </c>
      <c r="AM59" s="45" t="str">
        <f>"d_"&amp; time</f>
        <v>d_30</v>
      </c>
      <c r="AN59" s="69">
        <v>6.7031932300053887E-2</v>
      </c>
    </row>
    <row r="60" spans="2:40" s="45" customFormat="1" x14ac:dyDescent="0.2">
      <c r="G60" s="84"/>
    </row>
    <row r="61" spans="2:40" s="45" customFormat="1" x14ac:dyDescent="0.2">
      <c r="G61" s="84"/>
    </row>
    <row r="62" spans="2:40" s="45" customFormat="1" x14ac:dyDescent="0.2">
      <c r="G62" s="84"/>
    </row>
    <row r="63" spans="2:40" s="45" customFormat="1" x14ac:dyDescent="0.2">
      <c r="G63" s="84"/>
    </row>
    <row r="64" spans="2:40" s="45" customFormat="1" x14ac:dyDescent="0.2">
      <c r="G64" s="84"/>
    </row>
    <row r="65" spans="6:37" s="45" customFormat="1" x14ac:dyDescent="0.2">
      <c r="F65" s="71">
        <f>IF(ISBLANK(F28),0,F28)</f>
        <v>1</v>
      </c>
      <c r="G65" s="71">
        <f t="shared" ref="G65:AK65" si="18">IF(ISBLANK(G28),0,G28)</f>
        <v>1</v>
      </c>
      <c r="H65" s="71">
        <f t="shared" si="18"/>
        <v>1</v>
      </c>
      <c r="I65" s="71">
        <f t="shared" si="18"/>
        <v>1</v>
      </c>
      <c r="J65" s="71">
        <f t="shared" si="18"/>
        <v>0</v>
      </c>
      <c r="K65" s="71">
        <f t="shared" si="18"/>
        <v>0</v>
      </c>
      <c r="L65" s="71">
        <f t="shared" si="18"/>
        <v>0</v>
      </c>
      <c r="M65" s="71">
        <f t="shared" si="18"/>
        <v>0</v>
      </c>
      <c r="N65" s="71">
        <f t="shared" si="18"/>
        <v>0</v>
      </c>
      <c r="O65" s="71">
        <f t="shared" si="18"/>
        <v>0</v>
      </c>
      <c r="P65" s="71">
        <f t="shared" si="18"/>
        <v>0</v>
      </c>
      <c r="Q65" s="71">
        <f t="shared" si="18"/>
        <v>0</v>
      </c>
      <c r="R65" s="71">
        <f t="shared" si="18"/>
        <v>0</v>
      </c>
      <c r="S65" s="71">
        <f t="shared" si="18"/>
        <v>0</v>
      </c>
      <c r="T65" s="71">
        <f t="shared" si="18"/>
        <v>0</v>
      </c>
      <c r="U65" s="71">
        <f t="shared" si="18"/>
        <v>0</v>
      </c>
      <c r="V65" s="71">
        <f t="shared" si="18"/>
        <v>0</v>
      </c>
      <c r="W65" s="71">
        <f t="shared" si="18"/>
        <v>0</v>
      </c>
      <c r="X65" s="71">
        <f t="shared" si="18"/>
        <v>0</v>
      </c>
      <c r="Y65" s="71">
        <f t="shared" si="18"/>
        <v>0</v>
      </c>
      <c r="Z65" s="71">
        <f t="shared" si="18"/>
        <v>0</v>
      </c>
      <c r="AA65" s="71">
        <f t="shared" si="18"/>
        <v>0</v>
      </c>
      <c r="AB65" s="71">
        <f t="shared" si="18"/>
        <v>0</v>
      </c>
      <c r="AC65" s="71">
        <f t="shared" si="18"/>
        <v>0</v>
      </c>
      <c r="AD65" s="71">
        <f t="shared" si="18"/>
        <v>0</v>
      </c>
      <c r="AE65" s="71">
        <f t="shared" si="18"/>
        <v>0</v>
      </c>
      <c r="AF65" s="71">
        <f t="shared" si="18"/>
        <v>0</v>
      </c>
      <c r="AG65" s="71">
        <f t="shared" si="18"/>
        <v>0</v>
      </c>
      <c r="AH65" s="71">
        <f t="shared" si="18"/>
        <v>0</v>
      </c>
      <c r="AI65" s="71">
        <f t="shared" si="18"/>
        <v>0</v>
      </c>
      <c r="AJ65" s="71">
        <f t="shared" si="18"/>
        <v>0</v>
      </c>
      <c r="AK65" s="71">
        <f t="shared" si="18"/>
        <v>0</v>
      </c>
    </row>
    <row r="66" spans="6:37" s="45" customFormat="1" x14ac:dyDescent="0.2">
      <c r="F66" s="71">
        <f t="shared" ref="F66:AK73" si="19">IF(ISBLANK(F29),0,F29)</f>
        <v>0</v>
      </c>
      <c r="G66" s="71">
        <f t="shared" si="19"/>
        <v>0</v>
      </c>
      <c r="H66" s="71">
        <f t="shared" si="19"/>
        <v>0</v>
      </c>
      <c r="I66" s="71">
        <f t="shared" si="19"/>
        <v>0</v>
      </c>
      <c r="J66" s="71">
        <f t="shared" si="19"/>
        <v>1</v>
      </c>
      <c r="K66" s="71">
        <f t="shared" si="19"/>
        <v>1</v>
      </c>
      <c r="L66" s="71">
        <f t="shared" si="19"/>
        <v>1</v>
      </c>
      <c r="M66" s="71">
        <f t="shared" si="19"/>
        <v>1</v>
      </c>
      <c r="N66" s="71">
        <f t="shared" si="19"/>
        <v>0</v>
      </c>
      <c r="O66" s="71">
        <f t="shared" si="19"/>
        <v>0</v>
      </c>
      <c r="P66" s="71">
        <f t="shared" si="19"/>
        <v>0</v>
      </c>
      <c r="Q66" s="71">
        <f t="shared" si="19"/>
        <v>0</v>
      </c>
      <c r="R66" s="71">
        <f t="shared" si="19"/>
        <v>0</v>
      </c>
      <c r="S66" s="71">
        <f t="shared" si="19"/>
        <v>0</v>
      </c>
      <c r="T66" s="71">
        <f t="shared" si="19"/>
        <v>0</v>
      </c>
      <c r="U66" s="71">
        <f t="shared" si="19"/>
        <v>0</v>
      </c>
      <c r="V66" s="71">
        <f t="shared" si="19"/>
        <v>0</v>
      </c>
      <c r="W66" s="71">
        <f t="shared" si="19"/>
        <v>0</v>
      </c>
      <c r="X66" s="71">
        <f t="shared" si="19"/>
        <v>0</v>
      </c>
      <c r="Y66" s="71">
        <f t="shared" si="19"/>
        <v>0</v>
      </c>
      <c r="Z66" s="71">
        <f t="shared" si="19"/>
        <v>0</v>
      </c>
      <c r="AA66" s="71">
        <f t="shared" si="19"/>
        <v>0</v>
      </c>
      <c r="AB66" s="71">
        <f t="shared" si="19"/>
        <v>0</v>
      </c>
      <c r="AC66" s="71">
        <f t="shared" si="19"/>
        <v>0</v>
      </c>
      <c r="AD66" s="71">
        <f t="shared" si="19"/>
        <v>0</v>
      </c>
      <c r="AE66" s="71">
        <f t="shared" si="19"/>
        <v>0</v>
      </c>
      <c r="AF66" s="71">
        <f t="shared" si="19"/>
        <v>0</v>
      </c>
      <c r="AG66" s="71">
        <f t="shared" si="19"/>
        <v>0</v>
      </c>
      <c r="AH66" s="71">
        <f t="shared" si="19"/>
        <v>0</v>
      </c>
      <c r="AI66" s="71">
        <f t="shared" si="19"/>
        <v>0</v>
      </c>
      <c r="AJ66" s="71">
        <f t="shared" si="19"/>
        <v>0</v>
      </c>
      <c r="AK66" s="71">
        <f t="shared" si="19"/>
        <v>0</v>
      </c>
    </row>
    <row r="67" spans="6:37" s="45" customFormat="1" x14ac:dyDescent="0.2">
      <c r="F67" s="71">
        <f t="shared" si="19"/>
        <v>3</v>
      </c>
      <c r="G67" s="71">
        <f t="shared" si="19"/>
        <v>2</v>
      </c>
      <c r="H67" s="71">
        <f t="shared" si="19"/>
        <v>1</v>
      </c>
      <c r="I67" s="71">
        <f t="shared" si="19"/>
        <v>0</v>
      </c>
      <c r="J67" s="71">
        <f t="shared" si="19"/>
        <v>-3</v>
      </c>
      <c r="K67" s="71">
        <f t="shared" si="19"/>
        <v>-2</v>
      </c>
      <c r="L67" s="71">
        <f t="shared" si="19"/>
        <v>-1</v>
      </c>
      <c r="M67" s="71">
        <f t="shared" si="19"/>
        <v>0</v>
      </c>
      <c r="N67" s="71">
        <f t="shared" si="19"/>
        <v>0</v>
      </c>
      <c r="O67" s="71">
        <f t="shared" si="19"/>
        <v>0</v>
      </c>
      <c r="P67" s="71">
        <f t="shared" si="19"/>
        <v>0</v>
      </c>
      <c r="Q67" s="71">
        <f t="shared" si="19"/>
        <v>0</v>
      </c>
      <c r="R67" s="71">
        <f t="shared" si="19"/>
        <v>0</v>
      </c>
      <c r="S67" s="71">
        <f t="shared" si="19"/>
        <v>0</v>
      </c>
      <c r="T67" s="71">
        <f t="shared" si="19"/>
        <v>0</v>
      </c>
      <c r="U67" s="71">
        <f t="shared" si="19"/>
        <v>0</v>
      </c>
      <c r="V67" s="71">
        <f t="shared" si="19"/>
        <v>0</v>
      </c>
      <c r="W67" s="71">
        <f t="shared" si="19"/>
        <v>0</v>
      </c>
      <c r="X67" s="71">
        <f t="shared" si="19"/>
        <v>0</v>
      </c>
      <c r="Y67" s="71">
        <f t="shared" si="19"/>
        <v>0</v>
      </c>
      <c r="Z67" s="71">
        <f t="shared" si="19"/>
        <v>0</v>
      </c>
      <c r="AA67" s="71">
        <f t="shared" si="19"/>
        <v>0</v>
      </c>
      <c r="AB67" s="71">
        <f t="shared" si="19"/>
        <v>0</v>
      </c>
      <c r="AC67" s="71">
        <f t="shared" si="19"/>
        <v>0</v>
      </c>
      <c r="AD67" s="71">
        <f t="shared" si="19"/>
        <v>0</v>
      </c>
      <c r="AE67" s="71">
        <f t="shared" si="19"/>
        <v>0</v>
      </c>
      <c r="AF67" s="71">
        <f t="shared" si="19"/>
        <v>0</v>
      </c>
      <c r="AG67" s="71">
        <f t="shared" si="19"/>
        <v>0</v>
      </c>
      <c r="AH67" s="71">
        <f t="shared" si="19"/>
        <v>0</v>
      </c>
      <c r="AI67" s="71">
        <f t="shared" si="19"/>
        <v>0</v>
      </c>
      <c r="AJ67" s="71">
        <f t="shared" si="19"/>
        <v>0</v>
      </c>
      <c r="AK67" s="71">
        <f t="shared" si="19"/>
        <v>0</v>
      </c>
    </row>
    <row r="68" spans="6:37" s="45" customFormat="1" x14ac:dyDescent="0.2">
      <c r="F68" s="71">
        <f t="shared" si="19"/>
        <v>6</v>
      </c>
      <c r="G68" s="71">
        <f t="shared" si="19"/>
        <v>2</v>
      </c>
      <c r="H68" s="71">
        <f t="shared" si="19"/>
        <v>0</v>
      </c>
      <c r="I68" s="71">
        <f t="shared" si="19"/>
        <v>0</v>
      </c>
      <c r="J68" s="71">
        <f t="shared" si="19"/>
        <v>-6</v>
      </c>
      <c r="K68" s="71">
        <f t="shared" si="19"/>
        <v>-2</v>
      </c>
      <c r="L68" s="71">
        <f t="shared" si="19"/>
        <v>0</v>
      </c>
      <c r="M68" s="71">
        <f t="shared" si="19"/>
        <v>0</v>
      </c>
      <c r="N68" s="71">
        <f t="shared" si="19"/>
        <v>0</v>
      </c>
      <c r="O68" s="71">
        <f t="shared" si="19"/>
        <v>0</v>
      </c>
      <c r="P68" s="71">
        <f t="shared" si="19"/>
        <v>0</v>
      </c>
      <c r="Q68" s="71">
        <f t="shared" si="19"/>
        <v>0</v>
      </c>
      <c r="R68" s="71">
        <f t="shared" si="19"/>
        <v>0</v>
      </c>
      <c r="S68" s="71">
        <f t="shared" si="19"/>
        <v>0</v>
      </c>
      <c r="T68" s="71">
        <f t="shared" si="19"/>
        <v>0</v>
      </c>
      <c r="U68" s="71">
        <f t="shared" si="19"/>
        <v>0</v>
      </c>
      <c r="V68" s="71">
        <f t="shared" si="19"/>
        <v>0</v>
      </c>
      <c r="W68" s="71">
        <f t="shared" si="19"/>
        <v>0</v>
      </c>
      <c r="X68" s="71">
        <f t="shared" si="19"/>
        <v>0</v>
      </c>
      <c r="Y68" s="71">
        <f t="shared" si="19"/>
        <v>0</v>
      </c>
      <c r="Z68" s="71">
        <f t="shared" si="19"/>
        <v>0</v>
      </c>
      <c r="AA68" s="71">
        <f t="shared" si="19"/>
        <v>0</v>
      </c>
      <c r="AB68" s="71">
        <f t="shared" si="19"/>
        <v>0</v>
      </c>
      <c r="AC68" s="71">
        <f t="shared" si="19"/>
        <v>0</v>
      </c>
      <c r="AD68" s="71">
        <f t="shared" si="19"/>
        <v>0</v>
      </c>
      <c r="AE68" s="71">
        <f t="shared" si="19"/>
        <v>0</v>
      </c>
      <c r="AF68" s="71">
        <f t="shared" si="19"/>
        <v>0</v>
      </c>
      <c r="AG68" s="71">
        <f t="shared" si="19"/>
        <v>0</v>
      </c>
      <c r="AH68" s="71">
        <f t="shared" si="19"/>
        <v>0</v>
      </c>
      <c r="AI68" s="71">
        <f t="shared" si="19"/>
        <v>0</v>
      </c>
      <c r="AJ68" s="71">
        <f t="shared" si="19"/>
        <v>0</v>
      </c>
      <c r="AK68" s="71">
        <f t="shared" si="19"/>
        <v>0</v>
      </c>
    </row>
    <row r="69" spans="6:37" s="45" customFormat="1" x14ac:dyDescent="0.2">
      <c r="F69" s="71">
        <f t="shared" si="19"/>
        <v>0</v>
      </c>
      <c r="G69" s="71">
        <f t="shared" si="19"/>
        <v>0</v>
      </c>
      <c r="H69" s="71">
        <f t="shared" si="19"/>
        <v>0</v>
      </c>
      <c r="I69" s="71">
        <f t="shared" si="19"/>
        <v>0</v>
      </c>
      <c r="J69" s="71">
        <f t="shared" si="19"/>
        <v>8</v>
      </c>
      <c r="K69" s="71">
        <f t="shared" si="19"/>
        <v>4</v>
      </c>
      <c r="L69" s="71">
        <f t="shared" si="19"/>
        <v>2</v>
      </c>
      <c r="M69" s="71">
        <f t="shared" si="19"/>
        <v>1</v>
      </c>
      <c r="N69" s="71">
        <f t="shared" si="19"/>
        <v>0</v>
      </c>
      <c r="O69" s="71">
        <f t="shared" si="19"/>
        <v>0</v>
      </c>
      <c r="P69" s="71">
        <f t="shared" si="19"/>
        <v>0</v>
      </c>
      <c r="Q69" s="71">
        <f t="shared" si="19"/>
        <v>0</v>
      </c>
      <c r="R69" s="71">
        <f t="shared" si="19"/>
        <v>0</v>
      </c>
      <c r="S69" s="71">
        <f t="shared" si="19"/>
        <v>0</v>
      </c>
      <c r="T69" s="71">
        <f t="shared" si="19"/>
        <v>0</v>
      </c>
      <c r="U69" s="71">
        <f t="shared" si="19"/>
        <v>0</v>
      </c>
      <c r="V69" s="71">
        <f t="shared" si="19"/>
        <v>0</v>
      </c>
      <c r="W69" s="71">
        <f t="shared" si="19"/>
        <v>0</v>
      </c>
      <c r="X69" s="71">
        <f t="shared" si="19"/>
        <v>0</v>
      </c>
      <c r="Y69" s="71">
        <f t="shared" si="19"/>
        <v>0</v>
      </c>
      <c r="Z69" s="71">
        <f t="shared" si="19"/>
        <v>0</v>
      </c>
      <c r="AA69" s="71">
        <f t="shared" si="19"/>
        <v>0</v>
      </c>
      <c r="AB69" s="71">
        <f t="shared" si="19"/>
        <v>0</v>
      </c>
      <c r="AC69" s="71">
        <f t="shared" si="19"/>
        <v>0</v>
      </c>
      <c r="AD69" s="71">
        <f t="shared" si="19"/>
        <v>0</v>
      </c>
      <c r="AE69" s="71">
        <f t="shared" si="19"/>
        <v>0</v>
      </c>
      <c r="AF69" s="71">
        <f t="shared" si="19"/>
        <v>0</v>
      </c>
      <c r="AG69" s="71">
        <f t="shared" si="19"/>
        <v>0</v>
      </c>
      <c r="AH69" s="71">
        <f t="shared" si="19"/>
        <v>0</v>
      </c>
      <c r="AI69" s="71">
        <f t="shared" si="19"/>
        <v>0</v>
      </c>
      <c r="AJ69" s="71">
        <f t="shared" si="19"/>
        <v>0</v>
      </c>
      <c r="AK69" s="71">
        <f t="shared" si="19"/>
        <v>0</v>
      </c>
    </row>
    <row r="70" spans="6:37" s="45" customFormat="1" x14ac:dyDescent="0.2">
      <c r="F70" s="71">
        <f t="shared" si="19"/>
        <v>0</v>
      </c>
      <c r="G70" s="71">
        <f t="shared" si="19"/>
        <v>0</v>
      </c>
      <c r="H70" s="71">
        <f t="shared" si="19"/>
        <v>0</v>
      </c>
      <c r="I70" s="71">
        <f t="shared" si="19"/>
        <v>0</v>
      </c>
      <c r="J70" s="71">
        <f t="shared" si="19"/>
        <v>0</v>
      </c>
      <c r="K70" s="71">
        <f t="shared" si="19"/>
        <v>0</v>
      </c>
      <c r="L70" s="71">
        <f t="shared" si="19"/>
        <v>0</v>
      </c>
      <c r="M70" s="71">
        <f t="shared" si="19"/>
        <v>0</v>
      </c>
      <c r="N70" s="71">
        <f t="shared" si="19"/>
        <v>8</v>
      </c>
      <c r="O70" s="71">
        <f t="shared" si="19"/>
        <v>4</v>
      </c>
      <c r="P70" s="71">
        <f t="shared" si="19"/>
        <v>2</v>
      </c>
      <c r="Q70" s="71">
        <f t="shared" si="19"/>
        <v>1</v>
      </c>
      <c r="R70" s="71">
        <f t="shared" si="19"/>
        <v>0</v>
      </c>
      <c r="S70" s="71">
        <f t="shared" si="19"/>
        <v>0</v>
      </c>
      <c r="T70" s="71">
        <f t="shared" si="19"/>
        <v>0</v>
      </c>
      <c r="U70" s="71">
        <f t="shared" si="19"/>
        <v>0</v>
      </c>
      <c r="V70" s="71">
        <f t="shared" si="19"/>
        <v>0</v>
      </c>
      <c r="W70" s="71">
        <f t="shared" si="19"/>
        <v>0</v>
      </c>
      <c r="X70" s="71">
        <f t="shared" si="19"/>
        <v>0</v>
      </c>
      <c r="Y70" s="71">
        <f t="shared" si="19"/>
        <v>0</v>
      </c>
      <c r="Z70" s="71">
        <f t="shared" si="19"/>
        <v>0</v>
      </c>
      <c r="AA70" s="71">
        <f t="shared" si="19"/>
        <v>0</v>
      </c>
      <c r="AB70" s="71">
        <f t="shared" si="19"/>
        <v>0</v>
      </c>
      <c r="AC70" s="71">
        <f t="shared" si="19"/>
        <v>0</v>
      </c>
      <c r="AD70" s="71">
        <f t="shared" si="19"/>
        <v>0</v>
      </c>
      <c r="AE70" s="71">
        <f t="shared" si="19"/>
        <v>0</v>
      </c>
      <c r="AF70" s="71">
        <f t="shared" si="19"/>
        <v>0</v>
      </c>
      <c r="AG70" s="71">
        <f t="shared" si="19"/>
        <v>0</v>
      </c>
      <c r="AH70" s="71">
        <f t="shared" si="19"/>
        <v>0</v>
      </c>
      <c r="AI70" s="71">
        <f t="shared" si="19"/>
        <v>0</v>
      </c>
      <c r="AJ70" s="71">
        <f t="shared" si="19"/>
        <v>0</v>
      </c>
      <c r="AK70" s="71">
        <f t="shared" si="19"/>
        <v>0</v>
      </c>
    </row>
    <row r="71" spans="6:37" s="45" customFormat="1" x14ac:dyDescent="0.2">
      <c r="F71" s="71">
        <f t="shared" si="19"/>
        <v>0</v>
      </c>
      <c r="G71" s="71">
        <f t="shared" si="19"/>
        <v>0</v>
      </c>
      <c r="H71" s="71">
        <f t="shared" si="19"/>
        <v>0</v>
      </c>
      <c r="I71" s="71">
        <f t="shared" si="19"/>
        <v>0</v>
      </c>
      <c r="J71" s="71">
        <f t="shared" si="19"/>
        <v>12</v>
      </c>
      <c r="K71" s="71">
        <f t="shared" si="19"/>
        <v>4</v>
      </c>
      <c r="L71" s="71">
        <f t="shared" si="19"/>
        <v>1</v>
      </c>
      <c r="M71" s="71">
        <f t="shared" si="19"/>
        <v>0</v>
      </c>
      <c r="N71" s="71">
        <f t="shared" si="19"/>
        <v>-12</v>
      </c>
      <c r="O71" s="71">
        <f t="shared" si="19"/>
        <v>-4</v>
      </c>
      <c r="P71" s="71">
        <f t="shared" si="19"/>
        <v>-1</v>
      </c>
      <c r="Q71" s="71">
        <f t="shared" si="19"/>
        <v>0</v>
      </c>
      <c r="R71" s="71">
        <f t="shared" si="19"/>
        <v>0</v>
      </c>
      <c r="S71" s="71">
        <f t="shared" si="19"/>
        <v>0</v>
      </c>
      <c r="T71" s="71">
        <f t="shared" si="19"/>
        <v>0</v>
      </c>
      <c r="U71" s="71">
        <f t="shared" si="19"/>
        <v>0</v>
      </c>
      <c r="V71" s="71">
        <f t="shared" si="19"/>
        <v>0</v>
      </c>
      <c r="W71" s="71">
        <f t="shared" si="19"/>
        <v>0</v>
      </c>
      <c r="X71" s="71">
        <f t="shared" si="19"/>
        <v>0</v>
      </c>
      <c r="Y71" s="71">
        <f t="shared" si="19"/>
        <v>0</v>
      </c>
      <c r="Z71" s="71">
        <f t="shared" si="19"/>
        <v>0</v>
      </c>
      <c r="AA71" s="71">
        <f t="shared" si="19"/>
        <v>0</v>
      </c>
      <c r="AB71" s="71">
        <f t="shared" si="19"/>
        <v>0</v>
      </c>
      <c r="AC71" s="71">
        <f t="shared" si="19"/>
        <v>0</v>
      </c>
      <c r="AD71" s="71">
        <f t="shared" si="19"/>
        <v>0</v>
      </c>
      <c r="AE71" s="71">
        <f t="shared" si="19"/>
        <v>0</v>
      </c>
      <c r="AF71" s="71">
        <f t="shared" si="19"/>
        <v>0</v>
      </c>
      <c r="AG71" s="71">
        <f t="shared" si="19"/>
        <v>0</v>
      </c>
      <c r="AH71" s="71">
        <f t="shared" si="19"/>
        <v>0</v>
      </c>
      <c r="AI71" s="71">
        <f t="shared" si="19"/>
        <v>0</v>
      </c>
      <c r="AJ71" s="71">
        <f t="shared" si="19"/>
        <v>0</v>
      </c>
      <c r="AK71" s="71">
        <f t="shared" si="19"/>
        <v>0</v>
      </c>
    </row>
    <row r="72" spans="6:37" s="45" customFormat="1" x14ac:dyDescent="0.2">
      <c r="F72" s="71">
        <f t="shared" si="19"/>
        <v>0</v>
      </c>
      <c r="G72" s="71">
        <f t="shared" si="19"/>
        <v>0</v>
      </c>
      <c r="H72" s="71">
        <f t="shared" si="19"/>
        <v>0</v>
      </c>
      <c r="I72" s="71">
        <f t="shared" si="19"/>
        <v>0</v>
      </c>
      <c r="J72" s="71">
        <f t="shared" si="19"/>
        <v>12</v>
      </c>
      <c r="K72" s="71">
        <f t="shared" si="19"/>
        <v>2</v>
      </c>
      <c r="L72" s="71">
        <f t="shared" si="19"/>
        <v>0</v>
      </c>
      <c r="M72" s="71">
        <f t="shared" si="19"/>
        <v>0</v>
      </c>
      <c r="N72" s="71">
        <f t="shared" si="19"/>
        <v>-12</v>
      </c>
      <c r="O72" s="71">
        <f t="shared" si="19"/>
        <v>-2</v>
      </c>
      <c r="P72" s="71">
        <f t="shared" si="19"/>
        <v>0</v>
      </c>
      <c r="Q72" s="71">
        <f t="shared" si="19"/>
        <v>0</v>
      </c>
      <c r="R72" s="71">
        <f t="shared" si="19"/>
        <v>0</v>
      </c>
      <c r="S72" s="71">
        <f t="shared" si="19"/>
        <v>0</v>
      </c>
      <c r="T72" s="71">
        <f t="shared" si="19"/>
        <v>0</v>
      </c>
      <c r="U72" s="71">
        <f t="shared" si="19"/>
        <v>0</v>
      </c>
      <c r="V72" s="71">
        <f t="shared" si="19"/>
        <v>0</v>
      </c>
      <c r="W72" s="71">
        <f t="shared" si="19"/>
        <v>0</v>
      </c>
      <c r="X72" s="71">
        <f t="shared" si="19"/>
        <v>0</v>
      </c>
      <c r="Y72" s="71">
        <f t="shared" si="19"/>
        <v>0</v>
      </c>
      <c r="Z72" s="71">
        <f t="shared" si="19"/>
        <v>0</v>
      </c>
      <c r="AA72" s="71">
        <f t="shared" si="19"/>
        <v>0</v>
      </c>
      <c r="AB72" s="71">
        <f t="shared" si="19"/>
        <v>0</v>
      </c>
      <c r="AC72" s="71">
        <f t="shared" si="19"/>
        <v>0</v>
      </c>
      <c r="AD72" s="71">
        <f t="shared" si="19"/>
        <v>0</v>
      </c>
      <c r="AE72" s="71">
        <f t="shared" si="19"/>
        <v>0</v>
      </c>
      <c r="AF72" s="71">
        <f t="shared" si="19"/>
        <v>0</v>
      </c>
      <c r="AG72" s="71">
        <f t="shared" si="19"/>
        <v>0</v>
      </c>
      <c r="AH72" s="71">
        <f t="shared" si="19"/>
        <v>0</v>
      </c>
      <c r="AI72" s="71">
        <f t="shared" si="19"/>
        <v>0</v>
      </c>
      <c r="AJ72" s="71">
        <f t="shared" si="19"/>
        <v>0</v>
      </c>
      <c r="AK72" s="71">
        <f t="shared" si="19"/>
        <v>0</v>
      </c>
    </row>
    <row r="73" spans="6:37" s="45" customFormat="1" x14ac:dyDescent="0.2">
      <c r="F73" s="71">
        <f t="shared" si="19"/>
        <v>0</v>
      </c>
      <c r="G73" s="71">
        <f t="shared" si="19"/>
        <v>0</v>
      </c>
      <c r="H73" s="71">
        <f t="shared" si="19"/>
        <v>0</v>
      </c>
      <c r="I73" s="71">
        <f t="shared" si="19"/>
        <v>0</v>
      </c>
      <c r="J73" s="71">
        <f t="shared" si="19"/>
        <v>0</v>
      </c>
      <c r="K73" s="71">
        <f t="shared" si="19"/>
        <v>0</v>
      </c>
      <c r="L73" s="71">
        <f t="shared" si="19"/>
        <v>0</v>
      </c>
      <c r="M73" s="71">
        <f t="shared" si="19"/>
        <v>0</v>
      </c>
      <c r="N73" s="71">
        <f t="shared" si="19"/>
        <v>27</v>
      </c>
      <c r="O73" s="71">
        <f t="shared" si="19"/>
        <v>9</v>
      </c>
      <c r="P73" s="71">
        <f t="shared" si="19"/>
        <v>3</v>
      </c>
      <c r="Q73" s="71">
        <f t="shared" si="19"/>
        <v>1</v>
      </c>
      <c r="R73" s="71">
        <f t="shared" si="19"/>
        <v>0</v>
      </c>
      <c r="S73" s="71">
        <f t="shared" si="19"/>
        <v>0</v>
      </c>
      <c r="T73" s="71">
        <f t="shared" si="19"/>
        <v>0</v>
      </c>
      <c r="U73" s="71">
        <f t="shared" si="19"/>
        <v>0</v>
      </c>
      <c r="V73" s="71">
        <f t="shared" si="19"/>
        <v>0</v>
      </c>
      <c r="W73" s="71">
        <f t="shared" si="19"/>
        <v>0</v>
      </c>
      <c r="X73" s="71">
        <f t="shared" si="19"/>
        <v>0</v>
      </c>
      <c r="Y73" s="71">
        <f t="shared" si="19"/>
        <v>0</v>
      </c>
      <c r="Z73" s="71">
        <f t="shared" si="19"/>
        <v>0</v>
      </c>
      <c r="AA73" s="71">
        <f t="shared" si="19"/>
        <v>0</v>
      </c>
      <c r="AB73" s="71">
        <f t="shared" si="19"/>
        <v>0</v>
      </c>
      <c r="AC73" s="71">
        <f t="shared" si="19"/>
        <v>0</v>
      </c>
      <c r="AD73" s="71">
        <f t="shared" si="19"/>
        <v>0</v>
      </c>
      <c r="AE73" s="71">
        <f t="shared" si="19"/>
        <v>0</v>
      </c>
      <c r="AF73" s="71">
        <f t="shared" si="19"/>
        <v>0</v>
      </c>
      <c r="AG73" s="71">
        <f t="shared" si="19"/>
        <v>0</v>
      </c>
      <c r="AH73" s="71">
        <f t="shared" si="19"/>
        <v>0</v>
      </c>
      <c r="AI73" s="71">
        <f t="shared" si="19"/>
        <v>0</v>
      </c>
      <c r="AJ73" s="71">
        <f t="shared" si="19"/>
        <v>0</v>
      </c>
      <c r="AK73" s="71">
        <f t="shared" ref="AK73" si="20">IF(ISBLANK(AK36),0,AK36)</f>
        <v>0</v>
      </c>
    </row>
    <row r="74" spans="6:37" s="45" customFormat="1" x14ac:dyDescent="0.2">
      <c r="F74" s="71">
        <f t="shared" ref="F74:AK81" si="21">IF(ISBLANK(F37),0,F37)</f>
        <v>0</v>
      </c>
      <c r="G74" s="71">
        <f t="shared" si="21"/>
        <v>0</v>
      </c>
      <c r="H74" s="71">
        <f t="shared" si="21"/>
        <v>0</v>
      </c>
      <c r="I74" s="71">
        <f t="shared" si="21"/>
        <v>0</v>
      </c>
      <c r="J74" s="71">
        <f t="shared" si="21"/>
        <v>0</v>
      </c>
      <c r="K74" s="71">
        <f t="shared" si="21"/>
        <v>0</v>
      </c>
      <c r="L74" s="71">
        <f t="shared" si="21"/>
        <v>0</v>
      </c>
      <c r="M74" s="71">
        <f t="shared" si="21"/>
        <v>0</v>
      </c>
      <c r="N74" s="71">
        <f t="shared" si="21"/>
        <v>0</v>
      </c>
      <c r="O74" s="71">
        <f t="shared" si="21"/>
        <v>0</v>
      </c>
      <c r="P74" s="71">
        <f t="shared" si="21"/>
        <v>0</v>
      </c>
      <c r="Q74" s="71">
        <f t="shared" si="21"/>
        <v>0</v>
      </c>
      <c r="R74" s="71">
        <f t="shared" si="21"/>
        <v>27</v>
      </c>
      <c r="S74" s="71">
        <f t="shared" si="21"/>
        <v>9</v>
      </c>
      <c r="T74" s="71">
        <f t="shared" si="21"/>
        <v>3</v>
      </c>
      <c r="U74" s="71">
        <f t="shared" si="21"/>
        <v>1</v>
      </c>
      <c r="V74" s="71">
        <f t="shared" si="21"/>
        <v>0</v>
      </c>
      <c r="W74" s="71">
        <f t="shared" si="21"/>
        <v>0</v>
      </c>
      <c r="X74" s="71">
        <f t="shared" si="21"/>
        <v>0</v>
      </c>
      <c r="Y74" s="71">
        <f t="shared" si="21"/>
        <v>0</v>
      </c>
      <c r="Z74" s="71">
        <f t="shared" si="21"/>
        <v>0</v>
      </c>
      <c r="AA74" s="71">
        <f t="shared" si="21"/>
        <v>0</v>
      </c>
      <c r="AB74" s="71">
        <f t="shared" si="21"/>
        <v>0</v>
      </c>
      <c r="AC74" s="71">
        <f t="shared" si="21"/>
        <v>0</v>
      </c>
      <c r="AD74" s="71">
        <f t="shared" si="21"/>
        <v>0</v>
      </c>
      <c r="AE74" s="71">
        <f t="shared" si="21"/>
        <v>0</v>
      </c>
      <c r="AF74" s="71">
        <f t="shared" si="21"/>
        <v>0</v>
      </c>
      <c r="AG74" s="71">
        <f t="shared" si="21"/>
        <v>0</v>
      </c>
      <c r="AH74" s="71">
        <f t="shared" si="21"/>
        <v>0</v>
      </c>
      <c r="AI74" s="71">
        <f t="shared" si="21"/>
        <v>0</v>
      </c>
      <c r="AJ74" s="71">
        <f t="shared" si="21"/>
        <v>0</v>
      </c>
      <c r="AK74" s="71">
        <f t="shared" si="21"/>
        <v>0</v>
      </c>
    </row>
    <row r="75" spans="6:37" s="45" customFormat="1" x14ac:dyDescent="0.2">
      <c r="F75" s="71">
        <f t="shared" si="21"/>
        <v>0</v>
      </c>
      <c r="G75" s="71">
        <f t="shared" si="21"/>
        <v>0</v>
      </c>
      <c r="H75" s="71">
        <f t="shared" si="21"/>
        <v>0</v>
      </c>
      <c r="I75" s="71">
        <f t="shared" si="21"/>
        <v>0</v>
      </c>
      <c r="J75" s="71">
        <f t="shared" si="21"/>
        <v>0</v>
      </c>
      <c r="K75" s="71">
        <f t="shared" si="21"/>
        <v>0</v>
      </c>
      <c r="L75" s="71">
        <f t="shared" si="21"/>
        <v>0</v>
      </c>
      <c r="M75" s="71">
        <f t="shared" si="21"/>
        <v>0</v>
      </c>
      <c r="N75" s="71">
        <f t="shared" si="21"/>
        <v>27</v>
      </c>
      <c r="O75" s="71">
        <f t="shared" si="21"/>
        <v>6</v>
      </c>
      <c r="P75" s="71">
        <f t="shared" si="21"/>
        <v>1</v>
      </c>
      <c r="Q75" s="71">
        <f t="shared" si="21"/>
        <v>0</v>
      </c>
      <c r="R75" s="71">
        <f t="shared" si="21"/>
        <v>-27</v>
      </c>
      <c r="S75" s="71">
        <f t="shared" si="21"/>
        <v>-6</v>
      </c>
      <c r="T75" s="71">
        <f t="shared" si="21"/>
        <v>-1</v>
      </c>
      <c r="U75" s="71">
        <f t="shared" si="21"/>
        <v>0</v>
      </c>
      <c r="V75" s="71">
        <f t="shared" si="21"/>
        <v>0</v>
      </c>
      <c r="W75" s="71">
        <f t="shared" si="21"/>
        <v>0</v>
      </c>
      <c r="X75" s="71">
        <f t="shared" si="21"/>
        <v>0</v>
      </c>
      <c r="Y75" s="71">
        <f t="shared" si="21"/>
        <v>0</v>
      </c>
      <c r="Z75" s="71">
        <f t="shared" si="21"/>
        <v>0</v>
      </c>
      <c r="AA75" s="71">
        <f t="shared" si="21"/>
        <v>0</v>
      </c>
      <c r="AB75" s="71">
        <f t="shared" si="21"/>
        <v>0</v>
      </c>
      <c r="AC75" s="71">
        <f t="shared" si="21"/>
        <v>0</v>
      </c>
      <c r="AD75" s="71">
        <f t="shared" si="21"/>
        <v>0</v>
      </c>
      <c r="AE75" s="71">
        <f t="shared" si="21"/>
        <v>0</v>
      </c>
      <c r="AF75" s="71">
        <f t="shared" si="21"/>
        <v>0</v>
      </c>
      <c r="AG75" s="71">
        <f t="shared" si="21"/>
        <v>0</v>
      </c>
      <c r="AH75" s="71">
        <f t="shared" si="21"/>
        <v>0</v>
      </c>
      <c r="AI75" s="71">
        <f t="shared" si="21"/>
        <v>0</v>
      </c>
      <c r="AJ75" s="71">
        <f t="shared" si="21"/>
        <v>0</v>
      </c>
      <c r="AK75" s="71">
        <f t="shared" si="21"/>
        <v>0</v>
      </c>
    </row>
    <row r="76" spans="6:37" s="45" customFormat="1" x14ac:dyDescent="0.2">
      <c r="F76" s="71">
        <f t="shared" si="21"/>
        <v>0</v>
      </c>
      <c r="G76" s="71">
        <f t="shared" si="21"/>
        <v>0</v>
      </c>
      <c r="H76" s="71">
        <f t="shared" si="21"/>
        <v>0</v>
      </c>
      <c r="I76" s="71">
        <f t="shared" si="21"/>
        <v>0</v>
      </c>
      <c r="J76" s="71">
        <f t="shared" si="21"/>
        <v>0</v>
      </c>
      <c r="K76" s="71">
        <f t="shared" si="21"/>
        <v>0</v>
      </c>
      <c r="L76" s="71">
        <f t="shared" si="21"/>
        <v>0</v>
      </c>
      <c r="M76" s="71">
        <f t="shared" si="21"/>
        <v>0</v>
      </c>
      <c r="N76" s="71">
        <f t="shared" si="21"/>
        <v>18</v>
      </c>
      <c r="O76" s="71">
        <f t="shared" si="21"/>
        <v>2</v>
      </c>
      <c r="P76" s="71">
        <f t="shared" si="21"/>
        <v>0</v>
      </c>
      <c r="Q76" s="71">
        <f t="shared" si="21"/>
        <v>0</v>
      </c>
      <c r="R76" s="71">
        <f t="shared" si="21"/>
        <v>-18</v>
      </c>
      <c r="S76" s="71">
        <f t="shared" si="21"/>
        <v>-2</v>
      </c>
      <c r="T76" s="71">
        <f t="shared" si="21"/>
        <v>0</v>
      </c>
      <c r="U76" s="71">
        <f t="shared" si="21"/>
        <v>0</v>
      </c>
      <c r="V76" s="71">
        <f t="shared" si="21"/>
        <v>0</v>
      </c>
      <c r="W76" s="71">
        <f t="shared" si="21"/>
        <v>0</v>
      </c>
      <c r="X76" s="71">
        <f t="shared" si="21"/>
        <v>0</v>
      </c>
      <c r="Y76" s="71">
        <f t="shared" si="21"/>
        <v>0</v>
      </c>
      <c r="Z76" s="71">
        <f t="shared" si="21"/>
        <v>0</v>
      </c>
      <c r="AA76" s="71">
        <f t="shared" si="21"/>
        <v>0</v>
      </c>
      <c r="AB76" s="71">
        <f t="shared" si="21"/>
        <v>0</v>
      </c>
      <c r="AC76" s="71">
        <f t="shared" si="21"/>
        <v>0</v>
      </c>
      <c r="AD76" s="71">
        <f t="shared" si="21"/>
        <v>0</v>
      </c>
      <c r="AE76" s="71">
        <f t="shared" si="21"/>
        <v>0</v>
      </c>
      <c r="AF76" s="71">
        <f t="shared" si="21"/>
        <v>0</v>
      </c>
      <c r="AG76" s="71">
        <f t="shared" si="21"/>
        <v>0</v>
      </c>
      <c r="AH76" s="71">
        <f t="shared" si="21"/>
        <v>0</v>
      </c>
      <c r="AI76" s="71">
        <f t="shared" si="21"/>
        <v>0</v>
      </c>
      <c r="AJ76" s="71">
        <f t="shared" si="21"/>
        <v>0</v>
      </c>
      <c r="AK76" s="71">
        <f t="shared" si="21"/>
        <v>0</v>
      </c>
    </row>
    <row r="77" spans="6:37" s="45" customFormat="1" x14ac:dyDescent="0.2">
      <c r="F77" s="71">
        <f t="shared" si="21"/>
        <v>0</v>
      </c>
      <c r="G77" s="71">
        <f t="shared" si="21"/>
        <v>0</v>
      </c>
      <c r="H77" s="71">
        <f t="shared" si="21"/>
        <v>0</v>
      </c>
      <c r="I77" s="71">
        <f t="shared" si="21"/>
        <v>0</v>
      </c>
      <c r="J77" s="71">
        <f t="shared" si="21"/>
        <v>0</v>
      </c>
      <c r="K77" s="71">
        <f t="shared" si="21"/>
        <v>0</v>
      </c>
      <c r="L77" s="71">
        <f t="shared" si="21"/>
        <v>0</v>
      </c>
      <c r="M77" s="71">
        <f t="shared" si="21"/>
        <v>0</v>
      </c>
      <c r="N77" s="71">
        <f t="shared" si="21"/>
        <v>0</v>
      </c>
      <c r="O77" s="71">
        <f t="shared" si="21"/>
        <v>0</v>
      </c>
      <c r="P77" s="71">
        <f t="shared" si="21"/>
        <v>0</v>
      </c>
      <c r="Q77" s="71">
        <f t="shared" si="21"/>
        <v>0</v>
      </c>
      <c r="R77" s="71">
        <f t="shared" si="21"/>
        <v>64</v>
      </c>
      <c r="S77" s="71">
        <f t="shared" si="21"/>
        <v>16</v>
      </c>
      <c r="T77" s="71">
        <f t="shared" si="21"/>
        <v>4</v>
      </c>
      <c r="U77" s="71">
        <f t="shared" si="21"/>
        <v>1</v>
      </c>
      <c r="V77" s="71">
        <f t="shared" si="21"/>
        <v>0</v>
      </c>
      <c r="W77" s="71">
        <f t="shared" si="21"/>
        <v>0</v>
      </c>
      <c r="X77" s="71">
        <f t="shared" si="21"/>
        <v>0</v>
      </c>
      <c r="Y77" s="71">
        <f t="shared" si="21"/>
        <v>0</v>
      </c>
      <c r="Z77" s="71">
        <f t="shared" si="21"/>
        <v>0</v>
      </c>
      <c r="AA77" s="71">
        <f t="shared" si="21"/>
        <v>0</v>
      </c>
      <c r="AB77" s="71">
        <f t="shared" si="21"/>
        <v>0</v>
      </c>
      <c r="AC77" s="71">
        <f t="shared" si="21"/>
        <v>0</v>
      </c>
      <c r="AD77" s="71">
        <f t="shared" si="21"/>
        <v>0</v>
      </c>
      <c r="AE77" s="71">
        <f t="shared" si="21"/>
        <v>0</v>
      </c>
      <c r="AF77" s="71">
        <f t="shared" si="21"/>
        <v>0</v>
      </c>
      <c r="AG77" s="71">
        <f t="shared" si="21"/>
        <v>0</v>
      </c>
      <c r="AH77" s="71">
        <f t="shared" si="21"/>
        <v>0</v>
      </c>
      <c r="AI77" s="71">
        <f t="shared" si="21"/>
        <v>0</v>
      </c>
      <c r="AJ77" s="71">
        <f t="shared" si="21"/>
        <v>0</v>
      </c>
      <c r="AK77" s="71">
        <f t="shared" si="21"/>
        <v>0</v>
      </c>
    </row>
    <row r="78" spans="6:37" s="45" customFormat="1" x14ac:dyDescent="0.2">
      <c r="F78" s="71">
        <f t="shared" si="21"/>
        <v>0</v>
      </c>
      <c r="G78" s="71">
        <f t="shared" si="21"/>
        <v>0</v>
      </c>
      <c r="H78" s="71">
        <f t="shared" si="21"/>
        <v>0</v>
      </c>
      <c r="I78" s="71">
        <f t="shared" si="21"/>
        <v>0</v>
      </c>
      <c r="J78" s="71">
        <f t="shared" si="21"/>
        <v>0</v>
      </c>
      <c r="K78" s="71">
        <f t="shared" si="21"/>
        <v>0</v>
      </c>
      <c r="L78" s="71">
        <f t="shared" si="21"/>
        <v>0</v>
      </c>
      <c r="M78" s="71">
        <f t="shared" si="21"/>
        <v>0</v>
      </c>
      <c r="N78" s="71">
        <f t="shared" si="21"/>
        <v>0</v>
      </c>
      <c r="O78" s="71">
        <f t="shared" si="21"/>
        <v>0</v>
      </c>
      <c r="P78" s="71">
        <f t="shared" si="21"/>
        <v>0</v>
      </c>
      <c r="Q78" s="71">
        <f t="shared" si="21"/>
        <v>0</v>
      </c>
      <c r="R78" s="71">
        <f t="shared" si="21"/>
        <v>0</v>
      </c>
      <c r="S78" s="71">
        <f t="shared" si="21"/>
        <v>0</v>
      </c>
      <c r="T78" s="71">
        <f t="shared" si="21"/>
        <v>0</v>
      </c>
      <c r="U78" s="71">
        <f t="shared" si="21"/>
        <v>0</v>
      </c>
      <c r="V78" s="71">
        <f t="shared" si="21"/>
        <v>64</v>
      </c>
      <c r="W78" s="71">
        <f t="shared" si="21"/>
        <v>16</v>
      </c>
      <c r="X78" s="71">
        <f t="shared" si="21"/>
        <v>4</v>
      </c>
      <c r="Y78" s="71">
        <f t="shared" si="21"/>
        <v>1</v>
      </c>
      <c r="Z78" s="71">
        <f t="shared" si="21"/>
        <v>0</v>
      </c>
      <c r="AA78" s="71">
        <f t="shared" si="21"/>
        <v>0</v>
      </c>
      <c r="AB78" s="71">
        <f t="shared" si="21"/>
        <v>0</v>
      </c>
      <c r="AC78" s="71">
        <f t="shared" si="21"/>
        <v>0</v>
      </c>
      <c r="AD78" s="71">
        <f t="shared" si="21"/>
        <v>0</v>
      </c>
      <c r="AE78" s="71">
        <f t="shared" si="21"/>
        <v>0</v>
      </c>
      <c r="AF78" s="71">
        <f t="shared" si="21"/>
        <v>0</v>
      </c>
      <c r="AG78" s="71">
        <f t="shared" si="21"/>
        <v>0</v>
      </c>
      <c r="AH78" s="71">
        <f t="shared" si="21"/>
        <v>0</v>
      </c>
      <c r="AI78" s="71">
        <f t="shared" si="21"/>
        <v>0</v>
      </c>
      <c r="AJ78" s="71">
        <f t="shared" si="21"/>
        <v>0</v>
      </c>
      <c r="AK78" s="71">
        <f t="shared" si="21"/>
        <v>0</v>
      </c>
    </row>
    <row r="79" spans="6:37" s="45" customFormat="1" x14ac:dyDescent="0.2">
      <c r="F79" s="71">
        <f t="shared" si="21"/>
        <v>0</v>
      </c>
      <c r="G79" s="71">
        <f t="shared" si="21"/>
        <v>0</v>
      </c>
      <c r="H79" s="71">
        <f t="shared" si="21"/>
        <v>0</v>
      </c>
      <c r="I79" s="71">
        <f t="shared" si="21"/>
        <v>0</v>
      </c>
      <c r="J79" s="71">
        <f t="shared" si="21"/>
        <v>0</v>
      </c>
      <c r="K79" s="71">
        <f t="shared" si="21"/>
        <v>0</v>
      </c>
      <c r="L79" s="71">
        <f t="shared" si="21"/>
        <v>0</v>
      </c>
      <c r="M79" s="71">
        <f t="shared" si="21"/>
        <v>0</v>
      </c>
      <c r="N79" s="71">
        <f t="shared" si="21"/>
        <v>0</v>
      </c>
      <c r="O79" s="71">
        <f t="shared" si="21"/>
        <v>0</v>
      </c>
      <c r="P79" s="71">
        <f t="shared" si="21"/>
        <v>0</v>
      </c>
      <c r="Q79" s="71">
        <f t="shared" si="21"/>
        <v>0</v>
      </c>
      <c r="R79" s="71">
        <f t="shared" si="21"/>
        <v>48</v>
      </c>
      <c r="S79" s="71">
        <f t="shared" si="21"/>
        <v>8</v>
      </c>
      <c r="T79" s="71">
        <f t="shared" si="21"/>
        <v>1</v>
      </c>
      <c r="U79" s="71">
        <f t="shared" si="21"/>
        <v>0</v>
      </c>
      <c r="V79" s="71">
        <f t="shared" si="21"/>
        <v>-48</v>
      </c>
      <c r="W79" s="71">
        <f t="shared" si="21"/>
        <v>-8</v>
      </c>
      <c r="X79" s="71">
        <f t="shared" si="21"/>
        <v>-1</v>
      </c>
      <c r="Y79" s="71">
        <f t="shared" si="21"/>
        <v>0</v>
      </c>
      <c r="Z79" s="71">
        <f t="shared" si="21"/>
        <v>0</v>
      </c>
      <c r="AA79" s="71">
        <f t="shared" si="21"/>
        <v>0</v>
      </c>
      <c r="AB79" s="71">
        <f t="shared" si="21"/>
        <v>0</v>
      </c>
      <c r="AC79" s="71">
        <f t="shared" si="21"/>
        <v>0</v>
      </c>
      <c r="AD79" s="71">
        <f t="shared" si="21"/>
        <v>0</v>
      </c>
      <c r="AE79" s="71">
        <f t="shared" si="21"/>
        <v>0</v>
      </c>
      <c r="AF79" s="71">
        <f t="shared" si="21"/>
        <v>0</v>
      </c>
      <c r="AG79" s="71">
        <f t="shared" si="21"/>
        <v>0</v>
      </c>
      <c r="AH79" s="71">
        <f t="shared" si="21"/>
        <v>0</v>
      </c>
      <c r="AI79" s="71">
        <f t="shared" si="21"/>
        <v>0</v>
      </c>
      <c r="AJ79" s="71">
        <f t="shared" si="21"/>
        <v>0</v>
      </c>
      <c r="AK79" s="71">
        <f t="shared" si="21"/>
        <v>0</v>
      </c>
    </row>
    <row r="80" spans="6:37" s="45" customFormat="1" x14ac:dyDescent="0.2">
      <c r="F80" s="71">
        <f t="shared" si="21"/>
        <v>0</v>
      </c>
      <c r="G80" s="71">
        <f t="shared" si="21"/>
        <v>0</v>
      </c>
      <c r="H80" s="71">
        <f t="shared" si="21"/>
        <v>0</v>
      </c>
      <c r="I80" s="71">
        <f t="shared" si="21"/>
        <v>0</v>
      </c>
      <c r="J80" s="71">
        <f t="shared" si="21"/>
        <v>0</v>
      </c>
      <c r="K80" s="71">
        <f t="shared" si="21"/>
        <v>0</v>
      </c>
      <c r="L80" s="71">
        <f t="shared" si="21"/>
        <v>0</v>
      </c>
      <c r="M80" s="71">
        <f t="shared" si="21"/>
        <v>0</v>
      </c>
      <c r="N80" s="71">
        <f t="shared" si="21"/>
        <v>0</v>
      </c>
      <c r="O80" s="71">
        <f t="shared" si="21"/>
        <v>0</v>
      </c>
      <c r="P80" s="71">
        <f t="shared" si="21"/>
        <v>0</v>
      </c>
      <c r="Q80" s="71">
        <f t="shared" si="21"/>
        <v>0</v>
      </c>
      <c r="R80" s="71">
        <f t="shared" si="21"/>
        <v>24</v>
      </c>
      <c r="S80" s="71">
        <f t="shared" si="21"/>
        <v>2</v>
      </c>
      <c r="T80" s="71">
        <f t="shared" si="21"/>
        <v>0</v>
      </c>
      <c r="U80" s="71">
        <f t="shared" si="21"/>
        <v>0</v>
      </c>
      <c r="V80" s="71">
        <f t="shared" si="21"/>
        <v>-24</v>
      </c>
      <c r="W80" s="71">
        <f t="shared" si="21"/>
        <v>-2</v>
      </c>
      <c r="X80" s="71">
        <f t="shared" si="21"/>
        <v>0</v>
      </c>
      <c r="Y80" s="71">
        <f t="shared" si="21"/>
        <v>0</v>
      </c>
      <c r="Z80" s="71">
        <f t="shared" si="21"/>
        <v>0</v>
      </c>
      <c r="AA80" s="71">
        <f t="shared" si="21"/>
        <v>0</v>
      </c>
      <c r="AB80" s="71">
        <f t="shared" si="21"/>
        <v>0</v>
      </c>
      <c r="AC80" s="71">
        <f t="shared" si="21"/>
        <v>0</v>
      </c>
      <c r="AD80" s="71">
        <f t="shared" si="21"/>
        <v>0</v>
      </c>
      <c r="AE80" s="71">
        <f t="shared" si="21"/>
        <v>0</v>
      </c>
      <c r="AF80" s="71">
        <f t="shared" si="21"/>
        <v>0</v>
      </c>
      <c r="AG80" s="71">
        <f t="shared" si="21"/>
        <v>0</v>
      </c>
      <c r="AH80" s="71">
        <f t="shared" si="21"/>
        <v>0</v>
      </c>
      <c r="AI80" s="71">
        <f t="shared" si="21"/>
        <v>0</v>
      </c>
      <c r="AJ80" s="71">
        <f t="shared" si="21"/>
        <v>0</v>
      </c>
      <c r="AK80" s="71">
        <f t="shared" si="21"/>
        <v>0</v>
      </c>
    </row>
    <row r="81" spans="6:37" s="45" customFormat="1" x14ac:dyDescent="0.2">
      <c r="F81" s="71">
        <f t="shared" si="21"/>
        <v>0</v>
      </c>
      <c r="G81" s="71">
        <f t="shared" si="21"/>
        <v>0</v>
      </c>
      <c r="H81" s="71">
        <f t="shared" si="21"/>
        <v>0</v>
      </c>
      <c r="I81" s="71">
        <f t="shared" si="21"/>
        <v>0</v>
      </c>
      <c r="J81" s="71">
        <f t="shared" si="21"/>
        <v>0</v>
      </c>
      <c r="K81" s="71">
        <f t="shared" si="21"/>
        <v>0</v>
      </c>
      <c r="L81" s="71">
        <f t="shared" si="21"/>
        <v>0</v>
      </c>
      <c r="M81" s="71">
        <f t="shared" si="21"/>
        <v>0</v>
      </c>
      <c r="N81" s="71">
        <f t="shared" si="21"/>
        <v>0</v>
      </c>
      <c r="O81" s="71">
        <f t="shared" si="21"/>
        <v>0</v>
      </c>
      <c r="P81" s="71">
        <f t="shared" si="21"/>
        <v>0</v>
      </c>
      <c r="Q81" s="71">
        <f t="shared" si="21"/>
        <v>0</v>
      </c>
      <c r="R81" s="71">
        <f t="shared" si="21"/>
        <v>0</v>
      </c>
      <c r="S81" s="71">
        <f t="shared" si="21"/>
        <v>0</v>
      </c>
      <c r="T81" s="71">
        <f t="shared" si="21"/>
        <v>0</v>
      </c>
      <c r="U81" s="71">
        <f t="shared" si="21"/>
        <v>0</v>
      </c>
      <c r="V81" s="71">
        <f t="shared" si="21"/>
        <v>125</v>
      </c>
      <c r="W81" s="71">
        <f t="shared" si="21"/>
        <v>25</v>
      </c>
      <c r="X81" s="71">
        <f t="shared" si="21"/>
        <v>5</v>
      </c>
      <c r="Y81" s="71">
        <f t="shared" si="21"/>
        <v>1</v>
      </c>
      <c r="Z81" s="71">
        <f t="shared" si="21"/>
        <v>0</v>
      </c>
      <c r="AA81" s="71">
        <f t="shared" si="21"/>
        <v>0</v>
      </c>
      <c r="AB81" s="71">
        <f t="shared" si="21"/>
        <v>0</v>
      </c>
      <c r="AC81" s="71">
        <f t="shared" si="21"/>
        <v>0</v>
      </c>
      <c r="AD81" s="71">
        <f t="shared" si="21"/>
        <v>0</v>
      </c>
      <c r="AE81" s="71">
        <f t="shared" si="21"/>
        <v>0</v>
      </c>
      <c r="AF81" s="71">
        <f t="shared" si="21"/>
        <v>0</v>
      </c>
      <c r="AG81" s="71">
        <f t="shared" si="21"/>
        <v>0</v>
      </c>
      <c r="AH81" s="71">
        <f t="shared" si="21"/>
        <v>0</v>
      </c>
      <c r="AI81" s="71">
        <f t="shared" si="21"/>
        <v>0</v>
      </c>
      <c r="AJ81" s="71">
        <f t="shared" si="21"/>
        <v>0</v>
      </c>
      <c r="AK81" s="71">
        <f t="shared" ref="AK81" si="22">IF(ISBLANK(AK44),0,AK44)</f>
        <v>0</v>
      </c>
    </row>
    <row r="82" spans="6:37" s="45" customFormat="1" x14ac:dyDescent="0.2">
      <c r="F82" s="71">
        <f t="shared" ref="F82:AK89" si="23">IF(ISBLANK(F45),0,F45)</f>
        <v>0</v>
      </c>
      <c r="G82" s="71">
        <f t="shared" si="23"/>
        <v>0</v>
      </c>
      <c r="H82" s="71">
        <f t="shared" si="23"/>
        <v>0</v>
      </c>
      <c r="I82" s="71">
        <f t="shared" si="23"/>
        <v>0</v>
      </c>
      <c r="J82" s="71">
        <f t="shared" si="23"/>
        <v>0</v>
      </c>
      <c r="K82" s="71">
        <f t="shared" si="23"/>
        <v>0</v>
      </c>
      <c r="L82" s="71">
        <f t="shared" si="23"/>
        <v>0</v>
      </c>
      <c r="M82" s="71">
        <f t="shared" si="23"/>
        <v>0</v>
      </c>
      <c r="N82" s="71">
        <f t="shared" si="23"/>
        <v>0</v>
      </c>
      <c r="O82" s="71">
        <f t="shared" si="23"/>
        <v>0</v>
      </c>
      <c r="P82" s="71">
        <f t="shared" si="23"/>
        <v>0</v>
      </c>
      <c r="Q82" s="71">
        <f t="shared" si="23"/>
        <v>0</v>
      </c>
      <c r="R82" s="71">
        <f t="shared" si="23"/>
        <v>0</v>
      </c>
      <c r="S82" s="71">
        <f t="shared" si="23"/>
        <v>0</v>
      </c>
      <c r="T82" s="71">
        <f t="shared" si="23"/>
        <v>0</v>
      </c>
      <c r="U82" s="71">
        <f t="shared" si="23"/>
        <v>0</v>
      </c>
      <c r="V82" s="71">
        <f t="shared" si="23"/>
        <v>0</v>
      </c>
      <c r="W82" s="71">
        <f t="shared" si="23"/>
        <v>0</v>
      </c>
      <c r="X82" s="71">
        <f t="shared" si="23"/>
        <v>0</v>
      </c>
      <c r="Y82" s="71">
        <f t="shared" si="23"/>
        <v>0</v>
      </c>
      <c r="Z82" s="71">
        <f t="shared" si="23"/>
        <v>125</v>
      </c>
      <c r="AA82" s="71">
        <f t="shared" si="23"/>
        <v>25</v>
      </c>
      <c r="AB82" s="71">
        <f t="shared" si="23"/>
        <v>5</v>
      </c>
      <c r="AC82" s="71">
        <f t="shared" si="23"/>
        <v>1</v>
      </c>
      <c r="AD82" s="71">
        <f t="shared" si="23"/>
        <v>0</v>
      </c>
      <c r="AE82" s="71">
        <f t="shared" si="23"/>
        <v>0</v>
      </c>
      <c r="AF82" s="71">
        <f t="shared" si="23"/>
        <v>0</v>
      </c>
      <c r="AG82" s="71">
        <f t="shared" si="23"/>
        <v>0</v>
      </c>
      <c r="AH82" s="71">
        <f t="shared" si="23"/>
        <v>0</v>
      </c>
      <c r="AI82" s="71">
        <f t="shared" si="23"/>
        <v>0</v>
      </c>
      <c r="AJ82" s="71">
        <f t="shared" si="23"/>
        <v>0</v>
      </c>
      <c r="AK82" s="71">
        <f t="shared" si="23"/>
        <v>0</v>
      </c>
    </row>
    <row r="83" spans="6:37" s="45" customFormat="1" x14ac:dyDescent="0.2">
      <c r="F83" s="71">
        <f t="shared" si="23"/>
        <v>0</v>
      </c>
      <c r="G83" s="71">
        <f t="shared" si="23"/>
        <v>0</v>
      </c>
      <c r="H83" s="71">
        <f t="shared" si="23"/>
        <v>0</v>
      </c>
      <c r="I83" s="71">
        <f t="shared" si="23"/>
        <v>0</v>
      </c>
      <c r="J83" s="71">
        <f t="shared" si="23"/>
        <v>0</v>
      </c>
      <c r="K83" s="71">
        <f t="shared" si="23"/>
        <v>0</v>
      </c>
      <c r="L83" s="71">
        <f t="shared" si="23"/>
        <v>0</v>
      </c>
      <c r="M83" s="71">
        <f t="shared" si="23"/>
        <v>0</v>
      </c>
      <c r="N83" s="71">
        <f t="shared" si="23"/>
        <v>0</v>
      </c>
      <c r="O83" s="71">
        <f t="shared" si="23"/>
        <v>0</v>
      </c>
      <c r="P83" s="71">
        <f t="shared" si="23"/>
        <v>0</v>
      </c>
      <c r="Q83" s="71">
        <f t="shared" si="23"/>
        <v>0</v>
      </c>
      <c r="R83" s="71">
        <f t="shared" si="23"/>
        <v>0</v>
      </c>
      <c r="S83" s="71">
        <f t="shared" si="23"/>
        <v>0</v>
      </c>
      <c r="T83" s="71">
        <f t="shared" si="23"/>
        <v>0</v>
      </c>
      <c r="U83" s="71">
        <f t="shared" si="23"/>
        <v>0</v>
      </c>
      <c r="V83" s="71">
        <f t="shared" si="23"/>
        <v>75</v>
      </c>
      <c r="W83" s="71">
        <f t="shared" si="23"/>
        <v>10</v>
      </c>
      <c r="X83" s="71">
        <f t="shared" si="23"/>
        <v>1</v>
      </c>
      <c r="Y83" s="71">
        <f t="shared" si="23"/>
        <v>0</v>
      </c>
      <c r="Z83" s="71">
        <f t="shared" si="23"/>
        <v>-75</v>
      </c>
      <c r="AA83" s="71">
        <f t="shared" si="23"/>
        <v>-10</v>
      </c>
      <c r="AB83" s="71">
        <f t="shared" si="23"/>
        <v>-1</v>
      </c>
      <c r="AC83" s="71">
        <f t="shared" si="23"/>
        <v>0</v>
      </c>
      <c r="AD83" s="71">
        <f t="shared" si="23"/>
        <v>0</v>
      </c>
      <c r="AE83" s="71">
        <f t="shared" si="23"/>
        <v>0</v>
      </c>
      <c r="AF83" s="71">
        <f t="shared" si="23"/>
        <v>0</v>
      </c>
      <c r="AG83" s="71">
        <f t="shared" si="23"/>
        <v>0</v>
      </c>
      <c r="AH83" s="71">
        <f t="shared" si="23"/>
        <v>0</v>
      </c>
      <c r="AI83" s="71">
        <f t="shared" si="23"/>
        <v>0</v>
      </c>
      <c r="AJ83" s="71">
        <f t="shared" si="23"/>
        <v>0</v>
      </c>
      <c r="AK83" s="71">
        <f t="shared" si="23"/>
        <v>0</v>
      </c>
    </row>
    <row r="84" spans="6:37" s="45" customFormat="1" x14ac:dyDescent="0.2">
      <c r="F84" s="71">
        <f t="shared" si="23"/>
        <v>0</v>
      </c>
      <c r="G84" s="71">
        <f t="shared" si="23"/>
        <v>0</v>
      </c>
      <c r="H84" s="71">
        <f t="shared" si="23"/>
        <v>0</v>
      </c>
      <c r="I84" s="71">
        <f t="shared" si="23"/>
        <v>0</v>
      </c>
      <c r="J84" s="71">
        <f t="shared" si="23"/>
        <v>0</v>
      </c>
      <c r="K84" s="71">
        <f t="shared" si="23"/>
        <v>0</v>
      </c>
      <c r="L84" s="71">
        <f t="shared" si="23"/>
        <v>0</v>
      </c>
      <c r="M84" s="71">
        <f t="shared" si="23"/>
        <v>0</v>
      </c>
      <c r="N84" s="71">
        <f t="shared" si="23"/>
        <v>0</v>
      </c>
      <c r="O84" s="71">
        <f t="shared" si="23"/>
        <v>0</v>
      </c>
      <c r="P84" s="71">
        <f t="shared" si="23"/>
        <v>0</v>
      </c>
      <c r="Q84" s="71">
        <f t="shared" si="23"/>
        <v>0</v>
      </c>
      <c r="R84" s="71">
        <f t="shared" si="23"/>
        <v>0</v>
      </c>
      <c r="S84" s="71">
        <f t="shared" si="23"/>
        <v>0</v>
      </c>
      <c r="T84" s="71">
        <f t="shared" si="23"/>
        <v>0</v>
      </c>
      <c r="U84" s="71">
        <f t="shared" si="23"/>
        <v>0</v>
      </c>
      <c r="V84" s="71">
        <f t="shared" si="23"/>
        <v>30</v>
      </c>
      <c r="W84" s="71">
        <f t="shared" si="23"/>
        <v>2</v>
      </c>
      <c r="X84" s="71">
        <f t="shared" si="23"/>
        <v>0</v>
      </c>
      <c r="Y84" s="71">
        <f t="shared" si="23"/>
        <v>0</v>
      </c>
      <c r="Z84" s="71">
        <f t="shared" si="23"/>
        <v>-30</v>
      </c>
      <c r="AA84" s="71">
        <f t="shared" si="23"/>
        <v>-2</v>
      </c>
      <c r="AB84" s="71">
        <f t="shared" si="23"/>
        <v>0</v>
      </c>
      <c r="AC84" s="71">
        <f t="shared" si="23"/>
        <v>0</v>
      </c>
      <c r="AD84" s="71">
        <f t="shared" si="23"/>
        <v>0</v>
      </c>
      <c r="AE84" s="71">
        <f t="shared" si="23"/>
        <v>0</v>
      </c>
      <c r="AF84" s="71">
        <f t="shared" si="23"/>
        <v>0</v>
      </c>
      <c r="AG84" s="71">
        <f t="shared" si="23"/>
        <v>0</v>
      </c>
      <c r="AH84" s="71">
        <f t="shared" si="23"/>
        <v>0</v>
      </c>
      <c r="AI84" s="71">
        <f t="shared" si="23"/>
        <v>0</v>
      </c>
      <c r="AJ84" s="71">
        <f t="shared" si="23"/>
        <v>0</v>
      </c>
      <c r="AK84" s="71">
        <f t="shared" si="23"/>
        <v>0</v>
      </c>
    </row>
    <row r="85" spans="6:37" s="45" customFormat="1" x14ac:dyDescent="0.2">
      <c r="F85" s="71">
        <f t="shared" si="23"/>
        <v>0</v>
      </c>
      <c r="G85" s="71">
        <f t="shared" si="23"/>
        <v>0</v>
      </c>
      <c r="H85" s="71">
        <f t="shared" si="23"/>
        <v>0</v>
      </c>
      <c r="I85" s="71">
        <f t="shared" si="23"/>
        <v>0</v>
      </c>
      <c r="J85" s="71">
        <f t="shared" si="23"/>
        <v>0</v>
      </c>
      <c r="K85" s="71">
        <f t="shared" si="23"/>
        <v>0</v>
      </c>
      <c r="L85" s="71">
        <f t="shared" si="23"/>
        <v>0</v>
      </c>
      <c r="M85" s="71">
        <f t="shared" si="23"/>
        <v>0</v>
      </c>
      <c r="N85" s="71">
        <f t="shared" si="23"/>
        <v>0</v>
      </c>
      <c r="O85" s="71">
        <f t="shared" si="23"/>
        <v>0</v>
      </c>
      <c r="P85" s="71">
        <f t="shared" si="23"/>
        <v>0</v>
      </c>
      <c r="Q85" s="71">
        <f t="shared" si="23"/>
        <v>0</v>
      </c>
      <c r="R85" s="71">
        <f t="shared" si="23"/>
        <v>0</v>
      </c>
      <c r="S85" s="71">
        <f t="shared" si="23"/>
        <v>0</v>
      </c>
      <c r="T85" s="71">
        <f t="shared" si="23"/>
        <v>0</v>
      </c>
      <c r="U85" s="71">
        <f t="shared" si="23"/>
        <v>0</v>
      </c>
      <c r="V85" s="71">
        <f t="shared" si="23"/>
        <v>0</v>
      </c>
      <c r="W85" s="71">
        <f t="shared" si="23"/>
        <v>0</v>
      </c>
      <c r="X85" s="71">
        <f t="shared" si="23"/>
        <v>0</v>
      </c>
      <c r="Y85" s="71">
        <f t="shared" si="23"/>
        <v>0</v>
      </c>
      <c r="Z85" s="71">
        <f t="shared" si="23"/>
        <v>343</v>
      </c>
      <c r="AA85" s="71">
        <f t="shared" si="23"/>
        <v>49</v>
      </c>
      <c r="AB85" s="71">
        <f t="shared" si="23"/>
        <v>7</v>
      </c>
      <c r="AC85" s="71">
        <f t="shared" si="23"/>
        <v>1</v>
      </c>
      <c r="AD85" s="71">
        <f t="shared" si="23"/>
        <v>0</v>
      </c>
      <c r="AE85" s="71">
        <f t="shared" si="23"/>
        <v>0</v>
      </c>
      <c r="AF85" s="71">
        <f t="shared" si="23"/>
        <v>0</v>
      </c>
      <c r="AG85" s="71">
        <f t="shared" si="23"/>
        <v>0</v>
      </c>
      <c r="AH85" s="71">
        <f t="shared" si="23"/>
        <v>0</v>
      </c>
      <c r="AI85" s="71">
        <f t="shared" si="23"/>
        <v>0</v>
      </c>
      <c r="AJ85" s="71">
        <f t="shared" si="23"/>
        <v>0</v>
      </c>
      <c r="AK85" s="71">
        <f t="shared" si="23"/>
        <v>0</v>
      </c>
    </row>
    <row r="86" spans="6:37" s="45" customFormat="1" x14ac:dyDescent="0.2">
      <c r="F86" s="71">
        <f t="shared" si="23"/>
        <v>0</v>
      </c>
      <c r="G86" s="71">
        <f t="shared" si="23"/>
        <v>0</v>
      </c>
      <c r="H86" s="71">
        <f t="shared" si="23"/>
        <v>0</v>
      </c>
      <c r="I86" s="71">
        <f t="shared" si="23"/>
        <v>0</v>
      </c>
      <c r="J86" s="71">
        <f t="shared" si="23"/>
        <v>0</v>
      </c>
      <c r="K86" s="71">
        <f t="shared" si="23"/>
        <v>0</v>
      </c>
      <c r="L86" s="71">
        <f t="shared" si="23"/>
        <v>0</v>
      </c>
      <c r="M86" s="71">
        <f t="shared" si="23"/>
        <v>0</v>
      </c>
      <c r="N86" s="71">
        <f t="shared" si="23"/>
        <v>0</v>
      </c>
      <c r="O86" s="71">
        <f t="shared" si="23"/>
        <v>0</v>
      </c>
      <c r="P86" s="71">
        <f t="shared" si="23"/>
        <v>0</v>
      </c>
      <c r="Q86" s="71">
        <f t="shared" si="23"/>
        <v>0</v>
      </c>
      <c r="R86" s="71">
        <f t="shared" si="23"/>
        <v>0</v>
      </c>
      <c r="S86" s="71">
        <f t="shared" si="23"/>
        <v>0</v>
      </c>
      <c r="T86" s="71">
        <f t="shared" si="23"/>
        <v>0</v>
      </c>
      <c r="U86" s="71">
        <f t="shared" si="23"/>
        <v>0</v>
      </c>
      <c r="V86" s="71">
        <f t="shared" si="23"/>
        <v>0</v>
      </c>
      <c r="W86" s="71">
        <f t="shared" si="23"/>
        <v>0</v>
      </c>
      <c r="X86" s="71">
        <f t="shared" si="23"/>
        <v>0</v>
      </c>
      <c r="Y86" s="71">
        <f t="shared" si="23"/>
        <v>0</v>
      </c>
      <c r="Z86" s="71">
        <f t="shared" si="23"/>
        <v>0</v>
      </c>
      <c r="AA86" s="71">
        <f t="shared" si="23"/>
        <v>0</v>
      </c>
      <c r="AB86" s="71">
        <f t="shared" si="23"/>
        <v>0</v>
      </c>
      <c r="AC86" s="71">
        <f t="shared" si="23"/>
        <v>0</v>
      </c>
      <c r="AD86" s="71">
        <f t="shared" si="23"/>
        <v>343</v>
      </c>
      <c r="AE86" s="71">
        <f t="shared" si="23"/>
        <v>49</v>
      </c>
      <c r="AF86" s="71">
        <f t="shared" si="23"/>
        <v>7</v>
      </c>
      <c r="AG86" s="71">
        <f t="shared" si="23"/>
        <v>1</v>
      </c>
      <c r="AH86" s="71">
        <f t="shared" si="23"/>
        <v>0</v>
      </c>
      <c r="AI86" s="71">
        <f t="shared" si="23"/>
        <v>0</v>
      </c>
      <c r="AJ86" s="71">
        <f t="shared" si="23"/>
        <v>0</v>
      </c>
      <c r="AK86" s="71">
        <f t="shared" si="23"/>
        <v>0</v>
      </c>
    </row>
    <row r="87" spans="6:37" s="45" customFormat="1" x14ac:dyDescent="0.2">
      <c r="F87" s="71">
        <f t="shared" si="23"/>
        <v>0</v>
      </c>
      <c r="G87" s="71">
        <f t="shared" si="23"/>
        <v>0</v>
      </c>
      <c r="H87" s="71">
        <f t="shared" si="23"/>
        <v>0</v>
      </c>
      <c r="I87" s="71">
        <f t="shared" si="23"/>
        <v>0</v>
      </c>
      <c r="J87" s="71">
        <f t="shared" si="23"/>
        <v>0</v>
      </c>
      <c r="K87" s="71">
        <f t="shared" si="23"/>
        <v>0</v>
      </c>
      <c r="L87" s="71">
        <f t="shared" si="23"/>
        <v>0</v>
      </c>
      <c r="M87" s="71">
        <f t="shared" si="23"/>
        <v>0</v>
      </c>
      <c r="N87" s="71">
        <f t="shared" si="23"/>
        <v>0</v>
      </c>
      <c r="O87" s="71">
        <f t="shared" si="23"/>
        <v>0</v>
      </c>
      <c r="P87" s="71">
        <f t="shared" si="23"/>
        <v>0</v>
      </c>
      <c r="Q87" s="71">
        <f t="shared" si="23"/>
        <v>0</v>
      </c>
      <c r="R87" s="71">
        <f t="shared" si="23"/>
        <v>0</v>
      </c>
      <c r="S87" s="71">
        <f t="shared" si="23"/>
        <v>0</v>
      </c>
      <c r="T87" s="71">
        <f t="shared" si="23"/>
        <v>0</v>
      </c>
      <c r="U87" s="71">
        <f t="shared" si="23"/>
        <v>0</v>
      </c>
      <c r="V87" s="71">
        <f t="shared" si="23"/>
        <v>0</v>
      </c>
      <c r="W87" s="71">
        <f t="shared" si="23"/>
        <v>0</v>
      </c>
      <c r="X87" s="71">
        <f t="shared" si="23"/>
        <v>0</v>
      </c>
      <c r="Y87" s="71">
        <f t="shared" si="23"/>
        <v>0</v>
      </c>
      <c r="Z87" s="71">
        <f t="shared" si="23"/>
        <v>147</v>
      </c>
      <c r="AA87" s="71">
        <f t="shared" si="23"/>
        <v>14</v>
      </c>
      <c r="AB87" s="71">
        <f t="shared" si="23"/>
        <v>1</v>
      </c>
      <c r="AC87" s="71">
        <f t="shared" si="23"/>
        <v>0</v>
      </c>
      <c r="AD87" s="71">
        <f t="shared" si="23"/>
        <v>-147</v>
      </c>
      <c r="AE87" s="71">
        <f t="shared" si="23"/>
        <v>-14</v>
      </c>
      <c r="AF87" s="71">
        <f t="shared" si="23"/>
        <v>-1</v>
      </c>
      <c r="AG87" s="71">
        <f t="shared" si="23"/>
        <v>0</v>
      </c>
      <c r="AH87" s="71">
        <f t="shared" si="23"/>
        <v>0</v>
      </c>
      <c r="AI87" s="71">
        <f t="shared" si="23"/>
        <v>0</v>
      </c>
      <c r="AJ87" s="71">
        <f t="shared" si="23"/>
        <v>0</v>
      </c>
      <c r="AK87" s="71">
        <f t="shared" si="23"/>
        <v>0</v>
      </c>
    </row>
    <row r="88" spans="6:37" s="45" customFormat="1" x14ac:dyDescent="0.2">
      <c r="F88" s="71">
        <f t="shared" si="23"/>
        <v>0</v>
      </c>
      <c r="G88" s="71">
        <f t="shared" si="23"/>
        <v>0</v>
      </c>
      <c r="H88" s="71">
        <f t="shared" si="23"/>
        <v>0</v>
      </c>
      <c r="I88" s="71">
        <f t="shared" si="23"/>
        <v>0</v>
      </c>
      <c r="J88" s="71">
        <f t="shared" si="23"/>
        <v>0</v>
      </c>
      <c r="K88" s="71">
        <f t="shared" si="23"/>
        <v>0</v>
      </c>
      <c r="L88" s="71">
        <f t="shared" si="23"/>
        <v>0</v>
      </c>
      <c r="M88" s="71">
        <f t="shared" si="23"/>
        <v>0</v>
      </c>
      <c r="N88" s="71">
        <f t="shared" si="23"/>
        <v>0</v>
      </c>
      <c r="O88" s="71">
        <f t="shared" si="23"/>
        <v>0</v>
      </c>
      <c r="P88" s="71">
        <f t="shared" si="23"/>
        <v>0</v>
      </c>
      <c r="Q88" s="71">
        <f t="shared" si="23"/>
        <v>0</v>
      </c>
      <c r="R88" s="71">
        <f t="shared" si="23"/>
        <v>0</v>
      </c>
      <c r="S88" s="71">
        <f t="shared" si="23"/>
        <v>0</v>
      </c>
      <c r="T88" s="71">
        <f t="shared" si="23"/>
        <v>0</v>
      </c>
      <c r="U88" s="71">
        <f t="shared" si="23"/>
        <v>0</v>
      </c>
      <c r="V88" s="71">
        <f t="shared" si="23"/>
        <v>0</v>
      </c>
      <c r="W88" s="71">
        <f t="shared" si="23"/>
        <v>0</v>
      </c>
      <c r="X88" s="71">
        <f t="shared" si="23"/>
        <v>0</v>
      </c>
      <c r="Y88" s="71">
        <f t="shared" si="23"/>
        <v>0</v>
      </c>
      <c r="Z88" s="71">
        <f t="shared" si="23"/>
        <v>42</v>
      </c>
      <c r="AA88" s="71">
        <f t="shared" si="23"/>
        <v>2</v>
      </c>
      <c r="AB88" s="71">
        <f t="shared" si="23"/>
        <v>0</v>
      </c>
      <c r="AC88" s="71">
        <f t="shared" si="23"/>
        <v>0</v>
      </c>
      <c r="AD88" s="71">
        <f t="shared" si="23"/>
        <v>-42</v>
      </c>
      <c r="AE88" s="71">
        <f t="shared" si="23"/>
        <v>-2</v>
      </c>
      <c r="AF88" s="71">
        <f t="shared" si="23"/>
        <v>0</v>
      </c>
      <c r="AG88" s="71">
        <f t="shared" si="23"/>
        <v>0</v>
      </c>
      <c r="AH88" s="71">
        <f t="shared" si="23"/>
        <v>0</v>
      </c>
      <c r="AI88" s="71">
        <f t="shared" si="23"/>
        <v>0</v>
      </c>
      <c r="AJ88" s="71">
        <f t="shared" si="23"/>
        <v>0</v>
      </c>
      <c r="AK88" s="71">
        <f t="shared" si="23"/>
        <v>0</v>
      </c>
    </row>
    <row r="89" spans="6:37" s="45" customFormat="1" x14ac:dyDescent="0.2">
      <c r="F89" s="71">
        <f t="shared" si="23"/>
        <v>0</v>
      </c>
      <c r="G89" s="71">
        <f t="shared" si="23"/>
        <v>0</v>
      </c>
      <c r="H89" s="71">
        <f t="shared" si="23"/>
        <v>0</v>
      </c>
      <c r="I89" s="71">
        <f t="shared" si="23"/>
        <v>0</v>
      </c>
      <c r="J89" s="71">
        <f t="shared" si="23"/>
        <v>0</v>
      </c>
      <c r="K89" s="71">
        <f t="shared" si="23"/>
        <v>0</v>
      </c>
      <c r="L89" s="71">
        <f t="shared" si="23"/>
        <v>0</v>
      </c>
      <c r="M89" s="71">
        <f t="shared" si="23"/>
        <v>0</v>
      </c>
      <c r="N89" s="71">
        <f t="shared" si="23"/>
        <v>0</v>
      </c>
      <c r="O89" s="71">
        <f t="shared" si="23"/>
        <v>0</v>
      </c>
      <c r="P89" s="71">
        <f t="shared" si="23"/>
        <v>0</v>
      </c>
      <c r="Q89" s="71">
        <f t="shared" si="23"/>
        <v>0</v>
      </c>
      <c r="R89" s="71">
        <f t="shared" si="23"/>
        <v>0</v>
      </c>
      <c r="S89" s="71">
        <f t="shared" si="23"/>
        <v>0</v>
      </c>
      <c r="T89" s="71">
        <f t="shared" si="23"/>
        <v>0</v>
      </c>
      <c r="U89" s="71">
        <f t="shared" si="23"/>
        <v>0</v>
      </c>
      <c r="V89" s="71">
        <f t="shared" si="23"/>
        <v>0</v>
      </c>
      <c r="W89" s="71">
        <f t="shared" si="23"/>
        <v>0</v>
      </c>
      <c r="X89" s="71">
        <f t="shared" si="23"/>
        <v>0</v>
      </c>
      <c r="Y89" s="71">
        <f t="shared" si="23"/>
        <v>0</v>
      </c>
      <c r="Z89" s="71">
        <f t="shared" si="23"/>
        <v>0</v>
      </c>
      <c r="AA89" s="71">
        <f t="shared" si="23"/>
        <v>0</v>
      </c>
      <c r="AB89" s="71">
        <f t="shared" si="23"/>
        <v>0</v>
      </c>
      <c r="AC89" s="71">
        <f t="shared" si="23"/>
        <v>0</v>
      </c>
      <c r="AD89" s="71">
        <f t="shared" si="23"/>
        <v>1000</v>
      </c>
      <c r="AE89" s="71">
        <f t="shared" si="23"/>
        <v>100</v>
      </c>
      <c r="AF89" s="71">
        <f t="shared" si="23"/>
        <v>10</v>
      </c>
      <c r="AG89" s="71">
        <f t="shared" si="23"/>
        <v>1</v>
      </c>
      <c r="AH89" s="71">
        <f t="shared" si="23"/>
        <v>0</v>
      </c>
      <c r="AI89" s="71">
        <f t="shared" si="23"/>
        <v>0</v>
      </c>
      <c r="AJ89" s="71">
        <f t="shared" si="23"/>
        <v>0</v>
      </c>
      <c r="AK89" s="71">
        <f t="shared" ref="AK89" si="24">IF(ISBLANK(AK52),0,AK52)</f>
        <v>0</v>
      </c>
    </row>
    <row r="90" spans="6:37" s="45" customFormat="1" x14ac:dyDescent="0.2">
      <c r="F90" s="71">
        <f t="shared" ref="F90:AK96" si="25">IF(ISBLANK(F53),0,F53)</f>
        <v>0</v>
      </c>
      <c r="G90" s="71">
        <f t="shared" si="25"/>
        <v>0</v>
      </c>
      <c r="H90" s="71">
        <f t="shared" si="25"/>
        <v>0</v>
      </c>
      <c r="I90" s="71">
        <f t="shared" si="25"/>
        <v>0</v>
      </c>
      <c r="J90" s="71">
        <f t="shared" si="25"/>
        <v>0</v>
      </c>
      <c r="K90" s="71">
        <f t="shared" si="25"/>
        <v>0</v>
      </c>
      <c r="L90" s="71">
        <f t="shared" si="25"/>
        <v>0</v>
      </c>
      <c r="M90" s="71">
        <f t="shared" si="25"/>
        <v>0</v>
      </c>
      <c r="N90" s="71">
        <f t="shared" si="25"/>
        <v>0</v>
      </c>
      <c r="O90" s="71">
        <f t="shared" si="25"/>
        <v>0</v>
      </c>
      <c r="P90" s="71">
        <f t="shared" si="25"/>
        <v>0</v>
      </c>
      <c r="Q90" s="71">
        <f t="shared" si="25"/>
        <v>0</v>
      </c>
      <c r="R90" s="71">
        <f t="shared" si="25"/>
        <v>0</v>
      </c>
      <c r="S90" s="71">
        <f t="shared" si="25"/>
        <v>0</v>
      </c>
      <c r="T90" s="71">
        <f t="shared" si="25"/>
        <v>0</v>
      </c>
      <c r="U90" s="71">
        <f t="shared" si="25"/>
        <v>0</v>
      </c>
      <c r="V90" s="71">
        <f t="shared" si="25"/>
        <v>0</v>
      </c>
      <c r="W90" s="71">
        <f t="shared" si="25"/>
        <v>0</v>
      </c>
      <c r="X90" s="71">
        <f t="shared" si="25"/>
        <v>0</v>
      </c>
      <c r="Y90" s="71">
        <f t="shared" si="25"/>
        <v>0</v>
      </c>
      <c r="Z90" s="71">
        <f t="shared" si="25"/>
        <v>0</v>
      </c>
      <c r="AA90" s="71">
        <f t="shared" si="25"/>
        <v>0</v>
      </c>
      <c r="AB90" s="71">
        <f t="shared" si="25"/>
        <v>0</v>
      </c>
      <c r="AC90" s="71">
        <f t="shared" si="25"/>
        <v>0</v>
      </c>
      <c r="AD90" s="71">
        <f t="shared" si="25"/>
        <v>0</v>
      </c>
      <c r="AE90" s="71">
        <f t="shared" si="25"/>
        <v>0</v>
      </c>
      <c r="AF90" s="71">
        <f t="shared" si="25"/>
        <v>0</v>
      </c>
      <c r="AG90" s="71">
        <f t="shared" si="25"/>
        <v>0</v>
      </c>
      <c r="AH90" s="71">
        <f t="shared" si="25"/>
        <v>1000</v>
      </c>
      <c r="AI90" s="71">
        <f t="shared" si="25"/>
        <v>100</v>
      </c>
      <c r="AJ90" s="71">
        <f t="shared" si="25"/>
        <v>10</v>
      </c>
      <c r="AK90" s="71">
        <f t="shared" si="25"/>
        <v>1</v>
      </c>
    </row>
    <row r="91" spans="6:37" s="45" customFormat="1" x14ac:dyDescent="0.2">
      <c r="F91" s="71">
        <f t="shared" si="25"/>
        <v>0</v>
      </c>
      <c r="G91" s="71">
        <f t="shared" si="25"/>
        <v>0</v>
      </c>
      <c r="H91" s="71">
        <f t="shared" si="25"/>
        <v>0</v>
      </c>
      <c r="I91" s="71">
        <f t="shared" si="25"/>
        <v>0</v>
      </c>
      <c r="J91" s="71">
        <f t="shared" si="25"/>
        <v>0</v>
      </c>
      <c r="K91" s="71">
        <f t="shared" si="25"/>
        <v>0</v>
      </c>
      <c r="L91" s="71">
        <f t="shared" si="25"/>
        <v>0</v>
      </c>
      <c r="M91" s="71">
        <f t="shared" si="25"/>
        <v>0</v>
      </c>
      <c r="N91" s="71">
        <f t="shared" si="25"/>
        <v>0</v>
      </c>
      <c r="O91" s="71">
        <f t="shared" si="25"/>
        <v>0</v>
      </c>
      <c r="P91" s="71">
        <f t="shared" si="25"/>
        <v>0</v>
      </c>
      <c r="Q91" s="71">
        <f t="shared" si="25"/>
        <v>0</v>
      </c>
      <c r="R91" s="71">
        <f t="shared" si="25"/>
        <v>0</v>
      </c>
      <c r="S91" s="71">
        <f t="shared" si="25"/>
        <v>0</v>
      </c>
      <c r="T91" s="71">
        <f t="shared" si="25"/>
        <v>0</v>
      </c>
      <c r="U91" s="71">
        <f t="shared" si="25"/>
        <v>0</v>
      </c>
      <c r="V91" s="71">
        <f t="shared" si="25"/>
        <v>0</v>
      </c>
      <c r="W91" s="71">
        <f t="shared" si="25"/>
        <v>0</v>
      </c>
      <c r="X91" s="71">
        <f t="shared" si="25"/>
        <v>0</v>
      </c>
      <c r="Y91" s="71">
        <f t="shared" si="25"/>
        <v>0</v>
      </c>
      <c r="Z91" s="71">
        <f t="shared" si="25"/>
        <v>0</v>
      </c>
      <c r="AA91" s="71">
        <f t="shared" si="25"/>
        <v>0</v>
      </c>
      <c r="AB91" s="71">
        <f t="shared" si="25"/>
        <v>0</v>
      </c>
      <c r="AC91" s="71">
        <f t="shared" si="25"/>
        <v>0</v>
      </c>
      <c r="AD91" s="71">
        <f t="shared" si="25"/>
        <v>300</v>
      </c>
      <c r="AE91" s="71">
        <f t="shared" si="25"/>
        <v>20</v>
      </c>
      <c r="AF91" s="71">
        <f t="shared" si="25"/>
        <v>1</v>
      </c>
      <c r="AG91" s="71">
        <f t="shared" si="25"/>
        <v>0</v>
      </c>
      <c r="AH91" s="71">
        <f t="shared" si="25"/>
        <v>-300</v>
      </c>
      <c r="AI91" s="71">
        <f t="shared" si="25"/>
        <v>-20</v>
      </c>
      <c r="AJ91" s="71">
        <f t="shared" si="25"/>
        <v>-1</v>
      </c>
      <c r="AK91" s="71">
        <f t="shared" si="25"/>
        <v>0</v>
      </c>
    </row>
    <row r="92" spans="6:37" s="45" customFormat="1" x14ac:dyDescent="0.2">
      <c r="F92" s="71">
        <f t="shared" si="25"/>
        <v>0</v>
      </c>
      <c r="G92" s="71">
        <f t="shared" si="25"/>
        <v>0</v>
      </c>
      <c r="H92" s="71">
        <f t="shared" si="25"/>
        <v>0</v>
      </c>
      <c r="I92" s="71">
        <f t="shared" si="25"/>
        <v>0</v>
      </c>
      <c r="J92" s="71">
        <f t="shared" si="25"/>
        <v>0</v>
      </c>
      <c r="K92" s="71">
        <f t="shared" si="25"/>
        <v>0</v>
      </c>
      <c r="L92" s="71">
        <f t="shared" si="25"/>
        <v>0</v>
      </c>
      <c r="M92" s="71">
        <f t="shared" si="25"/>
        <v>0</v>
      </c>
      <c r="N92" s="71">
        <f t="shared" si="25"/>
        <v>0</v>
      </c>
      <c r="O92" s="71">
        <f t="shared" si="25"/>
        <v>0</v>
      </c>
      <c r="P92" s="71">
        <f t="shared" si="25"/>
        <v>0</v>
      </c>
      <c r="Q92" s="71">
        <f t="shared" si="25"/>
        <v>0</v>
      </c>
      <c r="R92" s="71">
        <f t="shared" si="25"/>
        <v>0</v>
      </c>
      <c r="S92" s="71">
        <f t="shared" si="25"/>
        <v>0</v>
      </c>
      <c r="T92" s="71">
        <f t="shared" si="25"/>
        <v>0</v>
      </c>
      <c r="U92" s="71">
        <f t="shared" si="25"/>
        <v>0</v>
      </c>
      <c r="V92" s="71">
        <f t="shared" si="25"/>
        <v>0</v>
      </c>
      <c r="W92" s="71">
        <f t="shared" si="25"/>
        <v>0</v>
      </c>
      <c r="X92" s="71">
        <f t="shared" si="25"/>
        <v>0</v>
      </c>
      <c r="Y92" s="71">
        <f t="shared" si="25"/>
        <v>0</v>
      </c>
      <c r="Z92" s="71">
        <f t="shared" si="25"/>
        <v>0</v>
      </c>
      <c r="AA92" s="71">
        <f t="shared" si="25"/>
        <v>0</v>
      </c>
      <c r="AB92" s="71">
        <f t="shared" si="25"/>
        <v>0</v>
      </c>
      <c r="AC92" s="71">
        <f t="shared" si="25"/>
        <v>0</v>
      </c>
      <c r="AD92" s="71">
        <f t="shared" si="25"/>
        <v>60</v>
      </c>
      <c r="AE92" s="71">
        <f t="shared" si="25"/>
        <v>2</v>
      </c>
      <c r="AF92" s="71">
        <f t="shared" si="25"/>
        <v>0</v>
      </c>
      <c r="AG92" s="71">
        <f t="shared" si="25"/>
        <v>0</v>
      </c>
      <c r="AH92" s="71">
        <f t="shared" si="25"/>
        <v>-60</v>
      </c>
      <c r="AI92" s="71">
        <f t="shared" si="25"/>
        <v>-2</v>
      </c>
      <c r="AJ92" s="71">
        <f t="shared" si="25"/>
        <v>0</v>
      </c>
      <c r="AK92" s="71">
        <f t="shared" si="25"/>
        <v>0</v>
      </c>
    </row>
    <row r="93" spans="6:37" s="45" customFormat="1" x14ac:dyDescent="0.2">
      <c r="F93" s="71">
        <f t="shared" si="25"/>
        <v>0</v>
      </c>
      <c r="G93" s="71">
        <f t="shared" si="25"/>
        <v>0</v>
      </c>
      <c r="H93" s="71">
        <f t="shared" si="25"/>
        <v>0</v>
      </c>
      <c r="I93" s="71">
        <f t="shared" si="25"/>
        <v>1</v>
      </c>
      <c r="J93" s="71">
        <f t="shared" si="25"/>
        <v>0</v>
      </c>
      <c r="K93" s="71">
        <f t="shared" si="25"/>
        <v>0</v>
      </c>
      <c r="L93" s="71">
        <f t="shared" si="25"/>
        <v>0</v>
      </c>
      <c r="M93" s="71">
        <f t="shared" si="25"/>
        <v>0</v>
      </c>
      <c r="N93" s="71">
        <f t="shared" si="25"/>
        <v>0</v>
      </c>
      <c r="O93" s="71">
        <f t="shared" si="25"/>
        <v>0</v>
      </c>
      <c r="P93" s="71">
        <f t="shared" si="25"/>
        <v>0</v>
      </c>
      <c r="Q93" s="71">
        <f t="shared" si="25"/>
        <v>0</v>
      </c>
      <c r="R93" s="71">
        <f t="shared" si="25"/>
        <v>0</v>
      </c>
      <c r="S93" s="71">
        <f t="shared" si="25"/>
        <v>0</v>
      </c>
      <c r="T93" s="71">
        <f t="shared" si="25"/>
        <v>0</v>
      </c>
      <c r="U93" s="71">
        <f t="shared" si="25"/>
        <v>0</v>
      </c>
      <c r="V93" s="71">
        <f t="shared" si="25"/>
        <v>0</v>
      </c>
      <c r="W93" s="71">
        <f t="shared" si="25"/>
        <v>0</v>
      </c>
      <c r="X93" s="71">
        <f t="shared" si="25"/>
        <v>0</v>
      </c>
      <c r="Y93" s="71">
        <f t="shared" si="25"/>
        <v>0</v>
      </c>
      <c r="Z93" s="71">
        <f t="shared" si="25"/>
        <v>0</v>
      </c>
      <c r="AA93" s="71">
        <f t="shared" si="25"/>
        <v>0</v>
      </c>
      <c r="AB93" s="71">
        <f t="shared" si="25"/>
        <v>0</v>
      </c>
      <c r="AC93" s="71">
        <f t="shared" si="25"/>
        <v>0</v>
      </c>
      <c r="AD93" s="71">
        <f t="shared" si="25"/>
        <v>0</v>
      </c>
      <c r="AE93" s="71">
        <f t="shared" si="25"/>
        <v>0</v>
      </c>
      <c r="AF93" s="71">
        <f t="shared" si="25"/>
        <v>0</v>
      </c>
      <c r="AG93" s="71">
        <f t="shared" si="25"/>
        <v>0</v>
      </c>
      <c r="AH93" s="71">
        <f t="shared" si="25"/>
        <v>0</v>
      </c>
      <c r="AI93" s="71">
        <f t="shared" si="25"/>
        <v>0</v>
      </c>
      <c r="AJ93" s="71">
        <f t="shared" si="25"/>
        <v>0</v>
      </c>
      <c r="AK93" s="71">
        <f t="shared" si="25"/>
        <v>0</v>
      </c>
    </row>
    <row r="94" spans="6:37" s="45" customFormat="1" x14ac:dyDescent="0.2">
      <c r="F94" s="71">
        <f t="shared" si="25"/>
        <v>0</v>
      </c>
      <c r="G94" s="71">
        <f t="shared" si="25"/>
        <v>2</v>
      </c>
      <c r="H94" s="71">
        <f t="shared" si="25"/>
        <v>0</v>
      </c>
      <c r="I94" s="71">
        <f t="shared" si="25"/>
        <v>0</v>
      </c>
      <c r="J94" s="71">
        <f t="shared" si="25"/>
        <v>0</v>
      </c>
      <c r="K94" s="71">
        <f t="shared" si="25"/>
        <v>0</v>
      </c>
      <c r="L94" s="71">
        <f t="shared" si="25"/>
        <v>0</v>
      </c>
      <c r="M94" s="71">
        <f t="shared" si="25"/>
        <v>0</v>
      </c>
      <c r="N94" s="71">
        <f t="shared" si="25"/>
        <v>0</v>
      </c>
      <c r="O94" s="71">
        <f t="shared" si="25"/>
        <v>0</v>
      </c>
      <c r="P94" s="71">
        <f t="shared" si="25"/>
        <v>0</v>
      </c>
      <c r="Q94" s="71">
        <f t="shared" si="25"/>
        <v>0</v>
      </c>
      <c r="R94" s="71">
        <f t="shared" si="25"/>
        <v>0</v>
      </c>
      <c r="S94" s="71">
        <f t="shared" si="25"/>
        <v>0</v>
      </c>
      <c r="T94" s="71">
        <f t="shared" si="25"/>
        <v>0</v>
      </c>
      <c r="U94" s="71">
        <f t="shared" si="25"/>
        <v>0</v>
      </c>
      <c r="V94" s="71">
        <f t="shared" si="25"/>
        <v>0</v>
      </c>
      <c r="W94" s="71">
        <f t="shared" si="25"/>
        <v>0</v>
      </c>
      <c r="X94" s="71">
        <f t="shared" si="25"/>
        <v>0</v>
      </c>
      <c r="Y94" s="71">
        <f t="shared" si="25"/>
        <v>0</v>
      </c>
      <c r="Z94" s="71">
        <f t="shared" si="25"/>
        <v>0</v>
      </c>
      <c r="AA94" s="71">
        <f t="shared" si="25"/>
        <v>0</v>
      </c>
      <c r="AB94" s="71">
        <f t="shared" si="25"/>
        <v>0</v>
      </c>
      <c r="AC94" s="71">
        <f t="shared" si="25"/>
        <v>0</v>
      </c>
      <c r="AD94" s="71">
        <f t="shared" si="25"/>
        <v>0</v>
      </c>
      <c r="AE94" s="71">
        <f t="shared" si="25"/>
        <v>0</v>
      </c>
      <c r="AF94" s="71">
        <f t="shared" si="25"/>
        <v>0</v>
      </c>
      <c r="AG94" s="71">
        <f t="shared" si="25"/>
        <v>0</v>
      </c>
      <c r="AH94" s="71">
        <f t="shared" si="25"/>
        <v>0</v>
      </c>
      <c r="AI94" s="71">
        <f t="shared" si="25"/>
        <v>0</v>
      </c>
      <c r="AJ94" s="71">
        <f t="shared" si="25"/>
        <v>0</v>
      </c>
      <c r="AK94" s="71">
        <f t="shared" si="25"/>
        <v>0</v>
      </c>
    </row>
    <row r="95" spans="6:37" s="45" customFormat="1" x14ac:dyDescent="0.2">
      <c r="F95" s="71">
        <f t="shared" si="25"/>
        <v>0</v>
      </c>
      <c r="G95" s="71">
        <f t="shared" si="25"/>
        <v>0</v>
      </c>
      <c r="H95" s="71">
        <f t="shared" si="25"/>
        <v>0</v>
      </c>
      <c r="I95" s="71">
        <f t="shared" si="25"/>
        <v>0</v>
      </c>
      <c r="J95" s="71">
        <f t="shared" si="25"/>
        <v>0</v>
      </c>
      <c r="K95" s="71">
        <f t="shared" si="25"/>
        <v>0</v>
      </c>
      <c r="L95" s="71">
        <f t="shared" si="25"/>
        <v>0</v>
      </c>
      <c r="M95" s="71">
        <f t="shared" si="25"/>
        <v>0</v>
      </c>
      <c r="N95" s="71">
        <f t="shared" si="25"/>
        <v>0</v>
      </c>
      <c r="O95" s="71">
        <f t="shared" si="25"/>
        <v>0</v>
      </c>
      <c r="P95" s="71">
        <f t="shared" si="25"/>
        <v>0</v>
      </c>
      <c r="Q95" s="71">
        <f t="shared" si="25"/>
        <v>0</v>
      </c>
      <c r="R95" s="71">
        <f t="shared" si="25"/>
        <v>0</v>
      </c>
      <c r="S95" s="71">
        <f t="shared" si="25"/>
        <v>0</v>
      </c>
      <c r="T95" s="71">
        <f t="shared" si="25"/>
        <v>0</v>
      </c>
      <c r="U95" s="71">
        <f t="shared" si="25"/>
        <v>0</v>
      </c>
      <c r="V95" s="71">
        <f t="shared" si="25"/>
        <v>0</v>
      </c>
      <c r="W95" s="71">
        <f t="shared" si="25"/>
        <v>0</v>
      </c>
      <c r="X95" s="71">
        <f t="shared" si="25"/>
        <v>0</v>
      </c>
      <c r="Y95" s="71">
        <f t="shared" si="25"/>
        <v>0</v>
      </c>
      <c r="Z95" s="71">
        <f t="shared" si="25"/>
        <v>0</v>
      </c>
      <c r="AA95" s="71">
        <f t="shared" si="25"/>
        <v>0</v>
      </c>
      <c r="AB95" s="71">
        <f t="shared" si="25"/>
        <v>0</v>
      </c>
      <c r="AC95" s="71">
        <f t="shared" si="25"/>
        <v>0</v>
      </c>
      <c r="AD95" s="71">
        <f t="shared" si="25"/>
        <v>0</v>
      </c>
      <c r="AE95" s="71">
        <f t="shared" si="25"/>
        <v>0</v>
      </c>
      <c r="AF95" s="71">
        <f t="shared" si="25"/>
        <v>0</v>
      </c>
      <c r="AG95" s="71">
        <f t="shared" si="25"/>
        <v>0</v>
      </c>
      <c r="AH95" s="71">
        <f t="shared" si="25"/>
        <v>27000</v>
      </c>
      <c r="AI95" s="71">
        <f t="shared" si="25"/>
        <v>900</v>
      </c>
      <c r="AJ95" s="71">
        <f t="shared" si="25"/>
        <v>30</v>
      </c>
      <c r="AK95" s="71">
        <f t="shared" si="25"/>
        <v>1</v>
      </c>
    </row>
    <row r="96" spans="6:37" s="45" customFormat="1" x14ac:dyDescent="0.2">
      <c r="F96" s="71">
        <f t="shared" si="25"/>
        <v>0</v>
      </c>
      <c r="G96" s="71">
        <f t="shared" si="25"/>
        <v>0</v>
      </c>
      <c r="H96" s="71">
        <f t="shared" si="25"/>
        <v>0</v>
      </c>
      <c r="I96" s="71">
        <f t="shared" si="25"/>
        <v>0</v>
      </c>
      <c r="J96" s="71">
        <f t="shared" si="25"/>
        <v>0</v>
      </c>
      <c r="K96" s="71">
        <f t="shared" si="25"/>
        <v>0</v>
      </c>
      <c r="L96" s="71">
        <f t="shared" si="25"/>
        <v>0</v>
      </c>
      <c r="M96" s="71">
        <f t="shared" si="25"/>
        <v>0</v>
      </c>
      <c r="N96" s="71">
        <f t="shared" si="25"/>
        <v>0</v>
      </c>
      <c r="O96" s="71">
        <f t="shared" si="25"/>
        <v>0</v>
      </c>
      <c r="P96" s="71">
        <f t="shared" si="25"/>
        <v>0</v>
      </c>
      <c r="Q96" s="71">
        <f t="shared" si="25"/>
        <v>0</v>
      </c>
      <c r="R96" s="71">
        <f t="shared" si="25"/>
        <v>0</v>
      </c>
      <c r="S96" s="71">
        <f t="shared" si="25"/>
        <v>0</v>
      </c>
      <c r="T96" s="71">
        <f t="shared" si="25"/>
        <v>0</v>
      </c>
      <c r="U96" s="71">
        <f t="shared" si="25"/>
        <v>0</v>
      </c>
      <c r="V96" s="71">
        <f t="shared" si="25"/>
        <v>0</v>
      </c>
      <c r="W96" s="71">
        <f t="shared" si="25"/>
        <v>0</v>
      </c>
      <c r="X96" s="71">
        <f t="shared" si="25"/>
        <v>0</v>
      </c>
      <c r="Y96" s="71">
        <f t="shared" si="25"/>
        <v>0</v>
      </c>
      <c r="Z96" s="71">
        <f t="shared" si="25"/>
        <v>0</v>
      </c>
      <c r="AA96" s="71">
        <f t="shared" si="25"/>
        <v>0</v>
      </c>
      <c r="AB96" s="71">
        <f t="shared" si="25"/>
        <v>0</v>
      </c>
      <c r="AC96" s="71">
        <f t="shared" si="25"/>
        <v>0</v>
      </c>
      <c r="AD96" s="71">
        <f t="shared" si="25"/>
        <v>0</v>
      </c>
      <c r="AE96" s="71">
        <f t="shared" si="25"/>
        <v>0</v>
      </c>
      <c r="AF96" s="71">
        <f t="shared" si="25"/>
        <v>0</v>
      </c>
      <c r="AG96" s="71">
        <f t="shared" si="25"/>
        <v>0</v>
      </c>
      <c r="AH96" s="71">
        <f t="shared" si="25"/>
        <v>180</v>
      </c>
      <c r="AI96" s="71">
        <f t="shared" si="25"/>
        <v>2</v>
      </c>
      <c r="AJ96" s="71">
        <f t="shared" si="25"/>
        <v>0</v>
      </c>
      <c r="AK96" s="71">
        <f t="shared" si="25"/>
        <v>0</v>
      </c>
    </row>
    <row r="97" spans="3:43" x14ac:dyDescent="0.2">
      <c r="AO97" s="45"/>
      <c r="AP97" s="45"/>
      <c r="AQ97" s="45"/>
    </row>
    <row r="98" spans="3:43" x14ac:dyDescent="0.2">
      <c r="AO98" s="45"/>
      <c r="AP98" s="45"/>
      <c r="AQ98" s="45"/>
    </row>
    <row r="99" spans="3:43" s="26" customFormat="1" x14ac:dyDescent="0.2">
      <c r="C99" s="26" t="s">
        <v>163</v>
      </c>
      <c r="D99" s="26" t="s">
        <v>199</v>
      </c>
      <c r="E99" s="26" t="s">
        <v>200</v>
      </c>
      <c r="AO99" s="45"/>
      <c r="AP99" s="45"/>
      <c r="AQ99" s="45"/>
    </row>
    <row r="100" spans="3:43" x14ac:dyDescent="0.2">
      <c r="C100" s="45">
        <v>1</v>
      </c>
      <c r="D100" s="45">
        <v>0</v>
      </c>
      <c r="E100" s="85">
        <f t="shared" ref="E100:E163" ca="1" si="26">INDIRECT("a_" &amp; i) * t^3 + INDIRECT("b_" &amp; i) * t^2 + INDIRECT("c_" &amp; i) * t^1 + INDIRECT("d_" &amp; i)</f>
        <v>-7.839151029209042E-17</v>
      </c>
      <c r="AO100" s="45"/>
      <c r="AP100" s="45"/>
      <c r="AQ100" s="45"/>
    </row>
    <row r="101" spans="3:43" x14ac:dyDescent="0.2">
      <c r="C101" s="45">
        <v>1</v>
      </c>
      <c r="D101" s="45">
        <v>0.1</v>
      </c>
      <c r="E101" s="85">
        <f t="shared" ca="1" si="26"/>
        <v>1.9782185860547689E-3</v>
      </c>
      <c r="AO101" s="45"/>
      <c r="AP101" s="45"/>
      <c r="AQ101" s="45"/>
    </row>
    <row r="102" spans="3:43" x14ac:dyDescent="0.2">
      <c r="C102" s="45">
        <v>1</v>
      </c>
      <c r="D102" s="45">
        <v>0.2</v>
      </c>
      <c r="E102" s="85">
        <f t="shared" ca="1" si="26"/>
        <v>3.9577572578032632E-3</v>
      </c>
      <c r="AO102" s="45"/>
      <c r="AP102" s="45"/>
      <c r="AQ102" s="45"/>
    </row>
    <row r="103" spans="3:43" x14ac:dyDescent="0.2">
      <c r="C103" s="45">
        <v>1</v>
      </c>
      <c r="D103" s="45">
        <v>0.3</v>
      </c>
      <c r="E103" s="85">
        <f t="shared" ca="1" si="26"/>
        <v>5.9399361009390495E-3</v>
      </c>
      <c r="AO103" s="45"/>
      <c r="AP103" s="45"/>
      <c r="AQ103" s="45"/>
    </row>
    <row r="104" spans="3:43" x14ac:dyDescent="0.2">
      <c r="C104" s="45">
        <v>1</v>
      </c>
      <c r="D104" s="45">
        <v>0.4</v>
      </c>
      <c r="E104" s="85">
        <f t="shared" ca="1" si="26"/>
        <v>7.926075201155772E-3</v>
      </c>
      <c r="AO104" s="45"/>
      <c r="AP104" s="45"/>
      <c r="AQ104" s="45"/>
    </row>
    <row r="105" spans="3:43" x14ac:dyDescent="0.2">
      <c r="C105" s="45">
        <v>1</v>
      </c>
      <c r="D105" s="45">
        <v>0.5</v>
      </c>
      <c r="E105" s="85">
        <f t="shared" ca="1" si="26"/>
        <v>9.9174946441470818E-3</v>
      </c>
      <c r="AO105" s="45"/>
      <c r="AP105" s="45"/>
      <c r="AQ105" s="45"/>
    </row>
    <row r="106" spans="3:43" x14ac:dyDescent="0.2">
      <c r="C106" s="45">
        <v>1</v>
      </c>
      <c r="D106" s="45">
        <v>0.6</v>
      </c>
      <c r="E106" s="85">
        <f t="shared" ca="1" si="26"/>
        <v>1.191551451560662E-2</v>
      </c>
      <c r="AO106" s="45"/>
      <c r="AP106" s="45"/>
      <c r="AQ106" s="45"/>
    </row>
    <row r="107" spans="3:43" x14ac:dyDescent="0.2">
      <c r="C107" s="45">
        <v>1</v>
      </c>
      <c r="D107" s="45">
        <v>0.7</v>
      </c>
      <c r="E107" s="85">
        <f t="shared" ca="1" si="26"/>
        <v>1.3921454901228035E-2</v>
      </c>
      <c r="AO107" s="45"/>
      <c r="AP107" s="45"/>
      <c r="AQ107" s="45"/>
    </row>
    <row r="108" spans="3:43" x14ac:dyDescent="0.2">
      <c r="C108" s="45">
        <v>1</v>
      </c>
      <c r="D108" s="45">
        <v>0.8</v>
      </c>
      <c r="E108" s="85">
        <f t="shared" ca="1" si="26"/>
        <v>1.5936635886704971E-2</v>
      </c>
      <c r="AO108" s="45"/>
      <c r="AP108" s="45"/>
      <c r="AQ108" s="45"/>
    </row>
    <row r="109" spans="3:43" x14ac:dyDescent="0.2">
      <c r="C109" s="45">
        <v>1</v>
      </c>
      <c r="D109" s="45">
        <v>0.9</v>
      </c>
      <c r="E109" s="85">
        <f t="shared" ca="1" si="26"/>
        <v>1.7962377557731078E-2</v>
      </c>
      <c r="AO109" s="45"/>
      <c r="AP109" s="45"/>
      <c r="AQ109" s="45"/>
    </row>
    <row r="110" spans="3:43" x14ac:dyDescent="0.2">
      <c r="C110" s="45">
        <v>2</v>
      </c>
      <c r="D110" s="45">
        <v>1</v>
      </c>
      <c r="E110" s="85">
        <f t="shared" ca="1" si="26"/>
        <v>1.9999999999999959E-2</v>
      </c>
      <c r="F110" s="84"/>
      <c r="G110" s="86"/>
      <c r="AO110" s="45"/>
      <c r="AP110" s="45"/>
      <c r="AQ110" s="45"/>
    </row>
    <row r="111" spans="3:43" x14ac:dyDescent="0.2">
      <c r="C111" s="45">
        <v>2</v>
      </c>
      <c r="D111" s="45">
        <v>1.1000000000000001</v>
      </c>
      <c r="E111" s="85">
        <f t="shared" ca="1" si="26"/>
        <v>2.2047372509591698E-2</v>
      </c>
      <c r="AO111" s="45"/>
      <c r="AP111" s="45"/>
      <c r="AQ111" s="45"/>
    </row>
    <row r="112" spans="3:43" x14ac:dyDescent="0.2">
      <c r="C112" s="45">
        <v>2</v>
      </c>
      <c r="D112" s="45">
        <v>1.2</v>
      </c>
      <c r="E112" s="85">
        <f t="shared" ca="1" si="26"/>
        <v>2.4088561224131659E-2</v>
      </c>
      <c r="AO112" s="45"/>
      <c r="AP112" s="45"/>
      <c r="AQ112" s="45"/>
    </row>
    <row r="113" spans="3:6" s="45" customFormat="1" x14ac:dyDescent="0.2">
      <c r="C113" s="45">
        <v>2</v>
      </c>
      <c r="D113" s="45">
        <v>1.3</v>
      </c>
      <c r="E113" s="85">
        <f t="shared" ca="1" si="26"/>
        <v>2.6104181491631628E-2</v>
      </c>
    </row>
    <row r="114" spans="3:6" s="45" customFormat="1" x14ac:dyDescent="0.2">
      <c r="C114" s="45">
        <v>2</v>
      </c>
      <c r="D114" s="45">
        <v>1.4</v>
      </c>
      <c r="E114" s="85">
        <f t="shared" ca="1" si="26"/>
        <v>2.807484866010336E-2</v>
      </c>
    </row>
    <row r="115" spans="3:6" s="45" customFormat="1" x14ac:dyDescent="0.2">
      <c r="C115" s="45">
        <v>2</v>
      </c>
      <c r="D115" s="45">
        <v>1.5</v>
      </c>
      <c r="E115" s="85">
        <f t="shared" ca="1" si="26"/>
        <v>2.9981178077558637E-2</v>
      </c>
    </row>
    <row r="116" spans="3:6" s="45" customFormat="1" x14ac:dyDescent="0.2">
      <c r="C116" s="45">
        <v>2</v>
      </c>
      <c r="D116" s="45">
        <v>1.6</v>
      </c>
      <c r="E116" s="85">
        <f t="shared" ca="1" si="26"/>
        <v>3.1803785092009228E-2</v>
      </c>
    </row>
    <row r="117" spans="3:6" s="45" customFormat="1" x14ac:dyDescent="0.2">
      <c r="C117" s="45">
        <v>2</v>
      </c>
      <c r="D117" s="45">
        <v>1.7</v>
      </c>
      <c r="E117" s="85">
        <f t="shared" ca="1" si="26"/>
        <v>3.3523285051466879E-2</v>
      </c>
    </row>
    <row r="118" spans="3:6" s="45" customFormat="1" x14ac:dyDescent="0.2">
      <c r="C118" s="45">
        <v>2</v>
      </c>
      <c r="D118" s="45">
        <v>1.8</v>
      </c>
      <c r="E118" s="85">
        <f t="shared" ca="1" si="26"/>
        <v>3.5120293303943388E-2</v>
      </c>
    </row>
    <row r="119" spans="3:6" s="45" customFormat="1" x14ac:dyDescent="0.2">
      <c r="C119" s="45">
        <v>2</v>
      </c>
      <c r="D119" s="45">
        <v>1.9</v>
      </c>
      <c r="E119" s="85">
        <f t="shared" ca="1" si="26"/>
        <v>3.6575425197450516E-2</v>
      </c>
    </row>
    <row r="120" spans="3:6" s="45" customFormat="1" x14ac:dyDescent="0.2">
      <c r="C120" s="45">
        <v>3</v>
      </c>
      <c r="D120" s="45">
        <v>2</v>
      </c>
      <c r="E120" s="85">
        <f t="shared" ca="1" si="26"/>
        <v>3.7869296079999969E-2</v>
      </c>
      <c r="F120" s="84"/>
    </row>
    <row r="121" spans="3:6" s="45" customFormat="1" x14ac:dyDescent="0.2">
      <c r="C121" s="45">
        <v>3</v>
      </c>
      <c r="D121" s="45">
        <v>2.1</v>
      </c>
      <c r="E121" s="85">
        <f t="shared" ca="1" si="26"/>
        <v>3.8989532279398241E-2</v>
      </c>
    </row>
    <row r="122" spans="3:6" s="45" customFormat="1" x14ac:dyDescent="0.2">
      <c r="C122" s="45">
        <v>3</v>
      </c>
      <c r="D122" s="45">
        <v>2.2000000000000002</v>
      </c>
      <c r="E122" s="85">
        <f t="shared" ca="1" si="26"/>
        <v>3.9951804042629969E-2</v>
      </c>
    </row>
    <row r="123" spans="3:6" s="45" customFormat="1" x14ac:dyDescent="0.2">
      <c r="C123" s="45">
        <v>3</v>
      </c>
      <c r="D123" s="45">
        <v>2.2999999999999998</v>
      </c>
      <c r="E123" s="85">
        <f t="shared" ca="1" si="26"/>
        <v>4.0778792596474399E-2</v>
      </c>
    </row>
    <row r="124" spans="3:6" s="45" customFormat="1" x14ac:dyDescent="0.2">
      <c r="C124" s="45">
        <v>3</v>
      </c>
      <c r="D124" s="45">
        <v>2.4</v>
      </c>
      <c r="E124" s="85">
        <f t="shared" ca="1" si="26"/>
        <v>4.1493179167710774E-2</v>
      </c>
    </row>
    <row r="125" spans="3:6" s="45" customFormat="1" x14ac:dyDescent="0.2">
      <c r="C125" s="45">
        <v>3</v>
      </c>
      <c r="D125" s="45">
        <v>2.5</v>
      </c>
      <c r="E125" s="85">
        <f t="shared" ca="1" si="26"/>
        <v>4.2117644983118423E-2</v>
      </c>
    </row>
    <row r="126" spans="3:6" s="45" customFormat="1" x14ac:dyDescent="0.2">
      <c r="C126" s="45">
        <v>3</v>
      </c>
      <c r="D126" s="45">
        <v>2.6</v>
      </c>
      <c r="E126" s="85">
        <f t="shared" ca="1" si="26"/>
        <v>4.2674871269476632E-2</v>
      </c>
    </row>
    <row r="127" spans="3:6" s="45" customFormat="1" x14ac:dyDescent="0.2">
      <c r="C127" s="45">
        <v>3</v>
      </c>
      <c r="D127" s="45">
        <v>2.7</v>
      </c>
      <c r="E127" s="85">
        <f t="shared" ca="1" si="26"/>
        <v>4.3187539253564604E-2</v>
      </c>
    </row>
    <row r="128" spans="3:6" s="45" customFormat="1" x14ac:dyDescent="0.2">
      <c r="C128" s="45">
        <v>3</v>
      </c>
      <c r="D128" s="45">
        <v>2.8</v>
      </c>
      <c r="E128" s="85">
        <f t="shared" ca="1" si="26"/>
        <v>4.3678330162161737E-2</v>
      </c>
    </row>
    <row r="129" spans="3:5" s="45" customFormat="1" x14ac:dyDescent="0.2">
      <c r="C129" s="45">
        <v>3</v>
      </c>
      <c r="D129" s="45">
        <v>2.9</v>
      </c>
      <c r="E129" s="85">
        <f t="shared" ca="1" si="26"/>
        <v>4.4169925222047123E-2</v>
      </c>
    </row>
    <row r="130" spans="3:5" s="45" customFormat="1" x14ac:dyDescent="0.2">
      <c r="C130" s="45">
        <v>4</v>
      </c>
      <c r="D130" s="45">
        <v>3</v>
      </c>
      <c r="E130" s="85">
        <f t="shared" ca="1" si="26"/>
        <v>4.4685005660000235E-2</v>
      </c>
    </row>
    <row r="131" spans="3:5" s="45" customFormat="1" x14ac:dyDescent="0.2">
      <c r="C131" s="45">
        <v>4</v>
      </c>
      <c r="D131" s="45">
        <v>3.1</v>
      </c>
      <c r="E131" s="85">
        <f t="shared" ca="1" si="26"/>
        <v>4.5241636042315486E-2</v>
      </c>
    </row>
    <row r="132" spans="3:5" s="45" customFormat="1" x14ac:dyDescent="0.2">
      <c r="C132" s="45">
        <v>4</v>
      </c>
      <c r="D132" s="45">
        <v>3.2</v>
      </c>
      <c r="E132" s="85">
        <f t="shared" ca="1" si="26"/>
        <v>4.5839414293348757E-2</v>
      </c>
    </row>
    <row r="133" spans="3:5" s="45" customFormat="1" x14ac:dyDescent="0.2">
      <c r="C133" s="45">
        <v>4</v>
      </c>
      <c r="D133" s="45">
        <v>3.3</v>
      </c>
      <c r="E133" s="85">
        <f t="shared" ca="1" si="26"/>
        <v>4.6473321676971199E-2</v>
      </c>
    </row>
    <row r="134" spans="3:5" s="45" customFormat="1" x14ac:dyDescent="0.2">
      <c r="C134" s="45">
        <v>4</v>
      </c>
      <c r="D134" s="45">
        <v>3.4</v>
      </c>
      <c r="E134" s="85">
        <f t="shared" ca="1" si="26"/>
        <v>4.7138339457053938E-2</v>
      </c>
    </row>
    <row r="135" spans="3:5" s="45" customFormat="1" x14ac:dyDescent="0.2">
      <c r="C135" s="45">
        <v>4</v>
      </c>
      <c r="D135" s="45">
        <v>3.5</v>
      </c>
      <c r="E135" s="85">
        <f t="shared" ca="1" si="26"/>
        <v>4.7829448897468096E-2</v>
      </c>
    </row>
    <row r="136" spans="3:5" s="45" customFormat="1" x14ac:dyDescent="0.2">
      <c r="C136" s="45">
        <v>4</v>
      </c>
      <c r="D136" s="45">
        <v>3.6</v>
      </c>
      <c r="E136" s="85">
        <f t="shared" ca="1" si="26"/>
        <v>4.8541631262084828E-2</v>
      </c>
    </row>
    <row r="137" spans="3:5" s="45" customFormat="1" x14ac:dyDescent="0.2">
      <c r="C137" s="45">
        <v>4</v>
      </c>
      <c r="D137" s="45">
        <v>3.7</v>
      </c>
      <c r="E137" s="85">
        <f t="shared" ca="1" si="26"/>
        <v>4.9269867814775201E-2</v>
      </c>
    </row>
    <row r="138" spans="3:5" s="45" customFormat="1" x14ac:dyDescent="0.2">
      <c r="C138" s="45">
        <v>4</v>
      </c>
      <c r="D138" s="45">
        <v>3.8</v>
      </c>
      <c r="E138" s="85">
        <f t="shared" ca="1" si="26"/>
        <v>5.0009139819410409E-2</v>
      </c>
    </row>
    <row r="139" spans="3:5" s="45" customFormat="1" x14ac:dyDescent="0.2">
      <c r="C139" s="45">
        <v>4</v>
      </c>
      <c r="D139" s="45">
        <v>3.9</v>
      </c>
      <c r="E139" s="85">
        <f t="shared" ca="1" si="26"/>
        <v>5.0754428539861535E-2</v>
      </c>
    </row>
    <row r="140" spans="3:5" s="45" customFormat="1" x14ac:dyDescent="0.2">
      <c r="C140" s="45">
        <v>5</v>
      </c>
      <c r="D140" s="45">
        <v>4</v>
      </c>
      <c r="E140" s="85">
        <f t="shared" ca="1" si="26"/>
        <v>5.1500715239999349E-2</v>
      </c>
    </row>
    <row r="141" spans="3:5" s="45" customFormat="1" x14ac:dyDescent="0.2">
      <c r="C141" s="45">
        <v>5</v>
      </c>
      <c r="D141" s="45">
        <v>4.0999999999999996</v>
      </c>
      <c r="E141" s="85">
        <f t="shared" ca="1" si="26"/>
        <v>5.2243383259339998E-2</v>
      </c>
    </row>
    <row r="142" spans="3:5" s="45" customFormat="1" x14ac:dyDescent="0.2">
      <c r="C142" s="45">
        <v>5</v>
      </c>
      <c r="D142" s="45">
        <v>4.2</v>
      </c>
      <c r="E142" s="85">
        <f t="shared" ca="1" si="26"/>
        <v>5.2979424239975044E-2</v>
      </c>
    </row>
    <row r="143" spans="3:5" s="45" customFormat="1" x14ac:dyDescent="0.2">
      <c r="C143" s="45">
        <v>5</v>
      </c>
      <c r="D143" s="45">
        <v>4.3</v>
      </c>
      <c r="E143" s="85">
        <f t="shared" ca="1" si="26"/>
        <v>5.370623189964073E-2</v>
      </c>
    </row>
    <row r="144" spans="3:5" s="45" customFormat="1" x14ac:dyDescent="0.2">
      <c r="C144" s="45">
        <v>5</v>
      </c>
      <c r="D144" s="45">
        <v>4.4000000000000004</v>
      </c>
      <c r="E144" s="85">
        <f t="shared" ca="1" si="26"/>
        <v>5.4421199956073252E-2</v>
      </c>
    </row>
    <row r="145" spans="3:5" s="45" customFormat="1" x14ac:dyDescent="0.2">
      <c r="C145" s="45">
        <v>5</v>
      </c>
      <c r="D145" s="45">
        <v>4.5</v>
      </c>
      <c r="E145" s="85">
        <f t="shared" ca="1" si="26"/>
        <v>5.5121722127008832E-2</v>
      </c>
    </row>
    <row r="146" spans="3:5" s="45" customFormat="1" x14ac:dyDescent="0.2">
      <c r="C146" s="45">
        <v>5</v>
      </c>
      <c r="D146" s="45">
        <v>4.5999999999999996</v>
      </c>
      <c r="E146" s="85">
        <f t="shared" ca="1" si="26"/>
        <v>5.580519213018368E-2</v>
      </c>
    </row>
    <row r="147" spans="3:5" s="45" customFormat="1" x14ac:dyDescent="0.2">
      <c r="C147" s="45">
        <v>5</v>
      </c>
      <c r="D147" s="45">
        <v>4.7</v>
      </c>
      <c r="E147" s="85">
        <f t="shared" ca="1" si="26"/>
        <v>5.6469003683334011E-2</v>
      </c>
    </row>
    <row r="148" spans="3:5" s="45" customFormat="1" x14ac:dyDescent="0.2">
      <c r="C148" s="45">
        <v>5</v>
      </c>
      <c r="D148" s="45">
        <v>4.8</v>
      </c>
      <c r="E148" s="85">
        <f t="shared" ca="1" si="26"/>
        <v>5.7110550504196007E-2</v>
      </c>
    </row>
    <row r="149" spans="3:5" s="45" customFormat="1" x14ac:dyDescent="0.2">
      <c r="C149" s="45">
        <v>5</v>
      </c>
      <c r="D149" s="45">
        <v>4.9000000000000004</v>
      </c>
      <c r="E149" s="85">
        <f t="shared" ca="1" si="26"/>
        <v>5.7727226310505947E-2</v>
      </c>
    </row>
    <row r="150" spans="3:5" s="45" customFormat="1" x14ac:dyDescent="0.2">
      <c r="C150" s="45">
        <v>7</v>
      </c>
      <c r="D150" s="45">
        <v>5</v>
      </c>
      <c r="E150" s="85">
        <f t="shared" ca="1" si="26"/>
        <v>5.8316424820001503E-2</v>
      </c>
    </row>
    <row r="151" spans="3:5" s="45" customFormat="1" x14ac:dyDescent="0.2">
      <c r="C151" s="45">
        <v>7</v>
      </c>
      <c r="D151" s="45">
        <v>5.0999999999999996</v>
      </c>
      <c r="E151" s="85">
        <f t="shared" ca="1" si="26"/>
        <v>5.88761417062168E-2</v>
      </c>
    </row>
    <row r="152" spans="3:5" s="45" customFormat="1" x14ac:dyDescent="0.2">
      <c r="C152" s="45">
        <v>7</v>
      </c>
      <c r="D152" s="45">
        <v>5.2</v>
      </c>
      <c r="E152" s="85">
        <f t="shared" ca="1" si="26"/>
        <v>5.9406780465894385E-2</v>
      </c>
    </row>
    <row r="153" spans="3:5" s="45" customFormat="1" x14ac:dyDescent="0.2">
      <c r="C153" s="45">
        <v>7</v>
      </c>
      <c r="D153" s="45">
        <v>5.3</v>
      </c>
      <c r="E153" s="85">
        <f t="shared" ca="1" si="26"/>
        <v>5.9909346551576231E-2</v>
      </c>
    </row>
    <row r="154" spans="3:5" s="45" customFormat="1" x14ac:dyDescent="0.2">
      <c r="C154" s="45">
        <v>7</v>
      </c>
      <c r="D154" s="45">
        <v>5.4</v>
      </c>
      <c r="E154" s="85">
        <f t="shared" ca="1" si="26"/>
        <v>6.0384845415804397E-2</v>
      </c>
    </row>
    <row r="155" spans="3:5" s="45" customFormat="1" x14ac:dyDescent="0.2">
      <c r="C155" s="45">
        <v>7</v>
      </c>
      <c r="D155" s="45">
        <v>5.5</v>
      </c>
      <c r="E155" s="85">
        <f t="shared" ca="1" si="26"/>
        <v>6.0834282511120788E-2</v>
      </c>
    </row>
    <row r="156" spans="3:5" s="45" customFormat="1" x14ac:dyDescent="0.2">
      <c r="C156" s="45">
        <v>7</v>
      </c>
      <c r="D156" s="45">
        <v>5.6</v>
      </c>
      <c r="E156" s="85">
        <f t="shared" ca="1" si="26"/>
        <v>6.1258663290067378E-2</v>
      </c>
    </row>
    <row r="157" spans="3:5" s="45" customFormat="1" x14ac:dyDescent="0.2">
      <c r="C157" s="45">
        <v>7</v>
      </c>
      <c r="D157" s="45">
        <v>5.7</v>
      </c>
      <c r="E157" s="85">
        <f t="shared" ca="1" si="26"/>
        <v>6.1658993205186183E-2</v>
      </c>
    </row>
    <row r="158" spans="3:5" s="45" customFormat="1" x14ac:dyDescent="0.2">
      <c r="C158" s="45">
        <v>7</v>
      </c>
      <c r="D158" s="45">
        <v>5.8</v>
      </c>
      <c r="E158" s="85">
        <f t="shared" ca="1" si="26"/>
        <v>6.2036277709019177E-2</v>
      </c>
    </row>
    <row r="159" spans="3:5" s="45" customFormat="1" x14ac:dyDescent="0.2">
      <c r="C159" s="45">
        <v>7</v>
      </c>
      <c r="D159" s="45">
        <v>5.9</v>
      </c>
      <c r="E159" s="85">
        <f t="shared" ca="1" si="26"/>
        <v>6.2391522254108378E-2</v>
      </c>
    </row>
    <row r="160" spans="3:5" s="45" customFormat="1" x14ac:dyDescent="0.2">
      <c r="C160" s="45">
        <v>7</v>
      </c>
      <c r="D160" s="45">
        <v>6</v>
      </c>
      <c r="E160" s="85">
        <f t="shared" ca="1" si="26"/>
        <v>6.2725732292995676E-2</v>
      </c>
    </row>
    <row r="161" spans="2:5" s="45" customFormat="1" x14ac:dyDescent="0.2">
      <c r="C161" s="45">
        <v>7</v>
      </c>
      <c r="D161" s="45">
        <v>6.1</v>
      </c>
      <c r="E161" s="85">
        <f t="shared" ca="1" si="26"/>
        <v>6.3039913278223128E-2</v>
      </c>
    </row>
    <row r="162" spans="2:5" s="45" customFormat="1" x14ac:dyDescent="0.2">
      <c r="C162" s="45">
        <v>7</v>
      </c>
      <c r="D162" s="45">
        <v>6.2</v>
      </c>
      <c r="E162" s="85">
        <f t="shared" ca="1" si="26"/>
        <v>6.3335070662332696E-2</v>
      </c>
    </row>
    <row r="163" spans="2:5" s="45" customFormat="1" x14ac:dyDescent="0.2">
      <c r="C163" s="45">
        <v>7</v>
      </c>
      <c r="D163" s="45">
        <v>6.3</v>
      </c>
      <c r="E163" s="85">
        <f t="shared" ca="1" si="26"/>
        <v>6.361220989786634E-2</v>
      </c>
    </row>
    <row r="164" spans="2:5" s="45" customFormat="1" x14ac:dyDescent="0.2">
      <c r="C164" s="45">
        <v>7</v>
      </c>
      <c r="D164" s="45">
        <v>6.4</v>
      </c>
      <c r="E164" s="85">
        <f t="shared" ref="E164:E227" ca="1" si="27">INDIRECT("a_" &amp; i) * t^3 + INDIRECT("b_" &amp; i) * t^2 + INDIRECT("c_" &amp; i) * t^1 + INDIRECT("d_" &amp; i)</f>
        <v>6.3872336437366062E-2</v>
      </c>
    </row>
    <row r="165" spans="2:5" s="45" customFormat="1" x14ac:dyDescent="0.2">
      <c r="C165" s="45">
        <v>7</v>
      </c>
      <c r="D165" s="45">
        <v>6.5</v>
      </c>
      <c r="E165" s="85">
        <f t="shared" ca="1" si="27"/>
        <v>6.4116455733373809E-2</v>
      </c>
    </row>
    <row r="166" spans="2:5" s="45" customFormat="1" x14ac:dyDescent="0.2">
      <c r="C166" s="45">
        <v>7</v>
      </c>
      <c r="D166" s="45">
        <v>6.6</v>
      </c>
      <c r="E166" s="85">
        <f t="shared" ca="1" si="27"/>
        <v>6.4345573238431611E-2</v>
      </c>
    </row>
    <row r="167" spans="2:5" s="45" customFormat="1" x14ac:dyDescent="0.2">
      <c r="C167" s="45">
        <v>7</v>
      </c>
      <c r="D167" s="45">
        <v>6.7</v>
      </c>
      <c r="E167" s="85">
        <f t="shared" ca="1" si="27"/>
        <v>6.4560694405081456E-2</v>
      </c>
    </row>
    <row r="168" spans="2:5" s="45" customFormat="1" x14ac:dyDescent="0.2">
      <c r="C168" s="45">
        <v>7</v>
      </c>
      <c r="D168" s="45">
        <v>6.8</v>
      </c>
      <c r="E168" s="85">
        <f t="shared" ca="1" si="27"/>
        <v>6.4762824685865264E-2</v>
      </c>
    </row>
    <row r="169" spans="2:5" s="45" customFormat="1" x14ac:dyDescent="0.2">
      <c r="C169" s="45">
        <v>7</v>
      </c>
      <c r="D169" s="45">
        <v>6.9</v>
      </c>
      <c r="E169" s="85">
        <f t="shared" ca="1" si="27"/>
        <v>6.4952969533325008E-2</v>
      </c>
    </row>
    <row r="170" spans="2:5" s="45" customFormat="1" x14ac:dyDescent="0.2">
      <c r="B170" s="85"/>
      <c r="C170" s="45">
        <v>10</v>
      </c>
      <c r="D170" s="45">
        <v>7</v>
      </c>
      <c r="E170" s="85">
        <f t="shared" ca="1" si="27"/>
        <v>6.5132134399999694E-2</v>
      </c>
    </row>
    <row r="171" spans="2:5" s="45" customFormat="1" x14ac:dyDescent="0.2">
      <c r="C171" s="45">
        <v>10</v>
      </c>
      <c r="D171" s="45">
        <v>7.1</v>
      </c>
      <c r="E171" s="85">
        <f t="shared" ca="1" si="27"/>
        <v>6.5301215193002277E-2</v>
      </c>
    </row>
    <row r="172" spans="2:5" s="45" customFormat="1" x14ac:dyDescent="0.2">
      <c r="C172" s="45">
        <v>10</v>
      </c>
      <c r="D172" s="45">
        <v>7.2</v>
      </c>
      <c r="E172" s="85">
        <f t="shared" ca="1" si="27"/>
        <v>6.5460669637696811E-2</v>
      </c>
    </row>
    <row r="173" spans="2:5" s="45" customFormat="1" x14ac:dyDescent="0.2">
      <c r="C173" s="45">
        <v>10</v>
      </c>
      <c r="D173" s="45">
        <v>7.3</v>
      </c>
      <c r="E173" s="85">
        <f t="shared" ca="1" si="27"/>
        <v>6.5610845914015281E-2</v>
      </c>
    </row>
    <row r="174" spans="2:5" s="45" customFormat="1" x14ac:dyDescent="0.2">
      <c r="C174" s="45">
        <v>10</v>
      </c>
      <c r="D174" s="45">
        <v>7.4</v>
      </c>
      <c r="E174" s="85">
        <f t="shared" ca="1" si="27"/>
        <v>6.5752092201889684E-2</v>
      </c>
    </row>
    <row r="175" spans="2:5" s="45" customFormat="1" x14ac:dyDescent="0.2">
      <c r="C175" s="45">
        <v>10</v>
      </c>
      <c r="D175" s="45">
        <v>7.5</v>
      </c>
      <c r="E175" s="85">
        <f t="shared" ca="1" si="27"/>
        <v>6.5884756681252016E-2</v>
      </c>
    </row>
    <row r="176" spans="2:5" s="45" customFormat="1" x14ac:dyDescent="0.2">
      <c r="C176" s="45">
        <v>10</v>
      </c>
      <c r="D176" s="45">
        <v>7.6</v>
      </c>
      <c r="E176" s="85">
        <f t="shared" ca="1" si="27"/>
        <v>6.6009187532034302E-2</v>
      </c>
    </row>
    <row r="177" spans="3:5" s="45" customFormat="1" x14ac:dyDescent="0.2">
      <c r="C177" s="45">
        <v>10</v>
      </c>
      <c r="D177" s="45">
        <v>7.7</v>
      </c>
      <c r="E177" s="85">
        <f t="shared" ca="1" si="27"/>
        <v>6.6125732934168541E-2</v>
      </c>
    </row>
    <row r="178" spans="3:5" s="45" customFormat="1" x14ac:dyDescent="0.2">
      <c r="C178" s="45">
        <v>10</v>
      </c>
      <c r="D178" s="45">
        <v>7.8</v>
      </c>
      <c r="E178" s="85">
        <f t="shared" ca="1" si="27"/>
        <v>6.6234741067586742E-2</v>
      </c>
    </row>
    <row r="179" spans="3:5" s="45" customFormat="1" x14ac:dyDescent="0.2">
      <c r="C179" s="45">
        <v>10</v>
      </c>
      <c r="D179" s="45">
        <v>7.9</v>
      </c>
      <c r="E179" s="85">
        <f t="shared" ca="1" si="27"/>
        <v>6.6336560112220874E-2</v>
      </c>
    </row>
    <row r="180" spans="3:5" s="45" customFormat="1" x14ac:dyDescent="0.2">
      <c r="C180" s="45">
        <v>10</v>
      </c>
      <c r="D180" s="45">
        <v>8</v>
      </c>
      <c r="E180" s="85">
        <f t="shared" ca="1" si="27"/>
        <v>6.6431538248002978E-2</v>
      </c>
    </row>
    <row r="181" spans="3:5" s="45" customFormat="1" x14ac:dyDescent="0.2">
      <c r="C181" s="45">
        <v>10</v>
      </c>
      <c r="D181" s="45">
        <v>8.1</v>
      </c>
      <c r="E181" s="85">
        <f t="shared" ca="1" si="27"/>
        <v>6.6520023654865035E-2</v>
      </c>
    </row>
    <row r="182" spans="3:5" s="45" customFormat="1" x14ac:dyDescent="0.2">
      <c r="C182" s="45">
        <v>10</v>
      </c>
      <c r="D182" s="45">
        <v>8.1999999999999993</v>
      </c>
      <c r="E182" s="85">
        <f t="shared" ca="1" si="27"/>
        <v>6.6602364512739043E-2</v>
      </c>
    </row>
    <row r="183" spans="3:5" s="45" customFormat="1" x14ac:dyDescent="0.2">
      <c r="C183" s="45">
        <v>10</v>
      </c>
      <c r="D183" s="45">
        <v>8.3000000000000007</v>
      </c>
      <c r="E183" s="85">
        <f t="shared" ca="1" si="27"/>
        <v>6.6678909001557013E-2</v>
      </c>
    </row>
    <row r="184" spans="3:5" s="45" customFormat="1" x14ac:dyDescent="0.2">
      <c r="C184" s="45">
        <v>10</v>
      </c>
      <c r="D184" s="45">
        <v>8.4</v>
      </c>
      <c r="E184" s="85">
        <f t="shared" ca="1" si="27"/>
        <v>6.675000530125097E-2</v>
      </c>
    </row>
    <row r="185" spans="3:5" s="45" customFormat="1" x14ac:dyDescent="0.2">
      <c r="C185" s="45">
        <v>10</v>
      </c>
      <c r="D185" s="45">
        <v>8.5</v>
      </c>
      <c r="E185" s="85">
        <f t="shared" ca="1" si="27"/>
        <v>6.6816001591752883E-2</v>
      </c>
    </row>
    <row r="186" spans="3:5" s="45" customFormat="1" x14ac:dyDescent="0.2">
      <c r="C186" s="45">
        <v>10</v>
      </c>
      <c r="D186" s="45">
        <v>8.6</v>
      </c>
      <c r="E186" s="85">
        <f t="shared" ca="1" si="27"/>
        <v>6.6877246052994735E-2</v>
      </c>
    </row>
    <row r="187" spans="3:5" s="45" customFormat="1" x14ac:dyDescent="0.2">
      <c r="C187" s="45">
        <v>10</v>
      </c>
      <c r="D187" s="45">
        <v>8.6999999999999993</v>
      </c>
      <c r="E187" s="85">
        <f t="shared" ca="1" si="27"/>
        <v>6.6934086864908579E-2</v>
      </c>
    </row>
    <row r="188" spans="3:5" s="45" customFormat="1" x14ac:dyDescent="0.2">
      <c r="C188" s="45">
        <v>10</v>
      </c>
      <c r="D188" s="45">
        <v>8.8000000000000007</v>
      </c>
      <c r="E188" s="85">
        <f t="shared" ca="1" si="27"/>
        <v>6.6986872207426412E-2</v>
      </c>
    </row>
    <row r="189" spans="3:5" s="45" customFormat="1" x14ac:dyDescent="0.2">
      <c r="C189" s="45">
        <v>10</v>
      </c>
      <c r="D189" s="45">
        <v>8.9</v>
      </c>
      <c r="E189" s="85">
        <f t="shared" ca="1" si="27"/>
        <v>6.7035950260480176E-2</v>
      </c>
    </row>
    <row r="190" spans="3:5" s="45" customFormat="1" x14ac:dyDescent="0.2">
      <c r="C190" s="45">
        <v>10</v>
      </c>
      <c r="D190" s="45">
        <v>9</v>
      </c>
      <c r="E190" s="85">
        <f t="shared" ca="1" si="27"/>
        <v>6.7081669204001965E-2</v>
      </c>
    </row>
    <row r="191" spans="3:5" s="45" customFormat="1" x14ac:dyDescent="0.2">
      <c r="C191" s="45">
        <v>10</v>
      </c>
      <c r="D191" s="45">
        <v>9.1</v>
      </c>
      <c r="E191" s="85">
        <f t="shared" ca="1" si="27"/>
        <v>6.712437721792372E-2</v>
      </c>
    </row>
    <row r="192" spans="3:5" s="45" customFormat="1" x14ac:dyDescent="0.2">
      <c r="C192" s="45">
        <v>10</v>
      </c>
      <c r="D192" s="45">
        <v>9.1999999999999993</v>
      </c>
      <c r="E192" s="85">
        <f t="shared" ca="1" si="27"/>
        <v>6.7164422482177466E-2</v>
      </c>
    </row>
    <row r="193" spans="3:5" s="45" customFormat="1" x14ac:dyDescent="0.2">
      <c r="C193" s="45">
        <v>10</v>
      </c>
      <c r="D193" s="45">
        <v>9.3000000000000007</v>
      </c>
      <c r="E193" s="85">
        <f t="shared" ca="1" si="27"/>
        <v>6.7202153176695145E-2</v>
      </c>
    </row>
    <row r="194" spans="3:5" s="45" customFormat="1" x14ac:dyDescent="0.2">
      <c r="C194" s="45">
        <v>10</v>
      </c>
      <c r="D194" s="45">
        <v>9.4</v>
      </c>
      <c r="E194" s="85">
        <f t="shared" ca="1" si="27"/>
        <v>6.7237917481408851E-2</v>
      </c>
    </row>
    <row r="195" spans="3:5" s="45" customFormat="1" x14ac:dyDescent="0.2">
      <c r="C195" s="45">
        <v>10</v>
      </c>
      <c r="D195" s="45">
        <v>9.5</v>
      </c>
      <c r="E195" s="85">
        <f t="shared" ca="1" si="27"/>
        <v>6.727206357625054E-2</v>
      </c>
    </row>
    <row r="196" spans="3:5" s="45" customFormat="1" x14ac:dyDescent="0.2">
      <c r="C196" s="45">
        <v>10</v>
      </c>
      <c r="D196" s="45">
        <v>9.6</v>
      </c>
      <c r="E196" s="85">
        <f t="shared" ca="1" si="27"/>
        <v>6.7304939641152223E-2</v>
      </c>
    </row>
    <row r="197" spans="3:5" s="45" customFormat="1" x14ac:dyDescent="0.2">
      <c r="C197" s="45">
        <v>10</v>
      </c>
      <c r="D197" s="45">
        <v>9.6999999999999993</v>
      </c>
      <c r="E197" s="85">
        <f t="shared" ca="1" si="27"/>
        <v>6.733689385604591E-2</v>
      </c>
    </row>
    <row r="198" spans="3:5" s="45" customFormat="1" x14ac:dyDescent="0.2">
      <c r="C198" s="45">
        <v>10</v>
      </c>
      <c r="D198" s="45">
        <v>9.8000000000000007</v>
      </c>
      <c r="E198" s="85">
        <f t="shared" ca="1" si="27"/>
        <v>6.7368274400863584E-2</v>
      </c>
    </row>
    <row r="199" spans="3:5" s="45" customFormat="1" x14ac:dyDescent="0.2">
      <c r="C199" s="45">
        <v>10</v>
      </c>
      <c r="D199" s="45">
        <v>9.9</v>
      </c>
      <c r="E199" s="85">
        <f t="shared" ca="1" si="27"/>
        <v>6.7399429455537285E-2</v>
      </c>
    </row>
    <row r="200" spans="3:5" s="45" customFormat="1" x14ac:dyDescent="0.2">
      <c r="C200" s="45">
        <v>10</v>
      </c>
      <c r="D200" s="45">
        <v>10</v>
      </c>
      <c r="E200" s="85">
        <f t="shared" ca="1" si="27"/>
        <v>6.743070719999894E-2</v>
      </c>
    </row>
    <row r="201" spans="3:5" s="45" customFormat="1" x14ac:dyDescent="0.2">
      <c r="C201" s="45">
        <v>30</v>
      </c>
      <c r="D201" s="45">
        <v>10.1</v>
      </c>
      <c r="E201" s="85">
        <f t="shared" ca="1" si="27"/>
        <v>6.7462397391801696E-2</v>
      </c>
    </row>
    <row r="202" spans="3:5" s="45" customFormat="1" x14ac:dyDescent="0.2">
      <c r="C202" s="45">
        <v>30</v>
      </c>
      <c r="D202" s="45">
        <v>10.199999999999999</v>
      </c>
      <c r="E202" s="85">
        <f t="shared" ca="1" si="27"/>
        <v>6.7494556098974728E-2</v>
      </c>
    </row>
    <row r="203" spans="3:5" s="45" customFormat="1" x14ac:dyDescent="0.2">
      <c r="C203" s="45">
        <v>30</v>
      </c>
      <c r="D203" s="45">
        <v>10.3</v>
      </c>
      <c r="E203" s="85">
        <f t="shared" ca="1" si="27"/>
        <v>6.7527180967170544E-2</v>
      </c>
    </row>
    <row r="204" spans="3:5" s="45" customFormat="1" x14ac:dyDescent="0.2">
      <c r="C204" s="45">
        <v>30</v>
      </c>
      <c r="D204" s="45">
        <v>10.4</v>
      </c>
      <c r="E204" s="85">
        <f t="shared" ca="1" si="27"/>
        <v>6.756026964204058E-2</v>
      </c>
    </row>
    <row r="205" spans="3:5" s="45" customFormat="1" x14ac:dyDescent="0.2">
      <c r="C205" s="45">
        <v>30</v>
      </c>
      <c r="D205" s="45">
        <v>10.5</v>
      </c>
      <c r="E205" s="85">
        <f t="shared" ca="1" si="27"/>
        <v>6.7593819769236202E-2</v>
      </c>
    </row>
    <row r="206" spans="3:5" s="45" customFormat="1" x14ac:dyDescent="0.2">
      <c r="C206" s="45">
        <v>30</v>
      </c>
      <c r="D206" s="45">
        <v>10.6</v>
      </c>
      <c r="E206" s="85">
        <f t="shared" ca="1" si="27"/>
        <v>6.7627828994408848E-2</v>
      </c>
    </row>
    <row r="207" spans="3:5" s="45" customFormat="1" x14ac:dyDescent="0.2">
      <c r="C207" s="45">
        <v>30</v>
      </c>
      <c r="D207" s="45">
        <v>10.7</v>
      </c>
      <c r="E207" s="85">
        <f t="shared" ca="1" si="27"/>
        <v>6.7662294963209885E-2</v>
      </c>
    </row>
    <row r="208" spans="3:5" s="45" customFormat="1" x14ac:dyDescent="0.2">
      <c r="C208" s="45">
        <v>30</v>
      </c>
      <c r="D208" s="45">
        <v>10.8</v>
      </c>
      <c r="E208" s="85">
        <f t="shared" ca="1" si="27"/>
        <v>6.7697215321290735E-2</v>
      </c>
    </row>
    <row r="209" spans="3:5" s="45" customFormat="1" x14ac:dyDescent="0.2">
      <c r="C209" s="45">
        <v>30</v>
      </c>
      <c r="D209" s="45">
        <v>10.9</v>
      </c>
      <c r="E209" s="85">
        <f t="shared" ca="1" si="27"/>
        <v>6.773258771430278E-2</v>
      </c>
    </row>
    <row r="210" spans="3:5" s="45" customFormat="1" x14ac:dyDescent="0.2">
      <c r="C210" s="45">
        <v>30</v>
      </c>
      <c r="D210" s="45">
        <v>11</v>
      </c>
      <c r="E210" s="85">
        <f t="shared" ca="1" si="27"/>
        <v>6.776840978789743E-2</v>
      </c>
    </row>
    <row r="211" spans="3:5" s="45" customFormat="1" x14ac:dyDescent="0.2">
      <c r="C211" s="45">
        <v>30</v>
      </c>
      <c r="D211" s="45">
        <v>11.1</v>
      </c>
      <c r="E211" s="85">
        <f t="shared" ca="1" si="27"/>
        <v>6.7804679187726091E-2</v>
      </c>
    </row>
    <row r="212" spans="3:5" s="45" customFormat="1" x14ac:dyDescent="0.2">
      <c r="C212" s="45">
        <v>30</v>
      </c>
      <c r="D212" s="45">
        <v>11.2</v>
      </c>
      <c r="E212" s="85">
        <f t="shared" ca="1" si="27"/>
        <v>6.7841393559440161E-2</v>
      </c>
    </row>
    <row r="213" spans="3:5" s="45" customFormat="1" x14ac:dyDescent="0.2">
      <c r="C213" s="45">
        <v>30</v>
      </c>
      <c r="D213" s="45">
        <v>11.3</v>
      </c>
      <c r="E213" s="85">
        <f t="shared" ca="1" si="27"/>
        <v>6.7878550548691019E-2</v>
      </c>
    </row>
    <row r="214" spans="3:5" s="45" customFormat="1" x14ac:dyDescent="0.2">
      <c r="C214" s="45">
        <v>30</v>
      </c>
      <c r="D214" s="45">
        <v>11.4</v>
      </c>
      <c r="E214" s="85">
        <f t="shared" ca="1" si="27"/>
        <v>6.7916147801130089E-2</v>
      </c>
    </row>
    <row r="215" spans="3:5" s="45" customFormat="1" x14ac:dyDescent="0.2">
      <c r="C215" s="45">
        <v>30</v>
      </c>
      <c r="D215" s="45">
        <v>11.5</v>
      </c>
      <c r="E215" s="85">
        <f t="shared" ca="1" si="27"/>
        <v>6.7954182962408766E-2</v>
      </c>
    </row>
    <row r="216" spans="3:5" s="45" customFormat="1" x14ac:dyDescent="0.2">
      <c r="C216" s="45">
        <v>30</v>
      </c>
      <c r="D216" s="45">
        <v>11.6</v>
      </c>
      <c r="E216" s="85">
        <f t="shared" ca="1" si="27"/>
        <v>6.7992653678178444E-2</v>
      </c>
    </row>
    <row r="217" spans="3:5" s="45" customFormat="1" x14ac:dyDescent="0.2">
      <c r="C217" s="45">
        <v>30</v>
      </c>
      <c r="D217" s="45">
        <v>11.7</v>
      </c>
      <c r="E217" s="85">
        <f t="shared" ca="1" si="27"/>
        <v>6.8031557594090533E-2</v>
      </c>
    </row>
    <row r="218" spans="3:5" s="45" customFormat="1" x14ac:dyDescent="0.2">
      <c r="C218" s="45">
        <v>30</v>
      </c>
      <c r="D218" s="45">
        <v>11.8</v>
      </c>
      <c r="E218" s="85">
        <f t="shared" ca="1" si="27"/>
        <v>6.8070892355796414E-2</v>
      </c>
    </row>
    <row r="219" spans="3:5" s="45" customFormat="1" x14ac:dyDescent="0.2">
      <c r="C219" s="45">
        <v>30</v>
      </c>
      <c r="D219" s="45">
        <v>11.9</v>
      </c>
      <c r="E219" s="85">
        <f t="shared" ca="1" si="27"/>
        <v>6.811065560894751E-2</v>
      </c>
    </row>
    <row r="220" spans="3:5" s="45" customFormat="1" x14ac:dyDescent="0.2">
      <c r="C220" s="45">
        <v>30</v>
      </c>
      <c r="D220" s="45">
        <v>12</v>
      </c>
      <c r="E220" s="85">
        <f t="shared" ca="1" si="27"/>
        <v>6.8150844999195201E-2</v>
      </c>
    </row>
    <row r="221" spans="3:5" s="45" customFormat="1" x14ac:dyDescent="0.2">
      <c r="C221" s="45">
        <v>30</v>
      </c>
      <c r="D221" s="45">
        <v>12.1</v>
      </c>
      <c r="E221" s="85">
        <f t="shared" ca="1" si="27"/>
        <v>6.8191458172190897E-2</v>
      </c>
    </row>
    <row r="222" spans="3:5" s="45" customFormat="1" x14ac:dyDescent="0.2">
      <c r="C222" s="45">
        <v>30</v>
      </c>
      <c r="D222" s="45">
        <v>12.2</v>
      </c>
      <c r="E222" s="85">
        <f t="shared" ca="1" si="27"/>
        <v>6.8232492773585993E-2</v>
      </c>
    </row>
    <row r="223" spans="3:5" s="45" customFormat="1" x14ac:dyDescent="0.2">
      <c r="C223" s="45">
        <v>30</v>
      </c>
      <c r="D223" s="45">
        <v>12.3</v>
      </c>
      <c r="E223" s="85">
        <f t="shared" ca="1" si="27"/>
        <v>6.8273946449031897E-2</v>
      </c>
    </row>
    <row r="224" spans="3:5" s="45" customFormat="1" x14ac:dyDescent="0.2">
      <c r="C224" s="45">
        <v>30</v>
      </c>
      <c r="D224" s="45">
        <v>12.4</v>
      </c>
      <c r="E224" s="85">
        <f t="shared" ca="1" si="27"/>
        <v>6.8315816844180005E-2</v>
      </c>
    </row>
    <row r="225" spans="3:5" s="45" customFormat="1" x14ac:dyDescent="0.2">
      <c r="C225" s="45">
        <v>30</v>
      </c>
      <c r="D225" s="45">
        <v>12.5</v>
      </c>
      <c r="E225" s="85">
        <f t="shared" ca="1" si="27"/>
        <v>6.8358101604681726E-2</v>
      </c>
    </row>
    <row r="226" spans="3:5" s="45" customFormat="1" x14ac:dyDescent="0.2">
      <c r="C226" s="45">
        <v>30</v>
      </c>
      <c r="D226" s="45">
        <v>12.6</v>
      </c>
      <c r="E226" s="85">
        <f t="shared" ca="1" si="27"/>
        <v>6.840079837618844E-2</v>
      </c>
    </row>
    <row r="227" spans="3:5" s="45" customFormat="1" x14ac:dyDescent="0.2">
      <c r="C227" s="45">
        <v>30</v>
      </c>
      <c r="D227" s="45">
        <v>12.7</v>
      </c>
      <c r="E227" s="85">
        <f t="shared" ca="1" si="27"/>
        <v>6.8443904804351557E-2</v>
      </c>
    </row>
    <row r="228" spans="3:5" s="45" customFormat="1" x14ac:dyDescent="0.2">
      <c r="C228" s="45">
        <v>30</v>
      </c>
      <c r="D228" s="45">
        <v>12.8</v>
      </c>
      <c r="E228" s="85">
        <f t="shared" ref="E228:E291" ca="1" si="28">INDIRECT("a_" &amp; i) * t^3 + INDIRECT("b_" &amp; i) * t^2 + INDIRECT("c_" &amp; i) * t^1 + INDIRECT("d_" &amp; i)</f>
        <v>6.8487418534822486E-2</v>
      </c>
    </row>
    <row r="229" spans="3:5" s="45" customFormat="1" x14ac:dyDescent="0.2">
      <c r="C229" s="45">
        <v>30</v>
      </c>
      <c r="D229" s="45">
        <v>12.9</v>
      </c>
      <c r="E229" s="85">
        <f t="shared" ca="1" si="28"/>
        <v>6.8531337213252622E-2</v>
      </c>
    </row>
    <row r="230" spans="3:5" s="45" customFormat="1" x14ac:dyDescent="0.2">
      <c r="C230" s="45">
        <v>30</v>
      </c>
      <c r="D230" s="45">
        <v>13</v>
      </c>
      <c r="E230" s="85">
        <f t="shared" ca="1" si="28"/>
        <v>6.8575658485293345E-2</v>
      </c>
    </row>
    <row r="231" spans="3:5" s="45" customFormat="1" x14ac:dyDescent="0.2">
      <c r="C231" s="45">
        <v>30</v>
      </c>
      <c r="D231" s="45">
        <v>13.1</v>
      </c>
      <c r="E231" s="85">
        <f t="shared" ca="1" si="28"/>
        <v>6.8620379996596079E-2</v>
      </c>
    </row>
    <row r="232" spans="3:5" s="45" customFormat="1" x14ac:dyDescent="0.2">
      <c r="C232" s="45">
        <v>30</v>
      </c>
      <c r="D232" s="45">
        <v>13.2</v>
      </c>
      <c r="E232" s="85">
        <f t="shared" ca="1" si="28"/>
        <v>6.8665499392812218E-2</v>
      </c>
    </row>
    <row r="233" spans="3:5" s="45" customFormat="1" x14ac:dyDescent="0.2">
      <c r="C233" s="45">
        <v>30</v>
      </c>
      <c r="D233" s="45">
        <v>13.3</v>
      </c>
      <c r="E233" s="85">
        <f t="shared" ca="1" si="28"/>
        <v>6.8711014319593172E-2</v>
      </c>
    </row>
    <row r="234" spans="3:5" s="45" customFormat="1" x14ac:dyDescent="0.2">
      <c r="C234" s="45">
        <v>30</v>
      </c>
      <c r="D234" s="45">
        <v>13.4</v>
      </c>
      <c r="E234" s="85">
        <f t="shared" ca="1" si="28"/>
        <v>6.8756922422590308E-2</v>
      </c>
    </row>
    <row r="235" spans="3:5" s="45" customFormat="1" x14ac:dyDescent="0.2">
      <c r="C235" s="45">
        <v>30</v>
      </c>
      <c r="D235" s="45">
        <v>13.5</v>
      </c>
      <c r="E235" s="85">
        <f t="shared" ca="1" si="28"/>
        <v>6.8803221347455062E-2</v>
      </c>
    </row>
    <row r="236" spans="3:5" s="45" customFormat="1" x14ac:dyDescent="0.2">
      <c r="C236" s="45">
        <v>30</v>
      </c>
      <c r="D236" s="45">
        <v>13.6</v>
      </c>
      <c r="E236" s="85">
        <f t="shared" ca="1" si="28"/>
        <v>6.8849908739838817E-2</v>
      </c>
    </row>
    <row r="237" spans="3:5" s="45" customFormat="1" x14ac:dyDescent="0.2">
      <c r="C237" s="45">
        <v>30</v>
      </c>
      <c r="D237" s="45">
        <v>13.7</v>
      </c>
      <c r="E237" s="85">
        <f t="shared" ca="1" si="28"/>
        <v>6.8896982245392965E-2</v>
      </c>
    </row>
    <row r="238" spans="3:5" s="45" customFormat="1" x14ac:dyDescent="0.2">
      <c r="C238" s="45">
        <v>30</v>
      </c>
      <c r="D238" s="45">
        <v>13.8</v>
      </c>
      <c r="E238" s="85">
        <f t="shared" ca="1" si="28"/>
        <v>6.8944439509768932E-2</v>
      </c>
    </row>
    <row r="239" spans="3:5" s="45" customFormat="1" x14ac:dyDescent="0.2">
      <c r="C239" s="45">
        <v>30</v>
      </c>
      <c r="D239" s="45">
        <v>13.9</v>
      </c>
      <c r="E239" s="85">
        <f t="shared" ca="1" si="28"/>
        <v>6.8992278178618097E-2</v>
      </c>
    </row>
    <row r="240" spans="3:5" s="45" customFormat="1" x14ac:dyDescent="0.2">
      <c r="C240" s="45">
        <v>30</v>
      </c>
      <c r="D240" s="45">
        <v>14</v>
      </c>
      <c r="E240" s="85">
        <f t="shared" ca="1" si="28"/>
        <v>6.9040495897591869E-2</v>
      </c>
    </row>
    <row r="241" spans="3:5" s="45" customFormat="1" x14ac:dyDescent="0.2">
      <c r="C241" s="45">
        <v>30</v>
      </c>
      <c r="D241" s="45">
        <v>14.1</v>
      </c>
      <c r="E241" s="85">
        <f t="shared" ca="1" si="28"/>
        <v>6.9089090312341631E-2</v>
      </c>
    </row>
    <row r="242" spans="3:5" s="45" customFormat="1" x14ac:dyDescent="0.2">
      <c r="C242" s="45">
        <v>30</v>
      </c>
      <c r="D242" s="45">
        <v>14.2</v>
      </c>
      <c r="E242" s="85">
        <f t="shared" ca="1" si="28"/>
        <v>6.9138059068518817E-2</v>
      </c>
    </row>
    <row r="243" spans="3:5" s="45" customFormat="1" x14ac:dyDescent="0.2">
      <c r="C243" s="45">
        <v>30</v>
      </c>
      <c r="D243" s="45">
        <v>14.3</v>
      </c>
      <c r="E243" s="85">
        <f t="shared" ca="1" si="28"/>
        <v>6.9187399811774783E-2</v>
      </c>
    </row>
    <row r="244" spans="3:5" s="45" customFormat="1" x14ac:dyDescent="0.2">
      <c r="C244" s="45">
        <v>30</v>
      </c>
      <c r="D244" s="45">
        <v>14.4</v>
      </c>
      <c r="E244" s="85">
        <f t="shared" ca="1" si="28"/>
        <v>6.9237110187760964E-2</v>
      </c>
    </row>
    <row r="245" spans="3:5" s="45" customFormat="1" x14ac:dyDescent="0.2">
      <c r="C245" s="45">
        <v>30</v>
      </c>
      <c r="D245" s="45">
        <v>14.5</v>
      </c>
      <c r="E245" s="85">
        <f t="shared" ca="1" si="28"/>
        <v>6.9287187842128756E-2</v>
      </c>
    </row>
    <row r="246" spans="3:5" s="45" customFormat="1" x14ac:dyDescent="0.2">
      <c r="C246" s="45">
        <v>30</v>
      </c>
      <c r="D246" s="45">
        <v>14.6</v>
      </c>
      <c r="E246" s="85">
        <f t="shared" ca="1" si="28"/>
        <v>6.9337630420529539E-2</v>
      </c>
    </row>
    <row r="247" spans="3:5" s="45" customFormat="1" x14ac:dyDescent="0.2">
      <c r="C247" s="45">
        <v>30</v>
      </c>
      <c r="D247" s="45">
        <v>14.7</v>
      </c>
      <c r="E247" s="85">
        <f t="shared" ca="1" si="28"/>
        <v>6.9388435568614737E-2</v>
      </c>
    </row>
    <row r="248" spans="3:5" s="45" customFormat="1" x14ac:dyDescent="0.2">
      <c r="C248" s="45">
        <v>30</v>
      </c>
      <c r="D248" s="45">
        <v>14.8</v>
      </c>
      <c r="E248" s="85">
        <f t="shared" ca="1" si="28"/>
        <v>6.943960093203573E-2</v>
      </c>
    </row>
    <row r="249" spans="3:5" s="45" customFormat="1" x14ac:dyDescent="0.2">
      <c r="C249" s="45">
        <v>30</v>
      </c>
      <c r="D249" s="45">
        <v>14.9</v>
      </c>
      <c r="E249" s="85">
        <f t="shared" ca="1" si="28"/>
        <v>6.9491124156443929E-2</v>
      </c>
    </row>
    <row r="250" spans="3:5" s="45" customFormat="1" x14ac:dyDescent="0.2">
      <c r="C250" s="45">
        <v>30</v>
      </c>
      <c r="D250" s="45">
        <v>15</v>
      </c>
      <c r="E250" s="85">
        <f t="shared" ca="1" si="28"/>
        <v>6.9543002887490726E-2</v>
      </c>
    </row>
    <row r="251" spans="3:5" s="45" customFormat="1" x14ac:dyDescent="0.2">
      <c r="C251" s="45">
        <v>30</v>
      </c>
      <c r="D251" s="45">
        <v>15.1</v>
      </c>
      <c r="E251" s="85">
        <f t="shared" ca="1" si="28"/>
        <v>6.9595234770827533E-2</v>
      </c>
    </row>
    <row r="252" spans="3:5" s="45" customFormat="1" x14ac:dyDescent="0.2">
      <c r="C252" s="45">
        <v>30</v>
      </c>
      <c r="D252" s="45">
        <v>15.2</v>
      </c>
      <c r="E252" s="85">
        <f t="shared" ca="1" si="28"/>
        <v>6.9647817452105742E-2</v>
      </c>
    </row>
    <row r="253" spans="3:5" s="45" customFormat="1" x14ac:dyDescent="0.2">
      <c r="C253" s="45">
        <v>30</v>
      </c>
      <c r="D253" s="45">
        <v>15.3</v>
      </c>
      <c r="E253" s="85">
        <f t="shared" ca="1" si="28"/>
        <v>6.9700748576976751E-2</v>
      </c>
    </row>
    <row r="254" spans="3:5" s="45" customFormat="1" x14ac:dyDescent="0.2">
      <c r="C254" s="45">
        <v>30</v>
      </c>
      <c r="D254" s="45">
        <v>15.4</v>
      </c>
      <c r="E254" s="85">
        <f t="shared" ca="1" si="28"/>
        <v>6.9754025791091967E-2</v>
      </c>
    </row>
    <row r="255" spans="3:5" s="45" customFormat="1" x14ac:dyDescent="0.2">
      <c r="C255" s="45">
        <v>30</v>
      </c>
      <c r="D255" s="45">
        <v>15.5</v>
      </c>
      <c r="E255" s="85">
        <f t="shared" ca="1" si="28"/>
        <v>6.9807646740102786E-2</v>
      </c>
    </row>
    <row r="256" spans="3:5" s="45" customFormat="1" x14ac:dyDescent="0.2">
      <c r="C256" s="45">
        <v>30</v>
      </c>
      <c r="D256" s="45">
        <v>15.6</v>
      </c>
      <c r="E256" s="85">
        <f t="shared" ca="1" si="28"/>
        <v>6.9861609069660602E-2</v>
      </c>
    </row>
    <row r="257" spans="3:5" s="45" customFormat="1" x14ac:dyDescent="0.2">
      <c r="C257" s="45">
        <v>30</v>
      </c>
      <c r="D257" s="45">
        <v>15.7</v>
      </c>
      <c r="E257" s="85">
        <f t="shared" ca="1" si="28"/>
        <v>6.9915910425416838E-2</v>
      </c>
    </row>
    <row r="258" spans="3:5" s="45" customFormat="1" x14ac:dyDescent="0.2">
      <c r="C258" s="45">
        <v>30</v>
      </c>
      <c r="D258" s="45">
        <v>15.8</v>
      </c>
      <c r="E258" s="85">
        <f t="shared" ca="1" si="28"/>
        <v>6.9970548453022863E-2</v>
      </c>
    </row>
    <row r="259" spans="3:5" s="45" customFormat="1" x14ac:dyDescent="0.2">
      <c r="C259" s="45">
        <v>30</v>
      </c>
      <c r="D259" s="45">
        <v>15.9</v>
      </c>
      <c r="E259" s="85">
        <f t="shared" ca="1" si="28"/>
        <v>7.0025520798130084E-2</v>
      </c>
    </row>
    <row r="260" spans="3:5" s="45" customFormat="1" x14ac:dyDescent="0.2">
      <c r="C260" s="45">
        <v>30</v>
      </c>
      <c r="D260" s="45">
        <v>16</v>
      </c>
      <c r="E260" s="85">
        <f t="shared" ca="1" si="28"/>
        <v>7.0080825106389924E-2</v>
      </c>
    </row>
    <row r="261" spans="3:5" s="45" customFormat="1" x14ac:dyDescent="0.2">
      <c r="C261" s="45">
        <v>30</v>
      </c>
      <c r="D261" s="45">
        <v>16.100000000000001</v>
      </c>
      <c r="E261" s="85">
        <f t="shared" ca="1" si="28"/>
        <v>7.0136459023453751E-2</v>
      </c>
    </row>
    <row r="262" spans="3:5" s="45" customFormat="1" x14ac:dyDescent="0.2">
      <c r="C262" s="45">
        <v>30</v>
      </c>
      <c r="D262" s="45">
        <v>16.2</v>
      </c>
      <c r="E262" s="85">
        <f t="shared" ca="1" si="28"/>
        <v>7.0192420194973001E-2</v>
      </c>
    </row>
    <row r="263" spans="3:5" s="45" customFormat="1" x14ac:dyDescent="0.2">
      <c r="C263" s="45">
        <v>30</v>
      </c>
      <c r="D263" s="45">
        <v>16.3</v>
      </c>
      <c r="E263" s="85">
        <f t="shared" ca="1" si="28"/>
        <v>7.0248706266599042E-2</v>
      </c>
    </row>
    <row r="264" spans="3:5" s="45" customFormat="1" x14ac:dyDescent="0.2">
      <c r="C264" s="45">
        <v>30</v>
      </c>
      <c r="D264" s="45">
        <v>16.399999999999999</v>
      </c>
      <c r="E264" s="85">
        <f t="shared" ca="1" si="28"/>
        <v>7.0305314883983283E-2</v>
      </c>
    </row>
    <row r="265" spans="3:5" s="45" customFormat="1" x14ac:dyDescent="0.2">
      <c r="C265" s="45">
        <v>30</v>
      </c>
      <c r="D265" s="45">
        <v>16.5</v>
      </c>
      <c r="E265" s="85">
        <f t="shared" ca="1" si="28"/>
        <v>7.0362243692777132E-2</v>
      </c>
    </row>
    <row r="266" spans="3:5" s="45" customFormat="1" x14ac:dyDescent="0.2">
      <c r="C266" s="45">
        <v>30</v>
      </c>
      <c r="D266" s="45">
        <v>16.600000000000001</v>
      </c>
      <c r="E266" s="85">
        <f t="shared" ca="1" si="28"/>
        <v>7.0419490338631985E-2</v>
      </c>
    </row>
    <row r="267" spans="3:5" s="45" customFormat="1" x14ac:dyDescent="0.2">
      <c r="C267" s="45">
        <v>30</v>
      </c>
      <c r="D267" s="45">
        <v>16.7</v>
      </c>
      <c r="E267" s="85">
        <f t="shared" ca="1" si="28"/>
        <v>7.0477052467199236E-2</v>
      </c>
    </row>
    <row r="268" spans="3:5" s="45" customFormat="1" x14ac:dyDescent="0.2">
      <c r="C268" s="45">
        <v>30</v>
      </c>
      <c r="D268" s="45">
        <v>16.8</v>
      </c>
      <c r="E268" s="85">
        <f t="shared" ca="1" si="28"/>
        <v>7.0534927724130295E-2</v>
      </c>
    </row>
    <row r="269" spans="3:5" s="45" customFormat="1" x14ac:dyDescent="0.2">
      <c r="C269" s="45">
        <v>30</v>
      </c>
      <c r="D269" s="45">
        <v>16.899999999999999</v>
      </c>
      <c r="E269" s="85">
        <f t="shared" ca="1" si="28"/>
        <v>7.0593113755076556E-2</v>
      </c>
    </row>
    <row r="270" spans="3:5" s="45" customFormat="1" x14ac:dyDescent="0.2">
      <c r="C270" s="45">
        <v>30</v>
      </c>
      <c r="D270" s="45">
        <v>17</v>
      </c>
      <c r="E270" s="85">
        <f t="shared" ca="1" si="28"/>
        <v>7.0651608205689415E-2</v>
      </c>
    </row>
    <row r="271" spans="3:5" s="45" customFormat="1" x14ac:dyDescent="0.2">
      <c r="C271" s="45">
        <v>30</v>
      </c>
      <c r="D271" s="45">
        <v>17.100000000000001</v>
      </c>
      <c r="E271" s="85">
        <f t="shared" ca="1" si="28"/>
        <v>7.071040872162028E-2</v>
      </c>
    </row>
    <row r="272" spans="3:5" s="45" customFormat="1" x14ac:dyDescent="0.2">
      <c r="C272" s="45">
        <v>30</v>
      </c>
      <c r="D272" s="45">
        <v>17.2</v>
      </c>
      <c r="E272" s="85">
        <f t="shared" ca="1" si="28"/>
        <v>7.0769512948520547E-2</v>
      </c>
    </row>
    <row r="273" spans="3:5" s="45" customFormat="1" x14ac:dyDescent="0.2">
      <c r="C273" s="45">
        <v>30</v>
      </c>
      <c r="D273" s="45">
        <v>17.3</v>
      </c>
      <c r="E273" s="85">
        <f t="shared" ca="1" si="28"/>
        <v>7.0828918532041624E-2</v>
      </c>
    </row>
    <row r="274" spans="3:5" s="45" customFormat="1" x14ac:dyDescent="0.2">
      <c r="C274" s="45">
        <v>30</v>
      </c>
      <c r="D274" s="45">
        <v>17.399999999999999</v>
      </c>
      <c r="E274" s="85">
        <f t="shared" ca="1" si="28"/>
        <v>7.0888623117834892E-2</v>
      </c>
    </row>
    <row r="275" spans="3:5" s="45" customFormat="1" x14ac:dyDescent="0.2">
      <c r="C275" s="45">
        <v>30</v>
      </c>
      <c r="D275" s="45">
        <v>17.5</v>
      </c>
      <c r="E275" s="85">
        <f t="shared" ca="1" si="28"/>
        <v>7.0948624351551776E-2</v>
      </c>
    </row>
    <row r="276" spans="3:5" s="45" customFormat="1" x14ac:dyDescent="0.2">
      <c r="C276" s="45">
        <v>30</v>
      </c>
      <c r="D276" s="45">
        <v>17.600000000000001</v>
      </c>
      <c r="E276" s="85">
        <f t="shared" ca="1" si="28"/>
        <v>7.100891987884364E-2</v>
      </c>
    </row>
    <row r="277" spans="3:5" s="45" customFormat="1" x14ac:dyDescent="0.2">
      <c r="C277" s="45">
        <v>30</v>
      </c>
      <c r="D277" s="45">
        <v>17.7</v>
      </c>
      <c r="E277" s="85">
        <f t="shared" ca="1" si="28"/>
        <v>7.1069507345361924E-2</v>
      </c>
    </row>
    <row r="278" spans="3:5" s="45" customFormat="1" x14ac:dyDescent="0.2">
      <c r="C278" s="45">
        <v>30</v>
      </c>
      <c r="D278" s="45">
        <v>17.8</v>
      </c>
      <c r="E278" s="85">
        <f t="shared" ca="1" si="28"/>
        <v>7.113038439675802E-2</v>
      </c>
    </row>
    <row r="279" spans="3:5" s="45" customFormat="1" x14ac:dyDescent="0.2">
      <c r="C279" s="45">
        <v>30</v>
      </c>
      <c r="D279" s="45">
        <v>17.899999999999999</v>
      </c>
      <c r="E279" s="85">
        <f t="shared" ca="1" si="28"/>
        <v>7.1191548678683297E-2</v>
      </c>
    </row>
    <row r="280" spans="3:5" s="45" customFormat="1" x14ac:dyDescent="0.2">
      <c r="C280" s="45">
        <v>30</v>
      </c>
      <c r="D280" s="45">
        <v>18</v>
      </c>
      <c r="E280" s="85">
        <f t="shared" ca="1" si="28"/>
        <v>7.1252997836789192E-2</v>
      </c>
    </row>
    <row r="281" spans="3:5" s="45" customFormat="1" x14ac:dyDescent="0.2">
      <c r="C281" s="45">
        <v>30</v>
      </c>
      <c r="D281" s="45">
        <v>18.100000000000001</v>
      </c>
      <c r="E281" s="85">
        <f t="shared" ca="1" si="28"/>
        <v>7.1314729516727085E-2</v>
      </c>
    </row>
    <row r="282" spans="3:5" s="45" customFormat="1" x14ac:dyDescent="0.2">
      <c r="C282" s="45">
        <v>30</v>
      </c>
      <c r="D282" s="45">
        <v>18.2</v>
      </c>
      <c r="E282" s="85">
        <f t="shared" ca="1" si="28"/>
        <v>7.1376741364148372E-2</v>
      </c>
    </row>
    <row r="283" spans="3:5" s="45" customFormat="1" x14ac:dyDescent="0.2">
      <c r="C283" s="45">
        <v>30</v>
      </c>
      <c r="D283" s="45">
        <v>18.3</v>
      </c>
      <c r="E283" s="85">
        <f t="shared" ca="1" si="28"/>
        <v>7.1439031024704475E-2</v>
      </c>
    </row>
    <row r="284" spans="3:5" s="45" customFormat="1" x14ac:dyDescent="0.2">
      <c r="C284" s="45">
        <v>30</v>
      </c>
      <c r="D284" s="45">
        <v>18.399999999999999</v>
      </c>
      <c r="E284" s="85">
        <f t="shared" ca="1" si="28"/>
        <v>7.1501596144046775E-2</v>
      </c>
    </row>
    <row r="285" spans="3:5" s="45" customFormat="1" x14ac:dyDescent="0.2">
      <c r="C285" s="45">
        <v>30</v>
      </c>
      <c r="D285" s="45">
        <v>18.5</v>
      </c>
      <c r="E285" s="85">
        <f t="shared" ca="1" si="28"/>
        <v>7.1564434367826682E-2</v>
      </c>
    </row>
    <row r="286" spans="3:5" s="45" customFormat="1" x14ac:dyDescent="0.2">
      <c r="C286" s="45">
        <v>30</v>
      </c>
      <c r="D286" s="45">
        <v>18.600000000000001</v>
      </c>
      <c r="E286" s="85">
        <f t="shared" ca="1" si="28"/>
        <v>7.162754334169559E-2</v>
      </c>
    </row>
    <row r="287" spans="3:5" s="45" customFormat="1" x14ac:dyDescent="0.2">
      <c r="C287" s="45">
        <v>30</v>
      </c>
      <c r="D287" s="45">
        <v>18.7</v>
      </c>
      <c r="E287" s="85">
        <f t="shared" ca="1" si="28"/>
        <v>7.1690920711304895E-2</v>
      </c>
    </row>
    <row r="288" spans="3:5" s="45" customFormat="1" x14ac:dyDescent="0.2">
      <c r="C288" s="45">
        <v>30</v>
      </c>
      <c r="D288" s="45">
        <v>18.8</v>
      </c>
      <c r="E288" s="85">
        <f t="shared" ca="1" si="28"/>
        <v>7.1754564122306005E-2</v>
      </c>
    </row>
    <row r="289" spans="3:5" s="45" customFormat="1" x14ac:dyDescent="0.2">
      <c r="C289" s="45">
        <v>30</v>
      </c>
      <c r="D289" s="45">
        <v>18.899999999999999</v>
      </c>
      <c r="E289" s="85">
        <f t="shared" ca="1" si="28"/>
        <v>7.1818471220350316E-2</v>
      </c>
    </row>
    <row r="290" spans="3:5" s="45" customFormat="1" x14ac:dyDescent="0.2">
      <c r="C290" s="45">
        <v>30</v>
      </c>
      <c r="D290" s="45">
        <v>19</v>
      </c>
      <c r="E290" s="85">
        <f t="shared" ca="1" si="28"/>
        <v>7.1882639651089222E-2</v>
      </c>
    </row>
    <row r="291" spans="3:5" s="45" customFormat="1" x14ac:dyDescent="0.2">
      <c r="C291" s="45">
        <v>30</v>
      </c>
      <c r="D291" s="45">
        <v>19.100000000000001</v>
      </c>
      <c r="E291" s="85">
        <f t="shared" ca="1" si="28"/>
        <v>7.1947067060174147E-2</v>
      </c>
    </row>
    <row r="292" spans="3:5" s="45" customFormat="1" x14ac:dyDescent="0.2">
      <c r="C292" s="45">
        <v>30</v>
      </c>
      <c r="D292" s="45">
        <v>19.2</v>
      </c>
      <c r="E292" s="85">
        <f t="shared" ref="E292:E355" ca="1" si="29">INDIRECT("a_" &amp; i) * t^3 + INDIRECT("b_" &amp; i) * t^2 + INDIRECT("c_" &amp; i) * t^1 + INDIRECT("d_" &amp; i)</f>
        <v>7.2011751093256471E-2</v>
      </c>
    </row>
    <row r="293" spans="3:5" s="45" customFormat="1" x14ac:dyDescent="0.2">
      <c r="C293" s="45">
        <v>30</v>
      </c>
      <c r="D293" s="45">
        <v>19.3</v>
      </c>
      <c r="E293" s="85">
        <f t="shared" ca="1" si="29"/>
        <v>7.2076689395987589E-2</v>
      </c>
    </row>
    <row r="294" spans="3:5" s="45" customFormat="1" x14ac:dyDescent="0.2">
      <c r="C294" s="45">
        <v>30</v>
      </c>
      <c r="D294" s="45">
        <v>19.399999999999999</v>
      </c>
      <c r="E294" s="85">
        <f t="shared" ca="1" si="29"/>
        <v>7.2141879614018911E-2</v>
      </c>
    </row>
    <row r="295" spans="3:5" s="45" customFormat="1" x14ac:dyDescent="0.2">
      <c r="C295" s="45">
        <v>30</v>
      </c>
      <c r="D295" s="45">
        <v>19.5</v>
      </c>
      <c r="E295" s="85">
        <f t="shared" ca="1" si="29"/>
        <v>7.2207319393001845E-2</v>
      </c>
    </row>
    <row r="296" spans="3:5" s="45" customFormat="1" x14ac:dyDescent="0.2">
      <c r="C296" s="45">
        <v>30</v>
      </c>
      <c r="D296" s="45">
        <v>19.600000000000001</v>
      </c>
      <c r="E296" s="85">
        <f t="shared" ca="1" si="29"/>
        <v>7.2273006378587773E-2</v>
      </c>
    </row>
    <row r="297" spans="3:5" s="45" customFormat="1" x14ac:dyDescent="0.2">
      <c r="C297" s="45">
        <v>30</v>
      </c>
      <c r="D297" s="45">
        <v>19.7</v>
      </c>
      <c r="E297" s="85">
        <f t="shared" ca="1" si="29"/>
        <v>7.2338938216428103E-2</v>
      </c>
    </row>
    <row r="298" spans="3:5" s="45" customFormat="1" x14ac:dyDescent="0.2">
      <c r="C298" s="45">
        <v>30</v>
      </c>
      <c r="D298" s="45">
        <v>19.8</v>
      </c>
      <c r="E298" s="85">
        <f t="shared" ca="1" si="29"/>
        <v>7.2405112552174231E-2</v>
      </c>
    </row>
    <row r="299" spans="3:5" s="45" customFormat="1" x14ac:dyDescent="0.2">
      <c r="C299" s="45">
        <v>30</v>
      </c>
      <c r="D299" s="45">
        <v>19.899999999999999</v>
      </c>
      <c r="E299" s="85">
        <f t="shared" ca="1" si="29"/>
        <v>7.2471527031477564E-2</v>
      </c>
    </row>
    <row r="300" spans="3:5" s="45" customFormat="1" x14ac:dyDescent="0.2">
      <c r="C300" s="45">
        <v>30</v>
      </c>
      <c r="D300" s="45">
        <v>20</v>
      </c>
      <c r="E300" s="85">
        <f t="shared" ca="1" si="29"/>
        <v>7.25381792999895E-2</v>
      </c>
    </row>
    <row r="301" spans="3:5" s="45" customFormat="1" x14ac:dyDescent="0.2">
      <c r="C301" s="45">
        <v>30</v>
      </c>
      <c r="D301" s="45">
        <v>20.100000000000001</v>
      </c>
      <c r="E301" s="85">
        <f t="shared" ca="1" si="29"/>
        <v>7.2605067003361445E-2</v>
      </c>
    </row>
    <row r="302" spans="3:5" s="45" customFormat="1" x14ac:dyDescent="0.2">
      <c r="C302" s="45">
        <v>30</v>
      </c>
      <c r="D302" s="45">
        <v>20.2</v>
      </c>
      <c r="E302" s="85">
        <f t="shared" ca="1" si="29"/>
        <v>7.2672187787244782E-2</v>
      </c>
    </row>
    <row r="303" spans="3:5" s="45" customFormat="1" x14ac:dyDescent="0.2">
      <c r="C303" s="45">
        <v>30</v>
      </c>
      <c r="D303" s="45">
        <v>20.3</v>
      </c>
      <c r="E303" s="85">
        <f t="shared" ca="1" si="29"/>
        <v>7.2739539297290934E-2</v>
      </c>
    </row>
    <row r="304" spans="3:5" s="45" customFormat="1" x14ac:dyDescent="0.2">
      <c r="C304" s="45">
        <v>30</v>
      </c>
      <c r="D304" s="45">
        <v>20.399999999999999</v>
      </c>
      <c r="E304" s="85">
        <f t="shared" ca="1" si="29"/>
        <v>7.2807119179151281E-2</v>
      </c>
    </row>
    <row r="305" spans="3:5" s="45" customFormat="1" x14ac:dyDescent="0.2">
      <c r="C305" s="45">
        <v>30</v>
      </c>
      <c r="D305" s="45">
        <v>20.5</v>
      </c>
      <c r="E305" s="85">
        <f t="shared" ca="1" si="29"/>
        <v>7.2874925078477232E-2</v>
      </c>
    </row>
    <row r="306" spans="3:5" s="45" customFormat="1" x14ac:dyDescent="0.2">
      <c r="C306" s="45">
        <v>30</v>
      </c>
      <c r="D306" s="45">
        <v>20.6</v>
      </c>
      <c r="E306" s="85">
        <f t="shared" ca="1" si="29"/>
        <v>7.2942954640920182E-2</v>
      </c>
    </row>
    <row r="307" spans="3:5" s="45" customFormat="1" x14ac:dyDescent="0.2">
      <c r="C307" s="45">
        <v>30</v>
      </c>
      <c r="D307" s="45">
        <v>20.7</v>
      </c>
      <c r="E307" s="85">
        <f t="shared" ca="1" si="29"/>
        <v>7.3011205512131527E-2</v>
      </c>
    </row>
    <row r="308" spans="3:5" s="45" customFormat="1" x14ac:dyDescent="0.2">
      <c r="C308" s="45">
        <v>30</v>
      </c>
      <c r="D308" s="45">
        <v>20.8</v>
      </c>
      <c r="E308" s="85">
        <f t="shared" ca="1" si="29"/>
        <v>7.307967533776269E-2</v>
      </c>
    </row>
    <row r="309" spans="3:5" s="45" customFormat="1" x14ac:dyDescent="0.2">
      <c r="C309" s="45">
        <v>30</v>
      </c>
      <c r="D309" s="45">
        <v>20.9</v>
      </c>
      <c r="E309" s="85">
        <f t="shared" ca="1" si="29"/>
        <v>7.3148361763465036E-2</v>
      </c>
    </row>
    <row r="310" spans="3:5" s="45" customFormat="1" x14ac:dyDescent="0.2">
      <c r="C310" s="45">
        <v>30</v>
      </c>
      <c r="D310" s="45">
        <v>21</v>
      </c>
      <c r="E310" s="85">
        <f t="shared" ca="1" si="29"/>
        <v>7.3217262434890004E-2</v>
      </c>
    </row>
    <row r="311" spans="3:5" s="45" customFormat="1" x14ac:dyDescent="0.2">
      <c r="C311" s="45">
        <v>30</v>
      </c>
      <c r="D311" s="45">
        <v>21.1</v>
      </c>
      <c r="E311" s="85">
        <f t="shared" ca="1" si="29"/>
        <v>7.3286374997688961E-2</v>
      </c>
    </row>
    <row r="312" spans="3:5" s="45" customFormat="1" x14ac:dyDescent="0.2">
      <c r="C312" s="45">
        <v>30</v>
      </c>
      <c r="D312" s="45">
        <v>21.2</v>
      </c>
      <c r="E312" s="85">
        <f t="shared" ca="1" si="29"/>
        <v>7.3355697097513328E-2</v>
      </c>
    </row>
    <row r="313" spans="3:5" s="45" customFormat="1" x14ac:dyDescent="0.2">
      <c r="C313" s="45">
        <v>30</v>
      </c>
      <c r="D313" s="45">
        <v>21.3</v>
      </c>
      <c r="E313" s="85">
        <f t="shared" ca="1" si="29"/>
        <v>7.3425226380014488E-2</v>
      </c>
    </row>
    <row r="314" spans="3:5" s="45" customFormat="1" x14ac:dyDescent="0.2">
      <c r="C314" s="45">
        <v>30</v>
      </c>
      <c r="D314" s="45">
        <v>21.4</v>
      </c>
      <c r="E314" s="85">
        <f t="shared" ca="1" si="29"/>
        <v>7.349496049084385E-2</v>
      </c>
    </row>
    <row r="315" spans="3:5" s="45" customFormat="1" x14ac:dyDescent="0.2">
      <c r="C315" s="45">
        <v>30</v>
      </c>
      <c r="D315" s="45">
        <v>21.5</v>
      </c>
      <c r="E315" s="85">
        <f t="shared" ca="1" si="29"/>
        <v>7.3564897075652821E-2</v>
      </c>
    </row>
    <row r="316" spans="3:5" s="45" customFormat="1" x14ac:dyDescent="0.2">
      <c r="C316" s="45">
        <v>30</v>
      </c>
      <c r="D316" s="45">
        <v>21.6</v>
      </c>
      <c r="E316" s="85">
        <f t="shared" ca="1" si="29"/>
        <v>7.3635033780092798E-2</v>
      </c>
    </row>
    <row r="317" spans="3:5" s="45" customFormat="1" x14ac:dyDescent="0.2">
      <c r="C317" s="45">
        <v>30</v>
      </c>
      <c r="D317" s="45">
        <v>21.7</v>
      </c>
      <c r="E317" s="85">
        <f t="shared" ca="1" si="29"/>
        <v>7.3705368249815162E-2</v>
      </c>
    </row>
    <row r="318" spans="3:5" s="45" customFormat="1" x14ac:dyDescent="0.2">
      <c r="C318" s="45">
        <v>30</v>
      </c>
      <c r="D318" s="45">
        <v>21.8</v>
      </c>
      <c r="E318" s="85">
        <f t="shared" ca="1" si="29"/>
        <v>7.3775898130471335E-2</v>
      </c>
    </row>
    <row r="319" spans="3:5" s="45" customFormat="1" x14ac:dyDescent="0.2">
      <c r="C319" s="45">
        <v>30</v>
      </c>
      <c r="D319" s="45">
        <v>21.9</v>
      </c>
      <c r="E319" s="85">
        <f t="shared" ca="1" si="29"/>
        <v>7.3846621067712712E-2</v>
      </c>
    </row>
    <row r="320" spans="3:5" s="45" customFormat="1" x14ac:dyDescent="0.2">
      <c r="C320" s="45">
        <v>30</v>
      </c>
      <c r="D320" s="45">
        <v>22</v>
      </c>
      <c r="E320" s="85">
        <f t="shared" ca="1" si="29"/>
        <v>7.3917534707190688E-2</v>
      </c>
    </row>
    <row r="321" spans="3:5" s="45" customFormat="1" x14ac:dyDescent="0.2">
      <c r="C321" s="45">
        <v>30</v>
      </c>
      <c r="D321" s="45">
        <v>22.1</v>
      </c>
      <c r="E321" s="85">
        <f t="shared" ca="1" si="29"/>
        <v>7.3988636694556673E-2</v>
      </c>
    </row>
    <row r="322" spans="3:5" s="45" customFormat="1" x14ac:dyDescent="0.2">
      <c r="C322" s="45">
        <v>30</v>
      </c>
      <c r="D322" s="45">
        <v>22.2</v>
      </c>
      <c r="E322" s="85">
        <f t="shared" ca="1" si="29"/>
        <v>7.4059924675462047E-2</v>
      </c>
    </row>
    <row r="323" spans="3:5" s="45" customFormat="1" x14ac:dyDescent="0.2">
      <c r="C323" s="45">
        <v>30</v>
      </c>
      <c r="D323" s="45">
        <v>22.3</v>
      </c>
      <c r="E323" s="85">
        <f t="shared" ca="1" si="29"/>
        <v>7.4131396295558233E-2</v>
      </c>
    </row>
    <row r="324" spans="3:5" s="45" customFormat="1" x14ac:dyDescent="0.2">
      <c r="C324" s="45">
        <v>30</v>
      </c>
      <c r="D324" s="45">
        <v>22.4</v>
      </c>
      <c r="E324" s="85">
        <f t="shared" ca="1" si="29"/>
        <v>7.4203049200496626E-2</v>
      </c>
    </row>
    <row r="325" spans="3:5" s="45" customFormat="1" x14ac:dyDescent="0.2">
      <c r="C325" s="45">
        <v>30</v>
      </c>
      <c r="D325" s="45">
        <v>22.5</v>
      </c>
      <c r="E325" s="85">
        <f t="shared" ca="1" si="29"/>
        <v>7.4274881035928608E-2</v>
      </c>
    </row>
    <row r="326" spans="3:5" s="45" customFormat="1" x14ac:dyDescent="0.2">
      <c r="C326" s="45">
        <v>30</v>
      </c>
      <c r="D326" s="45">
        <v>22.6</v>
      </c>
      <c r="E326" s="85">
        <f t="shared" ca="1" si="29"/>
        <v>7.4346889447505601E-2</v>
      </c>
    </row>
    <row r="327" spans="3:5" s="45" customFormat="1" x14ac:dyDescent="0.2">
      <c r="C327" s="45">
        <v>30</v>
      </c>
      <c r="D327" s="45">
        <v>22.7</v>
      </c>
      <c r="E327" s="85">
        <f t="shared" ca="1" si="29"/>
        <v>7.4419072080878987E-2</v>
      </c>
    </row>
    <row r="328" spans="3:5" s="45" customFormat="1" x14ac:dyDescent="0.2">
      <c r="C328" s="45">
        <v>30</v>
      </c>
      <c r="D328" s="45">
        <v>22.8</v>
      </c>
      <c r="E328" s="85">
        <f t="shared" ca="1" si="29"/>
        <v>7.4491426581700174E-2</v>
      </c>
    </row>
    <row r="329" spans="3:5" s="45" customFormat="1" x14ac:dyDescent="0.2">
      <c r="C329" s="45">
        <v>30</v>
      </c>
      <c r="D329" s="45">
        <v>22.9</v>
      </c>
      <c r="E329" s="85">
        <f t="shared" ca="1" si="29"/>
        <v>7.4563950595620571E-2</v>
      </c>
    </row>
    <row r="330" spans="3:5" s="45" customFormat="1" x14ac:dyDescent="0.2">
      <c r="C330" s="45">
        <v>30</v>
      </c>
      <c r="D330" s="45">
        <v>23</v>
      </c>
      <c r="E330" s="85">
        <f t="shared" ca="1" si="29"/>
        <v>7.4636641768291559E-2</v>
      </c>
    </row>
    <row r="331" spans="3:5" s="45" customFormat="1" x14ac:dyDescent="0.2">
      <c r="C331" s="45">
        <v>30</v>
      </c>
      <c r="D331" s="45">
        <v>23.1</v>
      </c>
      <c r="E331" s="85">
        <f t="shared" ca="1" si="29"/>
        <v>7.4709497745364561E-2</v>
      </c>
    </row>
    <row r="332" spans="3:5" s="45" customFormat="1" x14ac:dyDescent="0.2">
      <c r="C332" s="45">
        <v>30</v>
      </c>
      <c r="D332" s="45">
        <v>23.2</v>
      </c>
      <c r="E332" s="85">
        <f t="shared" ca="1" si="29"/>
        <v>7.4782516172490959E-2</v>
      </c>
    </row>
    <row r="333" spans="3:5" s="45" customFormat="1" x14ac:dyDescent="0.2">
      <c r="C333" s="45">
        <v>30</v>
      </c>
      <c r="D333" s="45">
        <v>23.3</v>
      </c>
      <c r="E333" s="85">
        <f t="shared" ca="1" si="29"/>
        <v>7.4855694695322147E-2</v>
      </c>
    </row>
    <row r="334" spans="3:5" s="45" customFormat="1" x14ac:dyDescent="0.2">
      <c r="C334" s="45">
        <v>30</v>
      </c>
      <c r="D334" s="45">
        <v>23.4</v>
      </c>
      <c r="E334" s="85">
        <f t="shared" ca="1" si="29"/>
        <v>7.4929030959509549E-2</v>
      </c>
    </row>
    <row r="335" spans="3:5" s="45" customFormat="1" x14ac:dyDescent="0.2">
      <c r="C335" s="45">
        <v>30</v>
      </c>
      <c r="D335" s="45">
        <v>23.5</v>
      </c>
      <c r="E335" s="85">
        <f t="shared" ca="1" si="29"/>
        <v>7.5002522610704558E-2</v>
      </c>
    </row>
    <row r="336" spans="3:5" s="45" customFormat="1" x14ac:dyDescent="0.2">
      <c r="C336" s="45">
        <v>30</v>
      </c>
      <c r="D336" s="45">
        <v>23.6</v>
      </c>
      <c r="E336" s="85">
        <f t="shared" ca="1" si="29"/>
        <v>7.5076167294558557E-2</v>
      </c>
    </row>
    <row r="337" spans="3:5" s="45" customFormat="1" x14ac:dyDescent="0.2">
      <c r="C337" s="45">
        <v>30</v>
      </c>
      <c r="D337" s="45">
        <v>23.7</v>
      </c>
      <c r="E337" s="85">
        <f t="shared" ca="1" si="29"/>
        <v>7.5149962656722955E-2</v>
      </c>
    </row>
    <row r="338" spans="3:5" s="45" customFormat="1" x14ac:dyDescent="0.2">
      <c r="C338" s="45">
        <v>30</v>
      </c>
      <c r="D338" s="45">
        <v>23.8</v>
      </c>
      <c r="E338" s="85">
        <f t="shared" ca="1" si="29"/>
        <v>7.5223906342849173E-2</v>
      </c>
    </row>
    <row r="339" spans="3:5" s="45" customFormat="1" x14ac:dyDescent="0.2">
      <c r="C339" s="45">
        <v>30</v>
      </c>
      <c r="D339" s="45">
        <v>23.9</v>
      </c>
      <c r="E339" s="85">
        <f t="shared" ca="1" si="29"/>
        <v>7.5297995998588579E-2</v>
      </c>
    </row>
    <row r="340" spans="3:5" s="45" customFormat="1" x14ac:dyDescent="0.2">
      <c r="C340" s="45">
        <v>30</v>
      </c>
      <c r="D340" s="45">
        <v>24</v>
      </c>
      <c r="E340" s="85">
        <f t="shared" ca="1" si="29"/>
        <v>7.5372229269592583E-2</v>
      </c>
    </row>
    <row r="341" spans="3:5" s="45" customFormat="1" x14ac:dyDescent="0.2">
      <c r="C341" s="45">
        <v>30</v>
      </c>
      <c r="D341" s="45">
        <v>24.1</v>
      </c>
      <c r="E341" s="85">
        <f t="shared" ca="1" si="29"/>
        <v>7.5446603801512593E-2</v>
      </c>
    </row>
    <row r="342" spans="3:5" s="45" customFormat="1" x14ac:dyDescent="0.2">
      <c r="C342" s="45">
        <v>30</v>
      </c>
      <c r="D342" s="45">
        <v>24.2</v>
      </c>
      <c r="E342" s="85">
        <f t="shared" ca="1" si="29"/>
        <v>7.5521117240000005E-2</v>
      </c>
    </row>
    <row r="343" spans="3:5" s="45" customFormat="1" x14ac:dyDescent="0.2">
      <c r="C343" s="45">
        <v>30</v>
      </c>
      <c r="D343" s="45">
        <v>24.3</v>
      </c>
      <c r="E343" s="85">
        <f t="shared" ca="1" si="29"/>
        <v>7.5595767230706212E-2</v>
      </c>
    </row>
    <row r="344" spans="3:5" s="45" customFormat="1" x14ac:dyDescent="0.2">
      <c r="C344" s="45">
        <v>30</v>
      </c>
      <c r="D344" s="45">
        <v>24.4</v>
      </c>
      <c r="E344" s="85">
        <f t="shared" ca="1" si="29"/>
        <v>7.5670551419282625E-2</v>
      </c>
    </row>
    <row r="345" spans="3:5" s="45" customFormat="1" x14ac:dyDescent="0.2">
      <c r="C345" s="45">
        <v>30</v>
      </c>
      <c r="D345" s="45">
        <v>24.5</v>
      </c>
      <c r="E345" s="85">
        <f t="shared" ca="1" si="29"/>
        <v>7.5745467451380652E-2</v>
      </c>
    </row>
    <row r="346" spans="3:5" s="45" customFormat="1" x14ac:dyDescent="0.2">
      <c r="C346" s="45">
        <v>30</v>
      </c>
      <c r="D346" s="45">
        <v>24.6</v>
      </c>
      <c r="E346" s="85">
        <f t="shared" ca="1" si="29"/>
        <v>7.582051297265166E-2</v>
      </c>
    </row>
    <row r="347" spans="3:5" s="45" customFormat="1" x14ac:dyDescent="0.2">
      <c r="C347" s="45">
        <v>30</v>
      </c>
      <c r="D347" s="45">
        <v>24.7</v>
      </c>
      <c r="E347" s="85">
        <f t="shared" ca="1" si="29"/>
        <v>7.5895685628747073E-2</v>
      </c>
    </row>
    <row r="348" spans="3:5" s="45" customFormat="1" x14ac:dyDescent="0.2">
      <c r="C348" s="45">
        <v>30</v>
      </c>
      <c r="D348" s="45">
        <v>24.8</v>
      </c>
      <c r="E348" s="85">
        <f t="shared" ca="1" si="29"/>
        <v>7.5970983065318298E-2</v>
      </c>
    </row>
    <row r="349" spans="3:5" s="45" customFormat="1" x14ac:dyDescent="0.2">
      <c r="C349" s="45">
        <v>30</v>
      </c>
      <c r="D349" s="45">
        <v>24.9</v>
      </c>
      <c r="E349" s="85">
        <f t="shared" ca="1" si="29"/>
        <v>7.6046402928016718E-2</v>
      </c>
    </row>
    <row r="350" spans="3:5" s="45" customFormat="1" x14ac:dyDescent="0.2">
      <c r="C350" s="45">
        <v>30</v>
      </c>
      <c r="D350" s="45">
        <v>25</v>
      </c>
      <c r="E350" s="85">
        <f t="shared" ca="1" si="29"/>
        <v>7.6121942862493741E-2</v>
      </c>
    </row>
    <row r="351" spans="3:5" s="45" customFormat="1" x14ac:dyDescent="0.2">
      <c r="C351" s="45">
        <v>30</v>
      </c>
      <c r="D351" s="45">
        <v>25.1</v>
      </c>
      <c r="E351" s="85">
        <f t="shared" ca="1" si="29"/>
        <v>7.6197600514400762E-2</v>
      </c>
    </row>
    <row r="352" spans="3:5" s="45" customFormat="1" x14ac:dyDescent="0.2">
      <c r="C352" s="45">
        <v>30</v>
      </c>
      <c r="D352" s="45">
        <v>25.2</v>
      </c>
      <c r="E352" s="85">
        <f t="shared" ca="1" si="29"/>
        <v>7.6273373529389177E-2</v>
      </c>
    </row>
    <row r="353" spans="3:5" s="45" customFormat="1" x14ac:dyDescent="0.2">
      <c r="C353" s="45">
        <v>30</v>
      </c>
      <c r="D353" s="45">
        <v>25.3</v>
      </c>
      <c r="E353" s="85">
        <f t="shared" ca="1" si="29"/>
        <v>7.6349259553110407E-2</v>
      </c>
    </row>
    <row r="354" spans="3:5" s="45" customFormat="1" x14ac:dyDescent="0.2">
      <c r="C354" s="45">
        <v>30</v>
      </c>
      <c r="D354" s="45">
        <v>25.4</v>
      </c>
      <c r="E354" s="85">
        <f t="shared" ca="1" si="29"/>
        <v>7.6425256231215835E-2</v>
      </c>
    </row>
    <row r="355" spans="3:5" s="45" customFormat="1" x14ac:dyDescent="0.2">
      <c r="C355" s="45">
        <v>30</v>
      </c>
      <c r="D355" s="45">
        <v>25.5</v>
      </c>
      <c r="E355" s="85">
        <f t="shared" ca="1" si="29"/>
        <v>7.6501361209356855E-2</v>
      </c>
    </row>
    <row r="356" spans="3:5" s="45" customFormat="1" x14ac:dyDescent="0.2">
      <c r="C356" s="45">
        <v>30</v>
      </c>
      <c r="D356" s="45">
        <v>25.6</v>
      </c>
      <c r="E356" s="85">
        <f t="shared" ref="E356:E400" ca="1" si="30">INDIRECT("a_" &amp; i) * t^3 + INDIRECT("b_" &amp; i) * t^2 + INDIRECT("c_" &amp; i) * t^1 + INDIRECT("d_" &amp; i)</f>
        <v>7.657757213318489E-2</v>
      </c>
    </row>
    <row r="357" spans="3:5" s="45" customFormat="1" x14ac:dyDescent="0.2">
      <c r="C357" s="45">
        <v>30</v>
      </c>
      <c r="D357" s="45">
        <v>25.7</v>
      </c>
      <c r="E357" s="85">
        <f t="shared" ca="1" si="30"/>
        <v>7.6653886648351321E-2</v>
      </c>
    </row>
    <row r="358" spans="3:5" s="45" customFormat="1" x14ac:dyDescent="0.2">
      <c r="C358" s="45">
        <v>30</v>
      </c>
      <c r="D358" s="45">
        <v>25.8</v>
      </c>
      <c r="E358" s="85">
        <f t="shared" ca="1" si="30"/>
        <v>7.6730302400507544E-2</v>
      </c>
    </row>
    <row r="359" spans="3:5" s="45" customFormat="1" x14ac:dyDescent="0.2">
      <c r="C359" s="45">
        <v>30</v>
      </c>
      <c r="D359" s="45">
        <v>25.9</v>
      </c>
      <c r="E359" s="85">
        <f t="shared" ca="1" si="30"/>
        <v>7.6806817035304981E-2</v>
      </c>
    </row>
    <row r="360" spans="3:5" s="45" customFormat="1" x14ac:dyDescent="0.2">
      <c r="C360" s="45">
        <v>30</v>
      </c>
      <c r="D360" s="45">
        <v>26</v>
      </c>
      <c r="E360" s="85">
        <f t="shared" ca="1" si="30"/>
        <v>7.6883428198394999E-2</v>
      </c>
    </row>
    <row r="361" spans="3:5" s="45" customFormat="1" x14ac:dyDescent="0.2">
      <c r="C361" s="45">
        <v>30</v>
      </c>
      <c r="D361" s="45">
        <v>26.1</v>
      </c>
      <c r="E361" s="85">
        <f t="shared" ca="1" si="30"/>
        <v>7.6960133535429034E-2</v>
      </c>
    </row>
    <row r="362" spans="3:5" s="45" customFormat="1" x14ac:dyDescent="0.2">
      <c r="C362" s="45">
        <v>30</v>
      </c>
      <c r="D362" s="45">
        <v>26.2</v>
      </c>
      <c r="E362" s="85">
        <f t="shared" ca="1" si="30"/>
        <v>7.703693069205847E-2</v>
      </c>
    </row>
    <row r="363" spans="3:5" s="45" customFormat="1" x14ac:dyDescent="0.2">
      <c r="C363" s="45">
        <v>30</v>
      </c>
      <c r="D363" s="45">
        <v>26.3</v>
      </c>
      <c r="E363" s="85">
        <f t="shared" ca="1" si="30"/>
        <v>7.7113817313934713E-2</v>
      </c>
    </row>
    <row r="364" spans="3:5" s="45" customFormat="1" x14ac:dyDescent="0.2">
      <c r="C364" s="45">
        <v>30</v>
      </c>
      <c r="D364" s="45">
        <v>26.4</v>
      </c>
      <c r="E364" s="85">
        <f t="shared" ca="1" si="30"/>
        <v>7.7190791046709131E-2</v>
      </c>
    </row>
    <row r="365" spans="3:5" s="45" customFormat="1" x14ac:dyDescent="0.2">
      <c r="C365" s="45">
        <v>30</v>
      </c>
      <c r="D365" s="45">
        <v>26.5</v>
      </c>
      <c r="E365" s="85">
        <f t="shared" ca="1" si="30"/>
        <v>7.7267849536033176E-2</v>
      </c>
    </row>
    <row r="366" spans="3:5" s="45" customFormat="1" x14ac:dyDescent="0.2">
      <c r="C366" s="45">
        <v>30</v>
      </c>
      <c r="D366" s="45">
        <v>26.6</v>
      </c>
      <c r="E366" s="85">
        <f t="shared" ca="1" si="30"/>
        <v>7.7344990427558213E-2</v>
      </c>
    </row>
    <row r="367" spans="3:5" s="45" customFormat="1" x14ac:dyDescent="0.2">
      <c r="C367" s="45">
        <v>30</v>
      </c>
      <c r="D367" s="45">
        <v>26.7</v>
      </c>
      <c r="E367" s="85">
        <f t="shared" ca="1" si="30"/>
        <v>7.7422211366935639E-2</v>
      </c>
    </row>
    <row r="368" spans="3:5" s="45" customFormat="1" x14ac:dyDescent="0.2">
      <c r="C368" s="45">
        <v>30</v>
      </c>
      <c r="D368" s="45">
        <v>26.8</v>
      </c>
      <c r="E368" s="85">
        <f t="shared" ca="1" si="30"/>
        <v>7.749950999981689E-2</v>
      </c>
    </row>
    <row r="369" spans="3:5" s="45" customFormat="1" x14ac:dyDescent="0.2">
      <c r="C369" s="45">
        <v>30</v>
      </c>
      <c r="D369" s="45">
        <v>26.9</v>
      </c>
      <c r="E369" s="85">
        <f t="shared" ca="1" si="30"/>
        <v>7.7576883971853319E-2</v>
      </c>
    </row>
    <row r="370" spans="3:5" s="45" customFormat="1" x14ac:dyDescent="0.2">
      <c r="C370" s="45">
        <v>30</v>
      </c>
      <c r="D370" s="45">
        <v>27</v>
      </c>
      <c r="E370" s="85">
        <f t="shared" ca="1" si="30"/>
        <v>7.7654330928696363E-2</v>
      </c>
    </row>
    <row r="371" spans="3:5" s="45" customFormat="1" x14ac:dyDescent="0.2">
      <c r="C371" s="45">
        <v>30</v>
      </c>
      <c r="D371" s="45">
        <v>27.1</v>
      </c>
      <c r="E371" s="85">
        <f t="shared" ca="1" si="30"/>
        <v>7.7731848515997404E-2</v>
      </c>
    </row>
    <row r="372" spans="3:5" s="45" customFormat="1" x14ac:dyDescent="0.2">
      <c r="C372" s="45">
        <v>30</v>
      </c>
      <c r="D372" s="45">
        <v>27.2</v>
      </c>
      <c r="E372" s="85">
        <f t="shared" ca="1" si="30"/>
        <v>7.7809434379407835E-2</v>
      </c>
    </row>
    <row r="373" spans="3:5" s="45" customFormat="1" x14ac:dyDescent="0.2">
      <c r="C373" s="45">
        <v>30</v>
      </c>
      <c r="D373" s="45">
        <v>27.3</v>
      </c>
      <c r="E373" s="85">
        <f t="shared" ca="1" si="30"/>
        <v>7.7887086164579081E-2</v>
      </c>
    </row>
    <row r="374" spans="3:5" s="45" customFormat="1" x14ac:dyDescent="0.2">
      <c r="C374" s="45">
        <v>30</v>
      </c>
      <c r="D374" s="45">
        <v>27.4</v>
      </c>
      <c r="E374" s="85">
        <f t="shared" ca="1" si="30"/>
        <v>7.7964801517162521E-2</v>
      </c>
    </row>
    <row r="375" spans="3:5" s="45" customFormat="1" x14ac:dyDescent="0.2">
      <c r="C375" s="45">
        <v>30</v>
      </c>
      <c r="D375" s="45">
        <v>27.5</v>
      </c>
      <c r="E375" s="85">
        <f t="shared" ca="1" si="30"/>
        <v>7.8042578082809566E-2</v>
      </c>
    </row>
    <row r="376" spans="3:5" s="45" customFormat="1" x14ac:dyDescent="0.2">
      <c r="C376" s="45">
        <v>30</v>
      </c>
      <c r="D376" s="45">
        <v>27.6</v>
      </c>
      <c r="E376" s="85">
        <f t="shared" ca="1" si="30"/>
        <v>7.812041350717161E-2</v>
      </c>
    </row>
    <row r="377" spans="3:5" s="45" customFormat="1" x14ac:dyDescent="0.2">
      <c r="C377" s="45">
        <v>30</v>
      </c>
      <c r="D377" s="45">
        <v>27.7</v>
      </c>
      <c r="E377" s="85">
        <f t="shared" ca="1" si="30"/>
        <v>7.8198305435900048E-2</v>
      </c>
    </row>
    <row r="378" spans="3:5" s="45" customFormat="1" x14ac:dyDescent="0.2">
      <c r="C378" s="45">
        <v>30</v>
      </c>
      <c r="D378" s="45">
        <v>27.8</v>
      </c>
      <c r="E378" s="85">
        <f t="shared" ca="1" si="30"/>
        <v>7.8276251514646303E-2</v>
      </c>
    </row>
    <row r="379" spans="3:5" s="45" customFormat="1" x14ac:dyDescent="0.2">
      <c r="C379" s="45">
        <v>30</v>
      </c>
      <c r="D379" s="45">
        <v>27.9</v>
      </c>
      <c r="E379" s="85">
        <f t="shared" ca="1" si="30"/>
        <v>7.8354249389061742E-2</v>
      </c>
    </row>
    <row r="380" spans="3:5" s="45" customFormat="1" x14ac:dyDescent="0.2">
      <c r="C380" s="45">
        <v>30</v>
      </c>
      <c r="D380" s="45">
        <v>28</v>
      </c>
      <c r="E380" s="85">
        <f t="shared" ca="1" si="30"/>
        <v>7.8432296704797788E-2</v>
      </c>
    </row>
    <row r="381" spans="3:5" s="45" customFormat="1" x14ac:dyDescent="0.2">
      <c r="C381" s="45">
        <v>30</v>
      </c>
      <c r="D381" s="45">
        <v>28.1</v>
      </c>
      <c r="E381" s="85">
        <f t="shared" ca="1" si="30"/>
        <v>7.8510391107505836E-2</v>
      </c>
    </row>
    <row r="382" spans="3:5" s="45" customFormat="1" x14ac:dyDescent="0.2">
      <c r="C382" s="45">
        <v>30</v>
      </c>
      <c r="D382" s="45">
        <v>28.2</v>
      </c>
      <c r="E382" s="85">
        <f t="shared" ca="1" si="30"/>
        <v>7.8588530242837268E-2</v>
      </c>
    </row>
    <row r="383" spans="3:5" s="45" customFormat="1" x14ac:dyDescent="0.2">
      <c r="C383" s="45">
        <v>30</v>
      </c>
      <c r="D383" s="45">
        <v>28.3</v>
      </c>
      <c r="E383" s="85">
        <f t="shared" ca="1" si="30"/>
        <v>7.8666711756443519E-2</v>
      </c>
    </row>
    <row r="384" spans="3:5" s="45" customFormat="1" x14ac:dyDescent="0.2">
      <c r="C384" s="45">
        <v>30</v>
      </c>
      <c r="D384" s="45">
        <v>28.4</v>
      </c>
      <c r="E384" s="85">
        <f t="shared" ca="1" si="30"/>
        <v>7.8744933293975972E-2</v>
      </c>
    </row>
    <row r="385" spans="3:5" s="45" customFormat="1" x14ac:dyDescent="0.2">
      <c r="C385" s="45">
        <v>30</v>
      </c>
      <c r="D385" s="45">
        <v>28.5</v>
      </c>
      <c r="E385" s="85">
        <f t="shared" ca="1" si="30"/>
        <v>7.882319250108602E-2</v>
      </c>
    </row>
    <row r="386" spans="3:5" s="45" customFormat="1" x14ac:dyDescent="0.2">
      <c r="C386" s="45">
        <v>30</v>
      </c>
      <c r="D386" s="45">
        <v>28.6</v>
      </c>
      <c r="E386" s="85">
        <f t="shared" ca="1" si="30"/>
        <v>7.890148702342506E-2</v>
      </c>
    </row>
    <row r="387" spans="3:5" s="45" customFormat="1" x14ac:dyDescent="0.2">
      <c r="C387" s="45">
        <v>30</v>
      </c>
      <c r="D387" s="45">
        <v>28.7</v>
      </c>
      <c r="E387" s="85">
        <f t="shared" ca="1" si="30"/>
        <v>7.8979814506644513E-2</v>
      </c>
    </row>
    <row r="388" spans="3:5" s="45" customFormat="1" x14ac:dyDescent="0.2">
      <c r="C388" s="45">
        <v>30</v>
      </c>
      <c r="D388" s="45">
        <v>28.8</v>
      </c>
      <c r="E388" s="85">
        <f t="shared" ca="1" si="30"/>
        <v>7.9058172596395762E-2</v>
      </c>
    </row>
    <row r="389" spans="3:5" s="45" customFormat="1" x14ac:dyDescent="0.2">
      <c r="C389" s="45">
        <v>30</v>
      </c>
      <c r="D389" s="45">
        <v>28.9</v>
      </c>
      <c r="E389" s="85">
        <f t="shared" ca="1" si="30"/>
        <v>7.9136558938330215E-2</v>
      </c>
    </row>
    <row r="390" spans="3:5" s="45" customFormat="1" x14ac:dyDescent="0.2">
      <c r="C390" s="45">
        <v>30</v>
      </c>
      <c r="D390" s="45">
        <v>29</v>
      </c>
      <c r="E390" s="85">
        <f t="shared" ca="1" si="30"/>
        <v>7.9214971178099253E-2</v>
      </c>
    </row>
    <row r="391" spans="3:5" s="45" customFormat="1" x14ac:dyDescent="0.2">
      <c r="C391" s="45">
        <v>30</v>
      </c>
      <c r="D391" s="45">
        <v>29.1</v>
      </c>
      <c r="E391" s="85">
        <f t="shared" ca="1" si="30"/>
        <v>7.9293406961354312E-2</v>
      </c>
    </row>
    <row r="392" spans="3:5" s="45" customFormat="1" x14ac:dyDescent="0.2">
      <c r="C392" s="45">
        <v>30</v>
      </c>
      <c r="D392" s="45">
        <v>29.2</v>
      </c>
      <c r="E392" s="85">
        <f t="shared" ca="1" si="30"/>
        <v>7.9371863933746761E-2</v>
      </c>
    </row>
    <row r="393" spans="3:5" s="45" customFormat="1" x14ac:dyDescent="0.2">
      <c r="C393" s="45">
        <v>30</v>
      </c>
      <c r="D393" s="45">
        <v>29.3</v>
      </c>
      <c r="E393" s="85">
        <f t="shared" ca="1" si="30"/>
        <v>7.9450339740928008E-2</v>
      </c>
    </row>
    <row r="394" spans="3:5" s="45" customFormat="1" x14ac:dyDescent="0.2">
      <c r="C394" s="45">
        <v>30</v>
      </c>
      <c r="D394" s="45">
        <v>29.4</v>
      </c>
      <c r="E394" s="85">
        <f t="shared" ca="1" si="30"/>
        <v>7.9528832028549448E-2</v>
      </c>
    </row>
    <row r="395" spans="3:5" s="45" customFormat="1" x14ac:dyDescent="0.2">
      <c r="C395" s="45">
        <v>30</v>
      </c>
      <c r="D395" s="45">
        <v>29.5</v>
      </c>
      <c r="E395" s="85">
        <f t="shared" ca="1" si="30"/>
        <v>7.9607338442262504E-2</v>
      </c>
    </row>
    <row r="396" spans="3:5" s="45" customFormat="1" x14ac:dyDescent="0.2">
      <c r="C396" s="45">
        <v>30</v>
      </c>
      <c r="D396" s="45">
        <v>29.6</v>
      </c>
      <c r="E396" s="85">
        <f t="shared" ca="1" si="30"/>
        <v>7.9685856627718557E-2</v>
      </c>
    </row>
    <row r="397" spans="3:5" s="45" customFormat="1" x14ac:dyDescent="0.2">
      <c r="C397" s="45">
        <v>30</v>
      </c>
      <c r="D397" s="45">
        <v>29.7</v>
      </c>
      <c r="E397" s="85">
        <f t="shared" ca="1" si="30"/>
        <v>7.9764384230569002E-2</v>
      </c>
    </row>
    <row r="398" spans="3:5" s="45" customFormat="1" x14ac:dyDescent="0.2">
      <c r="C398" s="45">
        <v>30</v>
      </c>
      <c r="D398" s="45">
        <v>29.8</v>
      </c>
      <c r="E398" s="85">
        <f t="shared" ca="1" si="30"/>
        <v>7.9842918896465262E-2</v>
      </c>
    </row>
    <row r="399" spans="3:5" s="45" customFormat="1" x14ac:dyDescent="0.2">
      <c r="C399" s="45">
        <v>30</v>
      </c>
      <c r="D399" s="45">
        <v>29.9</v>
      </c>
      <c r="E399" s="85">
        <f t="shared" ca="1" si="30"/>
        <v>7.9921458271058704E-2</v>
      </c>
    </row>
    <row r="400" spans="3:5" s="45" customFormat="1" x14ac:dyDescent="0.2">
      <c r="C400" s="45">
        <v>30</v>
      </c>
      <c r="D400" s="45">
        <v>30</v>
      </c>
      <c r="E400" s="85">
        <f t="shared" ca="1" si="30"/>
        <v>8.0000000000000751E-2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E6846-6C1E-8549-BC46-E2A15C78D02A}">
  <sheetPr codeName="Sheet54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45"/>
    <col min="4" max="4" width="22.33203125" style="45" bestFit="1" customWidth="1"/>
    <col min="5" max="5" width="10.83203125" style="45"/>
    <col min="6" max="38" width="3.83203125" style="45" customWidth="1"/>
    <col min="39" max="39" width="5.1640625" style="45" bestFit="1" customWidth="1"/>
    <col min="40" max="40" width="7" style="45" bestFit="1" customWidth="1"/>
    <col min="41" max="42" width="3.83203125" customWidth="1"/>
    <col min="44" max="16384" width="10.83203125" style="45"/>
  </cols>
  <sheetData>
    <row r="1" spans="1:43" x14ac:dyDescent="0.2">
      <c r="A1" s="45" t="s">
        <v>162</v>
      </c>
      <c r="AO1" s="45"/>
      <c r="AP1" s="45"/>
      <c r="AQ1" s="45"/>
    </row>
    <row r="2" spans="1:43" s="44" customFormat="1" ht="26" x14ac:dyDescent="0.3"/>
    <row r="3" spans="1:43" ht="29" x14ac:dyDescent="0.3">
      <c r="C3" s="44" t="s">
        <v>111</v>
      </c>
      <c r="AO3" s="45"/>
      <c r="AP3" s="45"/>
      <c r="AQ3" s="45"/>
    </row>
    <row r="4" spans="1:43" ht="26" x14ac:dyDescent="0.3">
      <c r="C4" s="44"/>
      <c r="AO4" s="45"/>
      <c r="AP4" s="45"/>
      <c r="AQ4" s="45"/>
    </row>
    <row r="5" spans="1:43" ht="29" x14ac:dyDescent="0.3">
      <c r="C5" s="44" t="s">
        <v>112</v>
      </c>
      <c r="AO5" s="45"/>
      <c r="AP5" s="45"/>
      <c r="AQ5" s="45"/>
    </row>
    <row r="6" spans="1:43" ht="26" x14ac:dyDescent="0.3">
      <c r="C6" s="44"/>
      <c r="AO6" s="45"/>
      <c r="AP6" s="45"/>
      <c r="AQ6" s="45"/>
    </row>
    <row r="7" spans="1:43" ht="26" x14ac:dyDescent="0.3">
      <c r="C7" s="44" t="s">
        <v>113</v>
      </c>
      <c r="AO7" s="45"/>
      <c r="AP7" s="45"/>
      <c r="AQ7" s="45"/>
    </row>
    <row r="8" spans="1:43" x14ac:dyDescent="0.2">
      <c r="AO8" s="45"/>
      <c r="AP8" s="45"/>
      <c r="AQ8" s="45"/>
    </row>
    <row r="9" spans="1:43" x14ac:dyDescent="0.2">
      <c r="AO9" s="45"/>
      <c r="AP9" s="45"/>
      <c r="AQ9" s="45"/>
    </row>
    <row r="10" spans="1:43" x14ac:dyDescent="0.2">
      <c r="AO10" s="45"/>
      <c r="AP10" s="45"/>
      <c r="AQ10" s="45"/>
    </row>
    <row r="11" spans="1:43" x14ac:dyDescent="0.2">
      <c r="B11" s="26" t="s">
        <v>89</v>
      </c>
      <c r="C11" s="26" t="s">
        <v>90</v>
      </c>
      <c r="AO11" s="45"/>
      <c r="AP11" s="45"/>
      <c r="AQ11" s="45"/>
    </row>
    <row r="12" spans="1:43" x14ac:dyDescent="0.2">
      <c r="B12" s="45">
        <v>0</v>
      </c>
      <c r="C12" s="61">
        <v>0</v>
      </c>
      <c r="D12" s="62"/>
      <c r="AO12" s="45"/>
      <c r="AP12" s="45"/>
      <c r="AQ12" s="45"/>
    </row>
    <row r="13" spans="1:43" x14ac:dyDescent="0.2">
      <c r="B13" s="45">
        <v>1</v>
      </c>
      <c r="C13" s="61">
        <v>0.02</v>
      </c>
      <c r="D13" s="62"/>
      <c r="AO13" s="45"/>
      <c r="AP13" s="45"/>
      <c r="AQ13" s="45"/>
    </row>
    <row r="14" spans="1:43" x14ac:dyDescent="0.2">
      <c r="B14" s="45">
        <v>2</v>
      </c>
      <c r="C14" s="61">
        <v>3.7869296080000003E-2</v>
      </c>
      <c r="D14" s="62"/>
      <c r="AO14" s="45"/>
      <c r="AP14" s="45"/>
      <c r="AQ14" s="45"/>
    </row>
    <row r="15" spans="1:43" x14ac:dyDescent="0.2">
      <c r="B15" s="45">
        <v>3</v>
      </c>
      <c r="C15" s="61">
        <v>4.4685005659999999E-2</v>
      </c>
      <c r="D15" s="62"/>
      <c r="AO15" s="45"/>
      <c r="AP15" s="45"/>
      <c r="AQ15" s="45"/>
    </row>
    <row r="16" spans="1:43" x14ac:dyDescent="0.2">
      <c r="B16" s="45">
        <v>4</v>
      </c>
      <c r="C16" s="61">
        <v>5.1500715240000002E-2</v>
      </c>
      <c r="D16" s="62"/>
      <c r="AO16" s="45"/>
      <c r="AP16" s="45"/>
      <c r="AQ16" s="45"/>
    </row>
    <row r="17" spans="2:43" x14ac:dyDescent="0.2">
      <c r="B17" s="45">
        <v>5</v>
      </c>
      <c r="C17" s="61">
        <v>5.8316424819999997E-2</v>
      </c>
      <c r="D17" s="62"/>
      <c r="AO17" s="45"/>
      <c r="AP17" s="45"/>
      <c r="AQ17" s="45"/>
    </row>
    <row r="18" spans="2:43" x14ac:dyDescent="0.2">
      <c r="B18" s="45">
        <v>7</v>
      </c>
      <c r="C18" s="61">
        <v>6.51321344E-2</v>
      </c>
      <c r="D18" s="62"/>
      <c r="AO18" s="45"/>
      <c r="AP18" s="45"/>
      <c r="AQ18" s="45"/>
    </row>
    <row r="19" spans="2:43" x14ac:dyDescent="0.2">
      <c r="B19" s="45">
        <v>10</v>
      </c>
      <c r="C19" s="61">
        <v>6.7430707199999995E-2</v>
      </c>
      <c r="D19" s="62"/>
      <c r="AO19" s="45"/>
      <c r="AP19" s="45"/>
      <c r="AQ19" s="45"/>
    </row>
    <row r="20" spans="2:43" x14ac:dyDescent="0.2">
      <c r="B20" s="45">
        <v>30</v>
      </c>
      <c r="C20" s="61">
        <v>0.08</v>
      </c>
      <c r="D20" s="62"/>
      <c r="AO20" s="45"/>
      <c r="AP20" s="45"/>
      <c r="AQ20" s="45"/>
    </row>
    <row r="21" spans="2:43" x14ac:dyDescent="0.2">
      <c r="AO21" s="45"/>
      <c r="AP21" s="45"/>
      <c r="AQ21" s="45"/>
    </row>
    <row r="22" spans="2:43" x14ac:dyDescent="0.2">
      <c r="AO22" s="45"/>
      <c r="AP22" s="45"/>
      <c r="AQ22" s="45"/>
    </row>
    <row r="23" spans="2:43" x14ac:dyDescent="0.2">
      <c r="AO23" s="45"/>
      <c r="AP23" s="45"/>
      <c r="AQ23" s="45"/>
    </row>
    <row r="24" spans="2:43" x14ac:dyDescent="0.2">
      <c r="AO24" s="45"/>
      <c r="AP24" s="45"/>
      <c r="AQ24" s="45"/>
    </row>
    <row r="25" spans="2:43" x14ac:dyDescent="0.2">
      <c r="AO25" s="45"/>
      <c r="AP25" s="45"/>
      <c r="AQ25" s="45"/>
    </row>
    <row r="26" spans="2:43" x14ac:dyDescent="0.2">
      <c r="AO26" s="45"/>
      <c r="AP26" s="45"/>
      <c r="AQ26" s="45"/>
    </row>
    <row r="27" spans="2:43" s="54" customFormat="1" x14ac:dyDescent="0.2">
      <c r="B27" s="54" t="s">
        <v>114</v>
      </c>
      <c r="C27" s="54" t="s">
        <v>115</v>
      </c>
      <c r="D27" s="54" t="s">
        <v>97</v>
      </c>
      <c r="F27" s="87" t="s">
        <v>201</v>
      </c>
      <c r="G27" s="87" t="s">
        <v>202</v>
      </c>
      <c r="H27" s="87" t="s">
        <v>203</v>
      </c>
      <c r="I27" s="87" t="s">
        <v>204</v>
      </c>
      <c r="J27" s="87" t="s">
        <v>205</v>
      </c>
      <c r="K27" s="87" t="s">
        <v>206</v>
      </c>
      <c r="L27" s="87" t="s">
        <v>207</v>
      </c>
      <c r="M27" s="87" t="s">
        <v>208</v>
      </c>
      <c r="N27" s="87" t="s">
        <v>209</v>
      </c>
      <c r="O27" s="87" t="s">
        <v>210</v>
      </c>
      <c r="P27" s="87" t="s">
        <v>211</v>
      </c>
      <c r="Q27" s="87" t="s">
        <v>212</v>
      </c>
      <c r="R27" s="64" t="s">
        <v>213</v>
      </c>
      <c r="S27" s="64" t="s">
        <v>214</v>
      </c>
      <c r="T27" s="64" t="s">
        <v>215</v>
      </c>
      <c r="U27" s="64" t="s">
        <v>216</v>
      </c>
      <c r="V27" s="64" t="s">
        <v>217</v>
      </c>
      <c r="W27" s="64" t="s">
        <v>218</v>
      </c>
      <c r="X27" s="64" t="s">
        <v>219</v>
      </c>
      <c r="Y27" s="64" t="s">
        <v>220</v>
      </c>
      <c r="Z27" s="64" t="s">
        <v>221</v>
      </c>
      <c r="AA27" s="64" t="s">
        <v>222</v>
      </c>
      <c r="AB27" s="64" t="s">
        <v>223</v>
      </c>
      <c r="AC27" s="64" t="s">
        <v>224</v>
      </c>
      <c r="AD27" s="64" t="s">
        <v>225</v>
      </c>
      <c r="AE27" s="64" t="s">
        <v>226</v>
      </c>
      <c r="AF27" s="64" t="s">
        <v>227</v>
      </c>
      <c r="AG27" s="64" t="s">
        <v>228</v>
      </c>
      <c r="AH27" s="64" t="s">
        <v>197</v>
      </c>
      <c r="AI27" s="64" t="s">
        <v>198</v>
      </c>
      <c r="AJ27" s="64" t="s">
        <v>229</v>
      </c>
      <c r="AK27" s="64" t="s">
        <v>230</v>
      </c>
      <c r="AL27" s="64"/>
      <c r="AM27" s="64"/>
      <c r="AN27" s="54" t="s">
        <v>196</v>
      </c>
      <c r="AO27" s="45"/>
      <c r="AP27" s="45"/>
      <c r="AQ27" s="45"/>
    </row>
    <row r="28" spans="2:43" x14ac:dyDescent="0.2">
      <c r="B28" s="26" t="str">
        <f>"y(" &amp; D28 &amp; ")"</f>
        <v>y(1)</v>
      </c>
      <c r="C28" s="45">
        <f>VLOOKUP(D28,$B$12:$C$20,2,0)</f>
        <v>0.02</v>
      </c>
      <c r="D28" s="45">
        <v>1</v>
      </c>
      <c r="F28" s="65">
        <f>time^3</f>
        <v>1</v>
      </c>
      <c r="G28" s="66">
        <f>time^2</f>
        <v>1</v>
      </c>
      <c r="H28" s="66">
        <f>time^1</f>
        <v>1</v>
      </c>
      <c r="I28" s="66">
        <f>time^0</f>
        <v>1</v>
      </c>
      <c r="J28" s="66">
        <v>0</v>
      </c>
      <c r="K28" s="66">
        <v>0</v>
      </c>
      <c r="L28" s="66">
        <v>0</v>
      </c>
      <c r="M28" s="67">
        <v>0</v>
      </c>
      <c r="N28" s="66"/>
      <c r="O28" s="66"/>
      <c r="P28" s="66"/>
      <c r="Q28" s="66"/>
      <c r="R28" s="66"/>
      <c r="S28" s="68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7"/>
      <c r="AM28" s="45" t="str">
        <f>"a_"&amp; time</f>
        <v>a_1</v>
      </c>
      <c r="AN28" s="69">
        <v>9.6395439749487923E-3</v>
      </c>
      <c r="AO28" s="45"/>
      <c r="AP28" s="45"/>
      <c r="AQ28" s="45"/>
    </row>
    <row r="29" spans="2:43" x14ac:dyDescent="0.2">
      <c r="B29" s="26" t="str">
        <f t="shared" ref="B29:B37" si="0">"y(" &amp; D29 &amp; ")"</f>
        <v>y(1)</v>
      </c>
      <c r="C29" s="45">
        <f>VLOOKUP(D29,$B$12:$C$20,2,0)</f>
        <v>0.02</v>
      </c>
      <c r="D29" s="45">
        <v>1</v>
      </c>
      <c r="F29" s="70">
        <v>0</v>
      </c>
      <c r="G29" s="71">
        <v>0</v>
      </c>
      <c r="H29" s="71">
        <v>0</v>
      </c>
      <c r="I29" s="71">
        <v>0</v>
      </c>
      <c r="J29" s="71">
        <f>time^3</f>
        <v>1</v>
      </c>
      <c r="K29" s="71">
        <f>time^2</f>
        <v>1</v>
      </c>
      <c r="L29" s="71">
        <f>time^1</f>
        <v>1</v>
      </c>
      <c r="M29" s="72">
        <f>time^0</f>
        <v>1</v>
      </c>
      <c r="N29" s="71"/>
      <c r="O29" s="71"/>
      <c r="P29" s="71"/>
      <c r="Q29" s="71"/>
      <c r="R29" s="71"/>
      <c r="S29" s="63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2"/>
      <c r="AM29" s="45" t="str">
        <f>"b_"&amp; time</f>
        <v>b_1</v>
      </c>
      <c r="AN29" s="69">
        <v>9.639543974948794E-3</v>
      </c>
      <c r="AO29" s="45"/>
      <c r="AP29" s="45"/>
      <c r="AQ29" s="45"/>
    </row>
    <row r="30" spans="2:43" x14ac:dyDescent="0.2">
      <c r="B30" s="26" t="str">
        <f>"y'(" &amp; D30 &amp; ")"</f>
        <v>y'(1)</v>
      </c>
      <c r="C30" s="45">
        <v>0</v>
      </c>
      <c r="D30" s="45">
        <v>1</v>
      </c>
      <c r="F30" s="70">
        <f>3*time^2</f>
        <v>3</v>
      </c>
      <c r="G30" s="71">
        <f>2*time</f>
        <v>2</v>
      </c>
      <c r="H30" s="71">
        <f>time^0</f>
        <v>1</v>
      </c>
      <c r="I30" s="71">
        <v>0</v>
      </c>
      <c r="J30" s="71">
        <f>-3*time^2</f>
        <v>-3</v>
      </c>
      <c r="K30" s="71">
        <f>-2*time</f>
        <v>-2</v>
      </c>
      <c r="L30" s="71">
        <f>-(time^0)</f>
        <v>-1</v>
      </c>
      <c r="M30" s="72">
        <v>0</v>
      </c>
      <c r="N30" s="71"/>
      <c r="O30" s="71"/>
      <c r="P30" s="71"/>
      <c r="Q30" s="71"/>
      <c r="R30" s="71"/>
      <c r="S30" s="63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2"/>
      <c r="AM30" s="45" t="str">
        <f>"c_"&amp; time</f>
        <v>c_1</v>
      </c>
      <c r="AN30" s="69">
        <v>9.639543974948794E-3</v>
      </c>
      <c r="AO30" s="45"/>
      <c r="AP30" s="45"/>
      <c r="AQ30" s="45"/>
    </row>
    <row r="31" spans="2:43" x14ac:dyDescent="0.2">
      <c r="B31" s="26" t="str">
        <f>"y''(" &amp; D31 &amp; ")"</f>
        <v>y''(1)</v>
      </c>
      <c r="C31" s="45">
        <v>0</v>
      </c>
      <c r="D31" s="45">
        <v>1</v>
      </c>
      <c r="F31" s="73">
        <f>2*3*time^1</f>
        <v>6</v>
      </c>
      <c r="G31" s="74">
        <f>2*time^0</f>
        <v>2</v>
      </c>
      <c r="H31" s="74">
        <v>0</v>
      </c>
      <c r="I31" s="74">
        <v>0</v>
      </c>
      <c r="J31" s="74">
        <f>-2*3*time^1</f>
        <v>-6</v>
      </c>
      <c r="K31" s="74">
        <f>-2*time^0</f>
        <v>-2</v>
      </c>
      <c r="L31" s="74">
        <v>0</v>
      </c>
      <c r="M31" s="75">
        <v>0</v>
      </c>
      <c r="N31" s="71"/>
      <c r="O31" s="71"/>
      <c r="P31" s="71"/>
      <c r="Q31" s="71"/>
      <c r="R31" s="71"/>
      <c r="S31" s="63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2"/>
      <c r="AM31" s="45" t="str">
        <f>"d_"&amp; time</f>
        <v>d_1</v>
      </c>
      <c r="AN31" s="69">
        <v>-5.8829694944846243E-7</v>
      </c>
      <c r="AO31" s="45"/>
      <c r="AP31" s="45"/>
      <c r="AQ31" s="45"/>
    </row>
    <row r="32" spans="2:43" x14ac:dyDescent="0.2">
      <c r="B32" s="26" t="str">
        <f t="shared" ref="B32" si="1">"y(" &amp; D32 &amp; ")"</f>
        <v>y(2)</v>
      </c>
      <c r="C32" s="45">
        <f t="shared" ref="C32:C33" si="2">VLOOKUP(D32,$B$12:$C$20,2,0)</f>
        <v>3.7869296080000003E-2</v>
      </c>
      <c r="D32" s="45">
        <f>D28+1</f>
        <v>2</v>
      </c>
      <c r="F32" s="70"/>
      <c r="G32" s="71"/>
      <c r="H32" s="71"/>
      <c r="I32" s="71"/>
      <c r="J32" s="65">
        <f>time^3</f>
        <v>8</v>
      </c>
      <c r="K32" s="66">
        <f>time^2</f>
        <v>4</v>
      </c>
      <c r="L32" s="66">
        <f>time^1</f>
        <v>2</v>
      </c>
      <c r="M32" s="66">
        <f>time^0</f>
        <v>1</v>
      </c>
      <c r="N32" s="66">
        <v>0</v>
      </c>
      <c r="O32" s="66">
        <v>0</v>
      </c>
      <c r="P32" s="66">
        <v>0</v>
      </c>
      <c r="Q32" s="67">
        <v>0</v>
      </c>
      <c r="R32" s="71"/>
      <c r="S32" s="63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2"/>
      <c r="AM32" s="45" t="str">
        <f>"a_"&amp; time</f>
        <v>a_2</v>
      </c>
      <c r="AN32" s="69">
        <v>1.4662962988413091E-3</v>
      </c>
      <c r="AO32" s="45"/>
      <c r="AP32" s="45"/>
      <c r="AQ32" s="45"/>
    </row>
    <row r="33" spans="2:43" x14ac:dyDescent="0.2">
      <c r="B33" s="26" t="str">
        <f t="shared" si="0"/>
        <v>y(2)</v>
      </c>
      <c r="C33" s="45">
        <f t="shared" si="2"/>
        <v>3.7869296080000003E-2</v>
      </c>
      <c r="D33" s="45">
        <f t="shared" ref="D33:D47" si="3">D29+1</f>
        <v>2</v>
      </c>
      <c r="F33" s="70"/>
      <c r="G33" s="71"/>
      <c r="H33" s="71"/>
      <c r="I33" s="71"/>
      <c r="J33" s="70">
        <v>0</v>
      </c>
      <c r="K33" s="71">
        <v>0</v>
      </c>
      <c r="L33" s="71">
        <v>0</v>
      </c>
      <c r="M33" s="71">
        <v>0</v>
      </c>
      <c r="N33" s="71">
        <f>time^3</f>
        <v>8</v>
      </c>
      <c r="O33" s="71">
        <f>time^2</f>
        <v>4</v>
      </c>
      <c r="P33" s="71">
        <f>time^1</f>
        <v>2</v>
      </c>
      <c r="Q33" s="72">
        <f>time^0</f>
        <v>1</v>
      </c>
      <c r="R33" s="71"/>
      <c r="S33" s="63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2"/>
      <c r="AM33" s="45" t="str">
        <f>"b_"&amp; time</f>
        <v>b_2</v>
      </c>
      <c r="AN33" s="69">
        <v>3.4207889110325772E-3</v>
      </c>
      <c r="AO33" s="45"/>
      <c r="AP33" s="45"/>
      <c r="AQ33" s="45"/>
    </row>
    <row r="34" spans="2:43" x14ac:dyDescent="0.2">
      <c r="B34" s="26" t="str">
        <f t="shared" ref="B34" si="4">"y'(" &amp; D34 &amp; ")"</f>
        <v>y'(2)</v>
      </c>
      <c r="C34" s="45">
        <v>0</v>
      </c>
      <c r="D34" s="45">
        <f t="shared" si="3"/>
        <v>2</v>
      </c>
      <c r="F34" s="70"/>
      <c r="G34" s="71"/>
      <c r="H34" s="71"/>
      <c r="I34" s="71"/>
      <c r="J34" s="70">
        <f>3*time^2</f>
        <v>12</v>
      </c>
      <c r="K34" s="71">
        <f>2*time</f>
        <v>4</v>
      </c>
      <c r="L34" s="71">
        <f>time^0</f>
        <v>1</v>
      </c>
      <c r="M34" s="71">
        <v>0</v>
      </c>
      <c r="N34" s="71">
        <f>-3*time^2</f>
        <v>-12</v>
      </c>
      <c r="O34" s="71">
        <f>-2*time</f>
        <v>-4</v>
      </c>
      <c r="P34" s="71">
        <f>-(time^0)</f>
        <v>-1</v>
      </c>
      <c r="Q34" s="72">
        <v>0</v>
      </c>
      <c r="R34" s="71"/>
      <c r="S34" s="63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2"/>
      <c r="AM34" s="45" t="str">
        <f>"c_"&amp; time</f>
        <v>c_2</v>
      </c>
      <c r="AN34" s="69">
        <v>4.3978701902765427E-3</v>
      </c>
      <c r="AO34" s="45"/>
      <c r="AP34" s="45"/>
      <c r="AQ34" s="45"/>
    </row>
    <row r="35" spans="2:43" x14ac:dyDescent="0.2">
      <c r="B35" s="26" t="str">
        <f t="shared" ref="B35" si="5">"y''(" &amp; D35 &amp; ")"</f>
        <v>y''(2)</v>
      </c>
      <c r="C35" s="45">
        <v>0</v>
      </c>
      <c r="D35" s="45">
        <f t="shared" si="3"/>
        <v>2</v>
      </c>
      <c r="F35" s="70"/>
      <c r="G35" s="71"/>
      <c r="H35" s="71"/>
      <c r="I35" s="71"/>
      <c r="J35" s="73">
        <f>2*3*time^1</f>
        <v>12</v>
      </c>
      <c r="K35" s="74">
        <f>2*time^0</f>
        <v>2</v>
      </c>
      <c r="L35" s="74">
        <v>0</v>
      </c>
      <c r="M35" s="74">
        <v>0</v>
      </c>
      <c r="N35" s="74">
        <f>-2*3*time^1</f>
        <v>-12</v>
      </c>
      <c r="O35" s="74">
        <f>-2*time^0</f>
        <v>-2</v>
      </c>
      <c r="P35" s="74">
        <v>0</v>
      </c>
      <c r="Q35" s="75">
        <v>0</v>
      </c>
      <c r="R35" s="71"/>
      <c r="S35" s="63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2"/>
      <c r="AM35" s="45" t="str">
        <f>"d_"&amp; time</f>
        <v>d_2</v>
      </c>
      <c r="AN35" s="69">
        <v>4.8863695128720059E-3</v>
      </c>
      <c r="AO35" s="45"/>
      <c r="AP35" s="45"/>
      <c r="AQ35" s="45"/>
    </row>
    <row r="36" spans="2:43" x14ac:dyDescent="0.2">
      <c r="B36" s="26" t="str">
        <f t="shared" ref="B36:B53" si="6">"y(" &amp; D36 &amp; ")"</f>
        <v>y(3)</v>
      </c>
      <c r="C36" s="45">
        <f t="shared" ref="C36:C37" si="7">VLOOKUP(D36,$B$12:$C$20,2,0)</f>
        <v>4.4685005659999999E-2</v>
      </c>
      <c r="D36" s="45">
        <f t="shared" si="3"/>
        <v>3</v>
      </c>
      <c r="F36" s="70"/>
      <c r="G36" s="71"/>
      <c r="H36" s="71"/>
      <c r="I36" s="71"/>
      <c r="J36" s="71"/>
      <c r="K36" s="71"/>
      <c r="L36" s="71"/>
      <c r="M36" s="71"/>
      <c r="N36" s="65">
        <f>time^3</f>
        <v>27</v>
      </c>
      <c r="O36" s="66">
        <f>time^2</f>
        <v>9</v>
      </c>
      <c r="P36" s="66">
        <f>time^1</f>
        <v>3</v>
      </c>
      <c r="Q36" s="66">
        <f>time^0</f>
        <v>1</v>
      </c>
      <c r="R36" s="66">
        <v>0</v>
      </c>
      <c r="S36" s="66">
        <v>0</v>
      </c>
      <c r="T36" s="66">
        <v>0</v>
      </c>
      <c r="U36" s="67">
        <v>0</v>
      </c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2"/>
      <c r="AM36" s="45" t="str">
        <f>"a_"&amp; time</f>
        <v>a_3</v>
      </c>
      <c r="AN36" s="69">
        <v>-1.7292330749307625E-5</v>
      </c>
      <c r="AO36" s="45"/>
      <c r="AP36" s="45"/>
      <c r="AQ36" s="45"/>
    </row>
    <row r="37" spans="2:43" x14ac:dyDescent="0.2">
      <c r="B37" s="26" t="str">
        <f t="shared" si="0"/>
        <v>y(3)</v>
      </c>
      <c r="C37" s="45">
        <f t="shared" si="7"/>
        <v>4.4685005659999999E-2</v>
      </c>
      <c r="D37" s="45">
        <f t="shared" si="3"/>
        <v>3</v>
      </c>
      <c r="E37" s="26"/>
      <c r="F37" s="76"/>
      <c r="G37" s="77"/>
      <c r="H37" s="77"/>
      <c r="I37" s="77"/>
      <c r="J37" s="77"/>
      <c r="K37" s="77"/>
      <c r="L37" s="77"/>
      <c r="M37" s="77"/>
      <c r="N37" s="70">
        <v>0</v>
      </c>
      <c r="O37" s="71">
        <v>0</v>
      </c>
      <c r="P37" s="71">
        <v>0</v>
      </c>
      <c r="Q37" s="71">
        <v>0</v>
      </c>
      <c r="R37" s="71">
        <f>time^3</f>
        <v>27</v>
      </c>
      <c r="S37" s="71">
        <f>time^2</f>
        <v>9</v>
      </c>
      <c r="T37" s="71">
        <f>time^1</f>
        <v>3</v>
      </c>
      <c r="U37" s="72">
        <f>time^0</f>
        <v>1</v>
      </c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2"/>
      <c r="AM37" s="45" t="str">
        <f>"b_"&amp; time</f>
        <v>b_3</v>
      </c>
      <c r="AN37" s="69">
        <v>3.2034503132570909E-3</v>
      </c>
      <c r="AO37" s="45"/>
      <c r="AP37" s="45"/>
      <c r="AQ37" s="45"/>
    </row>
    <row r="38" spans="2:43" x14ac:dyDescent="0.2">
      <c r="B38" s="26" t="str">
        <f t="shared" ref="B38" si="8">"y'(" &amp; D38 &amp; ")"</f>
        <v>y'(3)</v>
      </c>
      <c r="C38" s="45">
        <v>0</v>
      </c>
      <c r="D38" s="45">
        <f t="shared" si="3"/>
        <v>3</v>
      </c>
      <c r="F38" s="70"/>
      <c r="G38" s="78"/>
      <c r="H38" s="71"/>
      <c r="I38" s="71"/>
      <c r="J38" s="71"/>
      <c r="K38" s="71"/>
      <c r="L38" s="71"/>
      <c r="M38" s="71"/>
      <c r="N38" s="70">
        <f>3*time^2</f>
        <v>27</v>
      </c>
      <c r="O38" s="71">
        <f>2*time</f>
        <v>6</v>
      </c>
      <c r="P38" s="71">
        <f>time^0</f>
        <v>1</v>
      </c>
      <c r="Q38" s="71">
        <v>0</v>
      </c>
      <c r="R38" s="71">
        <f>-3*time^2</f>
        <v>-27</v>
      </c>
      <c r="S38" s="71">
        <f>-2*time</f>
        <v>-6</v>
      </c>
      <c r="T38" s="71">
        <f>-(time^0)</f>
        <v>-1</v>
      </c>
      <c r="U38" s="72">
        <v>0</v>
      </c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2"/>
      <c r="AM38" s="45" t="str">
        <f>"c_"&amp; time</f>
        <v>c_3</v>
      </c>
      <c r="AN38" s="69">
        <v>7.0131351611933549E-3</v>
      </c>
      <c r="AO38" s="45"/>
      <c r="AP38" s="45"/>
      <c r="AQ38" s="45"/>
    </row>
    <row r="39" spans="2:43" x14ac:dyDescent="0.2">
      <c r="B39" s="26" t="str">
        <f t="shared" ref="B39" si="9">"y''(" &amp; D39 &amp; ")"</f>
        <v>y''(3)</v>
      </c>
      <c r="C39" s="45">
        <v>0</v>
      </c>
      <c r="D39" s="45">
        <f t="shared" si="3"/>
        <v>3</v>
      </c>
      <c r="F39" s="70"/>
      <c r="G39" s="78"/>
      <c r="H39" s="71"/>
      <c r="I39" s="71"/>
      <c r="J39" s="71"/>
      <c r="K39" s="71"/>
      <c r="L39" s="71"/>
      <c r="M39" s="71"/>
      <c r="N39" s="73">
        <f>2*3*time^1</f>
        <v>18</v>
      </c>
      <c r="O39" s="74">
        <f>2*time^0</f>
        <v>2</v>
      </c>
      <c r="P39" s="74">
        <v>0</v>
      </c>
      <c r="Q39" s="74">
        <v>0</v>
      </c>
      <c r="R39" s="74">
        <f>-2*3*time^1</f>
        <v>-18</v>
      </c>
      <c r="S39" s="74">
        <f>-2*time^0</f>
        <v>-2</v>
      </c>
      <c r="T39" s="74">
        <v>0</v>
      </c>
      <c r="U39" s="75">
        <v>0</v>
      </c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2"/>
      <c r="AM39" s="45" t="str">
        <f>"d_"&amp; time</f>
        <v>d_3</v>
      </c>
      <c r="AN39" s="69">
        <v>8.4369247906656685E-3</v>
      </c>
      <c r="AO39" s="45"/>
      <c r="AP39" s="45"/>
      <c r="AQ39" s="45"/>
    </row>
    <row r="40" spans="2:43" x14ac:dyDescent="0.2">
      <c r="B40" s="26" t="str">
        <f t="shared" si="6"/>
        <v>y(4)</v>
      </c>
      <c r="C40" s="45">
        <f t="shared" ref="C40:C41" si="10">VLOOKUP(D40,$B$12:$C$20,2,0)</f>
        <v>5.1500715240000002E-2</v>
      </c>
      <c r="D40" s="45">
        <f t="shared" si="3"/>
        <v>4</v>
      </c>
      <c r="F40" s="70"/>
      <c r="G40" s="78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65">
        <f>time^3</f>
        <v>64</v>
      </c>
      <c r="S40" s="66">
        <f>time^2</f>
        <v>16</v>
      </c>
      <c r="T40" s="66">
        <f>time^1</f>
        <v>4</v>
      </c>
      <c r="U40" s="66">
        <f>time^0</f>
        <v>1</v>
      </c>
      <c r="V40" s="66">
        <v>0</v>
      </c>
      <c r="W40" s="66">
        <v>0</v>
      </c>
      <c r="X40" s="66">
        <v>0</v>
      </c>
      <c r="Y40" s="67">
        <v>0</v>
      </c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2"/>
      <c r="AM40" s="45" t="str">
        <f>"a_"&amp; time</f>
        <v>a_4</v>
      </c>
      <c r="AN40" s="69">
        <v>1.4423752219087113E-4</v>
      </c>
      <c r="AO40" s="45"/>
      <c r="AP40" s="45"/>
      <c r="AQ40" s="45"/>
    </row>
    <row r="41" spans="2:43" x14ac:dyDescent="0.2">
      <c r="B41" s="26" t="str">
        <f t="shared" si="6"/>
        <v>y(4)</v>
      </c>
      <c r="C41" s="45">
        <f t="shared" si="10"/>
        <v>5.1500715240000002E-2</v>
      </c>
      <c r="D41" s="45">
        <f t="shared" si="3"/>
        <v>4</v>
      </c>
      <c r="F41" s="70"/>
      <c r="G41" s="78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>
        <v>0</v>
      </c>
      <c r="S41" s="71">
        <v>0</v>
      </c>
      <c r="T41" s="71">
        <v>0</v>
      </c>
      <c r="U41" s="71">
        <v>0</v>
      </c>
      <c r="V41" s="71">
        <f>time^3</f>
        <v>64</v>
      </c>
      <c r="W41" s="71">
        <f>time^2</f>
        <v>16</v>
      </c>
      <c r="X41" s="71">
        <f>time^1</f>
        <v>4</v>
      </c>
      <c r="Y41" s="72">
        <f>time^0</f>
        <v>1</v>
      </c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2"/>
      <c r="AM41" s="45" t="str">
        <f>"b_"&amp; time</f>
        <v>b_4</v>
      </c>
      <c r="AN41" s="69">
        <v>7.1197248347874668E-4</v>
      </c>
      <c r="AO41" s="45"/>
      <c r="AP41" s="45"/>
      <c r="AQ41" s="45"/>
    </row>
    <row r="42" spans="2:43" s="26" customFormat="1" x14ac:dyDescent="0.2">
      <c r="B42" s="26" t="str">
        <f t="shared" ref="B42:B54" si="11">"y'(" &amp; D42 &amp; ")"</f>
        <v>y'(4)</v>
      </c>
      <c r="C42" s="45">
        <v>0</v>
      </c>
      <c r="D42" s="45">
        <f t="shared" si="3"/>
        <v>4</v>
      </c>
      <c r="E42" s="45"/>
      <c r="F42" s="70"/>
      <c r="G42" s="78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>
        <f>3*time^2</f>
        <v>48</v>
      </c>
      <c r="S42" s="71">
        <f>2*time</f>
        <v>8</v>
      </c>
      <c r="T42" s="71">
        <f>time^0</f>
        <v>1</v>
      </c>
      <c r="U42" s="71">
        <v>0</v>
      </c>
      <c r="V42" s="71">
        <f>-3*time^2</f>
        <v>-48</v>
      </c>
      <c r="W42" s="71">
        <f>-2*time</f>
        <v>-8</v>
      </c>
      <c r="X42" s="71">
        <f>-(time^0)</f>
        <v>-1</v>
      </c>
      <c r="Y42" s="72">
        <v>0</v>
      </c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9"/>
      <c r="AM42" s="45" t="str">
        <f>"c_"&amp; time</f>
        <v>c_4</v>
      </c>
      <c r="AN42" s="69">
        <v>7.0669333881322235E-3</v>
      </c>
    </row>
    <row r="43" spans="2:43" x14ac:dyDescent="0.2">
      <c r="B43" s="26" t="str">
        <f t="shared" ref="B43:B59" si="12">"y''(" &amp; D43 &amp; ")"</f>
        <v>y''(4)</v>
      </c>
      <c r="C43" s="45">
        <v>0</v>
      </c>
      <c r="D43" s="45">
        <f t="shared" si="3"/>
        <v>4</v>
      </c>
      <c r="F43" s="70"/>
      <c r="G43" s="78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3">
        <f>2*3*time^1</f>
        <v>24</v>
      </c>
      <c r="S43" s="74">
        <f>2*time^0</f>
        <v>2</v>
      </c>
      <c r="T43" s="74">
        <v>0</v>
      </c>
      <c r="U43" s="74">
        <v>0</v>
      </c>
      <c r="V43" s="74">
        <f>-2*3*time^1</f>
        <v>-24</v>
      </c>
      <c r="W43" s="74">
        <f>-2*time^0</f>
        <v>-2</v>
      </c>
      <c r="X43" s="74">
        <v>0</v>
      </c>
      <c r="Y43" s="75">
        <v>0</v>
      </c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2"/>
      <c r="AM43" s="45" t="str">
        <f>"d_"&amp; time</f>
        <v>d_4</v>
      </c>
      <c r="AN43" s="69">
        <v>9.1035769107491293E-3</v>
      </c>
      <c r="AO43" s="45"/>
      <c r="AP43" s="45"/>
      <c r="AQ43" s="45"/>
    </row>
    <row r="44" spans="2:43" x14ac:dyDescent="0.2">
      <c r="B44" s="26" t="str">
        <f t="shared" si="6"/>
        <v>y(5)</v>
      </c>
      <c r="C44" s="45">
        <f t="shared" ref="C44:C58" si="13">VLOOKUP(D44,$B$12:$C$20,2,0)</f>
        <v>5.8316424819999997E-2</v>
      </c>
      <c r="D44" s="45">
        <f t="shared" si="3"/>
        <v>5</v>
      </c>
      <c r="F44" s="70"/>
      <c r="G44" s="78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65">
        <f>time^3</f>
        <v>125</v>
      </c>
      <c r="W44" s="66">
        <f>time^2</f>
        <v>25</v>
      </c>
      <c r="X44" s="66">
        <f>time^1</f>
        <v>5</v>
      </c>
      <c r="Y44" s="66">
        <f>time^0</f>
        <v>1</v>
      </c>
      <c r="Z44" s="66">
        <v>0</v>
      </c>
      <c r="AA44" s="66">
        <v>0</v>
      </c>
      <c r="AB44" s="66">
        <v>0</v>
      </c>
      <c r="AC44" s="67">
        <v>0</v>
      </c>
      <c r="AD44" s="71"/>
      <c r="AE44" s="71"/>
      <c r="AF44" s="71"/>
      <c r="AG44" s="71"/>
      <c r="AH44" s="71"/>
      <c r="AI44" s="63"/>
      <c r="AJ44" s="71"/>
      <c r="AK44" s="72"/>
      <c r="AM44" s="45" t="str">
        <f>"a_"&amp; time</f>
        <v>a_5</v>
      </c>
      <c r="AN44" s="69">
        <v>-8.0804278818218602E-5</v>
      </c>
      <c r="AO44" s="45"/>
      <c r="AP44" s="45"/>
      <c r="AQ44" s="45"/>
    </row>
    <row r="45" spans="2:43" x14ac:dyDescent="0.2">
      <c r="B45" s="26" t="str">
        <f t="shared" si="6"/>
        <v>y(5)</v>
      </c>
      <c r="C45" s="45">
        <f t="shared" si="13"/>
        <v>5.8316424819999997E-2</v>
      </c>
      <c r="D45" s="45">
        <f t="shared" si="3"/>
        <v>5</v>
      </c>
      <c r="F45" s="70"/>
      <c r="G45" s="78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0">
        <v>0</v>
      </c>
      <c r="W45" s="71">
        <v>0</v>
      </c>
      <c r="X45" s="71">
        <v>0</v>
      </c>
      <c r="Y45" s="71">
        <v>0</v>
      </c>
      <c r="Z45" s="71">
        <f>time^3</f>
        <v>125</v>
      </c>
      <c r="AA45" s="71">
        <f>time^2</f>
        <v>25</v>
      </c>
      <c r="AB45" s="71">
        <f>time^1</f>
        <v>5</v>
      </c>
      <c r="AC45" s="72">
        <f>time^0</f>
        <v>1</v>
      </c>
      <c r="AD45" s="71"/>
      <c r="AE45" s="71"/>
      <c r="AF45" s="71"/>
      <c r="AG45" s="71"/>
      <c r="AH45" s="71"/>
      <c r="AI45" s="63"/>
      <c r="AJ45" s="71"/>
      <c r="AK45" s="72"/>
      <c r="AM45" s="45" t="str">
        <f>"b_"&amp; time</f>
        <v>b_5</v>
      </c>
      <c r="AN45" s="69">
        <v>7.7229660634714513E-4</v>
      </c>
      <c r="AO45" s="45"/>
      <c r="AP45" s="45"/>
      <c r="AQ45" s="45"/>
    </row>
    <row r="46" spans="2:43" x14ac:dyDescent="0.2">
      <c r="B46" s="26" t="str">
        <f t="shared" si="11"/>
        <v>y'(5)</v>
      </c>
      <c r="C46" s="45">
        <v>0</v>
      </c>
      <c r="D46" s="45">
        <f t="shared" si="3"/>
        <v>5</v>
      </c>
      <c r="F46" s="70"/>
      <c r="G46" s="78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0">
        <f>3*time^2</f>
        <v>75</v>
      </c>
      <c r="W46" s="71">
        <f>2*time</f>
        <v>10</v>
      </c>
      <c r="X46" s="71">
        <f>time^0</f>
        <v>1</v>
      </c>
      <c r="Y46" s="71">
        <v>0</v>
      </c>
      <c r="Z46" s="71">
        <f>-3*time^2</f>
        <v>-75</v>
      </c>
      <c r="AA46" s="71">
        <f>-2*time</f>
        <v>-10</v>
      </c>
      <c r="AB46" s="71">
        <f>-(time^0)</f>
        <v>-1</v>
      </c>
      <c r="AC46" s="72">
        <v>0</v>
      </c>
      <c r="AD46" s="71"/>
      <c r="AE46" s="71"/>
      <c r="AF46" s="71"/>
      <c r="AG46" s="71"/>
      <c r="AH46" s="71"/>
      <c r="AI46" s="63"/>
      <c r="AJ46" s="71"/>
      <c r="AK46" s="72"/>
      <c r="AM46" s="45" t="str">
        <f>"c_"&amp; time</f>
        <v>c_5</v>
      </c>
      <c r="AN46" s="69">
        <v>7.7473991537732757E-3</v>
      </c>
      <c r="AO46" s="45"/>
      <c r="AP46" s="45"/>
      <c r="AQ46" s="45"/>
    </row>
    <row r="47" spans="2:43" x14ac:dyDescent="0.2">
      <c r="B47" s="26" t="str">
        <f t="shared" si="12"/>
        <v>y''(5)</v>
      </c>
      <c r="C47" s="45">
        <v>0</v>
      </c>
      <c r="D47" s="45">
        <f t="shared" si="3"/>
        <v>5</v>
      </c>
      <c r="F47" s="70"/>
      <c r="G47" s="78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3">
        <f>2*3*time^1</f>
        <v>30</v>
      </c>
      <c r="W47" s="74">
        <f>2*time^0</f>
        <v>2</v>
      </c>
      <c r="X47" s="74">
        <v>0</v>
      </c>
      <c r="Y47" s="74">
        <v>0</v>
      </c>
      <c r="Z47" s="74">
        <f>-2*3*time^1</f>
        <v>-30</v>
      </c>
      <c r="AA47" s="74">
        <f>-2*time^0</f>
        <v>-2</v>
      </c>
      <c r="AB47" s="74">
        <v>0</v>
      </c>
      <c r="AC47" s="75">
        <v>0</v>
      </c>
      <c r="AD47" s="71"/>
      <c r="AE47" s="71"/>
      <c r="AF47" s="71"/>
      <c r="AG47" s="71"/>
      <c r="AH47" s="71"/>
      <c r="AI47" s="63"/>
      <c r="AJ47" s="71"/>
      <c r="AK47" s="72"/>
      <c r="AM47" s="45" t="str">
        <f>"d_"&amp; time</f>
        <v>d_5</v>
      </c>
      <c r="AN47" s="69">
        <v>9.4310527790700035E-3</v>
      </c>
      <c r="AO47" s="45"/>
      <c r="AP47" s="45"/>
      <c r="AQ47" s="45"/>
    </row>
    <row r="48" spans="2:43" x14ac:dyDescent="0.2">
      <c r="B48" s="26" t="str">
        <f t="shared" si="6"/>
        <v>y(7)</v>
      </c>
      <c r="C48" s="45">
        <f t="shared" ref="C48:C49" si="14">VLOOKUP(D48,$B$12:$C$20,2,0)</f>
        <v>6.51321344E-2</v>
      </c>
      <c r="D48" s="45">
        <v>7</v>
      </c>
      <c r="F48" s="70"/>
      <c r="G48" s="78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65">
        <f>time^3</f>
        <v>343</v>
      </c>
      <c r="AA48" s="66">
        <f>time^2</f>
        <v>49</v>
      </c>
      <c r="AB48" s="66">
        <f>time^1</f>
        <v>7</v>
      </c>
      <c r="AC48" s="66">
        <f>time^0</f>
        <v>1</v>
      </c>
      <c r="AD48" s="66">
        <v>0</v>
      </c>
      <c r="AE48" s="66">
        <v>0</v>
      </c>
      <c r="AF48" s="66">
        <v>0</v>
      </c>
      <c r="AG48" s="67">
        <v>0</v>
      </c>
      <c r="AH48" s="71"/>
      <c r="AI48" s="63"/>
      <c r="AJ48" s="71"/>
      <c r="AK48" s="72"/>
      <c r="AM48" s="45" t="str">
        <f>"a_"&amp; time</f>
        <v>a_7</v>
      </c>
      <c r="AN48" s="69">
        <v>-2.2903587693738856E-5</v>
      </c>
      <c r="AO48" s="45"/>
      <c r="AP48" s="45"/>
      <c r="AQ48" s="45"/>
    </row>
    <row r="49" spans="2:40" s="45" customFormat="1" x14ac:dyDescent="0.2">
      <c r="B49" s="26" t="str">
        <f t="shared" si="6"/>
        <v>y(7)</v>
      </c>
      <c r="C49" s="45">
        <f t="shared" si="14"/>
        <v>6.51321344E-2</v>
      </c>
      <c r="D49" s="45">
        <v>7</v>
      </c>
      <c r="F49" s="70"/>
      <c r="G49" s="78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0">
        <v>0</v>
      </c>
      <c r="AA49" s="71">
        <v>0</v>
      </c>
      <c r="AB49" s="71">
        <v>0</v>
      </c>
      <c r="AC49" s="71">
        <v>0</v>
      </c>
      <c r="AD49" s="71">
        <f>time^3</f>
        <v>343</v>
      </c>
      <c r="AE49" s="71">
        <f>time^2</f>
        <v>49</v>
      </c>
      <c r="AF49" s="71">
        <f>time^1</f>
        <v>7</v>
      </c>
      <c r="AG49" s="72">
        <f>time^0</f>
        <v>1</v>
      </c>
      <c r="AH49" s="71"/>
      <c r="AI49" s="63"/>
      <c r="AJ49" s="71"/>
      <c r="AK49" s="72"/>
      <c r="AM49" s="45" t="str">
        <f>"b_"&amp; time</f>
        <v>b_7</v>
      </c>
      <c r="AN49" s="69">
        <v>1.0495849504607615E-4</v>
      </c>
    </row>
    <row r="50" spans="2:40" s="45" customFormat="1" x14ac:dyDescent="0.2">
      <c r="B50" s="26" t="str">
        <f t="shared" si="11"/>
        <v>y'(7)</v>
      </c>
      <c r="C50" s="45">
        <v>0</v>
      </c>
      <c r="D50" s="45">
        <v>7</v>
      </c>
      <c r="F50" s="70"/>
      <c r="G50" s="78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0">
        <f>3*time^2</f>
        <v>147</v>
      </c>
      <c r="AA50" s="71">
        <f>2*time</f>
        <v>14</v>
      </c>
      <c r="AB50" s="71">
        <f>time^0</f>
        <v>1</v>
      </c>
      <c r="AC50" s="71">
        <v>0</v>
      </c>
      <c r="AD50" s="71">
        <f>-3*time^2</f>
        <v>-147</v>
      </c>
      <c r="AE50" s="71">
        <f>-2*time</f>
        <v>-14</v>
      </c>
      <c r="AF50" s="71">
        <f>-(time^0)</f>
        <v>-1</v>
      </c>
      <c r="AG50" s="72">
        <v>0</v>
      </c>
      <c r="AH50" s="71"/>
      <c r="AI50" s="63"/>
      <c r="AJ50" s="71"/>
      <c r="AK50" s="72"/>
      <c r="AM50" s="45" t="str">
        <f>"c_"&amp; time</f>
        <v>c_7</v>
      </c>
      <c r="AN50" s="69">
        <v>8.0218015822318585E-3</v>
      </c>
    </row>
    <row r="51" spans="2:40" s="45" customFormat="1" x14ac:dyDescent="0.2">
      <c r="B51" s="26" t="str">
        <f t="shared" si="12"/>
        <v>y''(7)</v>
      </c>
      <c r="C51" s="45">
        <v>0</v>
      </c>
      <c r="D51" s="45">
        <v>7</v>
      </c>
      <c r="F51" s="70"/>
      <c r="G51" s="78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3">
        <f>2*3*time^1</f>
        <v>42</v>
      </c>
      <c r="AA51" s="74">
        <f>2*time^0</f>
        <v>2</v>
      </c>
      <c r="AB51" s="74">
        <v>0</v>
      </c>
      <c r="AC51" s="74">
        <v>0</v>
      </c>
      <c r="AD51" s="74">
        <f>-2*3*time^1</f>
        <v>-42</v>
      </c>
      <c r="AE51" s="74">
        <f>-2*time^0</f>
        <v>-2</v>
      </c>
      <c r="AF51" s="74">
        <v>0</v>
      </c>
      <c r="AG51" s="75">
        <v>0</v>
      </c>
      <c r="AH51" s="71"/>
      <c r="AI51" s="63"/>
      <c r="AJ51" s="71"/>
      <c r="AK51" s="72"/>
      <c r="AM51" s="45" t="str">
        <f>"d_"&amp; time</f>
        <v>d_7</v>
      </c>
      <c r="AN51" s="69">
        <v>9.5163965662009836E-3</v>
      </c>
    </row>
    <row r="52" spans="2:40" s="45" customFormat="1" x14ac:dyDescent="0.2">
      <c r="B52" s="26" t="str">
        <f t="shared" si="6"/>
        <v>y(10)</v>
      </c>
      <c r="C52" s="45">
        <f t="shared" ref="C52:C53" si="15">VLOOKUP(D52,$B$12:$C$20,2,0)</f>
        <v>6.7430707199999995E-2</v>
      </c>
      <c r="D52" s="45">
        <v>10</v>
      </c>
      <c r="F52" s="70"/>
      <c r="G52" s="78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65">
        <f>time^3</f>
        <v>1000</v>
      </c>
      <c r="AE52" s="66">
        <f>time^2</f>
        <v>100</v>
      </c>
      <c r="AF52" s="66">
        <f>time^1</f>
        <v>10</v>
      </c>
      <c r="AG52" s="66">
        <f>time^0</f>
        <v>1</v>
      </c>
      <c r="AH52" s="66">
        <v>0</v>
      </c>
      <c r="AI52" s="66">
        <v>0</v>
      </c>
      <c r="AJ52" s="66">
        <v>0</v>
      </c>
      <c r="AK52" s="67">
        <v>0</v>
      </c>
      <c r="AM52" s="45" t="str">
        <f>"a_"&amp; time</f>
        <v>a_10</v>
      </c>
      <c r="AN52" s="69">
        <v>1.3465393692506859E-6</v>
      </c>
    </row>
    <row r="53" spans="2:40" s="45" customFormat="1" x14ac:dyDescent="0.2">
      <c r="B53" s="26" t="str">
        <f t="shared" si="6"/>
        <v>y(10)</v>
      </c>
      <c r="C53" s="45">
        <f t="shared" si="15"/>
        <v>6.7430707199999995E-2</v>
      </c>
      <c r="D53" s="45">
        <v>10</v>
      </c>
      <c r="F53" s="70"/>
      <c r="G53" s="78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7"/>
      <c r="W53" s="77"/>
      <c r="X53" s="77"/>
      <c r="Y53" s="77"/>
      <c r="Z53" s="77"/>
      <c r="AA53" s="77"/>
      <c r="AB53" s="77"/>
      <c r="AC53" s="77"/>
      <c r="AD53" s="70">
        <v>0</v>
      </c>
      <c r="AE53" s="71">
        <v>0</v>
      </c>
      <c r="AF53" s="71">
        <v>0</v>
      </c>
      <c r="AG53" s="71">
        <v>0</v>
      </c>
      <c r="AH53" s="71">
        <f>time^3</f>
        <v>1000</v>
      </c>
      <c r="AI53" s="71">
        <f>time^2</f>
        <v>100</v>
      </c>
      <c r="AJ53" s="71">
        <f>time^1</f>
        <v>10</v>
      </c>
      <c r="AK53" s="72">
        <f>time^0</f>
        <v>1</v>
      </c>
      <c r="AM53" s="45" t="str">
        <f>"b_"&amp; time</f>
        <v>b_10</v>
      </c>
      <c r="AN53" s="69">
        <v>1.9858140555737929E-5</v>
      </c>
    </row>
    <row r="54" spans="2:40" s="45" customFormat="1" x14ac:dyDescent="0.2">
      <c r="B54" s="26" t="str">
        <f t="shared" si="11"/>
        <v>y'(10)</v>
      </c>
      <c r="C54" s="45">
        <v>0</v>
      </c>
      <c r="D54" s="45">
        <v>10</v>
      </c>
      <c r="F54" s="70"/>
      <c r="G54" s="78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8"/>
      <c r="X54" s="71"/>
      <c r="Y54" s="71"/>
      <c r="Z54" s="71"/>
      <c r="AA54" s="71"/>
      <c r="AB54" s="71"/>
      <c r="AC54" s="71"/>
      <c r="AD54" s="70">
        <f>3*time^2</f>
        <v>300</v>
      </c>
      <c r="AE54" s="71">
        <f>2*time</f>
        <v>20</v>
      </c>
      <c r="AF54" s="71">
        <f>time^0</f>
        <v>1</v>
      </c>
      <c r="AG54" s="71">
        <v>0</v>
      </c>
      <c r="AH54" s="71">
        <f>-3*time^2</f>
        <v>-300</v>
      </c>
      <c r="AI54" s="71">
        <f>-2*time</f>
        <v>-20</v>
      </c>
      <c r="AJ54" s="71">
        <f>-(time^0)</f>
        <v>-1</v>
      </c>
      <c r="AK54" s="72">
        <v>0</v>
      </c>
      <c r="AM54" s="45" t="str">
        <f>"c_"&amp; time</f>
        <v>c_10</v>
      </c>
      <c r="AN54" s="69">
        <v>6.4625275952075291E-3</v>
      </c>
    </row>
    <row r="55" spans="2:40" s="45" customFormat="1" x14ac:dyDescent="0.2">
      <c r="B55" s="26" t="str">
        <f t="shared" si="12"/>
        <v>y''(10)</v>
      </c>
      <c r="C55" s="45">
        <v>0</v>
      </c>
      <c r="D55" s="45">
        <v>10</v>
      </c>
      <c r="F55" s="70"/>
      <c r="G55" s="78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8"/>
      <c r="X55" s="71"/>
      <c r="Y55" s="71"/>
      <c r="Z55" s="71"/>
      <c r="AA55" s="71"/>
      <c r="AB55" s="71"/>
      <c r="AC55" s="71"/>
      <c r="AD55" s="73">
        <f>2*3*time^1</f>
        <v>60</v>
      </c>
      <c r="AE55" s="74">
        <f>2*time^0</f>
        <v>2</v>
      </c>
      <c r="AF55" s="74">
        <v>0</v>
      </c>
      <c r="AG55" s="74">
        <v>0</v>
      </c>
      <c r="AH55" s="74">
        <f>-2*3*time^1</f>
        <v>-60</v>
      </c>
      <c r="AI55" s="74">
        <f>-2*time^0</f>
        <v>-2</v>
      </c>
      <c r="AJ55" s="74">
        <v>0</v>
      </c>
      <c r="AK55" s="75">
        <v>0</v>
      </c>
      <c r="AM55" s="45" t="str">
        <f>"d_"&amp; time</f>
        <v>d_10</v>
      </c>
      <c r="AN55" s="69">
        <v>1.0060606144683308E-2</v>
      </c>
    </row>
    <row r="56" spans="2:40" s="45" customFormat="1" x14ac:dyDescent="0.2">
      <c r="B56" s="26" t="str">
        <f t="shared" ref="B56" si="16">"y(" &amp; D56 &amp; ")"</f>
        <v>y(0)</v>
      </c>
      <c r="C56" s="45">
        <f t="shared" si="13"/>
        <v>0</v>
      </c>
      <c r="D56" s="45">
        <v>0</v>
      </c>
      <c r="F56" s="80">
        <f>time^3</f>
        <v>0</v>
      </c>
      <c r="G56" s="81">
        <f>time^2</f>
        <v>0</v>
      </c>
      <c r="H56" s="81">
        <f>time^1</f>
        <v>0</v>
      </c>
      <c r="I56" s="82">
        <v>1</v>
      </c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8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2"/>
      <c r="AM56" s="45" t="s">
        <v>197</v>
      </c>
      <c r="AN56" s="69">
        <v>-1.9116253652858064E-5</v>
      </c>
    </row>
    <row r="57" spans="2:40" s="45" customFormat="1" x14ac:dyDescent="0.2">
      <c r="B57" s="26" t="str">
        <f t="shared" si="12"/>
        <v>y''(0)</v>
      </c>
      <c r="C57" s="45">
        <v>0</v>
      </c>
      <c r="D57" s="45">
        <v>0</v>
      </c>
      <c r="F57" s="80">
        <f>2*3*time^1</f>
        <v>0</v>
      </c>
      <c r="G57" s="81">
        <f>2*1</f>
        <v>2</v>
      </c>
      <c r="H57" s="81">
        <v>0</v>
      </c>
      <c r="I57" s="82">
        <v>0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8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63"/>
      <c r="AJ57" s="71"/>
      <c r="AK57" s="72"/>
      <c r="AM57" s="45" t="s">
        <v>198</v>
      </c>
      <c r="AN57" s="69">
        <v>5.6702039956590424E-4</v>
      </c>
    </row>
    <row r="58" spans="2:40" s="45" customFormat="1" x14ac:dyDescent="0.2">
      <c r="B58" s="26" t="str">
        <f t="shared" ref="B58" si="17">"y(" &amp; D58 &amp; ")"</f>
        <v>y(30)</v>
      </c>
      <c r="C58" s="45">
        <f t="shared" si="13"/>
        <v>0.08</v>
      </c>
      <c r="D58" s="45">
        <v>30</v>
      </c>
      <c r="F58" s="70"/>
      <c r="G58" s="78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8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80">
        <f>time^3</f>
        <v>27000</v>
      </c>
      <c r="AI58" s="81">
        <f>time^2</f>
        <v>900</v>
      </c>
      <c r="AJ58" s="81">
        <f>time^1</f>
        <v>30</v>
      </c>
      <c r="AK58" s="82">
        <f>time^0</f>
        <v>1</v>
      </c>
      <c r="AM58" s="45" t="str">
        <f>"c_"&amp; time</f>
        <v>c_30</v>
      </c>
      <c r="AN58" s="69">
        <v>2.5204782849777359E-3</v>
      </c>
    </row>
    <row r="59" spans="2:40" s="45" customFormat="1" x14ac:dyDescent="0.2">
      <c r="B59" s="26" t="str">
        <f t="shared" si="12"/>
        <v>y''(30)</v>
      </c>
      <c r="C59" s="45">
        <v>0</v>
      </c>
      <c r="D59" s="45">
        <v>30</v>
      </c>
      <c r="F59" s="73"/>
      <c r="G59" s="83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83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80">
        <f>2*3*time^1</f>
        <v>180</v>
      </c>
      <c r="AI59" s="81">
        <f>2*time^0</f>
        <v>2</v>
      </c>
      <c r="AJ59" s="81">
        <v>0</v>
      </c>
      <c r="AK59" s="82">
        <v>0</v>
      </c>
      <c r="AM59" s="45" t="str">
        <f>"d_"&amp; time</f>
        <v>d_30</v>
      </c>
      <c r="AN59" s="69">
        <v>1.0186858119883926E-2</v>
      </c>
    </row>
    <row r="60" spans="2:40" s="45" customFormat="1" x14ac:dyDescent="0.2">
      <c r="G60" s="84"/>
    </row>
    <row r="61" spans="2:40" s="45" customFormat="1" x14ac:dyDescent="0.2">
      <c r="G61" s="84"/>
    </row>
    <row r="62" spans="2:40" s="45" customFormat="1" x14ac:dyDescent="0.2">
      <c r="G62" s="84"/>
    </row>
    <row r="63" spans="2:40" s="45" customFormat="1" x14ac:dyDescent="0.2">
      <c r="G63" s="84"/>
    </row>
    <row r="64" spans="2:40" s="45" customFormat="1" x14ac:dyDescent="0.2">
      <c r="G64" s="84"/>
    </row>
    <row r="65" spans="6:37" s="45" customFormat="1" x14ac:dyDescent="0.2">
      <c r="F65" s="71">
        <f>IF(ISBLANK(F28),0,F28)</f>
        <v>1</v>
      </c>
      <c r="G65" s="71">
        <f t="shared" ref="G65:AK65" si="18">IF(ISBLANK(G28),0,G28)</f>
        <v>1</v>
      </c>
      <c r="H65" s="71">
        <f t="shared" si="18"/>
        <v>1</v>
      </c>
      <c r="I65" s="71">
        <f t="shared" si="18"/>
        <v>1</v>
      </c>
      <c r="J65" s="71">
        <f t="shared" si="18"/>
        <v>0</v>
      </c>
      <c r="K65" s="71">
        <f t="shared" si="18"/>
        <v>0</v>
      </c>
      <c r="L65" s="71">
        <f t="shared" si="18"/>
        <v>0</v>
      </c>
      <c r="M65" s="71">
        <f t="shared" si="18"/>
        <v>0</v>
      </c>
      <c r="N65" s="71">
        <f t="shared" si="18"/>
        <v>0</v>
      </c>
      <c r="O65" s="71">
        <f t="shared" si="18"/>
        <v>0</v>
      </c>
      <c r="P65" s="71">
        <f t="shared" si="18"/>
        <v>0</v>
      </c>
      <c r="Q65" s="71">
        <f t="shared" si="18"/>
        <v>0</v>
      </c>
      <c r="R65" s="71">
        <f t="shared" si="18"/>
        <v>0</v>
      </c>
      <c r="S65" s="71">
        <f t="shared" si="18"/>
        <v>0</v>
      </c>
      <c r="T65" s="71">
        <f t="shared" si="18"/>
        <v>0</v>
      </c>
      <c r="U65" s="71">
        <f t="shared" si="18"/>
        <v>0</v>
      </c>
      <c r="V65" s="71">
        <f t="shared" si="18"/>
        <v>0</v>
      </c>
      <c r="W65" s="71">
        <f t="shared" si="18"/>
        <v>0</v>
      </c>
      <c r="X65" s="71">
        <f t="shared" si="18"/>
        <v>0</v>
      </c>
      <c r="Y65" s="71">
        <f t="shared" si="18"/>
        <v>0</v>
      </c>
      <c r="Z65" s="71">
        <f t="shared" si="18"/>
        <v>0</v>
      </c>
      <c r="AA65" s="71">
        <f t="shared" si="18"/>
        <v>0</v>
      </c>
      <c r="AB65" s="71">
        <f t="shared" si="18"/>
        <v>0</v>
      </c>
      <c r="AC65" s="71">
        <f t="shared" si="18"/>
        <v>0</v>
      </c>
      <c r="AD65" s="71">
        <f t="shared" si="18"/>
        <v>0</v>
      </c>
      <c r="AE65" s="71">
        <f t="shared" si="18"/>
        <v>0</v>
      </c>
      <c r="AF65" s="71">
        <f t="shared" si="18"/>
        <v>0</v>
      </c>
      <c r="AG65" s="71">
        <f t="shared" si="18"/>
        <v>0</v>
      </c>
      <c r="AH65" s="71">
        <f t="shared" si="18"/>
        <v>0</v>
      </c>
      <c r="AI65" s="71">
        <f t="shared" si="18"/>
        <v>0</v>
      </c>
      <c r="AJ65" s="71">
        <f t="shared" si="18"/>
        <v>0</v>
      </c>
      <c r="AK65" s="71">
        <f t="shared" si="18"/>
        <v>0</v>
      </c>
    </row>
    <row r="66" spans="6:37" s="45" customFormat="1" x14ac:dyDescent="0.2">
      <c r="F66" s="71">
        <f t="shared" ref="F66:AK73" si="19">IF(ISBLANK(F29),0,F29)</f>
        <v>0</v>
      </c>
      <c r="G66" s="71">
        <f t="shared" si="19"/>
        <v>0</v>
      </c>
      <c r="H66" s="71">
        <f t="shared" si="19"/>
        <v>0</v>
      </c>
      <c r="I66" s="71">
        <f t="shared" si="19"/>
        <v>0</v>
      </c>
      <c r="J66" s="71">
        <f t="shared" si="19"/>
        <v>1</v>
      </c>
      <c r="K66" s="71">
        <f t="shared" si="19"/>
        <v>1</v>
      </c>
      <c r="L66" s="71">
        <f t="shared" si="19"/>
        <v>1</v>
      </c>
      <c r="M66" s="71">
        <f t="shared" si="19"/>
        <v>1</v>
      </c>
      <c r="N66" s="71">
        <f t="shared" si="19"/>
        <v>0</v>
      </c>
      <c r="O66" s="71">
        <f t="shared" si="19"/>
        <v>0</v>
      </c>
      <c r="P66" s="71">
        <f t="shared" si="19"/>
        <v>0</v>
      </c>
      <c r="Q66" s="71">
        <f t="shared" si="19"/>
        <v>0</v>
      </c>
      <c r="R66" s="71">
        <f t="shared" si="19"/>
        <v>0</v>
      </c>
      <c r="S66" s="71">
        <f t="shared" si="19"/>
        <v>0</v>
      </c>
      <c r="T66" s="71">
        <f t="shared" si="19"/>
        <v>0</v>
      </c>
      <c r="U66" s="71">
        <f t="shared" si="19"/>
        <v>0</v>
      </c>
      <c r="V66" s="71">
        <f t="shared" si="19"/>
        <v>0</v>
      </c>
      <c r="W66" s="71">
        <f t="shared" si="19"/>
        <v>0</v>
      </c>
      <c r="X66" s="71">
        <f t="shared" si="19"/>
        <v>0</v>
      </c>
      <c r="Y66" s="71">
        <f t="shared" si="19"/>
        <v>0</v>
      </c>
      <c r="Z66" s="71">
        <f t="shared" si="19"/>
        <v>0</v>
      </c>
      <c r="AA66" s="71">
        <f t="shared" si="19"/>
        <v>0</v>
      </c>
      <c r="AB66" s="71">
        <f t="shared" si="19"/>
        <v>0</v>
      </c>
      <c r="AC66" s="71">
        <f t="shared" si="19"/>
        <v>0</v>
      </c>
      <c r="AD66" s="71">
        <f t="shared" si="19"/>
        <v>0</v>
      </c>
      <c r="AE66" s="71">
        <f t="shared" si="19"/>
        <v>0</v>
      </c>
      <c r="AF66" s="71">
        <f t="shared" si="19"/>
        <v>0</v>
      </c>
      <c r="AG66" s="71">
        <f t="shared" si="19"/>
        <v>0</v>
      </c>
      <c r="AH66" s="71">
        <f t="shared" si="19"/>
        <v>0</v>
      </c>
      <c r="AI66" s="71">
        <f t="shared" si="19"/>
        <v>0</v>
      </c>
      <c r="AJ66" s="71">
        <f t="shared" si="19"/>
        <v>0</v>
      </c>
      <c r="AK66" s="71">
        <f t="shared" si="19"/>
        <v>0</v>
      </c>
    </row>
    <row r="67" spans="6:37" s="45" customFormat="1" x14ac:dyDescent="0.2">
      <c r="F67" s="71">
        <f t="shared" si="19"/>
        <v>3</v>
      </c>
      <c r="G67" s="71">
        <f t="shared" si="19"/>
        <v>2</v>
      </c>
      <c r="H67" s="71">
        <f t="shared" si="19"/>
        <v>1</v>
      </c>
      <c r="I67" s="71">
        <f t="shared" si="19"/>
        <v>0</v>
      </c>
      <c r="J67" s="71">
        <f t="shared" si="19"/>
        <v>-3</v>
      </c>
      <c r="K67" s="71">
        <f t="shared" si="19"/>
        <v>-2</v>
      </c>
      <c r="L67" s="71">
        <f t="shared" si="19"/>
        <v>-1</v>
      </c>
      <c r="M67" s="71">
        <f t="shared" si="19"/>
        <v>0</v>
      </c>
      <c r="N67" s="71">
        <f t="shared" si="19"/>
        <v>0</v>
      </c>
      <c r="O67" s="71">
        <f t="shared" si="19"/>
        <v>0</v>
      </c>
      <c r="P67" s="71">
        <f t="shared" si="19"/>
        <v>0</v>
      </c>
      <c r="Q67" s="71">
        <f t="shared" si="19"/>
        <v>0</v>
      </c>
      <c r="R67" s="71">
        <f t="shared" si="19"/>
        <v>0</v>
      </c>
      <c r="S67" s="71">
        <f t="shared" si="19"/>
        <v>0</v>
      </c>
      <c r="T67" s="71">
        <f t="shared" si="19"/>
        <v>0</v>
      </c>
      <c r="U67" s="71">
        <f t="shared" si="19"/>
        <v>0</v>
      </c>
      <c r="V67" s="71">
        <f t="shared" si="19"/>
        <v>0</v>
      </c>
      <c r="W67" s="71">
        <f t="shared" si="19"/>
        <v>0</v>
      </c>
      <c r="X67" s="71">
        <f t="shared" si="19"/>
        <v>0</v>
      </c>
      <c r="Y67" s="71">
        <f t="shared" si="19"/>
        <v>0</v>
      </c>
      <c r="Z67" s="71">
        <f t="shared" si="19"/>
        <v>0</v>
      </c>
      <c r="AA67" s="71">
        <f t="shared" si="19"/>
        <v>0</v>
      </c>
      <c r="AB67" s="71">
        <f t="shared" si="19"/>
        <v>0</v>
      </c>
      <c r="AC67" s="71">
        <f t="shared" si="19"/>
        <v>0</v>
      </c>
      <c r="AD67" s="71">
        <f t="shared" si="19"/>
        <v>0</v>
      </c>
      <c r="AE67" s="71">
        <f t="shared" si="19"/>
        <v>0</v>
      </c>
      <c r="AF67" s="71">
        <f t="shared" si="19"/>
        <v>0</v>
      </c>
      <c r="AG67" s="71">
        <f t="shared" si="19"/>
        <v>0</v>
      </c>
      <c r="AH67" s="71">
        <f t="shared" si="19"/>
        <v>0</v>
      </c>
      <c r="AI67" s="71">
        <f t="shared" si="19"/>
        <v>0</v>
      </c>
      <c r="AJ67" s="71">
        <f t="shared" si="19"/>
        <v>0</v>
      </c>
      <c r="AK67" s="71">
        <f t="shared" si="19"/>
        <v>0</v>
      </c>
    </row>
    <row r="68" spans="6:37" s="45" customFormat="1" x14ac:dyDescent="0.2">
      <c r="F68" s="71">
        <f t="shared" si="19"/>
        <v>6</v>
      </c>
      <c r="G68" s="71">
        <f t="shared" si="19"/>
        <v>2</v>
      </c>
      <c r="H68" s="71">
        <f t="shared" si="19"/>
        <v>0</v>
      </c>
      <c r="I68" s="71">
        <f t="shared" si="19"/>
        <v>0</v>
      </c>
      <c r="J68" s="71">
        <f t="shared" si="19"/>
        <v>-6</v>
      </c>
      <c r="K68" s="71">
        <f t="shared" si="19"/>
        <v>-2</v>
      </c>
      <c r="L68" s="71">
        <f t="shared" si="19"/>
        <v>0</v>
      </c>
      <c r="M68" s="71">
        <f t="shared" si="19"/>
        <v>0</v>
      </c>
      <c r="N68" s="71">
        <f t="shared" si="19"/>
        <v>0</v>
      </c>
      <c r="O68" s="71">
        <f t="shared" si="19"/>
        <v>0</v>
      </c>
      <c r="P68" s="71">
        <f t="shared" si="19"/>
        <v>0</v>
      </c>
      <c r="Q68" s="71">
        <f t="shared" si="19"/>
        <v>0</v>
      </c>
      <c r="R68" s="71">
        <f t="shared" si="19"/>
        <v>0</v>
      </c>
      <c r="S68" s="71">
        <f t="shared" si="19"/>
        <v>0</v>
      </c>
      <c r="T68" s="71">
        <f t="shared" si="19"/>
        <v>0</v>
      </c>
      <c r="U68" s="71">
        <f t="shared" si="19"/>
        <v>0</v>
      </c>
      <c r="V68" s="71">
        <f t="shared" si="19"/>
        <v>0</v>
      </c>
      <c r="W68" s="71">
        <f t="shared" si="19"/>
        <v>0</v>
      </c>
      <c r="X68" s="71">
        <f t="shared" si="19"/>
        <v>0</v>
      </c>
      <c r="Y68" s="71">
        <f t="shared" si="19"/>
        <v>0</v>
      </c>
      <c r="Z68" s="71">
        <f t="shared" si="19"/>
        <v>0</v>
      </c>
      <c r="AA68" s="71">
        <f t="shared" si="19"/>
        <v>0</v>
      </c>
      <c r="AB68" s="71">
        <f t="shared" si="19"/>
        <v>0</v>
      </c>
      <c r="AC68" s="71">
        <f t="shared" si="19"/>
        <v>0</v>
      </c>
      <c r="AD68" s="71">
        <f t="shared" si="19"/>
        <v>0</v>
      </c>
      <c r="AE68" s="71">
        <f t="shared" si="19"/>
        <v>0</v>
      </c>
      <c r="AF68" s="71">
        <f t="shared" si="19"/>
        <v>0</v>
      </c>
      <c r="AG68" s="71">
        <f t="shared" si="19"/>
        <v>0</v>
      </c>
      <c r="AH68" s="71">
        <f t="shared" si="19"/>
        <v>0</v>
      </c>
      <c r="AI68" s="71">
        <f t="shared" si="19"/>
        <v>0</v>
      </c>
      <c r="AJ68" s="71">
        <f t="shared" si="19"/>
        <v>0</v>
      </c>
      <c r="AK68" s="71">
        <f t="shared" si="19"/>
        <v>0</v>
      </c>
    </row>
    <row r="69" spans="6:37" s="45" customFormat="1" x14ac:dyDescent="0.2">
      <c r="F69" s="71">
        <f t="shared" si="19"/>
        <v>0</v>
      </c>
      <c r="G69" s="71">
        <f t="shared" si="19"/>
        <v>0</v>
      </c>
      <c r="H69" s="71">
        <f t="shared" si="19"/>
        <v>0</v>
      </c>
      <c r="I69" s="71">
        <f t="shared" si="19"/>
        <v>0</v>
      </c>
      <c r="J69" s="71">
        <f t="shared" si="19"/>
        <v>8</v>
      </c>
      <c r="K69" s="71">
        <f t="shared" si="19"/>
        <v>4</v>
      </c>
      <c r="L69" s="71">
        <f t="shared" si="19"/>
        <v>2</v>
      </c>
      <c r="M69" s="71">
        <f t="shared" si="19"/>
        <v>1</v>
      </c>
      <c r="N69" s="71">
        <f t="shared" si="19"/>
        <v>0</v>
      </c>
      <c r="O69" s="71">
        <f t="shared" si="19"/>
        <v>0</v>
      </c>
      <c r="P69" s="71">
        <f t="shared" si="19"/>
        <v>0</v>
      </c>
      <c r="Q69" s="71">
        <f t="shared" si="19"/>
        <v>0</v>
      </c>
      <c r="R69" s="71">
        <f t="shared" si="19"/>
        <v>0</v>
      </c>
      <c r="S69" s="71">
        <f t="shared" si="19"/>
        <v>0</v>
      </c>
      <c r="T69" s="71">
        <f t="shared" si="19"/>
        <v>0</v>
      </c>
      <c r="U69" s="71">
        <f t="shared" si="19"/>
        <v>0</v>
      </c>
      <c r="V69" s="71">
        <f t="shared" si="19"/>
        <v>0</v>
      </c>
      <c r="W69" s="71">
        <f t="shared" si="19"/>
        <v>0</v>
      </c>
      <c r="X69" s="71">
        <f t="shared" si="19"/>
        <v>0</v>
      </c>
      <c r="Y69" s="71">
        <f t="shared" si="19"/>
        <v>0</v>
      </c>
      <c r="Z69" s="71">
        <f t="shared" si="19"/>
        <v>0</v>
      </c>
      <c r="AA69" s="71">
        <f t="shared" si="19"/>
        <v>0</v>
      </c>
      <c r="AB69" s="71">
        <f t="shared" si="19"/>
        <v>0</v>
      </c>
      <c r="AC69" s="71">
        <f t="shared" si="19"/>
        <v>0</v>
      </c>
      <c r="AD69" s="71">
        <f t="shared" si="19"/>
        <v>0</v>
      </c>
      <c r="AE69" s="71">
        <f t="shared" si="19"/>
        <v>0</v>
      </c>
      <c r="AF69" s="71">
        <f t="shared" si="19"/>
        <v>0</v>
      </c>
      <c r="AG69" s="71">
        <f t="shared" si="19"/>
        <v>0</v>
      </c>
      <c r="AH69" s="71">
        <f t="shared" si="19"/>
        <v>0</v>
      </c>
      <c r="AI69" s="71">
        <f t="shared" si="19"/>
        <v>0</v>
      </c>
      <c r="AJ69" s="71">
        <f t="shared" si="19"/>
        <v>0</v>
      </c>
      <c r="AK69" s="71">
        <f t="shared" si="19"/>
        <v>0</v>
      </c>
    </row>
    <row r="70" spans="6:37" s="45" customFormat="1" x14ac:dyDescent="0.2">
      <c r="F70" s="71">
        <f t="shared" si="19"/>
        <v>0</v>
      </c>
      <c r="G70" s="71">
        <f t="shared" si="19"/>
        <v>0</v>
      </c>
      <c r="H70" s="71">
        <f t="shared" si="19"/>
        <v>0</v>
      </c>
      <c r="I70" s="71">
        <f t="shared" si="19"/>
        <v>0</v>
      </c>
      <c r="J70" s="71">
        <f t="shared" si="19"/>
        <v>0</v>
      </c>
      <c r="K70" s="71">
        <f t="shared" si="19"/>
        <v>0</v>
      </c>
      <c r="L70" s="71">
        <f t="shared" si="19"/>
        <v>0</v>
      </c>
      <c r="M70" s="71">
        <f t="shared" si="19"/>
        <v>0</v>
      </c>
      <c r="N70" s="71">
        <f t="shared" si="19"/>
        <v>8</v>
      </c>
      <c r="O70" s="71">
        <f t="shared" si="19"/>
        <v>4</v>
      </c>
      <c r="P70" s="71">
        <f t="shared" si="19"/>
        <v>2</v>
      </c>
      <c r="Q70" s="71">
        <f t="shared" si="19"/>
        <v>1</v>
      </c>
      <c r="R70" s="71">
        <f t="shared" si="19"/>
        <v>0</v>
      </c>
      <c r="S70" s="71">
        <f t="shared" si="19"/>
        <v>0</v>
      </c>
      <c r="T70" s="71">
        <f t="shared" si="19"/>
        <v>0</v>
      </c>
      <c r="U70" s="71">
        <f t="shared" si="19"/>
        <v>0</v>
      </c>
      <c r="V70" s="71">
        <f t="shared" si="19"/>
        <v>0</v>
      </c>
      <c r="W70" s="71">
        <f t="shared" si="19"/>
        <v>0</v>
      </c>
      <c r="X70" s="71">
        <f t="shared" si="19"/>
        <v>0</v>
      </c>
      <c r="Y70" s="71">
        <f t="shared" si="19"/>
        <v>0</v>
      </c>
      <c r="Z70" s="71">
        <f t="shared" si="19"/>
        <v>0</v>
      </c>
      <c r="AA70" s="71">
        <f t="shared" si="19"/>
        <v>0</v>
      </c>
      <c r="AB70" s="71">
        <f t="shared" si="19"/>
        <v>0</v>
      </c>
      <c r="AC70" s="71">
        <f t="shared" si="19"/>
        <v>0</v>
      </c>
      <c r="AD70" s="71">
        <f t="shared" si="19"/>
        <v>0</v>
      </c>
      <c r="AE70" s="71">
        <f t="shared" si="19"/>
        <v>0</v>
      </c>
      <c r="AF70" s="71">
        <f t="shared" si="19"/>
        <v>0</v>
      </c>
      <c r="AG70" s="71">
        <f t="shared" si="19"/>
        <v>0</v>
      </c>
      <c r="AH70" s="71">
        <f t="shared" si="19"/>
        <v>0</v>
      </c>
      <c r="AI70" s="71">
        <f t="shared" si="19"/>
        <v>0</v>
      </c>
      <c r="AJ70" s="71">
        <f t="shared" si="19"/>
        <v>0</v>
      </c>
      <c r="AK70" s="71">
        <f t="shared" si="19"/>
        <v>0</v>
      </c>
    </row>
    <row r="71" spans="6:37" s="45" customFormat="1" x14ac:dyDescent="0.2">
      <c r="F71" s="71">
        <f t="shared" si="19"/>
        <v>0</v>
      </c>
      <c r="G71" s="71">
        <f t="shared" si="19"/>
        <v>0</v>
      </c>
      <c r="H71" s="71">
        <f t="shared" si="19"/>
        <v>0</v>
      </c>
      <c r="I71" s="71">
        <f t="shared" si="19"/>
        <v>0</v>
      </c>
      <c r="J71" s="71">
        <f t="shared" si="19"/>
        <v>12</v>
      </c>
      <c r="K71" s="71">
        <f t="shared" si="19"/>
        <v>4</v>
      </c>
      <c r="L71" s="71">
        <f t="shared" si="19"/>
        <v>1</v>
      </c>
      <c r="M71" s="71">
        <f t="shared" si="19"/>
        <v>0</v>
      </c>
      <c r="N71" s="71">
        <f t="shared" si="19"/>
        <v>-12</v>
      </c>
      <c r="O71" s="71">
        <f t="shared" si="19"/>
        <v>-4</v>
      </c>
      <c r="P71" s="71">
        <f t="shared" si="19"/>
        <v>-1</v>
      </c>
      <c r="Q71" s="71">
        <f t="shared" si="19"/>
        <v>0</v>
      </c>
      <c r="R71" s="71">
        <f t="shared" si="19"/>
        <v>0</v>
      </c>
      <c r="S71" s="71">
        <f t="shared" si="19"/>
        <v>0</v>
      </c>
      <c r="T71" s="71">
        <f t="shared" si="19"/>
        <v>0</v>
      </c>
      <c r="U71" s="71">
        <f t="shared" si="19"/>
        <v>0</v>
      </c>
      <c r="V71" s="71">
        <f t="shared" si="19"/>
        <v>0</v>
      </c>
      <c r="W71" s="71">
        <f t="shared" si="19"/>
        <v>0</v>
      </c>
      <c r="X71" s="71">
        <f t="shared" si="19"/>
        <v>0</v>
      </c>
      <c r="Y71" s="71">
        <f t="shared" si="19"/>
        <v>0</v>
      </c>
      <c r="Z71" s="71">
        <f t="shared" si="19"/>
        <v>0</v>
      </c>
      <c r="AA71" s="71">
        <f t="shared" si="19"/>
        <v>0</v>
      </c>
      <c r="AB71" s="71">
        <f t="shared" si="19"/>
        <v>0</v>
      </c>
      <c r="AC71" s="71">
        <f t="shared" si="19"/>
        <v>0</v>
      </c>
      <c r="AD71" s="71">
        <f t="shared" si="19"/>
        <v>0</v>
      </c>
      <c r="AE71" s="71">
        <f t="shared" si="19"/>
        <v>0</v>
      </c>
      <c r="AF71" s="71">
        <f t="shared" si="19"/>
        <v>0</v>
      </c>
      <c r="AG71" s="71">
        <f t="shared" si="19"/>
        <v>0</v>
      </c>
      <c r="AH71" s="71">
        <f t="shared" si="19"/>
        <v>0</v>
      </c>
      <c r="AI71" s="71">
        <f t="shared" si="19"/>
        <v>0</v>
      </c>
      <c r="AJ71" s="71">
        <f t="shared" si="19"/>
        <v>0</v>
      </c>
      <c r="AK71" s="71">
        <f t="shared" si="19"/>
        <v>0</v>
      </c>
    </row>
    <row r="72" spans="6:37" s="45" customFormat="1" x14ac:dyDescent="0.2">
      <c r="F72" s="71">
        <f t="shared" si="19"/>
        <v>0</v>
      </c>
      <c r="G72" s="71">
        <f t="shared" si="19"/>
        <v>0</v>
      </c>
      <c r="H72" s="71">
        <f t="shared" si="19"/>
        <v>0</v>
      </c>
      <c r="I72" s="71">
        <f t="shared" si="19"/>
        <v>0</v>
      </c>
      <c r="J72" s="71">
        <f t="shared" si="19"/>
        <v>12</v>
      </c>
      <c r="K72" s="71">
        <f t="shared" si="19"/>
        <v>2</v>
      </c>
      <c r="L72" s="71">
        <f t="shared" si="19"/>
        <v>0</v>
      </c>
      <c r="M72" s="71">
        <f t="shared" si="19"/>
        <v>0</v>
      </c>
      <c r="N72" s="71">
        <f t="shared" si="19"/>
        <v>-12</v>
      </c>
      <c r="O72" s="71">
        <f t="shared" si="19"/>
        <v>-2</v>
      </c>
      <c r="P72" s="71">
        <f t="shared" si="19"/>
        <v>0</v>
      </c>
      <c r="Q72" s="71">
        <f t="shared" si="19"/>
        <v>0</v>
      </c>
      <c r="R72" s="71">
        <f t="shared" si="19"/>
        <v>0</v>
      </c>
      <c r="S72" s="71">
        <f t="shared" si="19"/>
        <v>0</v>
      </c>
      <c r="T72" s="71">
        <f t="shared" si="19"/>
        <v>0</v>
      </c>
      <c r="U72" s="71">
        <f t="shared" si="19"/>
        <v>0</v>
      </c>
      <c r="V72" s="71">
        <f t="shared" si="19"/>
        <v>0</v>
      </c>
      <c r="W72" s="71">
        <f t="shared" si="19"/>
        <v>0</v>
      </c>
      <c r="X72" s="71">
        <f t="shared" si="19"/>
        <v>0</v>
      </c>
      <c r="Y72" s="71">
        <f t="shared" si="19"/>
        <v>0</v>
      </c>
      <c r="Z72" s="71">
        <f t="shared" si="19"/>
        <v>0</v>
      </c>
      <c r="AA72" s="71">
        <f t="shared" si="19"/>
        <v>0</v>
      </c>
      <c r="AB72" s="71">
        <f t="shared" si="19"/>
        <v>0</v>
      </c>
      <c r="AC72" s="71">
        <f t="shared" si="19"/>
        <v>0</v>
      </c>
      <c r="AD72" s="71">
        <f t="shared" si="19"/>
        <v>0</v>
      </c>
      <c r="AE72" s="71">
        <f t="shared" si="19"/>
        <v>0</v>
      </c>
      <c r="AF72" s="71">
        <f t="shared" si="19"/>
        <v>0</v>
      </c>
      <c r="AG72" s="71">
        <f t="shared" si="19"/>
        <v>0</v>
      </c>
      <c r="AH72" s="71">
        <f t="shared" si="19"/>
        <v>0</v>
      </c>
      <c r="AI72" s="71">
        <f t="shared" si="19"/>
        <v>0</v>
      </c>
      <c r="AJ72" s="71">
        <f t="shared" si="19"/>
        <v>0</v>
      </c>
      <c r="AK72" s="71">
        <f t="shared" si="19"/>
        <v>0</v>
      </c>
    </row>
    <row r="73" spans="6:37" s="45" customFormat="1" x14ac:dyDescent="0.2">
      <c r="F73" s="71">
        <f t="shared" si="19"/>
        <v>0</v>
      </c>
      <c r="G73" s="71">
        <f t="shared" si="19"/>
        <v>0</v>
      </c>
      <c r="H73" s="71">
        <f t="shared" si="19"/>
        <v>0</v>
      </c>
      <c r="I73" s="71">
        <f t="shared" si="19"/>
        <v>0</v>
      </c>
      <c r="J73" s="71">
        <f t="shared" si="19"/>
        <v>0</v>
      </c>
      <c r="K73" s="71">
        <f t="shared" si="19"/>
        <v>0</v>
      </c>
      <c r="L73" s="71">
        <f t="shared" si="19"/>
        <v>0</v>
      </c>
      <c r="M73" s="71">
        <f t="shared" si="19"/>
        <v>0</v>
      </c>
      <c r="N73" s="71">
        <f t="shared" si="19"/>
        <v>27</v>
      </c>
      <c r="O73" s="71">
        <f t="shared" si="19"/>
        <v>9</v>
      </c>
      <c r="P73" s="71">
        <f t="shared" si="19"/>
        <v>3</v>
      </c>
      <c r="Q73" s="71">
        <f t="shared" si="19"/>
        <v>1</v>
      </c>
      <c r="R73" s="71">
        <f t="shared" si="19"/>
        <v>0</v>
      </c>
      <c r="S73" s="71">
        <f t="shared" si="19"/>
        <v>0</v>
      </c>
      <c r="T73" s="71">
        <f t="shared" si="19"/>
        <v>0</v>
      </c>
      <c r="U73" s="71">
        <f t="shared" si="19"/>
        <v>0</v>
      </c>
      <c r="V73" s="71">
        <f t="shared" si="19"/>
        <v>0</v>
      </c>
      <c r="W73" s="71">
        <f t="shared" si="19"/>
        <v>0</v>
      </c>
      <c r="X73" s="71">
        <f t="shared" si="19"/>
        <v>0</v>
      </c>
      <c r="Y73" s="71">
        <f t="shared" si="19"/>
        <v>0</v>
      </c>
      <c r="Z73" s="71">
        <f t="shared" si="19"/>
        <v>0</v>
      </c>
      <c r="AA73" s="71">
        <f t="shared" si="19"/>
        <v>0</v>
      </c>
      <c r="AB73" s="71">
        <f t="shared" si="19"/>
        <v>0</v>
      </c>
      <c r="AC73" s="71">
        <f t="shared" si="19"/>
        <v>0</v>
      </c>
      <c r="AD73" s="71">
        <f t="shared" si="19"/>
        <v>0</v>
      </c>
      <c r="AE73" s="71">
        <f t="shared" si="19"/>
        <v>0</v>
      </c>
      <c r="AF73" s="71">
        <f t="shared" si="19"/>
        <v>0</v>
      </c>
      <c r="AG73" s="71">
        <f t="shared" si="19"/>
        <v>0</v>
      </c>
      <c r="AH73" s="71">
        <f t="shared" si="19"/>
        <v>0</v>
      </c>
      <c r="AI73" s="71">
        <f t="shared" si="19"/>
        <v>0</v>
      </c>
      <c r="AJ73" s="71">
        <f t="shared" si="19"/>
        <v>0</v>
      </c>
      <c r="AK73" s="71">
        <f t="shared" ref="AK73" si="20">IF(ISBLANK(AK36),0,AK36)</f>
        <v>0</v>
      </c>
    </row>
    <row r="74" spans="6:37" s="45" customFormat="1" x14ac:dyDescent="0.2">
      <c r="F74" s="71">
        <f t="shared" ref="F74:AK81" si="21">IF(ISBLANK(F37),0,F37)</f>
        <v>0</v>
      </c>
      <c r="G74" s="71">
        <f t="shared" si="21"/>
        <v>0</v>
      </c>
      <c r="H74" s="71">
        <f t="shared" si="21"/>
        <v>0</v>
      </c>
      <c r="I74" s="71">
        <f t="shared" si="21"/>
        <v>0</v>
      </c>
      <c r="J74" s="71">
        <f t="shared" si="21"/>
        <v>0</v>
      </c>
      <c r="K74" s="71">
        <f t="shared" si="21"/>
        <v>0</v>
      </c>
      <c r="L74" s="71">
        <f t="shared" si="21"/>
        <v>0</v>
      </c>
      <c r="M74" s="71">
        <f t="shared" si="21"/>
        <v>0</v>
      </c>
      <c r="N74" s="71">
        <f t="shared" si="21"/>
        <v>0</v>
      </c>
      <c r="O74" s="71">
        <f t="shared" si="21"/>
        <v>0</v>
      </c>
      <c r="P74" s="71">
        <f t="shared" si="21"/>
        <v>0</v>
      </c>
      <c r="Q74" s="71">
        <f t="shared" si="21"/>
        <v>0</v>
      </c>
      <c r="R74" s="71">
        <f t="shared" si="21"/>
        <v>27</v>
      </c>
      <c r="S74" s="71">
        <f t="shared" si="21"/>
        <v>9</v>
      </c>
      <c r="T74" s="71">
        <f t="shared" si="21"/>
        <v>3</v>
      </c>
      <c r="U74" s="71">
        <f t="shared" si="21"/>
        <v>1</v>
      </c>
      <c r="V74" s="71">
        <f t="shared" si="21"/>
        <v>0</v>
      </c>
      <c r="W74" s="71">
        <f t="shared" si="21"/>
        <v>0</v>
      </c>
      <c r="X74" s="71">
        <f t="shared" si="21"/>
        <v>0</v>
      </c>
      <c r="Y74" s="71">
        <f t="shared" si="21"/>
        <v>0</v>
      </c>
      <c r="Z74" s="71">
        <f t="shared" si="21"/>
        <v>0</v>
      </c>
      <c r="AA74" s="71">
        <f t="shared" si="21"/>
        <v>0</v>
      </c>
      <c r="AB74" s="71">
        <f t="shared" si="21"/>
        <v>0</v>
      </c>
      <c r="AC74" s="71">
        <f t="shared" si="21"/>
        <v>0</v>
      </c>
      <c r="AD74" s="71">
        <f t="shared" si="21"/>
        <v>0</v>
      </c>
      <c r="AE74" s="71">
        <f t="shared" si="21"/>
        <v>0</v>
      </c>
      <c r="AF74" s="71">
        <f t="shared" si="21"/>
        <v>0</v>
      </c>
      <c r="AG74" s="71">
        <f t="shared" si="21"/>
        <v>0</v>
      </c>
      <c r="AH74" s="71">
        <f t="shared" si="21"/>
        <v>0</v>
      </c>
      <c r="AI74" s="71">
        <f t="shared" si="21"/>
        <v>0</v>
      </c>
      <c r="AJ74" s="71">
        <f t="shared" si="21"/>
        <v>0</v>
      </c>
      <c r="AK74" s="71">
        <f t="shared" si="21"/>
        <v>0</v>
      </c>
    </row>
    <row r="75" spans="6:37" s="45" customFormat="1" x14ac:dyDescent="0.2">
      <c r="F75" s="71">
        <f t="shared" si="21"/>
        <v>0</v>
      </c>
      <c r="G75" s="71">
        <f t="shared" si="21"/>
        <v>0</v>
      </c>
      <c r="H75" s="71">
        <f t="shared" si="21"/>
        <v>0</v>
      </c>
      <c r="I75" s="71">
        <f t="shared" si="21"/>
        <v>0</v>
      </c>
      <c r="J75" s="71">
        <f t="shared" si="21"/>
        <v>0</v>
      </c>
      <c r="K75" s="71">
        <f t="shared" si="21"/>
        <v>0</v>
      </c>
      <c r="L75" s="71">
        <f t="shared" si="21"/>
        <v>0</v>
      </c>
      <c r="M75" s="71">
        <f t="shared" si="21"/>
        <v>0</v>
      </c>
      <c r="N75" s="71">
        <f t="shared" si="21"/>
        <v>27</v>
      </c>
      <c r="O75" s="71">
        <f t="shared" si="21"/>
        <v>6</v>
      </c>
      <c r="P75" s="71">
        <f t="shared" si="21"/>
        <v>1</v>
      </c>
      <c r="Q75" s="71">
        <f t="shared" si="21"/>
        <v>0</v>
      </c>
      <c r="R75" s="71">
        <f t="shared" si="21"/>
        <v>-27</v>
      </c>
      <c r="S75" s="71">
        <f t="shared" si="21"/>
        <v>-6</v>
      </c>
      <c r="T75" s="71">
        <f t="shared" si="21"/>
        <v>-1</v>
      </c>
      <c r="U75" s="71">
        <f t="shared" si="21"/>
        <v>0</v>
      </c>
      <c r="V75" s="71">
        <f t="shared" si="21"/>
        <v>0</v>
      </c>
      <c r="W75" s="71">
        <f t="shared" si="21"/>
        <v>0</v>
      </c>
      <c r="X75" s="71">
        <f t="shared" si="21"/>
        <v>0</v>
      </c>
      <c r="Y75" s="71">
        <f t="shared" si="21"/>
        <v>0</v>
      </c>
      <c r="Z75" s="71">
        <f t="shared" si="21"/>
        <v>0</v>
      </c>
      <c r="AA75" s="71">
        <f t="shared" si="21"/>
        <v>0</v>
      </c>
      <c r="AB75" s="71">
        <f t="shared" si="21"/>
        <v>0</v>
      </c>
      <c r="AC75" s="71">
        <f t="shared" si="21"/>
        <v>0</v>
      </c>
      <c r="AD75" s="71">
        <f t="shared" si="21"/>
        <v>0</v>
      </c>
      <c r="AE75" s="71">
        <f t="shared" si="21"/>
        <v>0</v>
      </c>
      <c r="AF75" s="71">
        <f t="shared" si="21"/>
        <v>0</v>
      </c>
      <c r="AG75" s="71">
        <f t="shared" si="21"/>
        <v>0</v>
      </c>
      <c r="AH75" s="71">
        <f t="shared" si="21"/>
        <v>0</v>
      </c>
      <c r="AI75" s="71">
        <f t="shared" si="21"/>
        <v>0</v>
      </c>
      <c r="AJ75" s="71">
        <f t="shared" si="21"/>
        <v>0</v>
      </c>
      <c r="AK75" s="71">
        <f t="shared" si="21"/>
        <v>0</v>
      </c>
    </row>
    <row r="76" spans="6:37" s="45" customFormat="1" x14ac:dyDescent="0.2">
      <c r="F76" s="71">
        <f t="shared" si="21"/>
        <v>0</v>
      </c>
      <c r="G76" s="71">
        <f t="shared" si="21"/>
        <v>0</v>
      </c>
      <c r="H76" s="71">
        <f t="shared" si="21"/>
        <v>0</v>
      </c>
      <c r="I76" s="71">
        <f t="shared" si="21"/>
        <v>0</v>
      </c>
      <c r="J76" s="71">
        <f t="shared" si="21"/>
        <v>0</v>
      </c>
      <c r="K76" s="71">
        <f t="shared" si="21"/>
        <v>0</v>
      </c>
      <c r="L76" s="71">
        <f t="shared" si="21"/>
        <v>0</v>
      </c>
      <c r="M76" s="71">
        <f t="shared" si="21"/>
        <v>0</v>
      </c>
      <c r="N76" s="71">
        <f t="shared" si="21"/>
        <v>18</v>
      </c>
      <c r="O76" s="71">
        <f t="shared" si="21"/>
        <v>2</v>
      </c>
      <c r="P76" s="71">
        <f t="shared" si="21"/>
        <v>0</v>
      </c>
      <c r="Q76" s="71">
        <f t="shared" si="21"/>
        <v>0</v>
      </c>
      <c r="R76" s="71">
        <f t="shared" si="21"/>
        <v>-18</v>
      </c>
      <c r="S76" s="71">
        <f t="shared" si="21"/>
        <v>-2</v>
      </c>
      <c r="T76" s="71">
        <f t="shared" si="21"/>
        <v>0</v>
      </c>
      <c r="U76" s="71">
        <f t="shared" si="21"/>
        <v>0</v>
      </c>
      <c r="V76" s="71">
        <f t="shared" si="21"/>
        <v>0</v>
      </c>
      <c r="W76" s="71">
        <f t="shared" si="21"/>
        <v>0</v>
      </c>
      <c r="X76" s="71">
        <f t="shared" si="21"/>
        <v>0</v>
      </c>
      <c r="Y76" s="71">
        <f t="shared" si="21"/>
        <v>0</v>
      </c>
      <c r="Z76" s="71">
        <f t="shared" si="21"/>
        <v>0</v>
      </c>
      <c r="AA76" s="71">
        <f t="shared" si="21"/>
        <v>0</v>
      </c>
      <c r="AB76" s="71">
        <f t="shared" si="21"/>
        <v>0</v>
      </c>
      <c r="AC76" s="71">
        <f t="shared" si="21"/>
        <v>0</v>
      </c>
      <c r="AD76" s="71">
        <f t="shared" si="21"/>
        <v>0</v>
      </c>
      <c r="AE76" s="71">
        <f t="shared" si="21"/>
        <v>0</v>
      </c>
      <c r="AF76" s="71">
        <f t="shared" si="21"/>
        <v>0</v>
      </c>
      <c r="AG76" s="71">
        <f t="shared" si="21"/>
        <v>0</v>
      </c>
      <c r="AH76" s="71">
        <f t="shared" si="21"/>
        <v>0</v>
      </c>
      <c r="AI76" s="71">
        <f t="shared" si="21"/>
        <v>0</v>
      </c>
      <c r="AJ76" s="71">
        <f t="shared" si="21"/>
        <v>0</v>
      </c>
      <c r="AK76" s="71">
        <f t="shared" si="21"/>
        <v>0</v>
      </c>
    </row>
    <row r="77" spans="6:37" s="45" customFormat="1" x14ac:dyDescent="0.2">
      <c r="F77" s="71">
        <f t="shared" si="21"/>
        <v>0</v>
      </c>
      <c r="G77" s="71">
        <f t="shared" si="21"/>
        <v>0</v>
      </c>
      <c r="H77" s="71">
        <f t="shared" si="21"/>
        <v>0</v>
      </c>
      <c r="I77" s="71">
        <f t="shared" si="21"/>
        <v>0</v>
      </c>
      <c r="J77" s="71">
        <f t="shared" si="21"/>
        <v>0</v>
      </c>
      <c r="K77" s="71">
        <f t="shared" si="21"/>
        <v>0</v>
      </c>
      <c r="L77" s="71">
        <f t="shared" si="21"/>
        <v>0</v>
      </c>
      <c r="M77" s="71">
        <f t="shared" si="21"/>
        <v>0</v>
      </c>
      <c r="N77" s="71">
        <f t="shared" si="21"/>
        <v>0</v>
      </c>
      <c r="O77" s="71">
        <f t="shared" si="21"/>
        <v>0</v>
      </c>
      <c r="P77" s="71">
        <f t="shared" si="21"/>
        <v>0</v>
      </c>
      <c r="Q77" s="71">
        <f t="shared" si="21"/>
        <v>0</v>
      </c>
      <c r="R77" s="71">
        <f t="shared" si="21"/>
        <v>64</v>
      </c>
      <c r="S77" s="71">
        <f t="shared" si="21"/>
        <v>16</v>
      </c>
      <c r="T77" s="71">
        <f t="shared" si="21"/>
        <v>4</v>
      </c>
      <c r="U77" s="71">
        <f t="shared" si="21"/>
        <v>1</v>
      </c>
      <c r="V77" s="71">
        <f t="shared" si="21"/>
        <v>0</v>
      </c>
      <c r="W77" s="71">
        <f t="shared" si="21"/>
        <v>0</v>
      </c>
      <c r="X77" s="71">
        <f t="shared" si="21"/>
        <v>0</v>
      </c>
      <c r="Y77" s="71">
        <f t="shared" si="21"/>
        <v>0</v>
      </c>
      <c r="Z77" s="71">
        <f t="shared" si="21"/>
        <v>0</v>
      </c>
      <c r="AA77" s="71">
        <f t="shared" si="21"/>
        <v>0</v>
      </c>
      <c r="AB77" s="71">
        <f t="shared" si="21"/>
        <v>0</v>
      </c>
      <c r="AC77" s="71">
        <f t="shared" si="21"/>
        <v>0</v>
      </c>
      <c r="AD77" s="71">
        <f t="shared" si="21"/>
        <v>0</v>
      </c>
      <c r="AE77" s="71">
        <f t="shared" si="21"/>
        <v>0</v>
      </c>
      <c r="AF77" s="71">
        <f t="shared" si="21"/>
        <v>0</v>
      </c>
      <c r="AG77" s="71">
        <f t="shared" si="21"/>
        <v>0</v>
      </c>
      <c r="AH77" s="71">
        <f t="shared" si="21"/>
        <v>0</v>
      </c>
      <c r="AI77" s="71">
        <f t="shared" si="21"/>
        <v>0</v>
      </c>
      <c r="AJ77" s="71">
        <f t="shared" si="21"/>
        <v>0</v>
      </c>
      <c r="AK77" s="71">
        <f t="shared" si="21"/>
        <v>0</v>
      </c>
    </row>
    <row r="78" spans="6:37" s="45" customFormat="1" x14ac:dyDescent="0.2">
      <c r="F78" s="71">
        <f t="shared" si="21"/>
        <v>0</v>
      </c>
      <c r="G78" s="71">
        <f t="shared" si="21"/>
        <v>0</v>
      </c>
      <c r="H78" s="71">
        <f t="shared" si="21"/>
        <v>0</v>
      </c>
      <c r="I78" s="71">
        <f t="shared" si="21"/>
        <v>0</v>
      </c>
      <c r="J78" s="71">
        <f t="shared" si="21"/>
        <v>0</v>
      </c>
      <c r="K78" s="71">
        <f t="shared" si="21"/>
        <v>0</v>
      </c>
      <c r="L78" s="71">
        <f t="shared" si="21"/>
        <v>0</v>
      </c>
      <c r="M78" s="71">
        <f t="shared" si="21"/>
        <v>0</v>
      </c>
      <c r="N78" s="71">
        <f t="shared" si="21"/>
        <v>0</v>
      </c>
      <c r="O78" s="71">
        <f t="shared" si="21"/>
        <v>0</v>
      </c>
      <c r="P78" s="71">
        <f t="shared" si="21"/>
        <v>0</v>
      </c>
      <c r="Q78" s="71">
        <f t="shared" si="21"/>
        <v>0</v>
      </c>
      <c r="R78" s="71">
        <f t="shared" si="21"/>
        <v>0</v>
      </c>
      <c r="S78" s="71">
        <f t="shared" si="21"/>
        <v>0</v>
      </c>
      <c r="T78" s="71">
        <f t="shared" si="21"/>
        <v>0</v>
      </c>
      <c r="U78" s="71">
        <f t="shared" si="21"/>
        <v>0</v>
      </c>
      <c r="V78" s="71">
        <f t="shared" si="21"/>
        <v>64</v>
      </c>
      <c r="W78" s="71">
        <f t="shared" si="21"/>
        <v>16</v>
      </c>
      <c r="X78" s="71">
        <f t="shared" si="21"/>
        <v>4</v>
      </c>
      <c r="Y78" s="71">
        <f t="shared" si="21"/>
        <v>1</v>
      </c>
      <c r="Z78" s="71">
        <f t="shared" si="21"/>
        <v>0</v>
      </c>
      <c r="AA78" s="71">
        <f t="shared" si="21"/>
        <v>0</v>
      </c>
      <c r="AB78" s="71">
        <f t="shared" si="21"/>
        <v>0</v>
      </c>
      <c r="AC78" s="71">
        <f t="shared" si="21"/>
        <v>0</v>
      </c>
      <c r="AD78" s="71">
        <f t="shared" si="21"/>
        <v>0</v>
      </c>
      <c r="AE78" s="71">
        <f t="shared" si="21"/>
        <v>0</v>
      </c>
      <c r="AF78" s="71">
        <f t="shared" si="21"/>
        <v>0</v>
      </c>
      <c r="AG78" s="71">
        <f t="shared" si="21"/>
        <v>0</v>
      </c>
      <c r="AH78" s="71">
        <f t="shared" si="21"/>
        <v>0</v>
      </c>
      <c r="AI78" s="71">
        <f t="shared" si="21"/>
        <v>0</v>
      </c>
      <c r="AJ78" s="71">
        <f t="shared" si="21"/>
        <v>0</v>
      </c>
      <c r="AK78" s="71">
        <f t="shared" si="21"/>
        <v>0</v>
      </c>
    </row>
    <row r="79" spans="6:37" s="45" customFormat="1" x14ac:dyDescent="0.2">
      <c r="F79" s="71">
        <f t="shared" si="21"/>
        <v>0</v>
      </c>
      <c r="G79" s="71">
        <f t="shared" si="21"/>
        <v>0</v>
      </c>
      <c r="H79" s="71">
        <f t="shared" si="21"/>
        <v>0</v>
      </c>
      <c r="I79" s="71">
        <f t="shared" si="21"/>
        <v>0</v>
      </c>
      <c r="J79" s="71">
        <f t="shared" si="21"/>
        <v>0</v>
      </c>
      <c r="K79" s="71">
        <f t="shared" si="21"/>
        <v>0</v>
      </c>
      <c r="L79" s="71">
        <f t="shared" si="21"/>
        <v>0</v>
      </c>
      <c r="M79" s="71">
        <f t="shared" si="21"/>
        <v>0</v>
      </c>
      <c r="N79" s="71">
        <f t="shared" si="21"/>
        <v>0</v>
      </c>
      <c r="O79" s="71">
        <f t="shared" si="21"/>
        <v>0</v>
      </c>
      <c r="P79" s="71">
        <f t="shared" si="21"/>
        <v>0</v>
      </c>
      <c r="Q79" s="71">
        <f t="shared" si="21"/>
        <v>0</v>
      </c>
      <c r="R79" s="71">
        <f t="shared" si="21"/>
        <v>48</v>
      </c>
      <c r="S79" s="71">
        <f t="shared" si="21"/>
        <v>8</v>
      </c>
      <c r="T79" s="71">
        <f t="shared" si="21"/>
        <v>1</v>
      </c>
      <c r="U79" s="71">
        <f t="shared" si="21"/>
        <v>0</v>
      </c>
      <c r="V79" s="71">
        <f t="shared" si="21"/>
        <v>-48</v>
      </c>
      <c r="W79" s="71">
        <f t="shared" si="21"/>
        <v>-8</v>
      </c>
      <c r="X79" s="71">
        <f t="shared" si="21"/>
        <v>-1</v>
      </c>
      <c r="Y79" s="71">
        <f t="shared" si="21"/>
        <v>0</v>
      </c>
      <c r="Z79" s="71">
        <f t="shared" si="21"/>
        <v>0</v>
      </c>
      <c r="AA79" s="71">
        <f t="shared" si="21"/>
        <v>0</v>
      </c>
      <c r="AB79" s="71">
        <f t="shared" si="21"/>
        <v>0</v>
      </c>
      <c r="AC79" s="71">
        <f t="shared" si="21"/>
        <v>0</v>
      </c>
      <c r="AD79" s="71">
        <f t="shared" si="21"/>
        <v>0</v>
      </c>
      <c r="AE79" s="71">
        <f t="shared" si="21"/>
        <v>0</v>
      </c>
      <c r="AF79" s="71">
        <f t="shared" si="21"/>
        <v>0</v>
      </c>
      <c r="AG79" s="71">
        <f t="shared" si="21"/>
        <v>0</v>
      </c>
      <c r="AH79" s="71">
        <f t="shared" si="21"/>
        <v>0</v>
      </c>
      <c r="AI79" s="71">
        <f t="shared" si="21"/>
        <v>0</v>
      </c>
      <c r="AJ79" s="71">
        <f t="shared" si="21"/>
        <v>0</v>
      </c>
      <c r="AK79" s="71">
        <f t="shared" si="21"/>
        <v>0</v>
      </c>
    </row>
    <row r="80" spans="6:37" s="45" customFormat="1" x14ac:dyDescent="0.2">
      <c r="F80" s="71">
        <f t="shared" si="21"/>
        <v>0</v>
      </c>
      <c r="G80" s="71">
        <f t="shared" si="21"/>
        <v>0</v>
      </c>
      <c r="H80" s="71">
        <f t="shared" si="21"/>
        <v>0</v>
      </c>
      <c r="I80" s="71">
        <f t="shared" si="21"/>
        <v>0</v>
      </c>
      <c r="J80" s="71">
        <f t="shared" si="21"/>
        <v>0</v>
      </c>
      <c r="K80" s="71">
        <f t="shared" si="21"/>
        <v>0</v>
      </c>
      <c r="L80" s="71">
        <f t="shared" si="21"/>
        <v>0</v>
      </c>
      <c r="M80" s="71">
        <f t="shared" si="21"/>
        <v>0</v>
      </c>
      <c r="N80" s="71">
        <f t="shared" si="21"/>
        <v>0</v>
      </c>
      <c r="O80" s="71">
        <f t="shared" si="21"/>
        <v>0</v>
      </c>
      <c r="P80" s="71">
        <f t="shared" si="21"/>
        <v>0</v>
      </c>
      <c r="Q80" s="71">
        <f t="shared" si="21"/>
        <v>0</v>
      </c>
      <c r="R80" s="71">
        <f t="shared" si="21"/>
        <v>24</v>
      </c>
      <c r="S80" s="71">
        <f t="shared" si="21"/>
        <v>2</v>
      </c>
      <c r="T80" s="71">
        <f t="shared" si="21"/>
        <v>0</v>
      </c>
      <c r="U80" s="71">
        <f t="shared" si="21"/>
        <v>0</v>
      </c>
      <c r="V80" s="71">
        <f t="shared" si="21"/>
        <v>-24</v>
      </c>
      <c r="W80" s="71">
        <f t="shared" si="21"/>
        <v>-2</v>
      </c>
      <c r="X80" s="71">
        <f t="shared" si="21"/>
        <v>0</v>
      </c>
      <c r="Y80" s="71">
        <f t="shared" si="21"/>
        <v>0</v>
      </c>
      <c r="Z80" s="71">
        <f t="shared" si="21"/>
        <v>0</v>
      </c>
      <c r="AA80" s="71">
        <f t="shared" si="21"/>
        <v>0</v>
      </c>
      <c r="AB80" s="71">
        <f t="shared" si="21"/>
        <v>0</v>
      </c>
      <c r="AC80" s="71">
        <f t="shared" si="21"/>
        <v>0</v>
      </c>
      <c r="AD80" s="71">
        <f t="shared" si="21"/>
        <v>0</v>
      </c>
      <c r="AE80" s="71">
        <f t="shared" si="21"/>
        <v>0</v>
      </c>
      <c r="AF80" s="71">
        <f t="shared" si="21"/>
        <v>0</v>
      </c>
      <c r="AG80" s="71">
        <f t="shared" si="21"/>
        <v>0</v>
      </c>
      <c r="AH80" s="71">
        <f t="shared" si="21"/>
        <v>0</v>
      </c>
      <c r="AI80" s="71">
        <f t="shared" si="21"/>
        <v>0</v>
      </c>
      <c r="AJ80" s="71">
        <f t="shared" si="21"/>
        <v>0</v>
      </c>
      <c r="AK80" s="71">
        <f t="shared" si="21"/>
        <v>0</v>
      </c>
    </row>
    <row r="81" spans="6:37" s="45" customFormat="1" x14ac:dyDescent="0.2">
      <c r="F81" s="71">
        <f t="shared" si="21"/>
        <v>0</v>
      </c>
      <c r="G81" s="71">
        <f t="shared" si="21"/>
        <v>0</v>
      </c>
      <c r="H81" s="71">
        <f t="shared" si="21"/>
        <v>0</v>
      </c>
      <c r="I81" s="71">
        <f t="shared" si="21"/>
        <v>0</v>
      </c>
      <c r="J81" s="71">
        <f t="shared" si="21"/>
        <v>0</v>
      </c>
      <c r="K81" s="71">
        <f t="shared" si="21"/>
        <v>0</v>
      </c>
      <c r="L81" s="71">
        <f t="shared" si="21"/>
        <v>0</v>
      </c>
      <c r="M81" s="71">
        <f t="shared" si="21"/>
        <v>0</v>
      </c>
      <c r="N81" s="71">
        <f t="shared" si="21"/>
        <v>0</v>
      </c>
      <c r="O81" s="71">
        <f t="shared" si="21"/>
        <v>0</v>
      </c>
      <c r="P81" s="71">
        <f t="shared" si="21"/>
        <v>0</v>
      </c>
      <c r="Q81" s="71">
        <f t="shared" si="21"/>
        <v>0</v>
      </c>
      <c r="R81" s="71">
        <f t="shared" si="21"/>
        <v>0</v>
      </c>
      <c r="S81" s="71">
        <f t="shared" si="21"/>
        <v>0</v>
      </c>
      <c r="T81" s="71">
        <f t="shared" si="21"/>
        <v>0</v>
      </c>
      <c r="U81" s="71">
        <f t="shared" si="21"/>
        <v>0</v>
      </c>
      <c r="V81" s="71">
        <f t="shared" si="21"/>
        <v>125</v>
      </c>
      <c r="W81" s="71">
        <f t="shared" si="21"/>
        <v>25</v>
      </c>
      <c r="X81" s="71">
        <f t="shared" si="21"/>
        <v>5</v>
      </c>
      <c r="Y81" s="71">
        <f t="shared" si="21"/>
        <v>1</v>
      </c>
      <c r="Z81" s="71">
        <f t="shared" si="21"/>
        <v>0</v>
      </c>
      <c r="AA81" s="71">
        <f t="shared" si="21"/>
        <v>0</v>
      </c>
      <c r="AB81" s="71">
        <f t="shared" si="21"/>
        <v>0</v>
      </c>
      <c r="AC81" s="71">
        <f t="shared" si="21"/>
        <v>0</v>
      </c>
      <c r="AD81" s="71">
        <f t="shared" si="21"/>
        <v>0</v>
      </c>
      <c r="AE81" s="71">
        <f t="shared" si="21"/>
        <v>0</v>
      </c>
      <c r="AF81" s="71">
        <f t="shared" si="21"/>
        <v>0</v>
      </c>
      <c r="AG81" s="71">
        <f t="shared" si="21"/>
        <v>0</v>
      </c>
      <c r="AH81" s="71">
        <f t="shared" si="21"/>
        <v>0</v>
      </c>
      <c r="AI81" s="71">
        <f t="shared" si="21"/>
        <v>0</v>
      </c>
      <c r="AJ81" s="71">
        <f t="shared" si="21"/>
        <v>0</v>
      </c>
      <c r="AK81" s="71">
        <f t="shared" ref="AK81" si="22">IF(ISBLANK(AK44),0,AK44)</f>
        <v>0</v>
      </c>
    </row>
    <row r="82" spans="6:37" s="45" customFormat="1" x14ac:dyDescent="0.2">
      <c r="F82" s="71">
        <f t="shared" ref="F82:AK89" si="23">IF(ISBLANK(F45),0,F45)</f>
        <v>0</v>
      </c>
      <c r="G82" s="71">
        <f t="shared" si="23"/>
        <v>0</v>
      </c>
      <c r="H82" s="71">
        <f t="shared" si="23"/>
        <v>0</v>
      </c>
      <c r="I82" s="71">
        <f t="shared" si="23"/>
        <v>0</v>
      </c>
      <c r="J82" s="71">
        <f t="shared" si="23"/>
        <v>0</v>
      </c>
      <c r="K82" s="71">
        <f t="shared" si="23"/>
        <v>0</v>
      </c>
      <c r="L82" s="71">
        <f t="shared" si="23"/>
        <v>0</v>
      </c>
      <c r="M82" s="71">
        <f t="shared" si="23"/>
        <v>0</v>
      </c>
      <c r="N82" s="71">
        <f t="shared" si="23"/>
        <v>0</v>
      </c>
      <c r="O82" s="71">
        <f t="shared" si="23"/>
        <v>0</v>
      </c>
      <c r="P82" s="71">
        <f t="shared" si="23"/>
        <v>0</v>
      </c>
      <c r="Q82" s="71">
        <f t="shared" si="23"/>
        <v>0</v>
      </c>
      <c r="R82" s="71">
        <f t="shared" si="23"/>
        <v>0</v>
      </c>
      <c r="S82" s="71">
        <f t="shared" si="23"/>
        <v>0</v>
      </c>
      <c r="T82" s="71">
        <f t="shared" si="23"/>
        <v>0</v>
      </c>
      <c r="U82" s="71">
        <f t="shared" si="23"/>
        <v>0</v>
      </c>
      <c r="V82" s="71">
        <f t="shared" si="23"/>
        <v>0</v>
      </c>
      <c r="W82" s="71">
        <f t="shared" si="23"/>
        <v>0</v>
      </c>
      <c r="X82" s="71">
        <f t="shared" si="23"/>
        <v>0</v>
      </c>
      <c r="Y82" s="71">
        <f t="shared" si="23"/>
        <v>0</v>
      </c>
      <c r="Z82" s="71">
        <f t="shared" si="23"/>
        <v>125</v>
      </c>
      <c r="AA82" s="71">
        <f t="shared" si="23"/>
        <v>25</v>
      </c>
      <c r="AB82" s="71">
        <f t="shared" si="23"/>
        <v>5</v>
      </c>
      <c r="AC82" s="71">
        <f t="shared" si="23"/>
        <v>1</v>
      </c>
      <c r="AD82" s="71">
        <f t="shared" si="23"/>
        <v>0</v>
      </c>
      <c r="AE82" s="71">
        <f t="shared" si="23"/>
        <v>0</v>
      </c>
      <c r="AF82" s="71">
        <f t="shared" si="23"/>
        <v>0</v>
      </c>
      <c r="AG82" s="71">
        <f t="shared" si="23"/>
        <v>0</v>
      </c>
      <c r="AH82" s="71">
        <f t="shared" si="23"/>
        <v>0</v>
      </c>
      <c r="AI82" s="71">
        <f t="shared" si="23"/>
        <v>0</v>
      </c>
      <c r="AJ82" s="71">
        <f t="shared" si="23"/>
        <v>0</v>
      </c>
      <c r="AK82" s="71">
        <f t="shared" si="23"/>
        <v>0</v>
      </c>
    </row>
    <row r="83" spans="6:37" s="45" customFormat="1" x14ac:dyDescent="0.2">
      <c r="F83" s="71">
        <f t="shared" si="23"/>
        <v>0</v>
      </c>
      <c r="G83" s="71">
        <f t="shared" si="23"/>
        <v>0</v>
      </c>
      <c r="H83" s="71">
        <f t="shared" si="23"/>
        <v>0</v>
      </c>
      <c r="I83" s="71">
        <f t="shared" si="23"/>
        <v>0</v>
      </c>
      <c r="J83" s="71">
        <f t="shared" si="23"/>
        <v>0</v>
      </c>
      <c r="K83" s="71">
        <f t="shared" si="23"/>
        <v>0</v>
      </c>
      <c r="L83" s="71">
        <f t="shared" si="23"/>
        <v>0</v>
      </c>
      <c r="M83" s="71">
        <f t="shared" si="23"/>
        <v>0</v>
      </c>
      <c r="N83" s="71">
        <f t="shared" si="23"/>
        <v>0</v>
      </c>
      <c r="O83" s="71">
        <f t="shared" si="23"/>
        <v>0</v>
      </c>
      <c r="P83" s="71">
        <f t="shared" si="23"/>
        <v>0</v>
      </c>
      <c r="Q83" s="71">
        <f t="shared" si="23"/>
        <v>0</v>
      </c>
      <c r="R83" s="71">
        <f t="shared" si="23"/>
        <v>0</v>
      </c>
      <c r="S83" s="71">
        <f t="shared" si="23"/>
        <v>0</v>
      </c>
      <c r="T83" s="71">
        <f t="shared" si="23"/>
        <v>0</v>
      </c>
      <c r="U83" s="71">
        <f t="shared" si="23"/>
        <v>0</v>
      </c>
      <c r="V83" s="71">
        <f t="shared" si="23"/>
        <v>75</v>
      </c>
      <c r="W83" s="71">
        <f t="shared" si="23"/>
        <v>10</v>
      </c>
      <c r="X83" s="71">
        <f t="shared" si="23"/>
        <v>1</v>
      </c>
      <c r="Y83" s="71">
        <f t="shared" si="23"/>
        <v>0</v>
      </c>
      <c r="Z83" s="71">
        <f t="shared" si="23"/>
        <v>-75</v>
      </c>
      <c r="AA83" s="71">
        <f t="shared" si="23"/>
        <v>-10</v>
      </c>
      <c r="AB83" s="71">
        <f t="shared" si="23"/>
        <v>-1</v>
      </c>
      <c r="AC83" s="71">
        <f t="shared" si="23"/>
        <v>0</v>
      </c>
      <c r="AD83" s="71">
        <f t="shared" si="23"/>
        <v>0</v>
      </c>
      <c r="AE83" s="71">
        <f t="shared" si="23"/>
        <v>0</v>
      </c>
      <c r="AF83" s="71">
        <f t="shared" si="23"/>
        <v>0</v>
      </c>
      <c r="AG83" s="71">
        <f t="shared" si="23"/>
        <v>0</v>
      </c>
      <c r="AH83" s="71">
        <f t="shared" si="23"/>
        <v>0</v>
      </c>
      <c r="AI83" s="71">
        <f t="shared" si="23"/>
        <v>0</v>
      </c>
      <c r="AJ83" s="71">
        <f t="shared" si="23"/>
        <v>0</v>
      </c>
      <c r="AK83" s="71">
        <f t="shared" si="23"/>
        <v>0</v>
      </c>
    </row>
    <row r="84" spans="6:37" s="45" customFormat="1" x14ac:dyDescent="0.2">
      <c r="F84" s="71">
        <f t="shared" si="23"/>
        <v>0</v>
      </c>
      <c r="G84" s="71">
        <f t="shared" si="23"/>
        <v>0</v>
      </c>
      <c r="H84" s="71">
        <f t="shared" si="23"/>
        <v>0</v>
      </c>
      <c r="I84" s="71">
        <f t="shared" si="23"/>
        <v>0</v>
      </c>
      <c r="J84" s="71">
        <f t="shared" si="23"/>
        <v>0</v>
      </c>
      <c r="K84" s="71">
        <f t="shared" si="23"/>
        <v>0</v>
      </c>
      <c r="L84" s="71">
        <f t="shared" si="23"/>
        <v>0</v>
      </c>
      <c r="M84" s="71">
        <f t="shared" si="23"/>
        <v>0</v>
      </c>
      <c r="N84" s="71">
        <f t="shared" si="23"/>
        <v>0</v>
      </c>
      <c r="O84" s="71">
        <f t="shared" si="23"/>
        <v>0</v>
      </c>
      <c r="P84" s="71">
        <f t="shared" si="23"/>
        <v>0</v>
      </c>
      <c r="Q84" s="71">
        <f t="shared" si="23"/>
        <v>0</v>
      </c>
      <c r="R84" s="71">
        <f t="shared" si="23"/>
        <v>0</v>
      </c>
      <c r="S84" s="71">
        <f t="shared" si="23"/>
        <v>0</v>
      </c>
      <c r="T84" s="71">
        <f t="shared" si="23"/>
        <v>0</v>
      </c>
      <c r="U84" s="71">
        <f t="shared" si="23"/>
        <v>0</v>
      </c>
      <c r="V84" s="71">
        <f t="shared" si="23"/>
        <v>30</v>
      </c>
      <c r="W84" s="71">
        <f t="shared" si="23"/>
        <v>2</v>
      </c>
      <c r="X84" s="71">
        <f t="shared" si="23"/>
        <v>0</v>
      </c>
      <c r="Y84" s="71">
        <f t="shared" si="23"/>
        <v>0</v>
      </c>
      <c r="Z84" s="71">
        <f t="shared" si="23"/>
        <v>-30</v>
      </c>
      <c r="AA84" s="71">
        <f t="shared" si="23"/>
        <v>-2</v>
      </c>
      <c r="AB84" s="71">
        <f t="shared" si="23"/>
        <v>0</v>
      </c>
      <c r="AC84" s="71">
        <f t="shared" si="23"/>
        <v>0</v>
      </c>
      <c r="AD84" s="71">
        <f t="shared" si="23"/>
        <v>0</v>
      </c>
      <c r="AE84" s="71">
        <f t="shared" si="23"/>
        <v>0</v>
      </c>
      <c r="AF84" s="71">
        <f t="shared" si="23"/>
        <v>0</v>
      </c>
      <c r="AG84" s="71">
        <f t="shared" si="23"/>
        <v>0</v>
      </c>
      <c r="AH84" s="71">
        <f t="shared" si="23"/>
        <v>0</v>
      </c>
      <c r="AI84" s="71">
        <f t="shared" si="23"/>
        <v>0</v>
      </c>
      <c r="AJ84" s="71">
        <f t="shared" si="23"/>
        <v>0</v>
      </c>
      <c r="AK84" s="71">
        <f t="shared" si="23"/>
        <v>0</v>
      </c>
    </row>
    <row r="85" spans="6:37" s="45" customFormat="1" x14ac:dyDescent="0.2">
      <c r="F85" s="71">
        <f t="shared" si="23"/>
        <v>0</v>
      </c>
      <c r="G85" s="71">
        <f t="shared" si="23"/>
        <v>0</v>
      </c>
      <c r="H85" s="71">
        <f t="shared" si="23"/>
        <v>0</v>
      </c>
      <c r="I85" s="71">
        <f t="shared" si="23"/>
        <v>0</v>
      </c>
      <c r="J85" s="71">
        <f t="shared" si="23"/>
        <v>0</v>
      </c>
      <c r="K85" s="71">
        <f t="shared" si="23"/>
        <v>0</v>
      </c>
      <c r="L85" s="71">
        <f t="shared" si="23"/>
        <v>0</v>
      </c>
      <c r="M85" s="71">
        <f t="shared" si="23"/>
        <v>0</v>
      </c>
      <c r="N85" s="71">
        <f t="shared" si="23"/>
        <v>0</v>
      </c>
      <c r="O85" s="71">
        <f t="shared" si="23"/>
        <v>0</v>
      </c>
      <c r="P85" s="71">
        <f t="shared" si="23"/>
        <v>0</v>
      </c>
      <c r="Q85" s="71">
        <f t="shared" si="23"/>
        <v>0</v>
      </c>
      <c r="R85" s="71">
        <f t="shared" si="23"/>
        <v>0</v>
      </c>
      <c r="S85" s="71">
        <f t="shared" si="23"/>
        <v>0</v>
      </c>
      <c r="T85" s="71">
        <f t="shared" si="23"/>
        <v>0</v>
      </c>
      <c r="U85" s="71">
        <f t="shared" si="23"/>
        <v>0</v>
      </c>
      <c r="V85" s="71">
        <f t="shared" si="23"/>
        <v>0</v>
      </c>
      <c r="W85" s="71">
        <f t="shared" si="23"/>
        <v>0</v>
      </c>
      <c r="X85" s="71">
        <f t="shared" si="23"/>
        <v>0</v>
      </c>
      <c r="Y85" s="71">
        <f t="shared" si="23"/>
        <v>0</v>
      </c>
      <c r="Z85" s="71">
        <f t="shared" si="23"/>
        <v>343</v>
      </c>
      <c r="AA85" s="71">
        <f t="shared" si="23"/>
        <v>49</v>
      </c>
      <c r="AB85" s="71">
        <f t="shared" si="23"/>
        <v>7</v>
      </c>
      <c r="AC85" s="71">
        <f t="shared" si="23"/>
        <v>1</v>
      </c>
      <c r="AD85" s="71">
        <f t="shared" si="23"/>
        <v>0</v>
      </c>
      <c r="AE85" s="71">
        <f t="shared" si="23"/>
        <v>0</v>
      </c>
      <c r="AF85" s="71">
        <f t="shared" si="23"/>
        <v>0</v>
      </c>
      <c r="AG85" s="71">
        <f t="shared" si="23"/>
        <v>0</v>
      </c>
      <c r="AH85" s="71">
        <f t="shared" si="23"/>
        <v>0</v>
      </c>
      <c r="AI85" s="71">
        <f t="shared" si="23"/>
        <v>0</v>
      </c>
      <c r="AJ85" s="71">
        <f t="shared" si="23"/>
        <v>0</v>
      </c>
      <c r="AK85" s="71">
        <f t="shared" si="23"/>
        <v>0</v>
      </c>
    </row>
    <row r="86" spans="6:37" s="45" customFormat="1" x14ac:dyDescent="0.2">
      <c r="F86" s="71">
        <f t="shared" si="23"/>
        <v>0</v>
      </c>
      <c r="G86" s="71">
        <f t="shared" si="23"/>
        <v>0</v>
      </c>
      <c r="H86" s="71">
        <f t="shared" si="23"/>
        <v>0</v>
      </c>
      <c r="I86" s="71">
        <f t="shared" si="23"/>
        <v>0</v>
      </c>
      <c r="J86" s="71">
        <f t="shared" si="23"/>
        <v>0</v>
      </c>
      <c r="K86" s="71">
        <f t="shared" si="23"/>
        <v>0</v>
      </c>
      <c r="L86" s="71">
        <f t="shared" si="23"/>
        <v>0</v>
      </c>
      <c r="M86" s="71">
        <f t="shared" si="23"/>
        <v>0</v>
      </c>
      <c r="N86" s="71">
        <f t="shared" si="23"/>
        <v>0</v>
      </c>
      <c r="O86" s="71">
        <f t="shared" si="23"/>
        <v>0</v>
      </c>
      <c r="P86" s="71">
        <f t="shared" si="23"/>
        <v>0</v>
      </c>
      <c r="Q86" s="71">
        <f t="shared" si="23"/>
        <v>0</v>
      </c>
      <c r="R86" s="71">
        <f t="shared" si="23"/>
        <v>0</v>
      </c>
      <c r="S86" s="71">
        <f t="shared" si="23"/>
        <v>0</v>
      </c>
      <c r="T86" s="71">
        <f t="shared" si="23"/>
        <v>0</v>
      </c>
      <c r="U86" s="71">
        <f t="shared" si="23"/>
        <v>0</v>
      </c>
      <c r="V86" s="71">
        <f t="shared" si="23"/>
        <v>0</v>
      </c>
      <c r="W86" s="71">
        <f t="shared" si="23"/>
        <v>0</v>
      </c>
      <c r="X86" s="71">
        <f t="shared" si="23"/>
        <v>0</v>
      </c>
      <c r="Y86" s="71">
        <f t="shared" si="23"/>
        <v>0</v>
      </c>
      <c r="Z86" s="71">
        <f t="shared" si="23"/>
        <v>0</v>
      </c>
      <c r="AA86" s="71">
        <f t="shared" si="23"/>
        <v>0</v>
      </c>
      <c r="AB86" s="71">
        <f t="shared" si="23"/>
        <v>0</v>
      </c>
      <c r="AC86" s="71">
        <f t="shared" si="23"/>
        <v>0</v>
      </c>
      <c r="AD86" s="71">
        <f t="shared" si="23"/>
        <v>343</v>
      </c>
      <c r="AE86" s="71">
        <f t="shared" si="23"/>
        <v>49</v>
      </c>
      <c r="AF86" s="71">
        <f t="shared" si="23"/>
        <v>7</v>
      </c>
      <c r="AG86" s="71">
        <f t="shared" si="23"/>
        <v>1</v>
      </c>
      <c r="AH86" s="71">
        <f t="shared" si="23"/>
        <v>0</v>
      </c>
      <c r="AI86" s="71">
        <f t="shared" si="23"/>
        <v>0</v>
      </c>
      <c r="AJ86" s="71">
        <f t="shared" si="23"/>
        <v>0</v>
      </c>
      <c r="AK86" s="71">
        <f t="shared" si="23"/>
        <v>0</v>
      </c>
    </row>
    <row r="87" spans="6:37" s="45" customFormat="1" x14ac:dyDescent="0.2">
      <c r="F87" s="71">
        <f t="shared" si="23"/>
        <v>0</v>
      </c>
      <c r="G87" s="71">
        <f t="shared" si="23"/>
        <v>0</v>
      </c>
      <c r="H87" s="71">
        <f t="shared" si="23"/>
        <v>0</v>
      </c>
      <c r="I87" s="71">
        <f t="shared" si="23"/>
        <v>0</v>
      </c>
      <c r="J87" s="71">
        <f t="shared" si="23"/>
        <v>0</v>
      </c>
      <c r="K87" s="71">
        <f t="shared" si="23"/>
        <v>0</v>
      </c>
      <c r="L87" s="71">
        <f t="shared" si="23"/>
        <v>0</v>
      </c>
      <c r="M87" s="71">
        <f t="shared" si="23"/>
        <v>0</v>
      </c>
      <c r="N87" s="71">
        <f t="shared" si="23"/>
        <v>0</v>
      </c>
      <c r="O87" s="71">
        <f t="shared" si="23"/>
        <v>0</v>
      </c>
      <c r="P87" s="71">
        <f t="shared" si="23"/>
        <v>0</v>
      </c>
      <c r="Q87" s="71">
        <f t="shared" si="23"/>
        <v>0</v>
      </c>
      <c r="R87" s="71">
        <f t="shared" si="23"/>
        <v>0</v>
      </c>
      <c r="S87" s="71">
        <f t="shared" si="23"/>
        <v>0</v>
      </c>
      <c r="T87" s="71">
        <f t="shared" si="23"/>
        <v>0</v>
      </c>
      <c r="U87" s="71">
        <f t="shared" si="23"/>
        <v>0</v>
      </c>
      <c r="V87" s="71">
        <f t="shared" si="23"/>
        <v>0</v>
      </c>
      <c r="W87" s="71">
        <f t="shared" si="23"/>
        <v>0</v>
      </c>
      <c r="X87" s="71">
        <f t="shared" si="23"/>
        <v>0</v>
      </c>
      <c r="Y87" s="71">
        <f t="shared" si="23"/>
        <v>0</v>
      </c>
      <c r="Z87" s="71">
        <f t="shared" si="23"/>
        <v>147</v>
      </c>
      <c r="AA87" s="71">
        <f t="shared" si="23"/>
        <v>14</v>
      </c>
      <c r="AB87" s="71">
        <f t="shared" si="23"/>
        <v>1</v>
      </c>
      <c r="AC87" s="71">
        <f t="shared" si="23"/>
        <v>0</v>
      </c>
      <c r="AD87" s="71">
        <f t="shared" si="23"/>
        <v>-147</v>
      </c>
      <c r="AE87" s="71">
        <f t="shared" si="23"/>
        <v>-14</v>
      </c>
      <c r="AF87" s="71">
        <f t="shared" si="23"/>
        <v>-1</v>
      </c>
      <c r="AG87" s="71">
        <f t="shared" si="23"/>
        <v>0</v>
      </c>
      <c r="AH87" s="71">
        <f t="shared" si="23"/>
        <v>0</v>
      </c>
      <c r="AI87" s="71">
        <f t="shared" si="23"/>
        <v>0</v>
      </c>
      <c r="AJ87" s="71">
        <f t="shared" si="23"/>
        <v>0</v>
      </c>
      <c r="AK87" s="71">
        <f t="shared" si="23"/>
        <v>0</v>
      </c>
    </row>
    <row r="88" spans="6:37" s="45" customFormat="1" x14ac:dyDescent="0.2">
      <c r="F88" s="71">
        <f t="shared" si="23"/>
        <v>0</v>
      </c>
      <c r="G88" s="71">
        <f t="shared" si="23"/>
        <v>0</v>
      </c>
      <c r="H88" s="71">
        <f t="shared" si="23"/>
        <v>0</v>
      </c>
      <c r="I88" s="71">
        <f t="shared" si="23"/>
        <v>0</v>
      </c>
      <c r="J88" s="71">
        <f t="shared" si="23"/>
        <v>0</v>
      </c>
      <c r="K88" s="71">
        <f t="shared" si="23"/>
        <v>0</v>
      </c>
      <c r="L88" s="71">
        <f t="shared" si="23"/>
        <v>0</v>
      </c>
      <c r="M88" s="71">
        <f t="shared" si="23"/>
        <v>0</v>
      </c>
      <c r="N88" s="71">
        <f t="shared" si="23"/>
        <v>0</v>
      </c>
      <c r="O88" s="71">
        <f t="shared" si="23"/>
        <v>0</v>
      </c>
      <c r="P88" s="71">
        <f t="shared" si="23"/>
        <v>0</v>
      </c>
      <c r="Q88" s="71">
        <f t="shared" si="23"/>
        <v>0</v>
      </c>
      <c r="R88" s="71">
        <f t="shared" si="23"/>
        <v>0</v>
      </c>
      <c r="S88" s="71">
        <f t="shared" si="23"/>
        <v>0</v>
      </c>
      <c r="T88" s="71">
        <f t="shared" si="23"/>
        <v>0</v>
      </c>
      <c r="U88" s="71">
        <f t="shared" si="23"/>
        <v>0</v>
      </c>
      <c r="V88" s="71">
        <f t="shared" si="23"/>
        <v>0</v>
      </c>
      <c r="W88" s="71">
        <f t="shared" si="23"/>
        <v>0</v>
      </c>
      <c r="X88" s="71">
        <f t="shared" si="23"/>
        <v>0</v>
      </c>
      <c r="Y88" s="71">
        <f t="shared" si="23"/>
        <v>0</v>
      </c>
      <c r="Z88" s="71">
        <f t="shared" si="23"/>
        <v>42</v>
      </c>
      <c r="AA88" s="71">
        <f t="shared" si="23"/>
        <v>2</v>
      </c>
      <c r="AB88" s="71">
        <f t="shared" si="23"/>
        <v>0</v>
      </c>
      <c r="AC88" s="71">
        <f t="shared" si="23"/>
        <v>0</v>
      </c>
      <c r="AD88" s="71">
        <f t="shared" si="23"/>
        <v>-42</v>
      </c>
      <c r="AE88" s="71">
        <f t="shared" si="23"/>
        <v>-2</v>
      </c>
      <c r="AF88" s="71">
        <f t="shared" si="23"/>
        <v>0</v>
      </c>
      <c r="AG88" s="71">
        <f t="shared" si="23"/>
        <v>0</v>
      </c>
      <c r="AH88" s="71">
        <f t="shared" si="23"/>
        <v>0</v>
      </c>
      <c r="AI88" s="71">
        <f t="shared" si="23"/>
        <v>0</v>
      </c>
      <c r="AJ88" s="71">
        <f t="shared" si="23"/>
        <v>0</v>
      </c>
      <c r="AK88" s="71">
        <f t="shared" si="23"/>
        <v>0</v>
      </c>
    </row>
    <row r="89" spans="6:37" s="45" customFormat="1" x14ac:dyDescent="0.2">
      <c r="F89" s="71">
        <f t="shared" si="23"/>
        <v>0</v>
      </c>
      <c r="G89" s="71">
        <f t="shared" si="23"/>
        <v>0</v>
      </c>
      <c r="H89" s="71">
        <f t="shared" si="23"/>
        <v>0</v>
      </c>
      <c r="I89" s="71">
        <f t="shared" si="23"/>
        <v>0</v>
      </c>
      <c r="J89" s="71">
        <f t="shared" si="23"/>
        <v>0</v>
      </c>
      <c r="K89" s="71">
        <f t="shared" si="23"/>
        <v>0</v>
      </c>
      <c r="L89" s="71">
        <f t="shared" si="23"/>
        <v>0</v>
      </c>
      <c r="M89" s="71">
        <f t="shared" si="23"/>
        <v>0</v>
      </c>
      <c r="N89" s="71">
        <f t="shared" si="23"/>
        <v>0</v>
      </c>
      <c r="O89" s="71">
        <f t="shared" si="23"/>
        <v>0</v>
      </c>
      <c r="P89" s="71">
        <f t="shared" si="23"/>
        <v>0</v>
      </c>
      <c r="Q89" s="71">
        <f t="shared" si="23"/>
        <v>0</v>
      </c>
      <c r="R89" s="71">
        <f t="shared" si="23"/>
        <v>0</v>
      </c>
      <c r="S89" s="71">
        <f t="shared" si="23"/>
        <v>0</v>
      </c>
      <c r="T89" s="71">
        <f t="shared" si="23"/>
        <v>0</v>
      </c>
      <c r="U89" s="71">
        <f t="shared" si="23"/>
        <v>0</v>
      </c>
      <c r="V89" s="71">
        <f t="shared" si="23"/>
        <v>0</v>
      </c>
      <c r="W89" s="71">
        <f t="shared" si="23"/>
        <v>0</v>
      </c>
      <c r="X89" s="71">
        <f t="shared" si="23"/>
        <v>0</v>
      </c>
      <c r="Y89" s="71">
        <f t="shared" si="23"/>
        <v>0</v>
      </c>
      <c r="Z89" s="71">
        <f t="shared" si="23"/>
        <v>0</v>
      </c>
      <c r="AA89" s="71">
        <f t="shared" si="23"/>
        <v>0</v>
      </c>
      <c r="AB89" s="71">
        <f t="shared" si="23"/>
        <v>0</v>
      </c>
      <c r="AC89" s="71">
        <f t="shared" si="23"/>
        <v>0</v>
      </c>
      <c r="AD89" s="71">
        <f t="shared" si="23"/>
        <v>1000</v>
      </c>
      <c r="AE89" s="71">
        <f t="shared" si="23"/>
        <v>100</v>
      </c>
      <c r="AF89" s="71">
        <f t="shared" si="23"/>
        <v>10</v>
      </c>
      <c r="AG89" s="71">
        <f t="shared" si="23"/>
        <v>1</v>
      </c>
      <c r="AH89" s="71">
        <f t="shared" si="23"/>
        <v>0</v>
      </c>
      <c r="AI89" s="71">
        <f t="shared" si="23"/>
        <v>0</v>
      </c>
      <c r="AJ89" s="71">
        <f t="shared" si="23"/>
        <v>0</v>
      </c>
      <c r="AK89" s="71">
        <f t="shared" ref="AK89" si="24">IF(ISBLANK(AK52),0,AK52)</f>
        <v>0</v>
      </c>
    </row>
    <row r="90" spans="6:37" s="45" customFormat="1" x14ac:dyDescent="0.2">
      <c r="F90" s="71">
        <f t="shared" ref="F90:AK96" si="25">IF(ISBLANK(F53),0,F53)</f>
        <v>0</v>
      </c>
      <c r="G90" s="71">
        <f t="shared" si="25"/>
        <v>0</v>
      </c>
      <c r="H90" s="71">
        <f t="shared" si="25"/>
        <v>0</v>
      </c>
      <c r="I90" s="71">
        <f t="shared" si="25"/>
        <v>0</v>
      </c>
      <c r="J90" s="71">
        <f t="shared" si="25"/>
        <v>0</v>
      </c>
      <c r="K90" s="71">
        <f t="shared" si="25"/>
        <v>0</v>
      </c>
      <c r="L90" s="71">
        <f t="shared" si="25"/>
        <v>0</v>
      </c>
      <c r="M90" s="71">
        <f t="shared" si="25"/>
        <v>0</v>
      </c>
      <c r="N90" s="71">
        <f t="shared" si="25"/>
        <v>0</v>
      </c>
      <c r="O90" s="71">
        <f t="shared" si="25"/>
        <v>0</v>
      </c>
      <c r="P90" s="71">
        <f t="shared" si="25"/>
        <v>0</v>
      </c>
      <c r="Q90" s="71">
        <f t="shared" si="25"/>
        <v>0</v>
      </c>
      <c r="R90" s="71">
        <f t="shared" si="25"/>
        <v>0</v>
      </c>
      <c r="S90" s="71">
        <f t="shared" si="25"/>
        <v>0</v>
      </c>
      <c r="T90" s="71">
        <f t="shared" si="25"/>
        <v>0</v>
      </c>
      <c r="U90" s="71">
        <f t="shared" si="25"/>
        <v>0</v>
      </c>
      <c r="V90" s="71">
        <f t="shared" si="25"/>
        <v>0</v>
      </c>
      <c r="W90" s="71">
        <f t="shared" si="25"/>
        <v>0</v>
      </c>
      <c r="X90" s="71">
        <f t="shared" si="25"/>
        <v>0</v>
      </c>
      <c r="Y90" s="71">
        <f t="shared" si="25"/>
        <v>0</v>
      </c>
      <c r="Z90" s="71">
        <f t="shared" si="25"/>
        <v>0</v>
      </c>
      <c r="AA90" s="71">
        <f t="shared" si="25"/>
        <v>0</v>
      </c>
      <c r="AB90" s="71">
        <f t="shared" si="25"/>
        <v>0</v>
      </c>
      <c r="AC90" s="71">
        <f t="shared" si="25"/>
        <v>0</v>
      </c>
      <c r="AD90" s="71">
        <f t="shared" si="25"/>
        <v>0</v>
      </c>
      <c r="AE90" s="71">
        <f t="shared" si="25"/>
        <v>0</v>
      </c>
      <c r="AF90" s="71">
        <f t="shared" si="25"/>
        <v>0</v>
      </c>
      <c r="AG90" s="71">
        <f t="shared" si="25"/>
        <v>0</v>
      </c>
      <c r="AH90" s="71">
        <f t="shared" si="25"/>
        <v>1000</v>
      </c>
      <c r="AI90" s="71">
        <f t="shared" si="25"/>
        <v>100</v>
      </c>
      <c r="AJ90" s="71">
        <f t="shared" si="25"/>
        <v>10</v>
      </c>
      <c r="AK90" s="71">
        <f t="shared" si="25"/>
        <v>1</v>
      </c>
    </row>
    <row r="91" spans="6:37" s="45" customFormat="1" x14ac:dyDescent="0.2">
      <c r="F91" s="71">
        <f t="shared" si="25"/>
        <v>0</v>
      </c>
      <c r="G91" s="71">
        <f t="shared" si="25"/>
        <v>0</v>
      </c>
      <c r="H91" s="71">
        <f t="shared" si="25"/>
        <v>0</v>
      </c>
      <c r="I91" s="71">
        <f t="shared" si="25"/>
        <v>0</v>
      </c>
      <c r="J91" s="71">
        <f t="shared" si="25"/>
        <v>0</v>
      </c>
      <c r="K91" s="71">
        <f t="shared" si="25"/>
        <v>0</v>
      </c>
      <c r="L91" s="71">
        <f t="shared" si="25"/>
        <v>0</v>
      </c>
      <c r="M91" s="71">
        <f t="shared" si="25"/>
        <v>0</v>
      </c>
      <c r="N91" s="71">
        <f t="shared" si="25"/>
        <v>0</v>
      </c>
      <c r="O91" s="71">
        <f t="shared" si="25"/>
        <v>0</v>
      </c>
      <c r="P91" s="71">
        <f t="shared" si="25"/>
        <v>0</v>
      </c>
      <c r="Q91" s="71">
        <f t="shared" si="25"/>
        <v>0</v>
      </c>
      <c r="R91" s="71">
        <f t="shared" si="25"/>
        <v>0</v>
      </c>
      <c r="S91" s="71">
        <f t="shared" si="25"/>
        <v>0</v>
      </c>
      <c r="T91" s="71">
        <f t="shared" si="25"/>
        <v>0</v>
      </c>
      <c r="U91" s="71">
        <f t="shared" si="25"/>
        <v>0</v>
      </c>
      <c r="V91" s="71">
        <f t="shared" si="25"/>
        <v>0</v>
      </c>
      <c r="W91" s="71">
        <f t="shared" si="25"/>
        <v>0</v>
      </c>
      <c r="X91" s="71">
        <f t="shared" si="25"/>
        <v>0</v>
      </c>
      <c r="Y91" s="71">
        <f t="shared" si="25"/>
        <v>0</v>
      </c>
      <c r="Z91" s="71">
        <f t="shared" si="25"/>
        <v>0</v>
      </c>
      <c r="AA91" s="71">
        <f t="shared" si="25"/>
        <v>0</v>
      </c>
      <c r="AB91" s="71">
        <f t="shared" si="25"/>
        <v>0</v>
      </c>
      <c r="AC91" s="71">
        <f t="shared" si="25"/>
        <v>0</v>
      </c>
      <c r="AD91" s="71">
        <f t="shared" si="25"/>
        <v>300</v>
      </c>
      <c r="AE91" s="71">
        <f t="shared" si="25"/>
        <v>20</v>
      </c>
      <c r="AF91" s="71">
        <f t="shared" si="25"/>
        <v>1</v>
      </c>
      <c r="AG91" s="71">
        <f t="shared" si="25"/>
        <v>0</v>
      </c>
      <c r="AH91" s="71">
        <f t="shared" si="25"/>
        <v>-300</v>
      </c>
      <c r="AI91" s="71">
        <f t="shared" si="25"/>
        <v>-20</v>
      </c>
      <c r="AJ91" s="71">
        <f t="shared" si="25"/>
        <v>-1</v>
      </c>
      <c r="AK91" s="71">
        <f t="shared" si="25"/>
        <v>0</v>
      </c>
    </row>
    <row r="92" spans="6:37" s="45" customFormat="1" x14ac:dyDescent="0.2">
      <c r="F92" s="71">
        <f t="shared" si="25"/>
        <v>0</v>
      </c>
      <c r="G92" s="71">
        <f t="shared" si="25"/>
        <v>0</v>
      </c>
      <c r="H92" s="71">
        <f t="shared" si="25"/>
        <v>0</v>
      </c>
      <c r="I92" s="71">
        <f t="shared" si="25"/>
        <v>0</v>
      </c>
      <c r="J92" s="71">
        <f t="shared" si="25"/>
        <v>0</v>
      </c>
      <c r="K92" s="71">
        <f t="shared" si="25"/>
        <v>0</v>
      </c>
      <c r="L92" s="71">
        <f t="shared" si="25"/>
        <v>0</v>
      </c>
      <c r="M92" s="71">
        <f t="shared" si="25"/>
        <v>0</v>
      </c>
      <c r="N92" s="71">
        <f t="shared" si="25"/>
        <v>0</v>
      </c>
      <c r="O92" s="71">
        <f t="shared" si="25"/>
        <v>0</v>
      </c>
      <c r="P92" s="71">
        <f t="shared" si="25"/>
        <v>0</v>
      </c>
      <c r="Q92" s="71">
        <f t="shared" si="25"/>
        <v>0</v>
      </c>
      <c r="R92" s="71">
        <f t="shared" si="25"/>
        <v>0</v>
      </c>
      <c r="S92" s="71">
        <f t="shared" si="25"/>
        <v>0</v>
      </c>
      <c r="T92" s="71">
        <f t="shared" si="25"/>
        <v>0</v>
      </c>
      <c r="U92" s="71">
        <f t="shared" si="25"/>
        <v>0</v>
      </c>
      <c r="V92" s="71">
        <f t="shared" si="25"/>
        <v>0</v>
      </c>
      <c r="W92" s="71">
        <f t="shared" si="25"/>
        <v>0</v>
      </c>
      <c r="X92" s="71">
        <f t="shared" si="25"/>
        <v>0</v>
      </c>
      <c r="Y92" s="71">
        <f t="shared" si="25"/>
        <v>0</v>
      </c>
      <c r="Z92" s="71">
        <f t="shared" si="25"/>
        <v>0</v>
      </c>
      <c r="AA92" s="71">
        <f t="shared" si="25"/>
        <v>0</v>
      </c>
      <c r="AB92" s="71">
        <f t="shared" si="25"/>
        <v>0</v>
      </c>
      <c r="AC92" s="71">
        <f t="shared" si="25"/>
        <v>0</v>
      </c>
      <c r="AD92" s="71">
        <f t="shared" si="25"/>
        <v>60</v>
      </c>
      <c r="AE92" s="71">
        <f t="shared" si="25"/>
        <v>2</v>
      </c>
      <c r="AF92" s="71">
        <f t="shared" si="25"/>
        <v>0</v>
      </c>
      <c r="AG92" s="71">
        <f t="shared" si="25"/>
        <v>0</v>
      </c>
      <c r="AH92" s="71">
        <f t="shared" si="25"/>
        <v>-60</v>
      </c>
      <c r="AI92" s="71">
        <f t="shared" si="25"/>
        <v>-2</v>
      </c>
      <c r="AJ92" s="71">
        <f t="shared" si="25"/>
        <v>0</v>
      </c>
      <c r="AK92" s="71">
        <f t="shared" si="25"/>
        <v>0</v>
      </c>
    </row>
    <row r="93" spans="6:37" s="45" customFormat="1" x14ac:dyDescent="0.2">
      <c r="F93" s="71">
        <f t="shared" si="25"/>
        <v>0</v>
      </c>
      <c r="G93" s="71">
        <f t="shared" si="25"/>
        <v>0</v>
      </c>
      <c r="H93" s="71">
        <f t="shared" si="25"/>
        <v>0</v>
      </c>
      <c r="I93" s="71">
        <f t="shared" si="25"/>
        <v>1</v>
      </c>
      <c r="J93" s="71">
        <f t="shared" si="25"/>
        <v>0</v>
      </c>
      <c r="K93" s="71">
        <f t="shared" si="25"/>
        <v>0</v>
      </c>
      <c r="L93" s="71">
        <f t="shared" si="25"/>
        <v>0</v>
      </c>
      <c r="M93" s="71">
        <f t="shared" si="25"/>
        <v>0</v>
      </c>
      <c r="N93" s="71">
        <f t="shared" si="25"/>
        <v>0</v>
      </c>
      <c r="O93" s="71">
        <f t="shared" si="25"/>
        <v>0</v>
      </c>
      <c r="P93" s="71">
        <f t="shared" si="25"/>
        <v>0</v>
      </c>
      <c r="Q93" s="71">
        <f t="shared" si="25"/>
        <v>0</v>
      </c>
      <c r="R93" s="71">
        <f t="shared" si="25"/>
        <v>0</v>
      </c>
      <c r="S93" s="71">
        <f t="shared" si="25"/>
        <v>0</v>
      </c>
      <c r="T93" s="71">
        <f t="shared" si="25"/>
        <v>0</v>
      </c>
      <c r="U93" s="71">
        <f t="shared" si="25"/>
        <v>0</v>
      </c>
      <c r="V93" s="71">
        <f t="shared" si="25"/>
        <v>0</v>
      </c>
      <c r="W93" s="71">
        <f t="shared" si="25"/>
        <v>0</v>
      </c>
      <c r="X93" s="71">
        <f t="shared" si="25"/>
        <v>0</v>
      </c>
      <c r="Y93" s="71">
        <f t="shared" si="25"/>
        <v>0</v>
      </c>
      <c r="Z93" s="71">
        <f t="shared" si="25"/>
        <v>0</v>
      </c>
      <c r="AA93" s="71">
        <f t="shared" si="25"/>
        <v>0</v>
      </c>
      <c r="AB93" s="71">
        <f t="shared" si="25"/>
        <v>0</v>
      </c>
      <c r="AC93" s="71">
        <f t="shared" si="25"/>
        <v>0</v>
      </c>
      <c r="AD93" s="71">
        <f t="shared" si="25"/>
        <v>0</v>
      </c>
      <c r="AE93" s="71">
        <f t="shared" si="25"/>
        <v>0</v>
      </c>
      <c r="AF93" s="71">
        <f t="shared" si="25"/>
        <v>0</v>
      </c>
      <c r="AG93" s="71">
        <f t="shared" si="25"/>
        <v>0</v>
      </c>
      <c r="AH93" s="71">
        <f t="shared" si="25"/>
        <v>0</v>
      </c>
      <c r="AI93" s="71">
        <f t="shared" si="25"/>
        <v>0</v>
      </c>
      <c r="AJ93" s="71">
        <f t="shared" si="25"/>
        <v>0</v>
      </c>
      <c r="AK93" s="71">
        <f t="shared" si="25"/>
        <v>0</v>
      </c>
    </row>
    <row r="94" spans="6:37" s="45" customFormat="1" x14ac:dyDescent="0.2">
      <c r="F94" s="71">
        <f t="shared" si="25"/>
        <v>0</v>
      </c>
      <c r="G94" s="71">
        <f t="shared" si="25"/>
        <v>2</v>
      </c>
      <c r="H94" s="71">
        <f t="shared" si="25"/>
        <v>0</v>
      </c>
      <c r="I94" s="71">
        <f t="shared" si="25"/>
        <v>0</v>
      </c>
      <c r="J94" s="71">
        <f t="shared" si="25"/>
        <v>0</v>
      </c>
      <c r="K94" s="71">
        <f t="shared" si="25"/>
        <v>0</v>
      </c>
      <c r="L94" s="71">
        <f t="shared" si="25"/>
        <v>0</v>
      </c>
      <c r="M94" s="71">
        <f t="shared" si="25"/>
        <v>0</v>
      </c>
      <c r="N94" s="71">
        <f t="shared" si="25"/>
        <v>0</v>
      </c>
      <c r="O94" s="71">
        <f t="shared" si="25"/>
        <v>0</v>
      </c>
      <c r="P94" s="71">
        <f t="shared" si="25"/>
        <v>0</v>
      </c>
      <c r="Q94" s="71">
        <f t="shared" si="25"/>
        <v>0</v>
      </c>
      <c r="R94" s="71">
        <f t="shared" si="25"/>
        <v>0</v>
      </c>
      <c r="S94" s="71">
        <f t="shared" si="25"/>
        <v>0</v>
      </c>
      <c r="T94" s="71">
        <f t="shared" si="25"/>
        <v>0</v>
      </c>
      <c r="U94" s="71">
        <f t="shared" si="25"/>
        <v>0</v>
      </c>
      <c r="V94" s="71">
        <f t="shared" si="25"/>
        <v>0</v>
      </c>
      <c r="W94" s="71">
        <f t="shared" si="25"/>
        <v>0</v>
      </c>
      <c r="X94" s="71">
        <f t="shared" si="25"/>
        <v>0</v>
      </c>
      <c r="Y94" s="71">
        <f t="shared" si="25"/>
        <v>0</v>
      </c>
      <c r="Z94" s="71">
        <f t="shared" si="25"/>
        <v>0</v>
      </c>
      <c r="AA94" s="71">
        <f t="shared" si="25"/>
        <v>0</v>
      </c>
      <c r="AB94" s="71">
        <f t="shared" si="25"/>
        <v>0</v>
      </c>
      <c r="AC94" s="71">
        <f t="shared" si="25"/>
        <v>0</v>
      </c>
      <c r="AD94" s="71">
        <f t="shared" si="25"/>
        <v>0</v>
      </c>
      <c r="AE94" s="71">
        <f t="shared" si="25"/>
        <v>0</v>
      </c>
      <c r="AF94" s="71">
        <f t="shared" si="25"/>
        <v>0</v>
      </c>
      <c r="AG94" s="71">
        <f t="shared" si="25"/>
        <v>0</v>
      </c>
      <c r="AH94" s="71">
        <f t="shared" si="25"/>
        <v>0</v>
      </c>
      <c r="AI94" s="71">
        <f t="shared" si="25"/>
        <v>0</v>
      </c>
      <c r="AJ94" s="71">
        <f t="shared" si="25"/>
        <v>0</v>
      </c>
      <c r="AK94" s="71">
        <f t="shared" si="25"/>
        <v>0</v>
      </c>
    </row>
    <row r="95" spans="6:37" s="45" customFormat="1" x14ac:dyDescent="0.2">
      <c r="F95" s="71">
        <f t="shared" si="25"/>
        <v>0</v>
      </c>
      <c r="G95" s="71">
        <f t="shared" si="25"/>
        <v>0</v>
      </c>
      <c r="H95" s="71">
        <f t="shared" si="25"/>
        <v>0</v>
      </c>
      <c r="I95" s="71">
        <f t="shared" si="25"/>
        <v>0</v>
      </c>
      <c r="J95" s="71">
        <f t="shared" si="25"/>
        <v>0</v>
      </c>
      <c r="K95" s="71">
        <f t="shared" si="25"/>
        <v>0</v>
      </c>
      <c r="L95" s="71">
        <f t="shared" si="25"/>
        <v>0</v>
      </c>
      <c r="M95" s="71">
        <f t="shared" si="25"/>
        <v>0</v>
      </c>
      <c r="N95" s="71">
        <f t="shared" si="25"/>
        <v>0</v>
      </c>
      <c r="O95" s="71">
        <f t="shared" si="25"/>
        <v>0</v>
      </c>
      <c r="P95" s="71">
        <f t="shared" si="25"/>
        <v>0</v>
      </c>
      <c r="Q95" s="71">
        <f t="shared" si="25"/>
        <v>0</v>
      </c>
      <c r="R95" s="71">
        <f t="shared" si="25"/>
        <v>0</v>
      </c>
      <c r="S95" s="71">
        <f t="shared" si="25"/>
        <v>0</v>
      </c>
      <c r="T95" s="71">
        <f t="shared" si="25"/>
        <v>0</v>
      </c>
      <c r="U95" s="71">
        <f t="shared" si="25"/>
        <v>0</v>
      </c>
      <c r="V95" s="71">
        <f t="shared" si="25"/>
        <v>0</v>
      </c>
      <c r="W95" s="71">
        <f t="shared" si="25"/>
        <v>0</v>
      </c>
      <c r="X95" s="71">
        <f t="shared" si="25"/>
        <v>0</v>
      </c>
      <c r="Y95" s="71">
        <f t="shared" si="25"/>
        <v>0</v>
      </c>
      <c r="Z95" s="71">
        <f t="shared" si="25"/>
        <v>0</v>
      </c>
      <c r="AA95" s="71">
        <f t="shared" si="25"/>
        <v>0</v>
      </c>
      <c r="AB95" s="71">
        <f t="shared" si="25"/>
        <v>0</v>
      </c>
      <c r="AC95" s="71">
        <f t="shared" si="25"/>
        <v>0</v>
      </c>
      <c r="AD95" s="71">
        <f t="shared" si="25"/>
        <v>0</v>
      </c>
      <c r="AE95" s="71">
        <f t="shared" si="25"/>
        <v>0</v>
      </c>
      <c r="AF95" s="71">
        <f t="shared" si="25"/>
        <v>0</v>
      </c>
      <c r="AG95" s="71">
        <f t="shared" si="25"/>
        <v>0</v>
      </c>
      <c r="AH95" s="71">
        <f t="shared" si="25"/>
        <v>27000</v>
      </c>
      <c r="AI95" s="71">
        <f t="shared" si="25"/>
        <v>900</v>
      </c>
      <c r="AJ95" s="71">
        <f t="shared" si="25"/>
        <v>30</v>
      </c>
      <c r="AK95" s="71">
        <f t="shared" si="25"/>
        <v>1</v>
      </c>
    </row>
    <row r="96" spans="6:37" s="45" customFormat="1" x14ac:dyDescent="0.2">
      <c r="F96" s="71">
        <f t="shared" si="25"/>
        <v>0</v>
      </c>
      <c r="G96" s="71">
        <f t="shared" si="25"/>
        <v>0</v>
      </c>
      <c r="H96" s="71">
        <f t="shared" si="25"/>
        <v>0</v>
      </c>
      <c r="I96" s="71">
        <f t="shared" si="25"/>
        <v>0</v>
      </c>
      <c r="J96" s="71">
        <f t="shared" si="25"/>
        <v>0</v>
      </c>
      <c r="K96" s="71">
        <f t="shared" si="25"/>
        <v>0</v>
      </c>
      <c r="L96" s="71">
        <f t="shared" si="25"/>
        <v>0</v>
      </c>
      <c r="M96" s="71">
        <f t="shared" si="25"/>
        <v>0</v>
      </c>
      <c r="N96" s="71">
        <f t="shared" si="25"/>
        <v>0</v>
      </c>
      <c r="O96" s="71">
        <f t="shared" si="25"/>
        <v>0</v>
      </c>
      <c r="P96" s="71">
        <f t="shared" si="25"/>
        <v>0</v>
      </c>
      <c r="Q96" s="71">
        <f t="shared" si="25"/>
        <v>0</v>
      </c>
      <c r="R96" s="71">
        <f t="shared" si="25"/>
        <v>0</v>
      </c>
      <c r="S96" s="71">
        <f t="shared" si="25"/>
        <v>0</v>
      </c>
      <c r="T96" s="71">
        <f t="shared" si="25"/>
        <v>0</v>
      </c>
      <c r="U96" s="71">
        <f t="shared" si="25"/>
        <v>0</v>
      </c>
      <c r="V96" s="71">
        <f t="shared" si="25"/>
        <v>0</v>
      </c>
      <c r="W96" s="71">
        <f t="shared" si="25"/>
        <v>0</v>
      </c>
      <c r="X96" s="71">
        <f t="shared" si="25"/>
        <v>0</v>
      </c>
      <c r="Y96" s="71">
        <f t="shared" si="25"/>
        <v>0</v>
      </c>
      <c r="Z96" s="71">
        <f t="shared" si="25"/>
        <v>0</v>
      </c>
      <c r="AA96" s="71">
        <f t="shared" si="25"/>
        <v>0</v>
      </c>
      <c r="AB96" s="71">
        <f t="shared" si="25"/>
        <v>0</v>
      </c>
      <c r="AC96" s="71">
        <f t="shared" si="25"/>
        <v>0</v>
      </c>
      <c r="AD96" s="71">
        <f t="shared" si="25"/>
        <v>0</v>
      </c>
      <c r="AE96" s="71">
        <f t="shared" si="25"/>
        <v>0</v>
      </c>
      <c r="AF96" s="71">
        <f t="shared" si="25"/>
        <v>0</v>
      </c>
      <c r="AG96" s="71">
        <f t="shared" si="25"/>
        <v>0</v>
      </c>
      <c r="AH96" s="71">
        <f t="shared" si="25"/>
        <v>180</v>
      </c>
      <c r="AI96" s="71">
        <f t="shared" si="25"/>
        <v>2</v>
      </c>
      <c r="AJ96" s="71">
        <f t="shared" si="25"/>
        <v>0</v>
      </c>
      <c r="AK96" s="71">
        <f t="shared" si="25"/>
        <v>0</v>
      </c>
    </row>
    <row r="97" spans="2:43" x14ac:dyDescent="0.2">
      <c r="AO97" s="45"/>
      <c r="AP97" s="45"/>
      <c r="AQ97" s="45"/>
    </row>
    <row r="98" spans="2:43" x14ac:dyDescent="0.2">
      <c r="AO98" s="45"/>
      <c r="AP98" s="45"/>
      <c r="AQ98" s="45"/>
    </row>
    <row r="99" spans="2:43" s="26" customFormat="1" x14ac:dyDescent="0.2">
      <c r="B99" s="26" t="s">
        <v>231</v>
      </c>
      <c r="C99" s="26" t="s">
        <v>163</v>
      </c>
      <c r="D99" s="26" t="s">
        <v>199</v>
      </c>
      <c r="E99" s="26" t="s">
        <v>200</v>
      </c>
      <c r="AO99" s="45"/>
      <c r="AP99" s="45"/>
      <c r="AQ99" s="45"/>
    </row>
    <row r="100" spans="2:43" x14ac:dyDescent="0.2">
      <c r="C100" s="45">
        <v>1</v>
      </c>
      <c r="D100" s="45">
        <v>0</v>
      </c>
      <c r="E100" s="85">
        <f t="shared" ref="E100:E163" ca="1" si="26">INDIRECT("a_" &amp; i) * t^3 + INDIRECT("b_" &amp; i) * t^2 + INDIRECT("c_" &amp; i) * t^1 + INDIRECT("d_" &amp; i)</f>
        <v>-5.8829694944846243E-7</v>
      </c>
      <c r="F100" s="88">
        <v>0</v>
      </c>
      <c r="G100" s="88">
        <f ca="1">F100-E100</f>
        <v>5.8829694944846243E-7</v>
      </c>
      <c r="K100" s="45" t="s">
        <v>232</v>
      </c>
      <c r="L100" s="89"/>
      <c r="M100" s="45" t="s">
        <v>232</v>
      </c>
      <c r="O100" s="45" t="s">
        <v>232</v>
      </c>
      <c r="Q100" s="90"/>
      <c r="AO100" s="45"/>
      <c r="AP100" s="45"/>
      <c r="AQ100" s="45"/>
    </row>
    <row r="101" spans="2:43" x14ac:dyDescent="0.2">
      <c r="C101" s="45">
        <v>1</v>
      </c>
      <c r="D101" s="45">
        <v>0.1</v>
      </c>
      <c r="E101" s="85">
        <f t="shared" ca="1" si="26"/>
        <v>1.0694010842698678E-3</v>
      </c>
      <c r="F101" s="88" t="s">
        <v>233</v>
      </c>
      <c r="K101" s="45">
        <f ca="1">SUMSQ(G100,G110,G120,G130,G140,G150,G170,G200,G400)</f>
        <v>2.542865222957926E-4</v>
      </c>
      <c r="M101" s="45">
        <f ca="1">SUMSQ(I110,I120,I130,I140,I150,I170,I200)</f>
        <v>7.6599569541489115E-4</v>
      </c>
      <c r="O101" s="45">
        <f ca="1">K101+M101</f>
        <v>1.0202822177106836E-3</v>
      </c>
      <c r="AO101" s="45"/>
      <c r="AP101" s="45"/>
      <c r="AQ101" s="45"/>
    </row>
    <row r="102" spans="2:43" x14ac:dyDescent="0.2">
      <c r="C102" s="45">
        <v>1</v>
      </c>
      <c r="D102" s="45">
        <v>0.2</v>
      </c>
      <c r="E102" s="85">
        <f t="shared" ca="1" si="26"/>
        <v>2.3900186088378528E-3</v>
      </c>
      <c r="F102" s="88" t="s">
        <v>233</v>
      </c>
      <c r="AO102" s="45"/>
      <c r="AP102" s="45"/>
      <c r="AQ102" s="45"/>
    </row>
    <row r="103" spans="2:43" x14ac:dyDescent="0.2">
      <c r="C103" s="45">
        <v>1</v>
      </c>
      <c r="D103" s="45">
        <v>0.3</v>
      </c>
      <c r="E103" s="85">
        <f t="shared" ca="1" si="26"/>
        <v>4.0191015406041983E-3</v>
      </c>
      <c r="F103" s="88" t="s">
        <v>233</v>
      </c>
      <c r="AO103" s="45"/>
      <c r="AP103" s="45"/>
      <c r="AQ103" s="45"/>
    </row>
    <row r="104" spans="2:43" x14ac:dyDescent="0.2">
      <c r="C104" s="45">
        <v>1</v>
      </c>
      <c r="D104" s="45">
        <v>0.4</v>
      </c>
      <c r="E104" s="85">
        <f t="shared" ca="1" si="26"/>
        <v>6.0144871434185988E-3</v>
      </c>
      <c r="F104" s="88" t="s">
        <v>233</v>
      </c>
      <c r="AO104" s="45"/>
      <c r="AP104" s="45"/>
      <c r="AQ104" s="45"/>
    </row>
    <row r="105" spans="2:43" x14ac:dyDescent="0.2">
      <c r="C105" s="45">
        <v>1</v>
      </c>
      <c r="D105" s="45">
        <v>0.5</v>
      </c>
      <c r="E105" s="85">
        <f t="shared" ca="1" si="26"/>
        <v>8.434012681130745E-3</v>
      </c>
      <c r="F105" s="88" t="s">
        <v>233</v>
      </c>
      <c r="AO105" s="45"/>
      <c r="AP105" s="45"/>
      <c r="AQ105" s="45"/>
    </row>
    <row r="106" spans="2:43" x14ac:dyDescent="0.2">
      <c r="C106" s="45">
        <v>1</v>
      </c>
      <c r="D106" s="45">
        <v>0.6</v>
      </c>
      <c r="E106" s="85">
        <f t="shared" ca="1" si="26"/>
        <v>1.1335515417590333E-2</v>
      </c>
      <c r="F106" s="88" t="s">
        <v>233</v>
      </c>
      <c r="AO106" s="45"/>
      <c r="AP106" s="45"/>
      <c r="AQ106" s="45"/>
    </row>
    <row r="107" spans="2:43" x14ac:dyDescent="0.2">
      <c r="C107" s="45">
        <v>1</v>
      </c>
      <c r="D107" s="45">
        <v>0.7</v>
      </c>
      <c r="E107" s="85">
        <f t="shared" ca="1" si="26"/>
        <v>1.4776832616647051E-2</v>
      </c>
      <c r="F107" s="88" t="s">
        <v>233</v>
      </c>
      <c r="AO107" s="45"/>
      <c r="AP107" s="45"/>
      <c r="AQ107" s="45"/>
    </row>
    <row r="108" spans="2:43" x14ac:dyDescent="0.2">
      <c r="C108" s="45">
        <v>1</v>
      </c>
      <c r="D108" s="45">
        <v>0.8</v>
      </c>
      <c r="E108" s="85">
        <f t="shared" ca="1" si="26"/>
        <v>1.8815801542150602E-2</v>
      </c>
      <c r="F108" s="88" t="s">
        <v>233</v>
      </c>
      <c r="AO108" s="45"/>
      <c r="AP108" s="45"/>
      <c r="AQ108" s="45"/>
    </row>
    <row r="109" spans="2:43" x14ac:dyDescent="0.2">
      <c r="C109" s="45">
        <v>1</v>
      </c>
      <c r="D109" s="45">
        <v>0.9</v>
      </c>
      <c r="E109" s="85">
        <f t="shared" ca="1" si="26"/>
        <v>2.3510259457950662E-2</v>
      </c>
      <c r="F109" s="88" t="s">
        <v>233</v>
      </c>
      <c r="AO109" s="45"/>
      <c r="AP109" s="45"/>
      <c r="AQ109" s="45"/>
    </row>
    <row r="110" spans="2:43" x14ac:dyDescent="0.2">
      <c r="B110" s="45">
        <v>1</v>
      </c>
      <c r="C110" s="45">
        <v>2</v>
      </c>
      <c r="D110" s="45">
        <v>1</v>
      </c>
      <c r="E110" s="85">
        <f t="shared" ca="1" si="26"/>
        <v>1.4171324913022434E-2</v>
      </c>
      <c r="F110" s="88">
        <v>0.02</v>
      </c>
      <c r="G110" s="88">
        <f ca="1">F110-E110</f>
        <v>5.828675086977566E-3</v>
      </c>
      <c r="H110" s="88">
        <f ca="1">INDIRECT("a_" &amp; i_1) * t^3 + INDIRECT("b_" &amp; i_1) * t^2 + INDIRECT("c_" &amp; i_1) * t^1 + INDIRECT("d_" &amp; i_1)</f>
        <v>2.8918043627896933E-2</v>
      </c>
      <c r="I110" s="88">
        <f ca="1">H110-E110</f>
        <v>1.4746718714874499E-2</v>
      </c>
      <c r="K110" s="90"/>
      <c r="Q110" s="90"/>
      <c r="AO110" s="45"/>
      <c r="AP110" s="45"/>
      <c r="AQ110" s="45"/>
    </row>
    <row r="111" spans="2:43" x14ac:dyDescent="0.2">
      <c r="C111" s="45">
        <v>2</v>
      </c>
      <c r="D111" s="45">
        <v>1.1000000000000001</v>
      </c>
      <c r="E111" s="85">
        <f t="shared" ca="1" si="26"/>
        <v>1.5814821678283405E-2</v>
      </c>
      <c r="F111" s="88" t="s">
        <v>233</v>
      </c>
      <c r="AO111" s="45"/>
      <c r="AP111" s="45"/>
      <c r="AQ111" s="45"/>
    </row>
    <row r="112" spans="2:43" x14ac:dyDescent="0.2">
      <c r="C112" s="45">
        <v>2</v>
      </c>
      <c r="D112" s="45">
        <v>1.2</v>
      </c>
      <c r="E112" s="85">
        <f t="shared" ca="1" si="26"/>
        <v>1.7623509777488552E-2</v>
      </c>
      <c r="F112" s="88" t="s">
        <v>233</v>
      </c>
      <c r="AO112" s="45"/>
      <c r="AP112" s="45"/>
      <c r="AQ112" s="45"/>
    </row>
    <row r="113" spans="2:17" s="45" customFormat="1" x14ac:dyDescent="0.2">
      <c r="C113" s="45">
        <v>2</v>
      </c>
      <c r="D113" s="45">
        <v>1.3</v>
      </c>
      <c r="E113" s="85">
        <f t="shared" ca="1" si="26"/>
        <v>1.9606186988430925E-2</v>
      </c>
      <c r="F113" s="88" t="s">
        <v>233</v>
      </c>
    </row>
    <row r="114" spans="2:17" s="45" customFormat="1" x14ac:dyDescent="0.2">
      <c r="C114" s="45">
        <v>2</v>
      </c>
      <c r="D114" s="45">
        <v>1.4</v>
      </c>
      <c r="E114" s="85">
        <f t="shared" ca="1" si="26"/>
        <v>2.1771651088903568E-2</v>
      </c>
      <c r="F114" s="88" t="s">
        <v>233</v>
      </c>
    </row>
    <row r="115" spans="2:17" s="45" customFormat="1" x14ac:dyDescent="0.2">
      <c r="C115" s="45">
        <v>2</v>
      </c>
      <c r="D115" s="45">
        <v>1.5</v>
      </c>
      <c r="E115" s="85">
        <f t="shared" ca="1" si="26"/>
        <v>2.4128699856699538E-2</v>
      </c>
      <c r="F115" s="88" t="s">
        <v>233</v>
      </c>
    </row>
    <row r="116" spans="2:17" s="45" customFormat="1" x14ac:dyDescent="0.2">
      <c r="C116" s="45">
        <v>2</v>
      </c>
      <c r="D116" s="45">
        <v>1.6</v>
      </c>
      <c r="E116" s="85">
        <f t="shared" ca="1" si="26"/>
        <v>2.6686131069611881E-2</v>
      </c>
      <c r="F116" s="88" t="s">
        <v>233</v>
      </c>
    </row>
    <row r="117" spans="2:17" s="45" customFormat="1" x14ac:dyDescent="0.2">
      <c r="C117" s="45">
        <v>2</v>
      </c>
      <c r="D117" s="45">
        <v>1.7</v>
      </c>
      <c r="E117" s="85">
        <f t="shared" ca="1" si="26"/>
        <v>2.9452742505433626E-2</v>
      </c>
      <c r="F117" s="88" t="s">
        <v>233</v>
      </c>
    </row>
    <row r="118" spans="2:17" s="45" customFormat="1" x14ac:dyDescent="0.2">
      <c r="C118" s="45">
        <v>2</v>
      </c>
      <c r="D118" s="45">
        <v>1.8</v>
      </c>
      <c r="E118" s="85">
        <f t="shared" ca="1" si="26"/>
        <v>3.2437331941957845E-2</v>
      </c>
      <c r="F118" s="88" t="s">
        <v>233</v>
      </c>
    </row>
    <row r="119" spans="2:17" s="45" customFormat="1" x14ac:dyDescent="0.2">
      <c r="C119" s="45">
        <v>2</v>
      </c>
      <c r="D119" s="45">
        <v>1.9</v>
      </c>
      <c r="E119" s="85">
        <f t="shared" ca="1" si="26"/>
        <v>3.5648697156977577E-2</v>
      </c>
      <c r="F119" s="88" t="s">
        <v>233</v>
      </c>
    </row>
    <row r="120" spans="2:17" s="45" customFormat="1" x14ac:dyDescent="0.2">
      <c r="B120" s="45">
        <v>2</v>
      </c>
      <c r="C120" s="45">
        <v>3</v>
      </c>
      <c r="D120" s="45">
        <v>2</v>
      </c>
      <c r="E120" s="85">
        <f t="shared" ca="1" si="26"/>
        <v>3.5138657720086279E-2</v>
      </c>
      <c r="F120" s="88">
        <v>3.7869296080000003E-2</v>
      </c>
      <c r="G120" s="88">
        <f ca="1">F120-E120</f>
        <v>2.7306383599137243E-3</v>
      </c>
      <c r="H120" s="88">
        <f ca="1">INDIRECT("a_" &amp; i_1) * t^3 + INDIRECT("b_" &amp; i_1) * t^2 + INDIRECT("c_" &amp; i_1) * t^1 + INDIRECT("d_" &amp; i_1)</f>
        <v>3.9095635928285868E-2</v>
      </c>
      <c r="I120" s="88">
        <f ca="1">H120-E120</f>
        <v>3.9569782081995894E-3</v>
      </c>
      <c r="K120" s="90"/>
      <c r="Q120" s="90"/>
    </row>
    <row r="121" spans="2:17" s="45" customFormat="1" x14ac:dyDescent="0.2">
      <c r="C121" s="45">
        <v>3</v>
      </c>
      <c r="D121" s="45">
        <v>2.1</v>
      </c>
      <c r="E121" s="85">
        <f t="shared" ca="1" si="26"/>
        <v>3.7131580235566147E-2</v>
      </c>
      <c r="F121" s="88" t="s">
        <v>233</v>
      </c>
    </row>
    <row r="122" spans="2:17" s="45" customFormat="1" x14ac:dyDescent="0.2">
      <c r="C122" s="45">
        <v>3</v>
      </c>
      <c r="D122" s="45">
        <v>2.2000000000000002</v>
      </c>
      <c r="E122" s="85">
        <f t="shared" ca="1" si="26"/>
        <v>3.9186392923636744E-2</v>
      </c>
      <c r="F122" s="88" t="s">
        <v>233</v>
      </c>
    </row>
    <row r="123" spans="2:17" s="45" customFormat="1" x14ac:dyDescent="0.2">
      <c r="C123" s="45">
        <v>3</v>
      </c>
      <c r="D123" s="45">
        <v>2.2999999999999998</v>
      </c>
      <c r="E123" s="85">
        <f t="shared" ca="1" si="26"/>
        <v>4.1302992030313568E-2</v>
      </c>
      <c r="F123" s="88" t="s">
        <v>233</v>
      </c>
    </row>
    <row r="124" spans="2:17" s="45" customFormat="1" x14ac:dyDescent="0.2">
      <c r="C124" s="45">
        <v>3</v>
      </c>
      <c r="D124" s="45">
        <v>2.4</v>
      </c>
      <c r="E124" s="85">
        <f t="shared" ca="1" si="26"/>
        <v>4.3481273801612139E-2</v>
      </c>
      <c r="F124" s="88" t="s">
        <v>233</v>
      </c>
    </row>
    <row r="125" spans="2:17" s="45" customFormat="1" x14ac:dyDescent="0.2">
      <c r="C125" s="45">
        <v>3</v>
      </c>
      <c r="D125" s="45">
        <v>2.5</v>
      </c>
      <c r="E125" s="85">
        <f t="shared" ca="1" si="26"/>
        <v>4.5721134483547948E-2</v>
      </c>
      <c r="F125" s="88" t="s">
        <v>233</v>
      </c>
    </row>
    <row r="126" spans="2:17" s="45" customFormat="1" x14ac:dyDescent="0.2">
      <c r="C126" s="45">
        <v>3</v>
      </c>
      <c r="D126" s="45">
        <v>2.6</v>
      </c>
      <c r="E126" s="85">
        <f t="shared" ca="1" si="26"/>
        <v>4.8022470322136496E-2</v>
      </c>
      <c r="F126" s="88" t="s">
        <v>233</v>
      </c>
    </row>
    <row r="127" spans="2:17" s="45" customFormat="1" x14ac:dyDescent="0.2">
      <c r="C127" s="45">
        <v>3</v>
      </c>
      <c r="D127" s="45">
        <v>2.7</v>
      </c>
      <c r="E127" s="85">
        <f t="shared" ca="1" si="26"/>
        <v>5.0385177563393307E-2</v>
      </c>
      <c r="F127" s="88" t="s">
        <v>233</v>
      </c>
    </row>
    <row r="128" spans="2:17" s="45" customFormat="1" x14ac:dyDescent="0.2">
      <c r="C128" s="45">
        <v>3</v>
      </c>
      <c r="D128" s="45">
        <v>2.8</v>
      </c>
      <c r="E128" s="85">
        <f t="shared" ca="1" si="26"/>
        <v>5.2809152453333848E-2</v>
      </c>
      <c r="F128" s="88" t="s">
        <v>233</v>
      </c>
    </row>
    <row r="129" spans="2:17" s="45" customFormat="1" x14ac:dyDescent="0.2">
      <c r="C129" s="45">
        <v>3</v>
      </c>
      <c r="D129" s="45">
        <v>2.9</v>
      </c>
      <c r="E129" s="85">
        <f t="shared" ca="1" si="26"/>
        <v>5.5294291237973664E-2</v>
      </c>
      <c r="F129" s="88" t="s">
        <v>233</v>
      </c>
    </row>
    <row r="130" spans="2:17" s="45" customFormat="1" x14ac:dyDescent="0.2">
      <c r="B130" s="45">
        <v>3</v>
      </c>
      <c r="C130" s="45">
        <v>4</v>
      </c>
      <c r="D130" s="45">
        <v>3</v>
      </c>
      <c r="E130" s="85">
        <f t="shared" ca="1" si="26"/>
        <v>4.0606542525608039E-2</v>
      </c>
      <c r="F130" s="88">
        <v>4.4685005659999999E-2</v>
      </c>
      <c r="G130" s="88">
        <f ca="1">F130-E130</f>
        <v>4.0784631343919603E-3</v>
      </c>
      <c r="H130" s="88">
        <f ca="1">INDIRECT("a_" &amp; i_1) * t^3 + INDIRECT("b_" &amp; i_1) * t^2 + INDIRECT("c_" &amp; i_1) * t^1 + INDIRECT("d_" &amp; i_1)</f>
        <v>5.7840490163328248E-2</v>
      </c>
      <c r="I130" s="88">
        <f ca="1">H130-E130</f>
        <v>1.7233947637720209E-2</v>
      </c>
      <c r="K130" s="90"/>
      <c r="Q130" s="90"/>
    </row>
    <row r="131" spans="2:17" s="45" customFormat="1" x14ac:dyDescent="0.2">
      <c r="C131" s="45">
        <v>4</v>
      </c>
      <c r="D131" s="45">
        <v>3.1</v>
      </c>
      <c r="E131" s="85">
        <f t="shared" ca="1" si="26"/>
        <v>4.2150106003778026E-2</v>
      </c>
      <c r="F131" s="88" t="s">
        <v>233</v>
      </c>
    </row>
    <row r="132" spans="2:17" s="45" customFormat="1" x14ac:dyDescent="0.2">
      <c r="C132" s="45">
        <v>4</v>
      </c>
      <c r="D132" s="45">
        <v>3.2</v>
      </c>
      <c r="E132" s="85">
        <f t="shared" ca="1" si="26"/>
        <v>4.3734737110745082E-2</v>
      </c>
      <c r="F132" s="88" t="s">
        <v>233</v>
      </c>
    </row>
    <row r="133" spans="2:17" s="45" customFormat="1" x14ac:dyDescent="0.2">
      <c r="C133" s="45">
        <v>4</v>
      </c>
      <c r="D133" s="45">
        <v>3.3</v>
      </c>
      <c r="E133" s="85">
        <f t="shared" ca="1" si="26"/>
        <v>4.5361301271642354E-2</v>
      </c>
      <c r="F133" s="88" t="s">
        <v>233</v>
      </c>
    </row>
    <row r="134" spans="2:17" s="45" customFormat="1" x14ac:dyDescent="0.2">
      <c r="C134" s="45">
        <v>4</v>
      </c>
      <c r="D134" s="45">
        <v>3.4</v>
      </c>
      <c r="E134" s="85">
        <f t="shared" ca="1" si="26"/>
        <v>4.7030663911603002E-2</v>
      </c>
      <c r="F134" s="88" t="s">
        <v>233</v>
      </c>
    </row>
    <row r="135" spans="2:17" s="45" customFormat="1" x14ac:dyDescent="0.2">
      <c r="C135" s="45">
        <v>4</v>
      </c>
      <c r="D135" s="45">
        <v>3.5</v>
      </c>
      <c r="E135" s="85">
        <f t="shared" ca="1" si="26"/>
        <v>4.8743690455760158E-2</v>
      </c>
      <c r="F135" s="88" t="s">
        <v>233</v>
      </c>
    </row>
    <row r="136" spans="2:17" s="45" customFormat="1" x14ac:dyDescent="0.2">
      <c r="C136" s="45">
        <v>4</v>
      </c>
      <c r="D136" s="45">
        <v>3.6</v>
      </c>
      <c r="E136" s="85">
        <f t="shared" ca="1" si="26"/>
        <v>5.0501246329246977E-2</v>
      </c>
      <c r="F136" s="88" t="s">
        <v>233</v>
      </c>
    </row>
    <row r="137" spans="2:17" s="45" customFormat="1" x14ac:dyDescent="0.2">
      <c r="C137" s="45">
        <v>4</v>
      </c>
      <c r="D137" s="45">
        <v>3.7</v>
      </c>
      <c r="E137" s="85">
        <f t="shared" ca="1" si="26"/>
        <v>5.2304196957196597E-2</v>
      </c>
      <c r="F137" s="88" t="s">
        <v>233</v>
      </c>
    </row>
    <row r="138" spans="2:17" s="45" customFormat="1" x14ac:dyDescent="0.2">
      <c r="C138" s="45">
        <v>4</v>
      </c>
      <c r="D138" s="45">
        <v>3.8</v>
      </c>
      <c r="E138" s="85">
        <f t="shared" ca="1" si="26"/>
        <v>5.4153407764742159E-2</v>
      </c>
      <c r="F138" s="88" t="s">
        <v>233</v>
      </c>
    </row>
    <row r="139" spans="2:17" s="45" customFormat="1" x14ac:dyDescent="0.2">
      <c r="C139" s="45">
        <v>4</v>
      </c>
      <c r="D139" s="45">
        <v>3.9</v>
      </c>
      <c r="E139" s="85">
        <f t="shared" ca="1" si="26"/>
        <v>5.6049744177016823E-2</v>
      </c>
      <c r="F139" s="88" t="s">
        <v>233</v>
      </c>
    </row>
    <row r="140" spans="2:17" s="45" customFormat="1" x14ac:dyDescent="0.2">
      <c r="B140" s="45">
        <v>4</v>
      </c>
      <c r="C140" s="45">
        <v>5</v>
      </c>
      <c r="D140" s="45">
        <v>4</v>
      </c>
      <c r="E140" s="85">
        <f t="shared" ca="1" si="26"/>
        <v>4.7605921251351442E-2</v>
      </c>
      <c r="F140" s="88">
        <v>5.1500715240000002E-2</v>
      </c>
      <c r="G140" s="88">
        <f ca="1">F140-E140</f>
        <v>3.8947939886485594E-3</v>
      </c>
      <c r="H140" s="88">
        <f ca="1">INDIRECT("a_" &amp; i_1) * t^3 + INDIRECT("b_" &amp; i_1) * t^2 + INDIRECT("c_" &amp; i_1) * t^1 + INDIRECT("d_" &amp; i_1)</f>
        <v>5.7994071619153723E-2</v>
      </c>
      <c r="I140" s="88">
        <f ca="1">H140-E140</f>
        <v>1.038815036780228E-2</v>
      </c>
      <c r="K140" s="90"/>
      <c r="Q140" s="90"/>
    </row>
    <row r="141" spans="2:17" s="45" customFormat="1" x14ac:dyDescent="0.2">
      <c r="C141" s="45">
        <v>5</v>
      </c>
      <c r="D141" s="45">
        <v>4.0999999999999996</v>
      </c>
      <c r="E141" s="85">
        <f t="shared" ca="1" si="26"/>
        <v>4.8608583561805502E-2</v>
      </c>
      <c r="F141" s="88" t="s">
        <v>233</v>
      </c>
    </row>
    <row r="142" spans="2:17" s="45" customFormat="1" x14ac:dyDescent="0.2">
      <c r="C142" s="45">
        <v>5</v>
      </c>
      <c r="D142" s="45">
        <v>4.2</v>
      </c>
      <c r="E142" s="85">
        <f t="shared" ca="1" si="26"/>
        <v>4.9606813951797224E-2</v>
      </c>
      <c r="F142" s="88" t="s">
        <v>233</v>
      </c>
    </row>
    <row r="143" spans="2:17" s="45" customFormat="1" x14ac:dyDescent="0.2">
      <c r="C143" s="45">
        <v>5</v>
      </c>
      <c r="D143" s="45">
        <v>4.3</v>
      </c>
      <c r="E143" s="85">
        <f t="shared" ca="1" si="26"/>
        <v>5.0600127595653695E-2</v>
      </c>
      <c r="F143" s="88" t="s">
        <v>233</v>
      </c>
    </row>
    <row r="144" spans="2:17" s="45" customFormat="1" x14ac:dyDescent="0.2">
      <c r="C144" s="45">
        <v>5</v>
      </c>
      <c r="D144" s="45">
        <v>4.4000000000000004</v>
      </c>
      <c r="E144" s="85">
        <f t="shared" ca="1" si="26"/>
        <v>5.1588039667702014E-2</v>
      </c>
      <c r="F144" s="88" t="s">
        <v>233</v>
      </c>
    </row>
    <row r="145" spans="2:17" s="45" customFormat="1" x14ac:dyDescent="0.2">
      <c r="C145" s="45">
        <v>5</v>
      </c>
      <c r="D145" s="45">
        <v>4.5</v>
      </c>
      <c r="E145" s="85">
        <f t="shared" ca="1" si="26"/>
        <v>5.2570065342269261E-2</v>
      </c>
      <c r="F145" s="88" t="s">
        <v>233</v>
      </c>
    </row>
    <row r="146" spans="2:17" s="45" customFormat="1" x14ac:dyDescent="0.2">
      <c r="C146" s="45">
        <v>5</v>
      </c>
      <c r="D146" s="45">
        <v>4.5999999999999996</v>
      </c>
      <c r="E146" s="85">
        <f t="shared" ca="1" si="26"/>
        <v>5.3545719793682535E-2</v>
      </c>
      <c r="F146" s="88" t="s">
        <v>233</v>
      </c>
    </row>
    <row r="147" spans="2:17" s="45" customFormat="1" x14ac:dyDescent="0.2">
      <c r="C147" s="45">
        <v>5</v>
      </c>
      <c r="D147" s="45">
        <v>4.7</v>
      </c>
      <c r="E147" s="85">
        <f t="shared" ca="1" si="26"/>
        <v>5.451451819626893E-2</v>
      </c>
      <c r="F147" s="88" t="s">
        <v>233</v>
      </c>
    </row>
    <row r="148" spans="2:17" s="45" customFormat="1" x14ac:dyDescent="0.2">
      <c r="C148" s="45">
        <v>5</v>
      </c>
      <c r="D148" s="45">
        <v>4.8</v>
      </c>
      <c r="E148" s="85">
        <f t="shared" ca="1" si="26"/>
        <v>5.5475975724355524E-2</v>
      </c>
      <c r="F148" s="88" t="s">
        <v>233</v>
      </c>
    </row>
    <row r="149" spans="2:17" s="45" customFormat="1" x14ac:dyDescent="0.2">
      <c r="C149" s="45">
        <v>5</v>
      </c>
      <c r="D149" s="45">
        <v>4.9000000000000004</v>
      </c>
      <c r="E149" s="85">
        <f t="shared" ca="1" si="26"/>
        <v>5.642960755226941E-2</v>
      </c>
      <c r="F149" s="88" t="s">
        <v>233</v>
      </c>
    </row>
    <row r="150" spans="2:17" s="45" customFormat="1" x14ac:dyDescent="0.2">
      <c r="B150" s="45">
        <v>5</v>
      </c>
      <c r="C150" s="45">
        <v>7</v>
      </c>
      <c r="D150" s="45">
        <v>5</v>
      </c>
      <c r="E150" s="85">
        <f t="shared" ca="1" si="26"/>
        <v>4.938641839179482E-2</v>
      </c>
      <c r="F150" s="88">
        <v>5.8316424819999997E-2</v>
      </c>
      <c r="G150" s="88">
        <f ca="1">F150-E150</f>
        <v>8.9300064282051769E-3</v>
      </c>
      <c r="H150" s="88">
        <f ca="1">INDIRECT("a_" &amp; i_1) * t^3 + INDIRECT("b_" &amp; i_1) * t^2 + INDIRECT("c_" &amp; i_1) * t^1 + INDIRECT("d_" &amp; i_1)</f>
        <v>5.7374928854337683E-2</v>
      </c>
      <c r="I150" s="88">
        <f ca="1">H150-E150</f>
        <v>7.9885104625428624E-3</v>
      </c>
      <c r="K150" s="90"/>
      <c r="Q150" s="90"/>
    </row>
    <row r="151" spans="2:17" s="45" customFormat="1" x14ac:dyDescent="0.2">
      <c r="C151" s="45">
        <v>7</v>
      </c>
      <c r="D151" s="45">
        <v>5.0999999999999996</v>
      </c>
      <c r="E151" s="85">
        <f t="shared" ca="1" si="26"/>
        <v>5.0119371280569744E-2</v>
      </c>
      <c r="F151" s="88" t="s">
        <v>233</v>
      </c>
    </row>
    <row r="152" spans="2:17" s="45" customFormat="1" x14ac:dyDescent="0.2">
      <c r="C152" s="45">
        <v>7</v>
      </c>
      <c r="D152" s="45">
        <v>5.2</v>
      </c>
      <c r="E152" s="85">
        <f t="shared" ca="1" si="26"/>
        <v>5.0847414841411316E-2</v>
      </c>
      <c r="F152" s="88" t="s">
        <v>233</v>
      </c>
    </row>
    <row r="153" spans="2:17" s="45" customFormat="1" x14ac:dyDescent="0.2">
      <c r="C153" s="45">
        <v>7</v>
      </c>
      <c r="D153" s="45">
        <v>5.3</v>
      </c>
      <c r="E153" s="85">
        <f t="shared" ca="1" si="26"/>
        <v>5.1570411652793351E-2</v>
      </c>
      <c r="F153" s="88" t="s">
        <v>233</v>
      </c>
    </row>
    <row r="154" spans="2:17" s="45" customFormat="1" x14ac:dyDescent="0.2">
      <c r="C154" s="45">
        <v>7</v>
      </c>
      <c r="D154" s="45">
        <v>5.4</v>
      </c>
      <c r="E154" s="85">
        <f t="shared" ca="1" si="26"/>
        <v>5.228822429318971E-2</v>
      </c>
      <c r="F154" s="88" t="s">
        <v>233</v>
      </c>
    </row>
    <row r="155" spans="2:17" s="45" customFormat="1" x14ac:dyDescent="0.2">
      <c r="C155" s="45">
        <v>7</v>
      </c>
      <c r="D155" s="45">
        <v>5.5</v>
      </c>
      <c r="E155" s="85">
        <f t="shared" ca="1" si="26"/>
        <v>5.3000715341074207E-2</v>
      </c>
      <c r="F155" s="88" t="s">
        <v>233</v>
      </c>
    </row>
    <row r="156" spans="2:17" s="45" customFormat="1" x14ac:dyDescent="0.2">
      <c r="C156" s="45">
        <v>7</v>
      </c>
      <c r="D156" s="45">
        <v>5.6</v>
      </c>
      <c r="E156" s="85">
        <f t="shared" ca="1" si="26"/>
        <v>5.3707747374920699E-2</v>
      </c>
      <c r="F156" s="88" t="s">
        <v>233</v>
      </c>
    </row>
    <row r="157" spans="2:17" s="45" customFormat="1" x14ac:dyDescent="0.2">
      <c r="C157" s="45">
        <v>7</v>
      </c>
      <c r="D157" s="45">
        <v>5.7</v>
      </c>
      <c r="E157" s="85">
        <f t="shared" ca="1" si="26"/>
        <v>5.4409182973203012E-2</v>
      </c>
      <c r="F157" s="88" t="s">
        <v>233</v>
      </c>
    </row>
    <row r="158" spans="2:17" s="45" customFormat="1" x14ac:dyDescent="0.2">
      <c r="C158" s="45">
        <v>7</v>
      </c>
      <c r="D158" s="45">
        <v>5.8</v>
      </c>
      <c r="E158" s="85">
        <f t="shared" ca="1" si="26"/>
        <v>5.5104884714394987E-2</v>
      </c>
      <c r="F158" s="88" t="s">
        <v>233</v>
      </c>
    </row>
    <row r="159" spans="2:17" s="45" customFormat="1" x14ac:dyDescent="0.2">
      <c r="C159" s="45">
        <v>7</v>
      </c>
      <c r="D159" s="45">
        <v>5.9</v>
      </c>
      <c r="E159" s="85">
        <f t="shared" ca="1" si="26"/>
        <v>5.5794715176970468E-2</v>
      </c>
      <c r="F159" s="88" t="s">
        <v>233</v>
      </c>
    </row>
    <row r="160" spans="2:17" s="45" customFormat="1" x14ac:dyDescent="0.2">
      <c r="C160" s="45">
        <v>7</v>
      </c>
      <c r="D160" s="45">
        <v>6</v>
      </c>
      <c r="E160" s="85">
        <f t="shared" ca="1" si="26"/>
        <v>5.6478536939403287E-2</v>
      </c>
      <c r="F160" s="88" t="s">
        <v>233</v>
      </c>
    </row>
    <row r="161" spans="2:17" s="45" customFormat="1" x14ac:dyDescent="0.2">
      <c r="C161" s="45">
        <v>7</v>
      </c>
      <c r="D161" s="45">
        <v>6.1</v>
      </c>
      <c r="E161" s="85">
        <f t="shared" ca="1" si="26"/>
        <v>5.7156212580167273E-2</v>
      </c>
      <c r="F161" s="88" t="s">
        <v>233</v>
      </c>
    </row>
    <row r="162" spans="2:17" s="45" customFormat="1" x14ac:dyDescent="0.2">
      <c r="C162" s="45">
        <v>7</v>
      </c>
      <c r="D162" s="45">
        <v>6.2</v>
      </c>
      <c r="E162" s="85">
        <f t="shared" ca="1" si="26"/>
        <v>5.7827604677736288E-2</v>
      </c>
      <c r="F162" s="88" t="s">
        <v>233</v>
      </c>
    </row>
    <row r="163" spans="2:17" s="45" customFormat="1" x14ac:dyDescent="0.2">
      <c r="C163" s="45">
        <v>7</v>
      </c>
      <c r="D163" s="45">
        <v>6.3</v>
      </c>
      <c r="E163" s="85">
        <f t="shared" ca="1" si="26"/>
        <v>5.849257581058414E-2</v>
      </c>
      <c r="F163" s="88" t="s">
        <v>233</v>
      </c>
    </row>
    <row r="164" spans="2:17" s="45" customFormat="1" x14ac:dyDescent="0.2">
      <c r="C164" s="45">
        <v>7</v>
      </c>
      <c r="D164" s="45">
        <v>6.4</v>
      </c>
      <c r="E164" s="85">
        <f t="shared" ref="E164:E227" ca="1" si="27">INDIRECT("a_" &amp; i) * t^3 + INDIRECT("b_" &amp; i) * t^2 + INDIRECT("c_" &amp; i) * t^1 + INDIRECT("d_" &amp; i)</f>
        <v>5.9150988557184682E-2</v>
      </c>
      <c r="F164" s="88" t="s">
        <v>233</v>
      </c>
    </row>
    <row r="165" spans="2:17" s="45" customFormat="1" x14ac:dyDescent="0.2">
      <c r="C165" s="45">
        <v>7</v>
      </c>
      <c r="D165" s="45">
        <v>6.5</v>
      </c>
      <c r="E165" s="85">
        <f t="shared" ca="1" si="27"/>
        <v>5.980270549601175E-2</v>
      </c>
      <c r="F165" s="88" t="s">
        <v>233</v>
      </c>
    </row>
    <row r="166" spans="2:17" s="45" customFormat="1" x14ac:dyDescent="0.2">
      <c r="C166" s="45">
        <v>7</v>
      </c>
      <c r="D166" s="45">
        <v>6.6</v>
      </c>
      <c r="E166" s="85">
        <f t="shared" ca="1" si="27"/>
        <v>6.0447589205539179E-2</v>
      </c>
      <c r="F166" s="88" t="s">
        <v>233</v>
      </c>
    </row>
    <row r="167" spans="2:17" s="45" customFormat="1" x14ac:dyDescent="0.2">
      <c r="C167" s="45">
        <v>7</v>
      </c>
      <c r="D167" s="45">
        <v>6.7</v>
      </c>
      <c r="E167" s="85">
        <f t="shared" ca="1" si="27"/>
        <v>6.1085502264240817E-2</v>
      </c>
      <c r="F167" s="88" t="s">
        <v>233</v>
      </c>
    </row>
    <row r="168" spans="2:17" s="45" customFormat="1" x14ac:dyDescent="0.2">
      <c r="C168" s="45">
        <v>7</v>
      </c>
      <c r="D168" s="45">
        <v>6.8</v>
      </c>
      <c r="E168" s="85">
        <f t="shared" ca="1" si="27"/>
        <v>6.1716307250590491E-2</v>
      </c>
      <c r="F168" s="88" t="s">
        <v>233</v>
      </c>
    </row>
    <row r="169" spans="2:17" s="45" customFormat="1" x14ac:dyDescent="0.2">
      <c r="C169" s="45">
        <v>7</v>
      </c>
      <c r="D169" s="45">
        <v>6.9</v>
      </c>
      <c r="E169" s="85">
        <f t="shared" ca="1" si="27"/>
        <v>6.2339866743062043E-2</v>
      </c>
      <c r="F169" s="88" t="s">
        <v>233</v>
      </c>
    </row>
    <row r="170" spans="2:17" s="45" customFormat="1" x14ac:dyDescent="0.2">
      <c r="B170" s="45">
        <v>7</v>
      </c>
      <c r="C170" s="45">
        <v>10</v>
      </c>
      <c r="D170" s="45">
        <v>7</v>
      </c>
      <c r="E170" s="85">
        <f t="shared" ca="1" si="27"/>
        <v>5.6733211202020149E-2</v>
      </c>
      <c r="F170" s="88">
        <v>6.51321344E-2</v>
      </c>
      <c r="G170" s="88">
        <f ca="1">F170-E170</f>
        <v>8.3989231979798504E-3</v>
      </c>
      <c r="H170" s="88">
        <f ca="1">INDIRECT("a_" &amp; i_1) * t^3 + INDIRECT("b_" &amp; i_1) * t^2 + INDIRECT("c_" &amp; i_1) * t^1 + INDIRECT("d_" &amp; i_1)</f>
        <v>6.2956043320129301E-2</v>
      </c>
      <c r="I170" s="88">
        <f ca="1">H170-E170</f>
        <v>6.222832118109152E-3</v>
      </c>
      <c r="K170" s="90"/>
      <c r="Q170" s="90"/>
    </row>
    <row r="171" spans="2:17" s="45" customFormat="1" x14ac:dyDescent="0.2">
      <c r="C171" s="45">
        <v>10</v>
      </c>
      <c r="D171" s="45">
        <v>7.1</v>
      </c>
      <c r="E171" s="85">
        <f t="shared" ca="1" si="27"/>
        <v>5.7427542188259392E-2</v>
      </c>
      <c r="F171" s="88" t="s">
        <v>233</v>
      </c>
    </row>
    <row r="172" spans="2:17" s="45" customFormat="1" x14ac:dyDescent="0.2">
      <c r="C172" s="45">
        <v>10</v>
      </c>
      <c r="D172" s="45">
        <v>7.2</v>
      </c>
      <c r="E172" s="85">
        <f t="shared" ca="1" si="27"/>
        <v>5.8122843963081053E-2</v>
      </c>
      <c r="F172" s="88" t="s">
        <v>233</v>
      </c>
    </row>
    <row r="173" spans="2:17" s="45" customFormat="1" x14ac:dyDescent="0.2">
      <c r="C173" s="45">
        <v>10</v>
      </c>
      <c r="D173" s="45">
        <v>7.3</v>
      </c>
      <c r="E173" s="85">
        <f t="shared" ca="1" si="27"/>
        <v>5.8819124605721342E-2</v>
      </c>
      <c r="F173" s="88" t="s">
        <v>233</v>
      </c>
    </row>
    <row r="174" spans="2:17" s="45" customFormat="1" x14ac:dyDescent="0.2">
      <c r="C174" s="45">
        <v>10</v>
      </c>
      <c r="D174" s="45">
        <v>7.4</v>
      </c>
      <c r="E174" s="85">
        <f t="shared" ca="1" si="27"/>
        <v>5.9516392195416469E-2</v>
      </c>
      <c r="F174" s="88" t="s">
        <v>233</v>
      </c>
    </row>
    <row r="175" spans="2:17" s="45" customFormat="1" x14ac:dyDescent="0.2">
      <c r="C175" s="45">
        <v>10</v>
      </c>
      <c r="D175" s="45">
        <v>7.5</v>
      </c>
      <c r="E175" s="85">
        <f t="shared" ca="1" si="27"/>
        <v>6.0214654811402667E-2</v>
      </c>
      <c r="F175" s="88" t="s">
        <v>233</v>
      </c>
    </row>
    <row r="176" spans="2:17" s="45" customFormat="1" x14ac:dyDescent="0.2">
      <c r="C176" s="45">
        <v>10</v>
      </c>
      <c r="D176" s="45">
        <v>7.6</v>
      </c>
      <c r="E176" s="85">
        <f t="shared" ca="1" si="27"/>
        <v>6.0913920532916138E-2</v>
      </c>
      <c r="F176" s="88" t="s">
        <v>233</v>
      </c>
    </row>
    <row r="177" spans="3:6" s="45" customFormat="1" x14ac:dyDescent="0.2">
      <c r="C177" s="45">
        <v>10</v>
      </c>
      <c r="D177" s="45">
        <v>7.7</v>
      </c>
      <c r="E177" s="85">
        <f t="shared" ca="1" si="27"/>
        <v>6.1614197439193108E-2</v>
      </c>
      <c r="F177" s="88" t="s">
        <v>233</v>
      </c>
    </row>
    <row r="178" spans="3:6" s="45" customFormat="1" x14ac:dyDescent="0.2">
      <c r="C178" s="45">
        <v>10</v>
      </c>
      <c r="D178" s="45">
        <v>7.8</v>
      </c>
      <c r="E178" s="85">
        <f t="shared" ca="1" si="27"/>
        <v>6.231549360946978E-2</v>
      </c>
      <c r="F178" s="88" t="s">
        <v>233</v>
      </c>
    </row>
    <row r="179" spans="3:6" s="45" customFormat="1" x14ac:dyDescent="0.2">
      <c r="C179" s="45">
        <v>10</v>
      </c>
      <c r="D179" s="45">
        <v>7.9</v>
      </c>
      <c r="E179" s="85">
        <f t="shared" ca="1" si="27"/>
        <v>6.3017817122982378E-2</v>
      </c>
      <c r="F179" s="88" t="s">
        <v>233</v>
      </c>
    </row>
    <row r="180" spans="3:6" s="45" customFormat="1" x14ac:dyDescent="0.2">
      <c r="C180" s="45">
        <v>10</v>
      </c>
      <c r="D180" s="45">
        <v>8</v>
      </c>
      <c r="E180" s="85">
        <f t="shared" ca="1" si="27"/>
        <v>6.3721176058967127E-2</v>
      </c>
      <c r="F180" s="88" t="s">
        <v>233</v>
      </c>
    </row>
    <row r="181" spans="3:6" s="45" customFormat="1" x14ac:dyDescent="0.2">
      <c r="C181" s="45">
        <v>10</v>
      </c>
      <c r="D181" s="45">
        <v>8.1</v>
      </c>
      <c r="E181" s="85">
        <f t="shared" ca="1" si="27"/>
        <v>6.442557849666021E-2</v>
      </c>
      <c r="F181" s="88" t="s">
        <v>233</v>
      </c>
    </row>
    <row r="182" spans="3:6" s="45" customFormat="1" x14ac:dyDescent="0.2">
      <c r="C182" s="45">
        <v>10</v>
      </c>
      <c r="D182" s="45">
        <v>8.1999999999999993</v>
      </c>
      <c r="E182" s="85">
        <f t="shared" ca="1" si="27"/>
        <v>6.5131032515297879E-2</v>
      </c>
      <c r="F182" s="88" t="s">
        <v>233</v>
      </c>
    </row>
    <row r="183" spans="3:6" s="45" customFormat="1" x14ac:dyDescent="0.2">
      <c r="C183" s="45">
        <v>10</v>
      </c>
      <c r="D183" s="45">
        <v>8.3000000000000007</v>
      </c>
      <c r="E183" s="85">
        <f t="shared" ca="1" si="27"/>
        <v>6.5837546194116331E-2</v>
      </c>
      <c r="F183" s="88" t="s">
        <v>233</v>
      </c>
    </row>
    <row r="184" spans="3:6" s="45" customFormat="1" x14ac:dyDescent="0.2">
      <c r="C184" s="45">
        <v>10</v>
      </c>
      <c r="D184" s="45">
        <v>8.4</v>
      </c>
      <c r="E184" s="85">
        <f t="shared" ca="1" si="27"/>
        <v>6.654512761235179E-2</v>
      </c>
      <c r="F184" s="88" t="s">
        <v>233</v>
      </c>
    </row>
    <row r="185" spans="3:6" s="45" customFormat="1" x14ac:dyDescent="0.2">
      <c r="C185" s="45">
        <v>10</v>
      </c>
      <c r="D185" s="45">
        <v>8.5</v>
      </c>
      <c r="E185" s="85">
        <f t="shared" ca="1" si="27"/>
        <v>6.7253784849240453E-2</v>
      </c>
      <c r="F185" s="88" t="s">
        <v>233</v>
      </c>
    </row>
    <row r="186" spans="3:6" s="45" customFormat="1" x14ac:dyDescent="0.2">
      <c r="C186" s="45">
        <v>10</v>
      </c>
      <c r="D186" s="45">
        <v>8.6</v>
      </c>
      <c r="E186" s="85">
        <f t="shared" ca="1" si="27"/>
        <v>6.7963525984018558E-2</v>
      </c>
      <c r="F186" s="88" t="s">
        <v>233</v>
      </c>
    </row>
    <row r="187" spans="3:6" s="45" customFormat="1" x14ac:dyDescent="0.2">
      <c r="C187" s="45">
        <v>10</v>
      </c>
      <c r="D187" s="45">
        <v>8.6999999999999993</v>
      </c>
      <c r="E187" s="85">
        <f t="shared" ca="1" si="27"/>
        <v>6.8674359095922288E-2</v>
      </c>
      <c r="F187" s="88" t="s">
        <v>233</v>
      </c>
    </row>
    <row r="188" spans="3:6" s="45" customFormat="1" x14ac:dyDescent="0.2">
      <c r="C188" s="45">
        <v>10</v>
      </c>
      <c r="D188" s="45">
        <v>8.8000000000000007</v>
      </c>
      <c r="E188" s="85">
        <f t="shared" ca="1" si="27"/>
        <v>6.9386292264187924E-2</v>
      </c>
      <c r="F188" s="88" t="s">
        <v>233</v>
      </c>
    </row>
    <row r="189" spans="3:6" s="45" customFormat="1" x14ac:dyDescent="0.2">
      <c r="C189" s="45">
        <v>10</v>
      </c>
      <c r="D189" s="45">
        <v>8.9</v>
      </c>
      <c r="E189" s="85">
        <f t="shared" ca="1" si="27"/>
        <v>7.0099333568051606E-2</v>
      </c>
      <c r="F189" s="88" t="s">
        <v>233</v>
      </c>
    </row>
    <row r="190" spans="3:6" s="45" customFormat="1" x14ac:dyDescent="0.2">
      <c r="C190" s="45">
        <v>10</v>
      </c>
      <c r="D190" s="45">
        <v>9</v>
      </c>
      <c r="E190" s="85">
        <f t="shared" ca="1" si="27"/>
        <v>7.08134910867496E-2</v>
      </c>
      <c r="F190" s="88" t="s">
        <v>233</v>
      </c>
    </row>
    <row r="191" spans="3:6" s="45" customFormat="1" x14ac:dyDescent="0.2">
      <c r="C191" s="45">
        <v>10</v>
      </c>
      <c r="D191" s="45">
        <v>9.1</v>
      </c>
      <c r="E191" s="85">
        <f t="shared" ca="1" si="27"/>
        <v>7.1528772899518089E-2</v>
      </c>
      <c r="F191" s="88" t="s">
        <v>233</v>
      </c>
    </row>
    <row r="192" spans="3:6" s="45" customFormat="1" x14ac:dyDescent="0.2">
      <c r="C192" s="45">
        <v>10</v>
      </c>
      <c r="D192" s="45">
        <v>9.1999999999999993</v>
      </c>
      <c r="E192" s="85">
        <f t="shared" ca="1" si="27"/>
        <v>7.2245187085593313E-2</v>
      </c>
      <c r="F192" s="88" t="s">
        <v>233</v>
      </c>
    </row>
    <row r="193" spans="2:17" s="45" customFormat="1" x14ac:dyDescent="0.2">
      <c r="C193" s="45">
        <v>10</v>
      </c>
      <c r="D193" s="45">
        <v>9.3000000000000007</v>
      </c>
      <c r="E193" s="85">
        <f t="shared" ca="1" si="27"/>
        <v>7.296274172421148E-2</v>
      </c>
      <c r="F193" s="88" t="s">
        <v>233</v>
      </c>
    </row>
    <row r="194" spans="2:17" s="45" customFormat="1" x14ac:dyDescent="0.2">
      <c r="C194" s="45">
        <v>10</v>
      </c>
      <c r="D194" s="45">
        <v>9.4</v>
      </c>
      <c r="E194" s="85">
        <f t="shared" ca="1" si="27"/>
        <v>7.3681444894608802E-2</v>
      </c>
      <c r="F194" s="88" t="s">
        <v>233</v>
      </c>
    </row>
    <row r="195" spans="2:17" s="45" customFormat="1" x14ac:dyDescent="0.2">
      <c r="C195" s="45">
        <v>10</v>
      </c>
      <c r="D195" s="45">
        <v>9.5</v>
      </c>
      <c r="E195" s="85">
        <f t="shared" ca="1" si="27"/>
        <v>7.440130467602149E-2</v>
      </c>
      <c r="F195" s="88" t="s">
        <v>233</v>
      </c>
    </row>
    <row r="196" spans="2:17" s="45" customFormat="1" x14ac:dyDescent="0.2">
      <c r="C196" s="45">
        <v>10</v>
      </c>
      <c r="D196" s="45">
        <v>9.6</v>
      </c>
      <c r="E196" s="85">
        <f t="shared" ca="1" si="27"/>
        <v>7.5122329147685768E-2</v>
      </c>
      <c r="F196" s="88" t="s">
        <v>233</v>
      </c>
    </row>
    <row r="197" spans="2:17" s="45" customFormat="1" x14ac:dyDescent="0.2">
      <c r="C197" s="45">
        <v>10</v>
      </c>
      <c r="D197" s="45">
        <v>9.6999999999999993</v>
      </c>
      <c r="E197" s="85">
        <f t="shared" ca="1" si="27"/>
        <v>7.584452638883786E-2</v>
      </c>
      <c r="F197" s="88" t="s">
        <v>233</v>
      </c>
    </row>
    <row r="198" spans="2:17" s="45" customFormat="1" x14ac:dyDescent="0.2">
      <c r="C198" s="45">
        <v>10</v>
      </c>
      <c r="D198" s="45">
        <v>9.8000000000000007</v>
      </c>
      <c r="E198" s="85">
        <f t="shared" ca="1" si="27"/>
        <v>7.656790447871395E-2</v>
      </c>
      <c r="F198" s="88" t="s">
        <v>233</v>
      </c>
    </row>
    <row r="199" spans="2:17" s="45" customFormat="1" x14ac:dyDescent="0.2">
      <c r="C199" s="45">
        <v>10</v>
      </c>
      <c r="D199" s="45">
        <v>9.9</v>
      </c>
      <c r="E199" s="85">
        <f t="shared" ca="1" si="27"/>
        <v>7.7292471496550288E-2</v>
      </c>
      <c r="F199" s="88" t="s">
        <v>233</v>
      </c>
    </row>
    <row r="200" spans="2:17" s="45" customFormat="1" x14ac:dyDescent="0.2">
      <c r="B200" s="45">
        <v>10</v>
      </c>
      <c r="C200" s="45">
        <v>30</v>
      </c>
      <c r="D200" s="45">
        <v>10</v>
      </c>
      <c r="E200" s="85">
        <f t="shared" ca="1" si="27"/>
        <v>7.2977427273393639E-2</v>
      </c>
      <c r="F200" s="88">
        <v>6.7430707199999995E-2</v>
      </c>
      <c r="G200" s="88">
        <f ca="1">F200-E200</f>
        <v>-5.5467200733936434E-3</v>
      </c>
      <c r="H200" s="88">
        <f ca="1">INDIRECT("a_" &amp; i_1) * t^3 + INDIRECT("b_" &amp; i_1) * t^2 + INDIRECT("c_" &amp; i_1) * t^1 + INDIRECT("d_" &amp; i_1)</f>
        <v>7.8018235521583074E-2</v>
      </c>
      <c r="I200" s="88">
        <f ca="1">H200-E200</f>
        <v>5.0408082481894351E-3</v>
      </c>
      <c r="K200" s="90"/>
      <c r="Q200" s="90"/>
    </row>
    <row r="201" spans="2:17" s="45" customFormat="1" x14ac:dyDescent="0.2">
      <c r="C201" s="45">
        <v>30</v>
      </c>
      <c r="D201" s="45">
        <v>10.1</v>
      </c>
      <c r="E201" s="85">
        <f t="shared" ca="1" si="27"/>
        <v>7.3789944503083627E-2</v>
      </c>
      <c r="F201" s="88" t="s">
        <v>233</v>
      </c>
    </row>
    <row r="202" spans="2:17" s="45" customFormat="1" x14ac:dyDescent="0.2">
      <c r="C202" s="45">
        <v>30</v>
      </c>
      <c r="D202" s="45">
        <v>10.199999999999999</v>
      </c>
      <c r="E202" s="85">
        <f t="shared" ca="1" si="27"/>
        <v>7.4602217691051312E-2</v>
      </c>
      <c r="F202" s="88" t="s">
        <v>233</v>
      </c>
    </row>
    <row r="203" spans="2:17" s="45" customFormat="1" x14ac:dyDescent="0.2">
      <c r="C203" s="45">
        <v>30</v>
      </c>
      <c r="D203" s="45">
        <v>10.3</v>
      </c>
      <c r="E203" s="85">
        <f t="shared" ca="1" si="27"/>
        <v>7.5414132139774756E-2</v>
      </c>
      <c r="F203" s="88" t="s">
        <v>233</v>
      </c>
    </row>
    <row r="204" spans="2:17" s="45" customFormat="1" x14ac:dyDescent="0.2">
      <c r="C204" s="45">
        <v>30</v>
      </c>
      <c r="D204" s="45">
        <v>10.4</v>
      </c>
      <c r="E204" s="85">
        <f t="shared" ca="1" si="27"/>
        <v>7.6225573151732048E-2</v>
      </c>
      <c r="F204" s="88" t="s">
        <v>233</v>
      </c>
    </row>
    <row r="205" spans="2:17" s="45" customFormat="1" x14ac:dyDescent="0.2">
      <c r="C205" s="45">
        <v>30</v>
      </c>
      <c r="D205" s="45">
        <v>10.5</v>
      </c>
      <c r="E205" s="85">
        <f t="shared" ca="1" si="27"/>
        <v>7.7036426029401278E-2</v>
      </c>
      <c r="F205" s="88" t="s">
        <v>233</v>
      </c>
    </row>
    <row r="206" spans="2:17" s="45" customFormat="1" x14ac:dyDescent="0.2">
      <c r="C206" s="45">
        <v>30</v>
      </c>
      <c r="D206" s="45">
        <v>10.6</v>
      </c>
      <c r="E206" s="85">
        <f t="shared" ca="1" si="27"/>
        <v>7.7846576075260535E-2</v>
      </c>
      <c r="F206" s="88" t="s">
        <v>233</v>
      </c>
    </row>
    <row r="207" spans="2:17" s="45" customFormat="1" x14ac:dyDescent="0.2">
      <c r="C207" s="45">
        <v>30</v>
      </c>
      <c r="D207" s="45">
        <v>10.7</v>
      </c>
      <c r="E207" s="85">
        <f t="shared" ca="1" si="27"/>
        <v>7.8655908591787865E-2</v>
      </c>
      <c r="F207" s="88" t="s">
        <v>233</v>
      </c>
    </row>
    <row r="208" spans="2:17" s="45" customFormat="1" x14ac:dyDescent="0.2">
      <c r="C208" s="45">
        <v>30</v>
      </c>
      <c r="D208" s="45">
        <v>10.8</v>
      </c>
      <c r="E208" s="85">
        <f t="shared" ca="1" si="27"/>
        <v>7.9464308881461415E-2</v>
      </c>
      <c r="F208" s="88" t="s">
        <v>233</v>
      </c>
    </row>
    <row r="209" spans="3:6" s="45" customFormat="1" x14ac:dyDescent="0.2">
      <c r="C209" s="45">
        <v>30</v>
      </c>
      <c r="D209" s="45">
        <v>10.9</v>
      </c>
      <c r="E209" s="85">
        <f t="shared" ca="1" si="27"/>
        <v>8.0271662246759204E-2</v>
      </c>
      <c r="F209" s="88" t="s">
        <v>233</v>
      </c>
    </row>
    <row r="210" spans="3:6" s="45" customFormat="1" x14ac:dyDescent="0.2">
      <c r="C210" s="45">
        <v>30</v>
      </c>
      <c r="D210" s="45">
        <v>11</v>
      </c>
      <c r="E210" s="85">
        <f t="shared" ca="1" si="27"/>
        <v>8.1077853990159363E-2</v>
      </c>
      <c r="F210" s="88" t="s">
        <v>233</v>
      </c>
    </row>
    <row r="211" spans="3:6" s="45" customFormat="1" x14ac:dyDescent="0.2">
      <c r="C211" s="45">
        <v>30</v>
      </c>
      <c r="D211" s="45">
        <v>11.1</v>
      </c>
      <c r="E211" s="85">
        <f t="shared" ca="1" si="27"/>
        <v>8.1882769414139939E-2</v>
      </c>
      <c r="F211" s="88" t="s">
        <v>233</v>
      </c>
    </row>
    <row r="212" spans="3:6" s="45" customFormat="1" x14ac:dyDescent="0.2">
      <c r="C212" s="45">
        <v>30</v>
      </c>
      <c r="D212" s="45">
        <v>11.2</v>
      </c>
      <c r="E212" s="85">
        <f t="shared" ca="1" si="27"/>
        <v>8.2686293821179035E-2</v>
      </c>
      <c r="F212" s="88" t="s">
        <v>233</v>
      </c>
    </row>
    <row r="213" spans="3:6" s="45" customFormat="1" x14ac:dyDescent="0.2">
      <c r="C213" s="45">
        <v>30</v>
      </c>
      <c r="D213" s="45">
        <v>11.3</v>
      </c>
      <c r="E213" s="85">
        <f t="shared" ca="1" si="27"/>
        <v>8.3488312513754714E-2</v>
      </c>
      <c r="F213" s="88" t="s">
        <v>233</v>
      </c>
    </row>
    <row r="214" spans="3:6" s="45" customFormat="1" x14ac:dyDescent="0.2">
      <c r="C214" s="45">
        <v>30</v>
      </c>
      <c r="D214" s="45">
        <v>11.4</v>
      </c>
      <c r="E214" s="85">
        <f t="shared" ca="1" si="27"/>
        <v>8.4288710794345093E-2</v>
      </c>
      <c r="F214" s="88" t="s">
        <v>233</v>
      </c>
    </row>
    <row r="215" spans="3:6" s="45" customFormat="1" x14ac:dyDescent="0.2">
      <c r="C215" s="45">
        <v>30</v>
      </c>
      <c r="D215" s="45">
        <v>11.5</v>
      </c>
      <c r="E215" s="85">
        <f t="shared" ca="1" si="27"/>
        <v>8.5087373965428217E-2</v>
      </c>
      <c r="F215" s="88" t="s">
        <v>233</v>
      </c>
    </row>
    <row r="216" spans="3:6" s="45" customFormat="1" x14ac:dyDescent="0.2">
      <c r="C216" s="45">
        <v>30</v>
      </c>
      <c r="D216" s="45">
        <v>11.6</v>
      </c>
      <c r="E216" s="85">
        <f t="shared" ca="1" si="27"/>
        <v>8.5884187329482192E-2</v>
      </c>
      <c r="F216" s="88" t="s">
        <v>233</v>
      </c>
    </row>
    <row r="217" spans="3:6" s="45" customFormat="1" x14ac:dyDescent="0.2">
      <c r="C217" s="45">
        <v>30</v>
      </c>
      <c r="D217" s="45">
        <v>11.7</v>
      </c>
      <c r="E217" s="85">
        <f t="shared" ca="1" si="27"/>
        <v>8.6679036188985106E-2</v>
      </c>
      <c r="F217" s="88" t="s">
        <v>233</v>
      </c>
    </row>
    <row r="218" spans="3:6" s="45" customFormat="1" x14ac:dyDescent="0.2">
      <c r="C218" s="45">
        <v>30</v>
      </c>
      <c r="D218" s="45">
        <v>11.8</v>
      </c>
      <c r="E218" s="85">
        <f t="shared" ca="1" si="27"/>
        <v>8.7471805846415035E-2</v>
      </c>
      <c r="F218" s="88" t="s">
        <v>233</v>
      </c>
    </row>
    <row r="219" spans="3:6" s="45" customFormat="1" x14ac:dyDescent="0.2">
      <c r="C219" s="45">
        <v>30</v>
      </c>
      <c r="D219" s="45">
        <v>11.9</v>
      </c>
      <c r="E219" s="85">
        <f t="shared" ca="1" si="27"/>
        <v>8.826238160425004E-2</v>
      </c>
      <c r="F219" s="88" t="s">
        <v>233</v>
      </c>
    </row>
    <row r="220" spans="3:6" s="45" customFormat="1" x14ac:dyDescent="0.2">
      <c r="C220" s="45">
        <v>30</v>
      </c>
      <c r="D220" s="45">
        <v>12</v>
      </c>
      <c r="E220" s="85">
        <f t="shared" ca="1" si="27"/>
        <v>8.9050648764968238E-2</v>
      </c>
      <c r="F220" s="88" t="s">
        <v>233</v>
      </c>
    </row>
    <row r="221" spans="3:6" s="45" customFormat="1" x14ac:dyDescent="0.2">
      <c r="C221" s="45">
        <v>30</v>
      </c>
      <c r="D221" s="45">
        <v>12.1</v>
      </c>
      <c r="E221" s="85">
        <f t="shared" ca="1" si="27"/>
        <v>8.983649263104769E-2</v>
      </c>
      <c r="F221" s="88" t="s">
        <v>233</v>
      </c>
    </row>
    <row r="222" spans="3:6" s="45" customFormat="1" x14ac:dyDescent="0.2">
      <c r="C222" s="45">
        <v>30</v>
      </c>
      <c r="D222" s="45">
        <v>12.2</v>
      </c>
      <c r="E222" s="85">
        <f t="shared" ca="1" si="27"/>
        <v>9.0619798504966487E-2</v>
      </c>
      <c r="F222" s="88" t="s">
        <v>233</v>
      </c>
    </row>
    <row r="223" spans="3:6" s="45" customFormat="1" x14ac:dyDescent="0.2">
      <c r="C223" s="45">
        <v>30</v>
      </c>
      <c r="D223" s="45">
        <v>12.3</v>
      </c>
      <c r="E223" s="85">
        <f t="shared" ca="1" si="27"/>
        <v>9.1400451689202716E-2</v>
      </c>
      <c r="F223" s="88" t="s">
        <v>233</v>
      </c>
    </row>
    <row r="224" spans="3:6" s="45" customFormat="1" x14ac:dyDescent="0.2">
      <c r="C224" s="45">
        <v>30</v>
      </c>
      <c r="D224" s="45">
        <v>12.4</v>
      </c>
      <c r="E224" s="85">
        <f t="shared" ca="1" si="27"/>
        <v>9.2178337486234441E-2</v>
      </c>
      <c r="F224" s="88" t="s">
        <v>233</v>
      </c>
    </row>
    <row r="225" spans="3:6" s="45" customFormat="1" x14ac:dyDescent="0.2">
      <c r="C225" s="45">
        <v>30</v>
      </c>
      <c r="D225" s="45">
        <v>12.5</v>
      </c>
      <c r="E225" s="85">
        <f t="shared" ca="1" si="27"/>
        <v>9.2953341198539763E-2</v>
      </c>
      <c r="F225" s="88" t="s">
        <v>233</v>
      </c>
    </row>
    <row r="226" spans="3:6" s="45" customFormat="1" x14ac:dyDescent="0.2">
      <c r="C226" s="45">
        <v>30</v>
      </c>
      <c r="D226" s="45">
        <v>12.6</v>
      </c>
      <c r="E226" s="85">
        <f t="shared" ca="1" si="27"/>
        <v>9.3725348128596758E-2</v>
      </c>
      <c r="F226" s="88" t="s">
        <v>233</v>
      </c>
    </row>
    <row r="227" spans="3:6" s="45" customFormat="1" x14ac:dyDescent="0.2">
      <c r="C227" s="45">
        <v>30</v>
      </c>
      <c r="D227" s="45">
        <v>12.7</v>
      </c>
      <c r="E227" s="85">
        <f t="shared" ca="1" si="27"/>
        <v>9.4494243578883502E-2</v>
      </c>
      <c r="F227" s="88" t="s">
        <v>233</v>
      </c>
    </row>
    <row r="228" spans="3:6" s="45" customFormat="1" x14ac:dyDescent="0.2">
      <c r="C228" s="45">
        <v>30</v>
      </c>
      <c r="D228" s="45">
        <v>12.8</v>
      </c>
      <c r="E228" s="85">
        <f t="shared" ref="E228:E291" ca="1" si="28">INDIRECT("a_" &amp; i) * t^3 + INDIRECT("b_" &amp; i) * t^2 + INDIRECT("c_" &amp; i) * t^1 + INDIRECT("d_" &amp; i)</f>
        <v>9.5259912851878126E-2</v>
      </c>
      <c r="F228" s="88" t="s">
        <v>233</v>
      </c>
    </row>
    <row r="229" spans="3:6" s="45" customFormat="1" x14ac:dyDescent="0.2">
      <c r="C229" s="45">
        <v>30</v>
      </c>
      <c r="D229" s="45">
        <v>12.9</v>
      </c>
      <c r="E229" s="85">
        <f t="shared" ca="1" si="28"/>
        <v>9.6022241250058621E-2</v>
      </c>
      <c r="F229" s="88" t="s">
        <v>233</v>
      </c>
    </row>
    <row r="230" spans="3:6" s="45" customFormat="1" x14ac:dyDescent="0.2">
      <c r="C230" s="45">
        <v>30</v>
      </c>
      <c r="D230" s="45">
        <v>13</v>
      </c>
      <c r="E230" s="85">
        <f t="shared" ca="1" si="28"/>
        <v>9.6781114075903146E-2</v>
      </c>
      <c r="F230" s="88" t="s">
        <v>233</v>
      </c>
    </row>
    <row r="231" spans="3:6" s="45" customFormat="1" x14ac:dyDescent="0.2">
      <c r="C231" s="45">
        <v>30</v>
      </c>
      <c r="D231" s="45">
        <v>13.1</v>
      </c>
      <c r="E231" s="85">
        <f t="shared" ca="1" si="28"/>
        <v>9.753641663188975E-2</v>
      </c>
      <c r="F231" s="88" t="s">
        <v>233</v>
      </c>
    </row>
    <row r="232" spans="3:6" s="45" customFormat="1" x14ac:dyDescent="0.2">
      <c r="C232" s="45">
        <v>30</v>
      </c>
      <c r="D232" s="45">
        <v>13.2</v>
      </c>
      <c r="E232" s="85">
        <f t="shared" ca="1" si="28"/>
        <v>9.8288034220496534E-2</v>
      </c>
      <c r="F232" s="88" t="s">
        <v>233</v>
      </c>
    </row>
    <row r="233" spans="3:6" s="45" customFormat="1" x14ac:dyDescent="0.2">
      <c r="C233" s="45">
        <v>30</v>
      </c>
      <c r="D233" s="45">
        <v>13.3</v>
      </c>
      <c r="E233" s="85">
        <f t="shared" ca="1" si="28"/>
        <v>9.9035852144201575E-2</v>
      </c>
      <c r="F233" s="88" t="s">
        <v>233</v>
      </c>
    </row>
    <row r="234" spans="3:6" s="45" customFormat="1" x14ac:dyDescent="0.2">
      <c r="C234" s="45">
        <v>30</v>
      </c>
      <c r="D234" s="45">
        <v>13.4</v>
      </c>
      <c r="E234" s="85">
        <f t="shared" ca="1" si="28"/>
        <v>9.9779755705482948E-2</v>
      </c>
      <c r="F234" s="88" t="s">
        <v>233</v>
      </c>
    </row>
    <row r="235" spans="3:6" s="45" customFormat="1" x14ac:dyDescent="0.2">
      <c r="C235" s="45">
        <v>30</v>
      </c>
      <c r="D235" s="45">
        <v>13.5</v>
      </c>
      <c r="E235" s="85">
        <f t="shared" ca="1" si="28"/>
        <v>0.10051963020681876</v>
      </c>
      <c r="F235" s="88" t="s">
        <v>233</v>
      </c>
    </row>
    <row r="236" spans="3:6" s="45" customFormat="1" x14ac:dyDescent="0.2">
      <c r="C236" s="45">
        <v>30</v>
      </c>
      <c r="D236" s="45">
        <v>13.6</v>
      </c>
      <c r="E236" s="85">
        <f t="shared" ca="1" si="28"/>
        <v>0.10125536095068705</v>
      </c>
      <c r="F236" s="88" t="s">
        <v>233</v>
      </c>
    </row>
    <row r="237" spans="3:6" s="45" customFormat="1" x14ac:dyDescent="0.2">
      <c r="C237" s="45">
        <v>30</v>
      </c>
      <c r="D237" s="45">
        <v>13.7</v>
      </c>
      <c r="E237" s="85">
        <f t="shared" ca="1" si="28"/>
        <v>0.10198683323956592</v>
      </c>
      <c r="F237" s="88" t="s">
        <v>233</v>
      </c>
    </row>
    <row r="238" spans="3:6" s="45" customFormat="1" x14ac:dyDescent="0.2">
      <c r="C238" s="45">
        <v>30</v>
      </c>
      <c r="D238" s="45">
        <v>13.8</v>
      </c>
      <c r="E238" s="85">
        <f t="shared" ca="1" si="28"/>
        <v>0.1027139323759335</v>
      </c>
      <c r="F238" s="88" t="s">
        <v>233</v>
      </c>
    </row>
    <row r="239" spans="3:6" s="45" customFormat="1" x14ac:dyDescent="0.2">
      <c r="C239" s="45">
        <v>30</v>
      </c>
      <c r="D239" s="45">
        <v>13.9</v>
      </c>
      <c r="E239" s="85">
        <f t="shared" ca="1" si="28"/>
        <v>0.1034365436622678</v>
      </c>
      <c r="F239" s="88" t="s">
        <v>233</v>
      </c>
    </row>
    <row r="240" spans="3:6" s="45" customFormat="1" x14ac:dyDescent="0.2">
      <c r="C240" s="45">
        <v>30</v>
      </c>
      <c r="D240" s="45">
        <v>14</v>
      </c>
      <c r="E240" s="85">
        <f t="shared" ca="1" si="28"/>
        <v>0.10415455240104693</v>
      </c>
      <c r="F240" s="88" t="s">
        <v>233</v>
      </c>
    </row>
    <row r="241" spans="3:6" s="45" customFormat="1" x14ac:dyDescent="0.2">
      <c r="C241" s="45">
        <v>30</v>
      </c>
      <c r="D241" s="45">
        <v>14.1</v>
      </c>
      <c r="E241" s="85">
        <f t="shared" ca="1" si="28"/>
        <v>0.10486784389474899</v>
      </c>
      <c r="F241" s="88" t="s">
        <v>233</v>
      </c>
    </row>
    <row r="242" spans="3:6" s="45" customFormat="1" x14ac:dyDescent="0.2">
      <c r="C242" s="45">
        <v>30</v>
      </c>
      <c r="D242" s="45">
        <v>14.2</v>
      </c>
      <c r="E242" s="85">
        <f t="shared" ca="1" si="28"/>
        <v>0.10557630344585203</v>
      </c>
      <c r="F242" s="88" t="s">
        <v>233</v>
      </c>
    </row>
    <row r="243" spans="3:6" s="45" customFormat="1" x14ac:dyDescent="0.2">
      <c r="C243" s="45">
        <v>30</v>
      </c>
      <c r="D243" s="45">
        <v>14.3</v>
      </c>
      <c r="E243" s="85">
        <f t="shared" ca="1" si="28"/>
        <v>0.1062798163568342</v>
      </c>
      <c r="F243" s="88" t="s">
        <v>233</v>
      </c>
    </row>
    <row r="244" spans="3:6" s="45" customFormat="1" x14ac:dyDescent="0.2">
      <c r="C244" s="45">
        <v>30</v>
      </c>
      <c r="D244" s="45">
        <v>14.4</v>
      </c>
      <c r="E244" s="85">
        <f t="shared" ca="1" si="28"/>
        <v>0.1069782679301735</v>
      </c>
      <c r="F244" s="88" t="s">
        <v>233</v>
      </c>
    </row>
    <row r="245" spans="3:6" s="45" customFormat="1" x14ac:dyDescent="0.2">
      <c r="C245" s="45">
        <v>30</v>
      </c>
      <c r="D245" s="45">
        <v>14.5</v>
      </c>
      <c r="E245" s="85">
        <f t="shared" ca="1" si="28"/>
        <v>0.10767154346834806</v>
      </c>
      <c r="F245" s="88" t="s">
        <v>233</v>
      </c>
    </row>
    <row r="246" spans="3:6" s="45" customFormat="1" x14ac:dyDescent="0.2">
      <c r="C246" s="45">
        <v>30</v>
      </c>
      <c r="D246" s="45">
        <v>14.6</v>
      </c>
      <c r="E246" s="85">
        <f t="shared" ca="1" si="28"/>
        <v>0.10835952827383594</v>
      </c>
      <c r="F246" s="88" t="s">
        <v>233</v>
      </c>
    </row>
    <row r="247" spans="3:6" s="45" customFormat="1" x14ac:dyDescent="0.2">
      <c r="C247" s="45">
        <v>30</v>
      </c>
      <c r="D247" s="45">
        <v>14.7</v>
      </c>
      <c r="E247" s="85">
        <f t="shared" ca="1" si="28"/>
        <v>0.10904210764911523</v>
      </c>
      <c r="F247" s="88" t="s">
        <v>233</v>
      </c>
    </row>
    <row r="248" spans="3:6" s="45" customFormat="1" x14ac:dyDescent="0.2">
      <c r="C248" s="45">
        <v>30</v>
      </c>
      <c r="D248" s="45">
        <v>14.8</v>
      </c>
      <c r="E248" s="85">
        <f t="shared" ca="1" si="28"/>
        <v>0.10971916689666406</v>
      </c>
      <c r="F248" s="88" t="s">
        <v>233</v>
      </c>
    </row>
    <row r="249" spans="3:6" s="45" customFormat="1" x14ac:dyDescent="0.2">
      <c r="C249" s="45">
        <v>30</v>
      </c>
      <c r="D249" s="45">
        <v>14.9</v>
      </c>
      <c r="E249" s="85">
        <f t="shared" ca="1" si="28"/>
        <v>0.11039059131896042</v>
      </c>
      <c r="F249" s="88" t="s">
        <v>233</v>
      </c>
    </row>
    <row r="250" spans="3:6" s="45" customFormat="1" x14ac:dyDescent="0.2">
      <c r="C250" s="45">
        <v>30</v>
      </c>
      <c r="D250" s="45">
        <v>15</v>
      </c>
      <c r="E250" s="85">
        <f t="shared" ca="1" si="28"/>
        <v>0.11105626621848246</v>
      </c>
      <c r="F250" s="88" t="s">
        <v>233</v>
      </c>
    </row>
    <row r="251" spans="3:6" s="45" customFormat="1" x14ac:dyDescent="0.2">
      <c r="C251" s="45">
        <v>30</v>
      </c>
      <c r="D251" s="45">
        <v>15.1</v>
      </c>
      <c r="E251" s="85">
        <f t="shared" ca="1" si="28"/>
        <v>0.11171607689770825</v>
      </c>
      <c r="F251" s="88" t="s">
        <v>233</v>
      </c>
    </row>
    <row r="252" spans="3:6" s="45" customFormat="1" x14ac:dyDescent="0.2">
      <c r="C252" s="45">
        <v>30</v>
      </c>
      <c r="D252" s="45">
        <v>15.2</v>
      </c>
      <c r="E252" s="85">
        <f t="shared" ca="1" si="28"/>
        <v>0.11236990865911584</v>
      </c>
      <c r="F252" s="88" t="s">
        <v>233</v>
      </c>
    </row>
    <row r="253" spans="3:6" s="45" customFormat="1" x14ac:dyDescent="0.2">
      <c r="C253" s="45">
        <v>30</v>
      </c>
      <c r="D253" s="45">
        <v>15.3</v>
      </c>
      <c r="E253" s="85">
        <f t="shared" ca="1" si="28"/>
        <v>0.11301764680518339</v>
      </c>
      <c r="F253" s="88" t="s">
        <v>233</v>
      </c>
    </row>
    <row r="254" spans="3:6" s="45" customFormat="1" x14ac:dyDescent="0.2">
      <c r="C254" s="45">
        <v>30</v>
      </c>
      <c r="D254" s="45">
        <v>15.4</v>
      </c>
      <c r="E254" s="85">
        <f t="shared" ca="1" si="28"/>
        <v>0.11365917663838893</v>
      </c>
      <c r="F254" s="88" t="s">
        <v>233</v>
      </c>
    </row>
    <row r="255" spans="3:6" s="45" customFormat="1" x14ac:dyDescent="0.2">
      <c r="C255" s="45">
        <v>30</v>
      </c>
      <c r="D255" s="45">
        <v>15.5</v>
      </c>
      <c r="E255" s="85">
        <f t="shared" ca="1" si="28"/>
        <v>0.1142943834612105</v>
      </c>
      <c r="F255" s="88" t="s">
        <v>233</v>
      </c>
    </row>
    <row r="256" spans="3:6" s="45" customFormat="1" x14ac:dyDescent="0.2">
      <c r="C256" s="45">
        <v>30</v>
      </c>
      <c r="D256" s="45">
        <v>15.6</v>
      </c>
      <c r="E256" s="85">
        <f t="shared" ca="1" si="28"/>
        <v>0.11492315257612626</v>
      </c>
      <c r="F256" s="88" t="s">
        <v>233</v>
      </c>
    </row>
    <row r="257" spans="3:6" s="45" customFormat="1" x14ac:dyDescent="0.2">
      <c r="C257" s="45">
        <v>30</v>
      </c>
      <c r="D257" s="45">
        <v>15.7</v>
      </c>
      <c r="E257" s="85">
        <f t="shared" ca="1" si="28"/>
        <v>0.11554536928561428</v>
      </c>
      <c r="F257" s="88" t="s">
        <v>233</v>
      </c>
    </row>
    <row r="258" spans="3:6" s="45" customFormat="1" x14ac:dyDescent="0.2">
      <c r="C258" s="45">
        <v>30</v>
      </c>
      <c r="D258" s="45">
        <v>15.8</v>
      </c>
      <c r="E258" s="85">
        <f t="shared" ca="1" si="28"/>
        <v>0.1161609188921526</v>
      </c>
      <c r="F258" s="88" t="s">
        <v>233</v>
      </c>
    </row>
    <row r="259" spans="3:6" s="45" customFormat="1" x14ac:dyDescent="0.2">
      <c r="C259" s="45">
        <v>30</v>
      </c>
      <c r="D259" s="45">
        <v>15.9</v>
      </c>
      <c r="E259" s="85">
        <f t="shared" ca="1" si="28"/>
        <v>0.11676968669821933</v>
      </c>
      <c r="F259" s="88" t="s">
        <v>233</v>
      </c>
    </row>
    <row r="260" spans="3:6" s="45" customFormat="1" x14ac:dyDescent="0.2">
      <c r="C260" s="45">
        <v>30</v>
      </c>
      <c r="D260" s="45">
        <v>16</v>
      </c>
      <c r="E260" s="85">
        <f t="shared" ca="1" si="28"/>
        <v>0.11737155800629256</v>
      </c>
      <c r="F260" s="88" t="s">
        <v>233</v>
      </c>
    </row>
    <row r="261" spans="3:6" s="45" customFormat="1" x14ac:dyDescent="0.2">
      <c r="C261" s="45">
        <v>30</v>
      </c>
      <c r="D261" s="45">
        <v>16.100000000000001</v>
      </c>
      <c r="E261" s="85">
        <f t="shared" ca="1" si="28"/>
        <v>0.11796641811885036</v>
      </c>
      <c r="F261" s="88" t="s">
        <v>233</v>
      </c>
    </row>
    <row r="262" spans="3:6" s="45" customFormat="1" x14ac:dyDescent="0.2">
      <c r="C262" s="45">
        <v>30</v>
      </c>
      <c r="D262" s="45">
        <v>16.2</v>
      </c>
      <c r="E262" s="85">
        <f t="shared" ca="1" si="28"/>
        <v>0.11855415233837081</v>
      </c>
      <c r="F262" s="88" t="s">
        <v>233</v>
      </c>
    </row>
    <row r="263" spans="3:6" s="45" customFormat="1" x14ac:dyDescent="0.2">
      <c r="C263" s="45">
        <v>30</v>
      </c>
      <c r="D263" s="45">
        <v>16.3</v>
      </c>
      <c r="E263" s="85">
        <f t="shared" ca="1" si="28"/>
        <v>0.11913464596733202</v>
      </c>
      <c r="F263" s="88" t="s">
        <v>233</v>
      </c>
    </row>
    <row r="264" spans="3:6" s="45" customFormat="1" x14ac:dyDescent="0.2">
      <c r="C264" s="45">
        <v>30</v>
      </c>
      <c r="D264" s="45">
        <v>16.399999999999999</v>
      </c>
      <c r="E264" s="85">
        <f t="shared" ca="1" si="28"/>
        <v>0.11970778430821202</v>
      </c>
      <c r="F264" s="88" t="s">
        <v>233</v>
      </c>
    </row>
    <row r="265" spans="3:6" s="45" customFormat="1" x14ac:dyDescent="0.2">
      <c r="C265" s="45">
        <v>30</v>
      </c>
      <c r="D265" s="45">
        <v>16.5</v>
      </c>
      <c r="E265" s="85">
        <f t="shared" ca="1" si="28"/>
        <v>0.12027345266348898</v>
      </c>
      <c r="F265" s="88" t="s">
        <v>233</v>
      </c>
    </row>
    <row r="266" spans="3:6" s="45" customFormat="1" x14ac:dyDescent="0.2">
      <c r="C266" s="45">
        <v>30</v>
      </c>
      <c r="D266" s="45">
        <v>16.600000000000001</v>
      </c>
      <c r="E266" s="85">
        <f t="shared" ca="1" si="28"/>
        <v>0.12083153633564091</v>
      </c>
      <c r="F266" s="88" t="s">
        <v>233</v>
      </c>
    </row>
    <row r="267" spans="3:6" s="45" customFormat="1" x14ac:dyDescent="0.2">
      <c r="C267" s="45">
        <v>30</v>
      </c>
      <c r="D267" s="45">
        <v>16.7</v>
      </c>
      <c r="E267" s="85">
        <f t="shared" ca="1" si="28"/>
        <v>0.12138192062714587</v>
      </c>
      <c r="F267" s="88" t="s">
        <v>233</v>
      </c>
    </row>
    <row r="268" spans="3:6" s="45" customFormat="1" x14ac:dyDescent="0.2">
      <c r="C268" s="45">
        <v>30</v>
      </c>
      <c r="D268" s="45">
        <v>16.8</v>
      </c>
      <c r="E268" s="85">
        <f t="shared" ca="1" si="28"/>
        <v>0.12192449084048201</v>
      </c>
      <c r="F268" s="88" t="s">
        <v>233</v>
      </c>
    </row>
    <row r="269" spans="3:6" s="45" customFormat="1" x14ac:dyDescent="0.2">
      <c r="C269" s="45">
        <v>30</v>
      </c>
      <c r="D269" s="45">
        <v>16.899999999999999</v>
      </c>
      <c r="E269" s="85">
        <f t="shared" ca="1" si="28"/>
        <v>0.12245913227812737</v>
      </c>
      <c r="F269" s="88" t="s">
        <v>233</v>
      </c>
    </row>
    <row r="270" spans="3:6" s="45" customFormat="1" x14ac:dyDescent="0.2">
      <c r="C270" s="45">
        <v>30</v>
      </c>
      <c r="D270" s="45">
        <v>17</v>
      </c>
      <c r="E270" s="85">
        <f t="shared" ca="1" si="28"/>
        <v>0.1229857302425601</v>
      </c>
      <c r="F270" s="88" t="s">
        <v>233</v>
      </c>
    </row>
    <row r="271" spans="3:6" s="45" customFormat="1" x14ac:dyDescent="0.2">
      <c r="C271" s="45">
        <v>30</v>
      </c>
      <c r="D271" s="45">
        <v>17.100000000000001</v>
      </c>
      <c r="E271" s="85">
        <f t="shared" ca="1" si="28"/>
        <v>0.12350417003625819</v>
      </c>
      <c r="F271" s="88" t="s">
        <v>233</v>
      </c>
    </row>
    <row r="272" spans="3:6" s="45" customFormat="1" x14ac:dyDescent="0.2">
      <c r="C272" s="45">
        <v>30</v>
      </c>
      <c r="D272" s="45">
        <v>17.2</v>
      </c>
      <c r="E272" s="85">
        <f t="shared" ca="1" si="28"/>
        <v>0.12401433696169978</v>
      </c>
      <c r="F272" s="88" t="s">
        <v>233</v>
      </c>
    </row>
    <row r="273" spans="3:6" s="45" customFormat="1" x14ac:dyDescent="0.2">
      <c r="C273" s="45">
        <v>30</v>
      </c>
      <c r="D273" s="45">
        <v>17.3</v>
      </c>
      <c r="E273" s="85">
        <f t="shared" ca="1" si="28"/>
        <v>0.12451611632136295</v>
      </c>
      <c r="F273" s="88" t="s">
        <v>233</v>
      </c>
    </row>
    <row r="274" spans="3:6" s="45" customFormat="1" x14ac:dyDescent="0.2">
      <c r="C274" s="45">
        <v>30</v>
      </c>
      <c r="D274" s="45">
        <v>17.399999999999999</v>
      </c>
      <c r="E274" s="85">
        <f t="shared" ca="1" si="28"/>
        <v>0.12500939341772571</v>
      </c>
      <c r="F274" s="88" t="s">
        <v>233</v>
      </c>
    </row>
    <row r="275" spans="3:6" s="45" customFormat="1" x14ac:dyDescent="0.2">
      <c r="C275" s="45">
        <v>30</v>
      </c>
      <c r="D275" s="45">
        <v>17.5</v>
      </c>
      <c r="E275" s="85">
        <f t="shared" ca="1" si="28"/>
        <v>0.12549405355326629</v>
      </c>
      <c r="F275" s="88" t="s">
        <v>233</v>
      </c>
    </row>
    <row r="276" spans="3:6" s="45" customFormat="1" x14ac:dyDescent="0.2">
      <c r="C276" s="45">
        <v>30</v>
      </c>
      <c r="D276" s="45">
        <v>17.600000000000001</v>
      </c>
      <c r="E276" s="85">
        <f t="shared" ca="1" si="28"/>
        <v>0.12596998203046264</v>
      </c>
      <c r="F276" s="88" t="s">
        <v>233</v>
      </c>
    </row>
    <row r="277" spans="3:6" s="45" customFormat="1" x14ac:dyDescent="0.2">
      <c r="C277" s="45">
        <v>30</v>
      </c>
      <c r="D277" s="45">
        <v>17.7</v>
      </c>
      <c r="E277" s="85">
        <f t="shared" ca="1" si="28"/>
        <v>0.1264370641517929</v>
      </c>
      <c r="F277" s="88" t="s">
        <v>233</v>
      </c>
    </row>
    <row r="278" spans="3:6" s="45" customFormat="1" x14ac:dyDescent="0.2">
      <c r="C278" s="45">
        <v>30</v>
      </c>
      <c r="D278" s="45">
        <v>17.8</v>
      </c>
      <c r="E278" s="85">
        <f t="shared" ca="1" si="28"/>
        <v>0.12689518521973514</v>
      </c>
      <c r="F278" s="88" t="s">
        <v>233</v>
      </c>
    </row>
    <row r="279" spans="3:6" s="45" customFormat="1" x14ac:dyDescent="0.2">
      <c r="C279" s="45">
        <v>30</v>
      </c>
      <c r="D279" s="45">
        <v>17.899999999999999</v>
      </c>
      <c r="E279" s="85">
        <f t="shared" ca="1" si="28"/>
        <v>0.12734423053676747</v>
      </c>
      <c r="F279" s="88" t="s">
        <v>233</v>
      </c>
    </row>
    <row r="280" spans="3:6" s="45" customFormat="1" x14ac:dyDescent="0.2">
      <c r="C280" s="45">
        <v>30</v>
      </c>
      <c r="D280" s="45">
        <v>18</v>
      </c>
      <c r="E280" s="85">
        <f t="shared" ca="1" si="28"/>
        <v>0.12778408540536793</v>
      </c>
      <c r="F280" s="88" t="s">
        <v>233</v>
      </c>
    </row>
    <row r="281" spans="3:6" s="45" customFormat="1" x14ac:dyDescent="0.2">
      <c r="C281" s="45">
        <v>30</v>
      </c>
      <c r="D281" s="45">
        <v>18.100000000000001</v>
      </c>
      <c r="E281" s="85">
        <f t="shared" ca="1" si="28"/>
        <v>0.12821463512801462</v>
      </c>
      <c r="F281" s="88" t="s">
        <v>233</v>
      </c>
    </row>
    <row r="282" spans="3:6" s="45" customFormat="1" x14ac:dyDescent="0.2">
      <c r="C282" s="45">
        <v>30</v>
      </c>
      <c r="D282" s="45">
        <v>18.2</v>
      </c>
      <c r="E282" s="85">
        <f t="shared" ca="1" si="28"/>
        <v>0.1286357650071856</v>
      </c>
      <c r="F282" s="88" t="s">
        <v>233</v>
      </c>
    </row>
    <row r="283" spans="3:6" s="45" customFormat="1" x14ac:dyDescent="0.2">
      <c r="C283" s="45">
        <v>30</v>
      </c>
      <c r="D283" s="45">
        <v>18.3</v>
      </c>
      <c r="E283" s="85">
        <f t="shared" ca="1" si="28"/>
        <v>0.12904736034535902</v>
      </c>
      <c r="F283" s="88" t="s">
        <v>233</v>
      </c>
    </row>
    <row r="284" spans="3:6" s="45" customFormat="1" x14ac:dyDescent="0.2">
      <c r="C284" s="45">
        <v>30</v>
      </c>
      <c r="D284" s="45">
        <v>18.399999999999999</v>
      </c>
      <c r="E284" s="85">
        <f t="shared" ca="1" si="28"/>
        <v>0.12944930644501287</v>
      </c>
      <c r="F284" s="88" t="s">
        <v>233</v>
      </c>
    </row>
    <row r="285" spans="3:6" s="45" customFormat="1" x14ac:dyDescent="0.2">
      <c r="C285" s="45">
        <v>30</v>
      </c>
      <c r="D285" s="45">
        <v>18.5</v>
      </c>
      <c r="E285" s="85">
        <f t="shared" ca="1" si="28"/>
        <v>0.12984148860862532</v>
      </c>
      <c r="F285" s="88" t="s">
        <v>233</v>
      </c>
    </row>
    <row r="286" spans="3:6" s="45" customFormat="1" x14ac:dyDescent="0.2">
      <c r="C286" s="45">
        <v>30</v>
      </c>
      <c r="D286" s="45">
        <v>18.600000000000001</v>
      </c>
      <c r="E286" s="85">
        <f t="shared" ca="1" si="28"/>
        <v>0.13022379213867441</v>
      </c>
      <c r="F286" s="88" t="s">
        <v>233</v>
      </c>
    </row>
    <row r="287" spans="3:6" s="45" customFormat="1" x14ac:dyDescent="0.2">
      <c r="C287" s="45">
        <v>30</v>
      </c>
      <c r="D287" s="45">
        <v>18.7</v>
      </c>
      <c r="E287" s="85">
        <f t="shared" ca="1" si="28"/>
        <v>0.13059610233763824</v>
      </c>
      <c r="F287" s="88" t="s">
        <v>233</v>
      </c>
    </row>
    <row r="288" spans="3:6" s="45" customFormat="1" x14ac:dyDescent="0.2">
      <c r="C288" s="45">
        <v>30</v>
      </c>
      <c r="D288" s="45">
        <v>18.8</v>
      </c>
      <c r="E288" s="85">
        <f t="shared" ca="1" si="28"/>
        <v>0.13095830450799487</v>
      </c>
      <c r="F288" s="88" t="s">
        <v>233</v>
      </c>
    </row>
    <row r="289" spans="3:6" s="45" customFormat="1" x14ac:dyDescent="0.2">
      <c r="C289" s="45">
        <v>30</v>
      </c>
      <c r="D289" s="45">
        <v>18.899999999999999</v>
      </c>
      <c r="E289" s="85">
        <f t="shared" ca="1" si="28"/>
        <v>0.13131028395222236</v>
      </c>
      <c r="F289" s="88" t="s">
        <v>233</v>
      </c>
    </row>
    <row r="290" spans="3:6" s="45" customFormat="1" x14ac:dyDescent="0.2">
      <c r="C290" s="45">
        <v>30</v>
      </c>
      <c r="D290" s="45">
        <v>19</v>
      </c>
      <c r="E290" s="85">
        <f t="shared" ca="1" si="28"/>
        <v>0.13165192597279887</v>
      </c>
      <c r="F290" s="88" t="s">
        <v>233</v>
      </c>
    </row>
    <row r="291" spans="3:6" s="45" customFormat="1" x14ac:dyDescent="0.2">
      <c r="C291" s="45">
        <v>30</v>
      </c>
      <c r="D291" s="45">
        <v>19.100000000000001</v>
      </c>
      <c r="E291" s="85">
        <f t="shared" ca="1" si="28"/>
        <v>0.13198311587220243</v>
      </c>
      <c r="F291" s="88" t="s">
        <v>233</v>
      </c>
    </row>
    <row r="292" spans="3:6" s="45" customFormat="1" x14ac:dyDescent="0.2">
      <c r="C292" s="45">
        <v>30</v>
      </c>
      <c r="D292" s="45">
        <v>19.2</v>
      </c>
      <c r="E292" s="85">
        <f t="shared" ref="E292:E355" ca="1" si="29">INDIRECT("a_" &amp; i) * t^3 + INDIRECT("b_" &amp; i) * t^2 + INDIRECT("c_" &amp; i) * t^1 + INDIRECT("d_" &amp; i)</f>
        <v>0.13230373895291112</v>
      </c>
      <c r="F292" s="88" t="s">
        <v>233</v>
      </c>
    </row>
    <row r="293" spans="3:6" s="45" customFormat="1" x14ac:dyDescent="0.2">
      <c r="C293" s="45">
        <v>30</v>
      </c>
      <c r="D293" s="45">
        <v>19.3</v>
      </c>
      <c r="E293" s="85">
        <f t="shared" ca="1" si="29"/>
        <v>0.13261368051740305</v>
      </c>
      <c r="F293" s="88" t="s">
        <v>233</v>
      </c>
    </row>
    <row r="294" spans="3:6" s="45" customFormat="1" x14ac:dyDescent="0.2">
      <c r="C294" s="45">
        <v>30</v>
      </c>
      <c r="D294" s="45">
        <v>19.399999999999999</v>
      </c>
      <c r="E294" s="85">
        <f t="shared" ca="1" si="29"/>
        <v>0.13291282586815628</v>
      </c>
      <c r="F294" s="88" t="s">
        <v>233</v>
      </c>
    </row>
    <row r="295" spans="3:6" s="45" customFormat="1" x14ac:dyDescent="0.2">
      <c r="C295" s="45">
        <v>30</v>
      </c>
      <c r="D295" s="45">
        <v>19.5</v>
      </c>
      <c r="E295" s="85">
        <f t="shared" ca="1" si="29"/>
        <v>0.13320106030764892</v>
      </c>
      <c r="F295" s="88" t="s">
        <v>233</v>
      </c>
    </row>
    <row r="296" spans="3:6" s="45" customFormat="1" x14ac:dyDescent="0.2">
      <c r="C296" s="45">
        <v>30</v>
      </c>
      <c r="D296" s="45">
        <v>19.600000000000001</v>
      </c>
      <c r="E296" s="85">
        <f t="shared" ca="1" si="29"/>
        <v>0.13347826913835906</v>
      </c>
      <c r="F296" s="88" t="s">
        <v>233</v>
      </c>
    </row>
    <row r="297" spans="3:6" s="45" customFormat="1" x14ac:dyDescent="0.2">
      <c r="C297" s="45">
        <v>30</v>
      </c>
      <c r="D297" s="45">
        <v>19.7</v>
      </c>
      <c r="E297" s="85">
        <f t="shared" ca="1" si="29"/>
        <v>0.13374433766276467</v>
      </c>
      <c r="F297" s="88" t="s">
        <v>233</v>
      </c>
    </row>
    <row r="298" spans="3:6" s="45" customFormat="1" x14ac:dyDescent="0.2">
      <c r="C298" s="45">
        <v>30</v>
      </c>
      <c r="D298" s="45">
        <v>19.8</v>
      </c>
      <c r="E298" s="85">
        <f t="shared" ca="1" si="29"/>
        <v>0.13399915118334396</v>
      </c>
      <c r="F298" s="88" t="s">
        <v>233</v>
      </c>
    </row>
    <row r="299" spans="3:6" s="45" customFormat="1" x14ac:dyDescent="0.2">
      <c r="C299" s="45">
        <v>30</v>
      </c>
      <c r="D299" s="45">
        <v>19.899999999999999</v>
      </c>
      <c r="E299" s="85">
        <f t="shared" ca="1" si="29"/>
        <v>0.13424259500257499</v>
      </c>
      <c r="F299" s="88" t="s">
        <v>233</v>
      </c>
    </row>
    <row r="300" spans="3:6" s="45" customFormat="1" x14ac:dyDescent="0.2">
      <c r="C300" s="45">
        <v>30</v>
      </c>
      <c r="D300" s="45">
        <v>20</v>
      </c>
      <c r="E300" s="85">
        <f t="shared" ca="1" si="29"/>
        <v>0.13447455442293582</v>
      </c>
      <c r="F300" s="88" t="s">
        <v>233</v>
      </c>
    </row>
    <row r="301" spans="3:6" s="45" customFormat="1" x14ac:dyDescent="0.2">
      <c r="C301" s="45">
        <v>30</v>
      </c>
      <c r="D301" s="45">
        <v>20.100000000000001</v>
      </c>
      <c r="E301" s="85">
        <f t="shared" ca="1" si="29"/>
        <v>0.13469491474690454</v>
      </c>
      <c r="F301" s="88" t="s">
        <v>233</v>
      </c>
    </row>
    <row r="302" spans="3:6" s="45" customFormat="1" x14ac:dyDescent="0.2">
      <c r="C302" s="45">
        <v>30</v>
      </c>
      <c r="D302" s="45">
        <v>20.2</v>
      </c>
      <c r="E302" s="85">
        <f t="shared" ca="1" si="29"/>
        <v>0.13490356127695921</v>
      </c>
      <c r="F302" s="88" t="s">
        <v>233</v>
      </c>
    </row>
    <row r="303" spans="3:6" s="45" customFormat="1" x14ac:dyDescent="0.2">
      <c r="C303" s="45">
        <v>30</v>
      </c>
      <c r="D303" s="45">
        <v>20.3</v>
      </c>
      <c r="E303" s="85">
        <f t="shared" ca="1" si="29"/>
        <v>0.13510037931557795</v>
      </c>
      <c r="F303" s="88" t="s">
        <v>233</v>
      </c>
    </row>
    <row r="304" spans="3:6" s="45" customFormat="1" x14ac:dyDescent="0.2">
      <c r="C304" s="45">
        <v>30</v>
      </c>
      <c r="D304" s="45">
        <v>20.399999999999999</v>
      </c>
      <c r="E304" s="85">
        <f t="shared" ca="1" si="29"/>
        <v>0.13528525416523884</v>
      </c>
      <c r="F304" s="88" t="s">
        <v>233</v>
      </c>
    </row>
    <row r="305" spans="3:6" s="45" customFormat="1" x14ac:dyDescent="0.2">
      <c r="C305" s="45">
        <v>30</v>
      </c>
      <c r="D305" s="45">
        <v>20.5</v>
      </c>
      <c r="E305" s="85">
        <f t="shared" ca="1" si="29"/>
        <v>0.13545807112841995</v>
      </c>
      <c r="F305" s="88" t="s">
        <v>233</v>
      </c>
    </row>
    <row r="306" spans="3:6" s="45" customFormat="1" x14ac:dyDescent="0.2">
      <c r="C306" s="45">
        <v>30</v>
      </c>
      <c r="D306" s="45">
        <v>20.6</v>
      </c>
      <c r="E306" s="85">
        <f t="shared" ca="1" si="29"/>
        <v>0.13561871550759932</v>
      </c>
      <c r="F306" s="88" t="s">
        <v>233</v>
      </c>
    </row>
    <row r="307" spans="3:6" s="45" customFormat="1" x14ac:dyDescent="0.2">
      <c r="C307" s="45">
        <v>30</v>
      </c>
      <c r="D307" s="45">
        <v>20.7</v>
      </c>
      <c r="E307" s="85">
        <f t="shared" ca="1" si="29"/>
        <v>0.13576707260525511</v>
      </c>
      <c r="F307" s="88" t="s">
        <v>233</v>
      </c>
    </row>
    <row r="308" spans="3:6" s="45" customFormat="1" x14ac:dyDescent="0.2">
      <c r="C308" s="45">
        <v>30</v>
      </c>
      <c r="D308" s="45">
        <v>20.8</v>
      </c>
      <c r="E308" s="85">
        <f t="shared" ca="1" si="29"/>
        <v>0.13590302772386537</v>
      </c>
      <c r="F308" s="88" t="s">
        <v>233</v>
      </c>
    </row>
    <row r="309" spans="3:6" s="45" customFormat="1" x14ac:dyDescent="0.2">
      <c r="C309" s="45">
        <v>30</v>
      </c>
      <c r="D309" s="45">
        <v>20.9</v>
      </c>
      <c r="E309" s="85">
        <f t="shared" ca="1" si="29"/>
        <v>0.13602646616590822</v>
      </c>
      <c r="F309" s="88" t="s">
        <v>233</v>
      </c>
    </row>
    <row r="310" spans="3:6" s="45" customFormat="1" x14ac:dyDescent="0.2">
      <c r="C310" s="45">
        <v>30</v>
      </c>
      <c r="D310" s="45">
        <v>21</v>
      </c>
      <c r="E310" s="85">
        <f t="shared" ca="1" si="29"/>
        <v>0.13613727323386163</v>
      </c>
      <c r="F310" s="88" t="s">
        <v>233</v>
      </c>
    </row>
    <row r="311" spans="3:6" s="45" customFormat="1" x14ac:dyDescent="0.2">
      <c r="C311" s="45">
        <v>30</v>
      </c>
      <c r="D311" s="45">
        <v>21.1</v>
      </c>
      <c r="E311" s="85">
        <f t="shared" ca="1" si="29"/>
        <v>0.13623533423020381</v>
      </c>
      <c r="F311" s="88" t="s">
        <v>233</v>
      </c>
    </row>
    <row r="312" spans="3:6" s="45" customFormat="1" x14ac:dyDescent="0.2">
      <c r="C312" s="45">
        <v>30</v>
      </c>
      <c r="D312" s="45">
        <v>21.2</v>
      </c>
      <c r="E312" s="85">
        <f t="shared" ca="1" si="29"/>
        <v>0.13632053445741274</v>
      </c>
      <c r="F312" s="88" t="s">
        <v>233</v>
      </c>
    </row>
    <row r="313" spans="3:6" s="45" customFormat="1" x14ac:dyDescent="0.2">
      <c r="C313" s="45">
        <v>30</v>
      </c>
      <c r="D313" s="45">
        <v>21.3</v>
      </c>
      <c r="E313" s="85">
        <f t="shared" ca="1" si="29"/>
        <v>0.13639275921796654</v>
      </c>
      <c r="F313" s="88" t="s">
        <v>233</v>
      </c>
    </row>
    <row r="314" spans="3:6" s="45" customFormat="1" x14ac:dyDescent="0.2">
      <c r="C314" s="45">
        <v>30</v>
      </c>
      <c r="D314" s="45">
        <v>21.4</v>
      </c>
      <c r="E314" s="85">
        <f t="shared" ca="1" si="29"/>
        <v>0.13645189381434336</v>
      </c>
      <c r="F314" s="88" t="s">
        <v>233</v>
      </c>
    </row>
    <row r="315" spans="3:6" s="45" customFormat="1" x14ac:dyDescent="0.2">
      <c r="C315" s="45">
        <v>30</v>
      </c>
      <c r="D315" s="45">
        <v>21.5</v>
      </c>
      <c r="E315" s="85">
        <f t="shared" ca="1" si="29"/>
        <v>0.13649782354902121</v>
      </c>
      <c r="F315" s="88" t="s">
        <v>233</v>
      </c>
    </row>
    <row r="316" spans="3:6" s="45" customFormat="1" x14ac:dyDescent="0.2">
      <c r="C316" s="45">
        <v>30</v>
      </c>
      <c r="D316" s="45">
        <v>21.6</v>
      </c>
      <c r="E316" s="85">
        <f t="shared" ca="1" si="29"/>
        <v>0.13653043372447821</v>
      </c>
      <c r="F316" s="88" t="s">
        <v>233</v>
      </c>
    </row>
    <row r="317" spans="3:6" s="45" customFormat="1" x14ac:dyDescent="0.2">
      <c r="C317" s="45">
        <v>30</v>
      </c>
      <c r="D317" s="45">
        <v>21.7</v>
      </c>
      <c r="E317" s="85">
        <f t="shared" ca="1" si="29"/>
        <v>0.13654960964319238</v>
      </c>
      <c r="F317" s="88" t="s">
        <v>233</v>
      </c>
    </row>
    <row r="318" spans="3:6" s="45" customFormat="1" x14ac:dyDescent="0.2">
      <c r="C318" s="45">
        <v>30</v>
      </c>
      <c r="D318" s="45">
        <v>21.8</v>
      </c>
      <c r="E318" s="85">
        <f t="shared" ca="1" si="29"/>
        <v>0.13655523660764188</v>
      </c>
      <c r="F318" s="88" t="s">
        <v>233</v>
      </c>
    </row>
    <row r="319" spans="3:6" s="45" customFormat="1" x14ac:dyDescent="0.2">
      <c r="C319" s="45">
        <v>30</v>
      </c>
      <c r="D319" s="45">
        <v>21.9</v>
      </c>
      <c r="E319" s="85">
        <f t="shared" ca="1" si="29"/>
        <v>0.13654719992030476</v>
      </c>
      <c r="F319" s="88" t="s">
        <v>233</v>
      </c>
    </row>
    <row r="320" spans="3:6" s="45" customFormat="1" x14ac:dyDescent="0.2">
      <c r="C320" s="45">
        <v>30</v>
      </c>
      <c r="D320" s="45">
        <v>22</v>
      </c>
      <c r="E320" s="85">
        <f t="shared" ca="1" si="29"/>
        <v>0.13652538488365912</v>
      </c>
      <c r="F320" s="88" t="s">
        <v>233</v>
      </c>
    </row>
    <row r="321" spans="3:6" s="45" customFormat="1" x14ac:dyDescent="0.2">
      <c r="C321" s="45">
        <v>30</v>
      </c>
      <c r="D321" s="45">
        <v>22.1</v>
      </c>
      <c r="E321" s="85">
        <f t="shared" ca="1" si="29"/>
        <v>0.13648967680018298</v>
      </c>
      <c r="F321" s="88" t="s">
        <v>233</v>
      </c>
    </row>
    <row r="322" spans="3:6" s="45" customFormat="1" x14ac:dyDescent="0.2">
      <c r="C322" s="45">
        <v>30</v>
      </c>
      <c r="D322" s="45">
        <v>22.2</v>
      </c>
      <c r="E322" s="85">
        <f t="shared" ca="1" si="29"/>
        <v>0.13643996097235453</v>
      </c>
      <c r="F322" s="88" t="s">
        <v>233</v>
      </c>
    </row>
    <row r="323" spans="3:6" s="45" customFormat="1" x14ac:dyDescent="0.2">
      <c r="C323" s="45">
        <v>30</v>
      </c>
      <c r="D323" s="45">
        <v>22.3</v>
      </c>
      <c r="E323" s="85">
        <f t="shared" ca="1" si="29"/>
        <v>0.13637612270265173</v>
      </c>
      <c r="F323" s="88" t="s">
        <v>233</v>
      </c>
    </row>
    <row r="324" spans="3:6" s="45" customFormat="1" x14ac:dyDescent="0.2">
      <c r="C324" s="45">
        <v>30</v>
      </c>
      <c r="D324" s="45">
        <v>22.4</v>
      </c>
      <c r="E324" s="85">
        <f t="shared" ca="1" si="29"/>
        <v>0.13629804729355274</v>
      </c>
      <c r="F324" s="88" t="s">
        <v>233</v>
      </c>
    </row>
    <row r="325" spans="3:6" s="45" customFormat="1" x14ac:dyDescent="0.2">
      <c r="C325" s="45">
        <v>30</v>
      </c>
      <c r="D325" s="45">
        <v>22.5</v>
      </c>
      <c r="E325" s="85">
        <f t="shared" ca="1" si="29"/>
        <v>0.13620562004753564</v>
      </c>
      <c r="F325" s="88" t="s">
        <v>233</v>
      </c>
    </row>
    <row r="326" spans="3:6" s="45" customFormat="1" x14ac:dyDescent="0.2">
      <c r="C326" s="45">
        <v>30</v>
      </c>
      <c r="D326" s="45">
        <v>22.6</v>
      </c>
      <c r="E326" s="85">
        <f t="shared" ca="1" si="29"/>
        <v>0.1360987262670785</v>
      </c>
      <c r="F326" s="88" t="s">
        <v>233</v>
      </c>
    </row>
    <row r="327" spans="3:6" s="45" customFormat="1" x14ac:dyDescent="0.2">
      <c r="C327" s="45">
        <v>30</v>
      </c>
      <c r="D327" s="45">
        <v>22.7</v>
      </c>
      <c r="E327" s="85">
        <f t="shared" ca="1" si="29"/>
        <v>0.13597725125465934</v>
      </c>
      <c r="F327" s="88" t="s">
        <v>233</v>
      </c>
    </row>
    <row r="328" spans="3:6" s="45" customFormat="1" x14ac:dyDescent="0.2">
      <c r="C328" s="45">
        <v>30</v>
      </c>
      <c r="D328" s="45">
        <v>22.8</v>
      </c>
      <c r="E328" s="85">
        <f t="shared" ca="1" si="29"/>
        <v>0.13584108031275638</v>
      </c>
      <c r="F328" s="88" t="s">
        <v>233</v>
      </c>
    </row>
    <row r="329" spans="3:6" s="45" customFormat="1" x14ac:dyDescent="0.2">
      <c r="C329" s="45">
        <v>30</v>
      </c>
      <c r="D329" s="45">
        <v>22.9</v>
      </c>
      <c r="E329" s="85">
        <f t="shared" ca="1" si="29"/>
        <v>0.13569009874384766</v>
      </c>
      <c r="F329" s="88" t="s">
        <v>233</v>
      </c>
    </row>
    <row r="330" spans="3:6" s="45" customFormat="1" x14ac:dyDescent="0.2">
      <c r="C330" s="45">
        <v>30</v>
      </c>
      <c r="D330" s="45">
        <v>23</v>
      </c>
      <c r="E330" s="85">
        <f t="shared" ca="1" si="29"/>
        <v>0.13552419185041112</v>
      </c>
      <c r="F330" s="88" t="s">
        <v>233</v>
      </c>
    </row>
    <row r="331" spans="3:6" s="45" customFormat="1" x14ac:dyDescent="0.2">
      <c r="C331" s="45">
        <v>30</v>
      </c>
      <c r="D331" s="45">
        <v>23.1</v>
      </c>
      <c r="E331" s="85">
        <f t="shared" ca="1" si="29"/>
        <v>0.13534324493492503</v>
      </c>
      <c r="F331" s="88" t="s">
        <v>233</v>
      </c>
    </row>
    <row r="332" spans="3:6" s="45" customFormat="1" x14ac:dyDescent="0.2">
      <c r="C332" s="45">
        <v>30</v>
      </c>
      <c r="D332" s="45">
        <v>23.2</v>
      </c>
      <c r="E332" s="85">
        <f t="shared" ca="1" si="29"/>
        <v>0.13514714329986738</v>
      </c>
      <c r="F332" s="88" t="s">
        <v>233</v>
      </c>
    </row>
    <row r="333" spans="3:6" s="45" customFormat="1" x14ac:dyDescent="0.2">
      <c r="C333" s="45">
        <v>30</v>
      </c>
      <c r="D333" s="45">
        <v>23.3</v>
      </c>
      <c r="E333" s="85">
        <f t="shared" ca="1" si="29"/>
        <v>0.13493577224771625</v>
      </c>
      <c r="F333" s="88" t="s">
        <v>233</v>
      </c>
    </row>
    <row r="334" spans="3:6" s="45" customFormat="1" x14ac:dyDescent="0.2">
      <c r="C334" s="45">
        <v>30</v>
      </c>
      <c r="D334" s="45">
        <v>23.4</v>
      </c>
      <c r="E334" s="85">
        <f t="shared" ca="1" si="29"/>
        <v>0.13470901708094976</v>
      </c>
      <c r="F334" s="88" t="s">
        <v>233</v>
      </c>
    </row>
    <row r="335" spans="3:6" s="45" customFormat="1" x14ac:dyDescent="0.2">
      <c r="C335" s="45">
        <v>30</v>
      </c>
      <c r="D335" s="45">
        <v>23.5</v>
      </c>
      <c r="E335" s="85">
        <f t="shared" ca="1" si="29"/>
        <v>0.13446676310204603</v>
      </c>
      <c r="F335" s="88" t="s">
        <v>233</v>
      </c>
    </row>
    <row r="336" spans="3:6" s="45" customFormat="1" x14ac:dyDescent="0.2">
      <c r="C336" s="45">
        <v>30</v>
      </c>
      <c r="D336" s="45">
        <v>23.6</v>
      </c>
      <c r="E336" s="85">
        <f t="shared" ca="1" si="29"/>
        <v>0.13420889561348304</v>
      </c>
      <c r="F336" s="88" t="s">
        <v>233</v>
      </c>
    </row>
    <row r="337" spans="3:6" s="45" customFormat="1" x14ac:dyDescent="0.2">
      <c r="C337" s="45">
        <v>30</v>
      </c>
      <c r="D337" s="45">
        <v>23.7</v>
      </c>
      <c r="E337" s="85">
        <f t="shared" ca="1" si="29"/>
        <v>0.13393529991773884</v>
      </c>
      <c r="F337" s="88" t="s">
        <v>233</v>
      </c>
    </row>
    <row r="338" spans="3:6" s="45" customFormat="1" x14ac:dyDescent="0.2">
      <c r="C338" s="45">
        <v>30</v>
      </c>
      <c r="D338" s="45">
        <v>23.8</v>
      </c>
      <c r="E338" s="85">
        <f t="shared" ca="1" si="29"/>
        <v>0.1336458613172917</v>
      </c>
      <c r="F338" s="88" t="s">
        <v>233</v>
      </c>
    </row>
    <row r="339" spans="3:6" s="45" customFormat="1" x14ac:dyDescent="0.2">
      <c r="C339" s="45">
        <v>30</v>
      </c>
      <c r="D339" s="45">
        <v>23.9</v>
      </c>
      <c r="E339" s="85">
        <f t="shared" ca="1" si="29"/>
        <v>0.13334046511461956</v>
      </c>
      <c r="F339" s="88" t="s">
        <v>233</v>
      </c>
    </row>
    <row r="340" spans="3:6" s="45" customFormat="1" x14ac:dyDescent="0.2">
      <c r="C340" s="45">
        <v>30</v>
      </c>
      <c r="D340" s="45">
        <v>24</v>
      </c>
      <c r="E340" s="85">
        <f t="shared" ca="1" si="29"/>
        <v>0.13301899661220054</v>
      </c>
      <c r="F340" s="88" t="s">
        <v>233</v>
      </c>
    </row>
    <row r="341" spans="3:6" s="45" customFormat="1" x14ac:dyDescent="0.2">
      <c r="C341" s="45">
        <v>30</v>
      </c>
      <c r="D341" s="45">
        <v>24.1</v>
      </c>
      <c r="E341" s="85">
        <f t="shared" ca="1" si="29"/>
        <v>0.13268134111251273</v>
      </c>
      <c r="F341" s="88" t="s">
        <v>233</v>
      </c>
    </row>
    <row r="342" spans="3:6" s="45" customFormat="1" x14ac:dyDescent="0.2">
      <c r="C342" s="45">
        <v>30</v>
      </c>
      <c r="D342" s="45">
        <v>24.2</v>
      </c>
      <c r="E342" s="85">
        <f t="shared" ca="1" si="29"/>
        <v>0.1323273839180342</v>
      </c>
      <c r="F342" s="88" t="s">
        <v>233</v>
      </c>
    </row>
    <row r="343" spans="3:6" s="45" customFormat="1" x14ac:dyDescent="0.2">
      <c r="C343" s="45">
        <v>30</v>
      </c>
      <c r="D343" s="45">
        <v>24.3</v>
      </c>
      <c r="E343" s="85">
        <f t="shared" ca="1" si="29"/>
        <v>0.13195701033124307</v>
      </c>
      <c r="F343" s="88" t="s">
        <v>233</v>
      </c>
    </row>
    <row r="344" spans="3:6" s="45" customFormat="1" x14ac:dyDescent="0.2">
      <c r="C344" s="45">
        <v>30</v>
      </c>
      <c r="D344" s="45">
        <v>24.4</v>
      </c>
      <c r="E344" s="85">
        <f t="shared" ca="1" si="29"/>
        <v>0.13157010565461738</v>
      </c>
      <c r="F344" s="88" t="s">
        <v>233</v>
      </c>
    </row>
    <row r="345" spans="3:6" s="45" customFormat="1" x14ac:dyDescent="0.2">
      <c r="C345" s="45">
        <v>30</v>
      </c>
      <c r="D345" s="45">
        <v>24.5</v>
      </c>
      <c r="E345" s="85">
        <f t="shared" ca="1" si="29"/>
        <v>0.13116655519063519</v>
      </c>
      <c r="F345" s="88" t="s">
        <v>233</v>
      </c>
    </row>
    <row r="346" spans="3:6" s="45" customFormat="1" x14ac:dyDescent="0.2">
      <c r="C346" s="45">
        <v>30</v>
      </c>
      <c r="D346" s="45">
        <v>24.6</v>
      </c>
      <c r="E346" s="85">
        <f t="shared" ca="1" si="29"/>
        <v>0.13074624424177464</v>
      </c>
      <c r="F346" s="88" t="s">
        <v>233</v>
      </c>
    </row>
    <row r="347" spans="3:6" s="45" customFormat="1" x14ac:dyDescent="0.2">
      <c r="C347" s="45">
        <v>30</v>
      </c>
      <c r="D347" s="45">
        <v>24.7</v>
      </c>
      <c r="E347" s="85">
        <f t="shared" ca="1" si="29"/>
        <v>0.1303090581105138</v>
      </c>
      <c r="F347" s="88" t="s">
        <v>233</v>
      </c>
    </row>
    <row r="348" spans="3:6" s="45" customFormat="1" x14ac:dyDescent="0.2">
      <c r="C348" s="45">
        <v>30</v>
      </c>
      <c r="D348" s="45">
        <v>24.8</v>
      </c>
      <c r="E348" s="85">
        <f t="shared" ca="1" si="29"/>
        <v>0.12985488209933069</v>
      </c>
      <c r="F348" s="88" t="s">
        <v>233</v>
      </c>
    </row>
    <row r="349" spans="3:6" s="45" customFormat="1" x14ac:dyDescent="0.2">
      <c r="C349" s="45">
        <v>30</v>
      </c>
      <c r="D349" s="45">
        <v>24.9</v>
      </c>
      <c r="E349" s="85">
        <f t="shared" ca="1" si="29"/>
        <v>0.12938360151070347</v>
      </c>
      <c r="F349" s="88" t="s">
        <v>233</v>
      </c>
    </row>
    <row r="350" spans="3:6" s="45" customFormat="1" x14ac:dyDescent="0.2">
      <c r="C350" s="45">
        <v>30</v>
      </c>
      <c r="D350" s="45">
        <v>25</v>
      </c>
      <c r="E350" s="85">
        <f t="shared" ca="1" si="29"/>
        <v>0.12889510164711021</v>
      </c>
      <c r="F350" s="88" t="s">
        <v>233</v>
      </c>
    </row>
    <row r="351" spans="3:6" s="45" customFormat="1" x14ac:dyDescent="0.2">
      <c r="C351" s="45">
        <v>30</v>
      </c>
      <c r="D351" s="45">
        <v>25.1</v>
      </c>
      <c r="E351" s="85">
        <f t="shared" ca="1" si="29"/>
        <v>0.12838926781102897</v>
      </c>
      <c r="F351" s="88" t="s">
        <v>233</v>
      </c>
    </row>
    <row r="352" spans="3:6" s="45" customFormat="1" x14ac:dyDescent="0.2">
      <c r="C352" s="45">
        <v>30</v>
      </c>
      <c r="D352" s="45">
        <v>25.2</v>
      </c>
      <c r="E352" s="85">
        <f t="shared" ca="1" si="29"/>
        <v>0.12786598530493787</v>
      </c>
      <c r="F352" s="88" t="s">
        <v>233</v>
      </c>
    </row>
    <row r="353" spans="3:6" s="45" customFormat="1" x14ac:dyDescent="0.2">
      <c r="C353" s="45">
        <v>30</v>
      </c>
      <c r="D353" s="45">
        <v>25.3</v>
      </c>
      <c r="E353" s="85">
        <f t="shared" ca="1" si="29"/>
        <v>0.12732513943131493</v>
      </c>
      <c r="F353" s="88" t="s">
        <v>233</v>
      </c>
    </row>
    <row r="354" spans="3:6" s="45" customFormat="1" x14ac:dyDescent="0.2">
      <c r="C354" s="45">
        <v>30</v>
      </c>
      <c r="D354" s="45">
        <v>25.4</v>
      </c>
      <c r="E354" s="85">
        <f t="shared" ca="1" si="29"/>
        <v>0.12676661549263835</v>
      </c>
      <c r="F354" s="88" t="s">
        <v>233</v>
      </c>
    </row>
    <row r="355" spans="3:6" s="45" customFormat="1" x14ac:dyDescent="0.2">
      <c r="C355" s="45">
        <v>30</v>
      </c>
      <c r="D355" s="45">
        <v>25.5</v>
      </c>
      <c r="E355" s="85">
        <f t="shared" ca="1" si="29"/>
        <v>0.12619029879138602</v>
      </c>
      <c r="F355" s="88" t="s">
        <v>233</v>
      </c>
    </row>
    <row r="356" spans="3:6" s="45" customFormat="1" x14ac:dyDescent="0.2">
      <c r="C356" s="45">
        <v>30</v>
      </c>
      <c r="D356" s="45">
        <v>25.6</v>
      </c>
      <c r="E356" s="85">
        <f t="shared" ref="E356:E400" ca="1" si="30">INDIRECT("a_" &amp; i) * t^3 + INDIRECT("b_" &amp; i) * t^2 + INDIRECT("c_" &amp; i) * t^1 + INDIRECT("d_" &amp; i)</f>
        <v>0.12559607463003625</v>
      </c>
      <c r="F356" s="88" t="s">
        <v>233</v>
      </c>
    </row>
    <row r="357" spans="3:6" s="45" customFormat="1" x14ac:dyDescent="0.2">
      <c r="C357" s="45">
        <v>30</v>
      </c>
      <c r="D357" s="45">
        <v>25.7</v>
      </c>
      <c r="E357" s="85">
        <f t="shared" ca="1" si="30"/>
        <v>0.12498382831106689</v>
      </c>
      <c r="F357" s="88" t="s">
        <v>233</v>
      </c>
    </row>
    <row r="358" spans="3:6" s="45" customFormat="1" x14ac:dyDescent="0.2">
      <c r="C358" s="45">
        <v>30</v>
      </c>
      <c r="D358" s="45">
        <v>25.8</v>
      </c>
      <c r="E358" s="85">
        <f t="shared" ca="1" si="30"/>
        <v>0.12435344513695623</v>
      </c>
      <c r="F358" s="88" t="s">
        <v>233</v>
      </c>
    </row>
    <row r="359" spans="3:6" s="45" customFormat="1" x14ac:dyDescent="0.2">
      <c r="C359" s="45">
        <v>30</v>
      </c>
      <c r="D359" s="45">
        <v>25.9</v>
      </c>
      <c r="E359" s="85">
        <f t="shared" ca="1" si="30"/>
        <v>0.12370481041018219</v>
      </c>
      <c r="F359" s="88" t="s">
        <v>233</v>
      </c>
    </row>
    <row r="360" spans="3:6" s="45" customFormat="1" x14ac:dyDescent="0.2">
      <c r="C360" s="45">
        <v>30</v>
      </c>
      <c r="D360" s="45">
        <v>26</v>
      </c>
      <c r="E360" s="85">
        <f t="shared" ca="1" si="30"/>
        <v>0.12303780943322296</v>
      </c>
      <c r="F360" s="88" t="s">
        <v>233</v>
      </c>
    </row>
    <row r="361" spans="3:6" s="45" customFormat="1" x14ac:dyDescent="0.2">
      <c r="C361" s="45">
        <v>30</v>
      </c>
      <c r="D361" s="45">
        <v>26.1</v>
      </c>
      <c r="E361" s="85">
        <f t="shared" ca="1" si="30"/>
        <v>0.1223523275085566</v>
      </c>
      <c r="F361" s="88" t="s">
        <v>233</v>
      </c>
    </row>
    <row r="362" spans="3:6" s="45" customFormat="1" x14ac:dyDescent="0.2">
      <c r="C362" s="45">
        <v>30</v>
      </c>
      <c r="D362" s="45">
        <v>26.2</v>
      </c>
      <c r="E362" s="85">
        <f t="shared" ca="1" si="30"/>
        <v>0.12164824993866123</v>
      </c>
      <c r="F362" s="88" t="s">
        <v>233</v>
      </c>
    </row>
    <row r="363" spans="3:6" s="45" customFormat="1" x14ac:dyDescent="0.2">
      <c r="C363" s="45">
        <v>30</v>
      </c>
      <c r="D363" s="45">
        <v>26.3</v>
      </c>
      <c r="E363" s="85">
        <f t="shared" ca="1" si="30"/>
        <v>0.12092546202601487</v>
      </c>
      <c r="F363" s="88" t="s">
        <v>233</v>
      </c>
    </row>
    <row r="364" spans="3:6" s="45" customFormat="1" x14ac:dyDescent="0.2">
      <c r="C364" s="45">
        <v>30</v>
      </c>
      <c r="D364" s="45">
        <v>26.4</v>
      </c>
      <c r="E364" s="85">
        <f t="shared" ca="1" si="30"/>
        <v>0.12018384907309553</v>
      </c>
      <c r="F364" s="88" t="s">
        <v>233</v>
      </c>
    </row>
    <row r="365" spans="3:6" s="45" customFormat="1" x14ac:dyDescent="0.2">
      <c r="C365" s="45">
        <v>30</v>
      </c>
      <c r="D365" s="45">
        <v>26.5</v>
      </c>
      <c r="E365" s="85">
        <f t="shared" ca="1" si="30"/>
        <v>0.11942329638238143</v>
      </c>
      <c r="F365" s="88" t="s">
        <v>233</v>
      </c>
    </row>
    <row r="366" spans="3:6" s="45" customFormat="1" x14ac:dyDescent="0.2">
      <c r="C366" s="45">
        <v>30</v>
      </c>
      <c r="D366" s="45">
        <v>26.6</v>
      </c>
      <c r="E366" s="85">
        <f t="shared" ca="1" si="30"/>
        <v>0.11864368925635059</v>
      </c>
      <c r="F366" s="88" t="s">
        <v>233</v>
      </c>
    </row>
    <row r="367" spans="3:6" s="45" customFormat="1" x14ac:dyDescent="0.2">
      <c r="C367" s="45">
        <v>30</v>
      </c>
      <c r="D367" s="45">
        <v>26.7</v>
      </c>
      <c r="E367" s="85">
        <f t="shared" ca="1" si="30"/>
        <v>0.11784491299748114</v>
      </c>
      <c r="F367" s="88" t="s">
        <v>233</v>
      </c>
    </row>
    <row r="368" spans="3:6" s="45" customFormat="1" x14ac:dyDescent="0.2">
      <c r="C368" s="45">
        <v>30</v>
      </c>
      <c r="D368" s="45">
        <v>26.8</v>
      </c>
      <c r="E368" s="85">
        <f t="shared" ca="1" si="30"/>
        <v>0.11702685290825109</v>
      </c>
      <c r="F368" s="88" t="s">
        <v>233</v>
      </c>
    </row>
    <row r="369" spans="3:6" s="45" customFormat="1" x14ac:dyDescent="0.2">
      <c r="C369" s="45">
        <v>30</v>
      </c>
      <c r="D369" s="45">
        <v>26.9</v>
      </c>
      <c r="E369" s="85">
        <f t="shared" ca="1" si="30"/>
        <v>0.11618939429113861</v>
      </c>
      <c r="F369" s="88" t="s">
        <v>233</v>
      </c>
    </row>
    <row r="370" spans="3:6" s="45" customFormat="1" x14ac:dyDescent="0.2">
      <c r="C370" s="45">
        <v>30</v>
      </c>
      <c r="D370" s="45">
        <v>27</v>
      </c>
      <c r="E370" s="85">
        <f t="shared" ca="1" si="30"/>
        <v>0.11533242244862171</v>
      </c>
      <c r="F370" s="88" t="s">
        <v>233</v>
      </c>
    </row>
    <row r="371" spans="3:6" s="45" customFormat="1" x14ac:dyDescent="0.2">
      <c r="C371" s="45">
        <v>30</v>
      </c>
      <c r="D371" s="45">
        <v>27.1</v>
      </c>
      <c r="E371" s="85">
        <f t="shared" ca="1" si="30"/>
        <v>0.1144558226831785</v>
      </c>
      <c r="F371" s="88" t="s">
        <v>233</v>
      </c>
    </row>
    <row r="372" spans="3:6" s="45" customFormat="1" x14ac:dyDescent="0.2">
      <c r="C372" s="45">
        <v>30</v>
      </c>
      <c r="D372" s="45">
        <v>27.2</v>
      </c>
      <c r="E372" s="85">
        <f t="shared" ca="1" si="30"/>
        <v>0.1135594802972871</v>
      </c>
      <c r="F372" s="88" t="s">
        <v>233</v>
      </c>
    </row>
    <row r="373" spans="3:6" s="45" customFormat="1" x14ac:dyDescent="0.2">
      <c r="C373" s="45">
        <v>30</v>
      </c>
      <c r="D373" s="45">
        <v>27.3</v>
      </c>
      <c r="E373" s="85">
        <f t="shared" ca="1" si="30"/>
        <v>0.11264328059342549</v>
      </c>
      <c r="F373" s="88" t="s">
        <v>233</v>
      </c>
    </row>
    <row r="374" spans="3:6" s="45" customFormat="1" x14ac:dyDescent="0.2">
      <c r="C374" s="45">
        <v>30</v>
      </c>
      <c r="D374" s="45">
        <v>27.4</v>
      </c>
      <c r="E374" s="85">
        <f t="shared" ca="1" si="30"/>
        <v>0.11170710887407177</v>
      </c>
      <c r="F374" s="88" t="s">
        <v>233</v>
      </c>
    </row>
    <row r="375" spans="3:6" s="45" customFormat="1" x14ac:dyDescent="0.2">
      <c r="C375" s="45">
        <v>30</v>
      </c>
      <c r="D375" s="45">
        <v>27.5</v>
      </c>
      <c r="E375" s="85">
        <f t="shared" ca="1" si="30"/>
        <v>0.11075085044170419</v>
      </c>
      <c r="F375" s="88" t="s">
        <v>233</v>
      </c>
    </row>
    <row r="376" spans="3:6" s="45" customFormat="1" x14ac:dyDescent="0.2">
      <c r="C376" s="45">
        <v>30</v>
      </c>
      <c r="D376" s="45">
        <v>27.6</v>
      </c>
      <c r="E376" s="85">
        <f t="shared" ca="1" si="30"/>
        <v>0.10977439059880065</v>
      </c>
      <c r="F376" s="88" t="s">
        <v>233</v>
      </c>
    </row>
    <row r="377" spans="3:6" s="45" customFormat="1" x14ac:dyDescent="0.2">
      <c r="C377" s="45">
        <v>30</v>
      </c>
      <c r="D377" s="45">
        <v>27.7</v>
      </c>
      <c r="E377" s="85">
        <f t="shared" ca="1" si="30"/>
        <v>0.10877761464783935</v>
      </c>
      <c r="F377" s="88" t="s">
        <v>233</v>
      </c>
    </row>
    <row r="378" spans="3:6" s="45" customFormat="1" x14ac:dyDescent="0.2">
      <c r="C378" s="45">
        <v>30</v>
      </c>
      <c r="D378" s="45">
        <v>27.8</v>
      </c>
      <c r="E378" s="85">
        <f t="shared" ca="1" si="30"/>
        <v>0.10776040789129827</v>
      </c>
      <c r="F378" s="88" t="s">
        <v>233</v>
      </c>
    </row>
    <row r="379" spans="3:6" s="45" customFormat="1" x14ac:dyDescent="0.2">
      <c r="C379" s="45">
        <v>30</v>
      </c>
      <c r="D379" s="45">
        <v>27.9</v>
      </c>
      <c r="E379" s="85">
        <f t="shared" ca="1" si="30"/>
        <v>0.10672265563165549</v>
      </c>
      <c r="F379" s="88" t="s">
        <v>233</v>
      </c>
    </row>
    <row r="380" spans="3:6" s="45" customFormat="1" x14ac:dyDescent="0.2">
      <c r="C380" s="45">
        <v>30</v>
      </c>
      <c r="D380" s="45">
        <v>28</v>
      </c>
      <c r="E380" s="85">
        <f t="shared" ca="1" si="30"/>
        <v>0.10566424317138924</v>
      </c>
      <c r="F380" s="88" t="s">
        <v>233</v>
      </c>
    </row>
    <row r="381" spans="3:6" s="45" customFormat="1" x14ac:dyDescent="0.2">
      <c r="C381" s="45">
        <v>30</v>
      </c>
      <c r="D381" s="45">
        <v>28.1</v>
      </c>
      <c r="E381" s="85">
        <f t="shared" ca="1" si="30"/>
        <v>0.10458505581297743</v>
      </c>
      <c r="F381" s="88" t="s">
        <v>233</v>
      </c>
    </row>
    <row r="382" spans="3:6" s="45" customFormat="1" x14ac:dyDescent="0.2">
      <c r="C382" s="45">
        <v>30</v>
      </c>
      <c r="D382" s="45">
        <v>28.2</v>
      </c>
      <c r="E382" s="85">
        <f t="shared" ca="1" si="30"/>
        <v>0.10348497885889829</v>
      </c>
      <c r="F382" s="88" t="s">
        <v>233</v>
      </c>
    </row>
    <row r="383" spans="3:6" s="45" customFormat="1" x14ac:dyDescent="0.2">
      <c r="C383" s="45">
        <v>30</v>
      </c>
      <c r="D383" s="45">
        <v>28.3</v>
      </c>
      <c r="E383" s="85">
        <f t="shared" ca="1" si="30"/>
        <v>0.10236389761162977</v>
      </c>
      <c r="F383" s="88" t="s">
        <v>233</v>
      </c>
    </row>
    <row r="384" spans="3:6" s="45" customFormat="1" x14ac:dyDescent="0.2">
      <c r="C384" s="45">
        <v>30</v>
      </c>
      <c r="D384" s="45">
        <v>28.4</v>
      </c>
      <c r="E384" s="85">
        <f t="shared" ca="1" si="30"/>
        <v>0.10122169737365005</v>
      </c>
      <c r="F384" s="88" t="s">
        <v>233</v>
      </c>
    </row>
    <row r="385" spans="3:9" s="45" customFormat="1" x14ac:dyDescent="0.2">
      <c r="C385" s="45">
        <v>30</v>
      </c>
      <c r="D385" s="45">
        <v>28.5</v>
      </c>
      <c r="E385" s="85">
        <f t="shared" ca="1" si="30"/>
        <v>0.10005826344743721</v>
      </c>
      <c r="F385" s="88" t="s">
        <v>233</v>
      </c>
    </row>
    <row r="386" spans="3:9" s="45" customFormat="1" x14ac:dyDescent="0.2">
      <c r="C386" s="45">
        <v>30</v>
      </c>
      <c r="D386" s="45">
        <v>28.6</v>
      </c>
      <c r="E386" s="85">
        <f t="shared" ca="1" si="30"/>
        <v>9.8873481135469232E-2</v>
      </c>
      <c r="F386" s="88" t="s">
        <v>233</v>
      </c>
    </row>
    <row r="387" spans="3:9" s="45" customFormat="1" x14ac:dyDescent="0.2">
      <c r="C387" s="45">
        <v>30</v>
      </c>
      <c r="D387" s="45">
        <v>28.7</v>
      </c>
      <c r="E387" s="85">
        <f t="shared" ca="1" si="30"/>
        <v>9.7667235740224317E-2</v>
      </c>
      <c r="F387" s="88" t="s">
        <v>233</v>
      </c>
    </row>
    <row r="388" spans="3:9" s="45" customFormat="1" x14ac:dyDescent="0.2">
      <c r="C388" s="45">
        <v>30</v>
      </c>
      <c r="D388" s="45">
        <v>28.8</v>
      </c>
      <c r="E388" s="85">
        <f t="shared" ca="1" si="30"/>
        <v>9.6439412564180427E-2</v>
      </c>
      <c r="F388" s="88" t="s">
        <v>233</v>
      </c>
    </row>
    <row r="389" spans="3:9" s="45" customFormat="1" x14ac:dyDescent="0.2">
      <c r="C389" s="45">
        <v>30</v>
      </c>
      <c r="D389" s="45">
        <v>28.9</v>
      </c>
      <c r="E389" s="85">
        <f t="shared" ca="1" si="30"/>
        <v>9.5189896909815788E-2</v>
      </c>
      <c r="F389" s="88" t="s">
        <v>233</v>
      </c>
    </row>
    <row r="390" spans="3:9" s="45" customFormat="1" x14ac:dyDescent="0.2">
      <c r="C390" s="45">
        <v>30</v>
      </c>
      <c r="D390" s="45">
        <v>29</v>
      </c>
      <c r="E390" s="85">
        <f t="shared" ca="1" si="30"/>
        <v>9.391857407960845E-2</v>
      </c>
      <c r="F390" s="88" t="s">
        <v>233</v>
      </c>
    </row>
    <row r="391" spans="3:9" s="45" customFormat="1" x14ac:dyDescent="0.2">
      <c r="C391" s="45">
        <v>30</v>
      </c>
      <c r="D391" s="45">
        <v>29.1</v>
      </c>
      <c r="E391" s="85">
        <f t="shared" ca="1" si="30"/>
        <v>9.2625329376036375E-2</v>
      </c>
      <c r="F391" s="88" t="s">
        <v>233</v>
      </c>
    </row>
    <row r="392" spans="3:9" s="45" customFormat="1" x14ac:dyDescent="0.2">
      <c r="C392" s="45">
        <v>30</v>
      </c>
      <c r="D392" s="45">
        <v>29.2</v>
      </c>
      <c r="E392" s="85">
        <f t="shared" ca="1" si="30"/>
        <v>9.1310048101577709E-2</v>
      </c>
      <c r="F392" s="88" t="s">
        <v>233</v>
      </c>
    </row>
    <row r="393" spans="3:9" s="45" customFormat="1" x14ac:dyDescent="0.2">
      <c r="C393" s="45">
        <v>30</v>
      </c>
      <c r="D393" s="45">
        <v>29.3</v>
      </c>
      <c r="E393" s="85">
        <f t="shared" ca="1" si="30"/>
        <v>8.997261555871057E-2</v>
      </c>
      <c r="F393" s="88" t="s">
        <v>233</v>
      </c>
    </row>
    <row r="394" spans="3:9" s="45" customFormat="1" x14ac:dyDescent="0.2">
      <c r="C394" s="45">
        <v>30</v>
      </c>
      <c r="D394" s="45">
        <v>29.4</v>
      </c>
      <c r="E394" s="85">
        <f t="shared" ca="1" si="30"/>
        <v>8.8612917049913073E-2</v>
      </c>
      <c r="F394" s="88" t="s">
        <v>233</v>
      </c>
    </row>
    <row r="395" spans="3:9" s="45" customFormat="1" x14ac:dyDescent="0.2">
      <c r="C395" s="45">
        <v>30</v>
      </c>
      <c r="D395" s="45">
        <v>29.5</v>
      </c>
      <c r="E395" s="85">
        <f t="shared" ca="1" si="30"/>
        <v>8.7230837877663239E-2</v>
      </c>
      <c r="F395" s="88" t="s">
        <v>233</v>
      </c>
    </row>
    <row r="396" spans="3:9" s="45" customFormat="1" x14ac:dyDescent="0.2">
      <c r="C396" s="45">
        <v>30</v>
      </c>
      <c r="D396" s="45">
        <v>29.6</v>
      </c>
      <c r="E396" s="85">
        <f t="shared" ca="1" si="30"/>
        <v>8.5826263344439199E-2</v>
      </c>
      <c r="F396" s="88" t="s">
        <v>233</v>
      </c>
    </row>
    <row r="397" spans="3:9" s="45" customFormat="1" x14ac:dyDescent="0.2">
      <c r="C397" s="45">
        <v>30</v>
      </c>
      <c r="D397" s="45">
        <v>29.7</v>
      </c>
      <c r="E397" s="85">
        <f t="shared" ca="1" si="30"/>
        <v>8.4399078752718959E-2</v>
      </c>
      <c r="F397" s="88" t="s">
        <v>233</v>
      </c>
    </row>
    <row r="398" spans="3:9" s="45" customFormat="1" x14ac:dyDescent="0.2">
      <c r="C398" s="45">
        <v>30</v>
      </c>
      <c r="D398" s="45">
        <v>29.8</v>
      </c>
      <c r="E398" s="85">
        <f t="shared" ca="1" si="30"/>
        <v>8.2949169404980622E-2</v>
      </c>
      <c r="F398" s="88" t="s">
        <v>233</v>
      </c>
    </row>
    <row r="399" spans="3:9" s="45" customFormat="1" x14ac:dyDescent="0.2">
      <c r="C399" s="45">
        <v>30</v>
      </c>
      <c r="D399" s="45">
        <v>29.9</v>
      </c>
      <c r="E399" s="85">
        <f t="shared" ca="1" si="30"/>
        <v>8.1476420603702415E-2</v>
      </c>
      <c r="F399" s="88" t="s">
        <v>233</v>
      </c>
    </row>
    <row r="400" spans="3:9" s="45" customFormat="1" x14ac:dyDescent="0.2">
      <c r="C400" s="45">
        <v>30</v>
      </c>
      <c r="D400" s="45">
        <v>30</v>
      </c>
      <c r="E400" s="85">
        <f t="shared" ca="1" si="30"/>
        <v>7.9980717651362082E-2</v>
      </c>
      <c r="F400" s="88">
        <v>0.08</v>
      </c>
      <c r="G400" s="88">
        <f ca="1">F400-E400</f>
        <v>1.9282348637919555E-5</v>
      </c>
      <c r="H400" s="88"/>
      <c r="I400" s="88"/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E5B2C-8B57-DD4D-A7AC-EBBE265DEA0F}">
  <sheetPr codeName="Sheet55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45"/>
    <col min="4" max="4" width="22.33203125" style="45" bestFit="1" customWidth="1"/>
    <col min="5" max="5" width="10.83203125" style="45"/>
    <col min="6" max="38" width="3.83203125" style="45" customWidth="1"/>
    <col min="39" max="39" width="5.1640625" style="45" bestFit="1" customWidth="1"/>
    <col min="40" max="40" width="7" style="45" bestFit="1" customWidth="1"/>
    <col min="41" max="42" width="3.83203125" customWidth="1"/>
    <col min="44" max="16384" width="10.83203125" style="45"/>
  </cols>
  <sheetData>
    <row r="1" spans="1:43" x14ac:dyDescent="0.2">
      <c r="A1" s="45" t="s">
        <v>162</v>
      </c>
      <c r="AO1" s="45"/>
      <c r="AP1" s="45"/>
      <c r="AQ1" s="45"/>
    </row>
    <row r="2" spans="1:43" s="44" customFormat="1" ht="26" x14ac:dyDescent="0.3"/>
    <row r="3" spans="1:43" ht="29" x14ac:dyDescent="0.3">
      <c r="C3" s="44" t="s">
        <v>111</v>
      </c>
      <c r="AO3" s="45"/>
      <c r="AP3" s="45"/>
      <c r="AQ3" s="45"/>
    </row>
    <row r="4" spans="1:43" ht="26" x14ac:dyDescent="0.3">
      <c r="C4" s="44"/>
      <c r="AO4" s="45"/>
      <c r="AP4" s="45"/>
      <c r="AQ4" s="45"/>
    </row>
    <row r="5" spans="1:43" ht="29" x14ac:dyDescent="0.3">
      <c r="C5" s="44" t="s">
        <v>112</v>
      </c>
      <c r="AO5" s="45"/>
      <c r="AP5" s="45"/>
      <c r="AQ5" s="45"/>
    </row>
    <row r="6" spans="1:43" ht="26" x14ac:dyDescent="0.3">
      <c r="C6" s="44"/>
      <c r="AO6" s="45"/>
      <c r="AP6" s="45"/>
      <c r="AQ6" s="45"/>
    </row>
    <row r="7" spans="1:43" ht="26" x14ac:dyDescent="0.3">
      <c r="C7" s="44" t="s">
        <v>113</v>
      </c>
      <c r="AO7" s="45"/>
      <c r="AP7" s="45"/>
      <c r="AQ7" s="45"/>
    </row>
    <row r="8" spans="1:43" x14ac:dyDescent="0.2">
      <c r="AO8" s="45"/>
      <c r="AP8" s="45"/>
      <c r="AQ8" s="45"/>
    </row>
    <row r="9" spans="1:43" x14ac:dyDescent="0.2">
      <c r="AO9" s="45"/>
      <c r="AP9" s="45"/>
      <c r="AQ9" s="45"/>
    </row>
    <row r="10" spans="1:43" x14ac:dyDescent="0.2">
      <c r="AO10" s="45"/>
      <c r="AP10" s="45"/>
      <c r="AQ10" s="45"/>
    </row>
    <row r="11" spans="1:43" x14ac:dyDescent="0.2">
      <c r="B11" s="26" t="s">
        <v>89</v>
      </c>
      <c r="C11" s="26" t="s">
        <v>90</v>
      </c>
      <c r="AO11" s="45"/>
      <c r="AP11" s="45"/>
      <c r="AQ11" s="45"/>
    </row>
    <row r="12" spans="1:43" x14ac:dyDescent="0.2">
      <c r="B12" s="45">
        <v>0</v>
      </c>
      <c r="C12" s="61">
        <v>0</v>
      </c>
      <c r="D12" s="62"/>
      <c r="AO12" s="45"/>
      <c r="AP12" s="45"/>
      <c r="AQ12" s="45"/>
    </row>
    <row r="13" spans="1:43" x14ac:dyDescent="0.2">
      <c r="B13" s="45">
        <v>1</v>
      </c>
      <c r="C13" s="61">
        <v>0.02</v>
      </c>
      <c r="D13" s="62"/>
      <c r="AO13" s="45"/>
      <c r="AP13" s="45"/>
      <c r="AQ13" s="45"/>
    </row>
    <row r="14" spans="1:43" x14ac:dyDescent="0.2">
      <c r="B14" s="45">
        <v>2</v>
      </c>
      <c r="C14" s="61">
        <v>3.7869296080000003E-2</v>
      </c>
      <c r="D14" s="62"/>
      <c r="AO14" s="45"/>
      <c r="AP14" s="45"/>
      <c r="AQ14" s="45"/>
    </row>
    <row r="15" spans="1:43" x14ac:dyDescent="0.2">
      <c r="B15" s="45">
        <v>3</v>
      </c>
      <c r="C15" s="61">
        <v>4.4685005659999999E-2</v>
      </c>
      <c r="D15" s="62"/>
      <c r="AO15" s="45"/>
      <c r="AP15" s="45"/>
      <c r="AQ15" s="45"/>
    </row>
    <row r="16" spans="1:43" x14ac:dyDescent="0.2">
      <c r="B16" s="45">
        <v>4</v>
      </c>
      <c r="C16" s="61">
        <v>5.1500715240000002E-2</v>
      </c>
      <c r="D16" s="62"/>
      <c r="AO16" s="45"/>
      <c r="AP16" s="45"/>
      <c r="AQ16" s="45"/>
    </row>
    <row r="17" spans="2:43" x14ac:dyDescent="0.2">
      <c r="B17" s="45">
        <v>5</v>
      </c>
      <c r="C17" s="61">
        <v>5.8316424819999997E-2</v>
      </c>
      <c r="D17" s="62"/>
      <c r="AO17" s="45"/>
      <c r="AP17" s="45"/>
      <c r="AQ17" s="45"/>
    </row>
    <row r="18" spans="2:43" x14ac:dyDescent="0.2">
      <c r="B18" s="45">
        <v>7</v>
      </c>
      <c r="C18" s="61">
        <v>6.51321344E-2</v>
      </c>
      <c r="D18" s="62"/>
      <c r="AO18" s="45"/>
      <c r="AP18" s="45"/>
      <c r="AQ18" s="45"/>
    </row>
    <row r="19" spans="2:43" x14ac:dyDescent="0.2">
      <c r="B19" s="45">
        <v>10</v>
      </c>
      <c r="C19" s="61">
        <v>6.7430707199999995E-2</v>
      </c>
      <c r="D19" s="62"/>
      <c r="AO19" s="45"/>
      <c r="AP19" s="45"/>
      <c r="AQ19" s="45"/>
    </row>
    <row r="20" spans="2:43" x14ac:dyDescent="0.2">
      <c r="B20" s="45">
        <v>30</v>
      </c>
      <c r="C20" s="61">
        <v>0.08</v>
      </c>
      <c r="D20" s="62"/>
      <c r="AO20" s="45"/>
      <c r="AP20" s="45"/>
      <c r="AQ20" s="45"/>
    </row>
    <row r="21" spans="2:43" x14ac:dyDescent="0.2">
      <c r="AO21" s="45"/>
      <c r="AP21" s="45"/>
      <c r="AQ21" s="45"/>
    </row>
    <row r="22" spans="2:43" x14ac:dyDescent="0.2">
      <c r="AO22" s="45"/>
      <c r="AP22" s="45"/>
      <c r="AQ22" s="45"/>
    </row>
    <row r="23" spans="2:43" x14ac:dyDescent="0.2">
      <c r="AO23" s="45"/>
      <c r="AP23" s="45"/>
      <c r="AQ23" s="45"/>
    </row>
    <row r="24" spans="2:43" x14ac:dyDescent="0.2">
      <c r="AO24" s="45"/>
      <c r="AP24" s="45"/>
      <c r="AQ24" s="45"/>
    </row>
    <row r="25" spans="2:43" x14ac:dyDescent="0.2">
      <c r="AO25" s="45"/>
      <c r="AP25" s="45"/>
      <c r="AQ25" s="45"/>
    </row>
    <row r="26" spans="2:43" x14ac:dyDescent="0.2">
      <c r="AO26" s="45"/>
      <c r="AP26" s="45"/>
      <c r="AQ26" s="45"/>
    </row>
    <row r="27" spans="2:43" s="54" customFormat="1" x14ac:dyDescent="0.2">
      <c r="B27" s="54" t="s">
        <v>114</v>
      </c>
      <c r="C27" s="54" t="s">
        <v>115</v>
      </c>
      <c r="D27" s="54" t="s">
        <v>97</v>
      </c>
      <c r="F27" s="87" t="s">
        <v>201</v>
      </c>
      <c r="G27" s="87" t="s">
        <v>202</v>
      </c>
      <c r="H27" s="87" t="s">
        <v>203</v>
      </c>
      <c r="I27" s="87" t="s">
        <v>204</v>
      </c>
      <c r="J27" s="87" t="s">
        <v>205</v>
      </c>
      <c r="K27" s="87" t="s">
        <v>206</v>
      </c>
      <c r="L27" s="87" t="s">
        <v>207</v>
      </c>
      <c r="M27" s="87" t="s">
        <v>208</v>
      </c>
      <c r="N27" s="87" t="s">
        <v>209</v>
      </c>
      <c r="O27" s="87" t="s">
        <v>210</v>
      </c>
      <c r="P27" s="87" t="s">
        <v>211</v>
      </c>
      <c r="Q27" s="87" t="s">
        <v>212</v>
      </c>
      <c r="R27" s="64" t="s">
        <v>213</v>
      </c>
      <c r="S27" s="64" t="s">
        <v>214</v>
      </c>
      <c r="T27" s="64" t="s">
        <v>215</v>
      </c>
      <c r="U27" s="64" t="s">
        <v>216</v>
      </c>
      <c r="V27" s="64" t="s">
        <v>217</v>
      </c>
      <c r="W27" s="64" t="s">
        <v>218</v>
      </c>
      <c r="X27" s="64" t="s">
        <v>219</v>
      </c>
      <c r="Y27" s="64" t="s">
        <v>220</v>
      </c>
      <c r="Z27" s="64" t="s">
        <v>221</v>
      </c>
      <c r="AA27" s="64" t="s">
        <v>222</v>
      </c>
      <c r="AB27" s="64" t="s">
        <v>223</v>
      </c>
      <c r="AC27" s="64" t="s">
        <v>224</v>
      </c>
      <c r="AD27" s="64" t="s">
        <v>225</v>
      </c>
      <c r="AE27" s="64" t="s">
        <v>226</v>
      </c>
      <c r="AF27" s="64" t="s">
        <v>227</v>
      </c>
      <c r="AG27" s="64" t="s">
        <v>228</v>
      </c>
      <c r="AH27" s="64" t="s">
        <v>197</v>
      </c>
      <c r="AI27" s="64" t="s">
        <v>198</v>
      </c>
      <c r="AJ27" s="64" t="s">
        <v>229</v>
      </c>
      <c r="AK27" s="64" t="s">
        <v>230</v>
      </c>
      <c r="AL27" s="64"/>
      <c r="AM27" s="64"/>
      <c r="AN27" s="54" t="s">
        <v>196</v>
      </c>
      <c r="AO27" s="45"/>
      <c r="AP27" s="45"/>
      <c r="AQ27" s="45"/>
    </row>
    <row r="28" spans="2:43" x14ac:dyDescent="0.2">
      <c r="B28" s="26" t="str">
        <f>"y(" &amp; D28 &amp; ")"</f>
        <v>y(1)</v>
      </c>
      <c r="C28" s="45">
        <f>VLOOKUP(D28,$B$12:$C$20,2,0)</f>
        <v>0.02</v>
      </c>
      <c r="D28" s="45">
        <v>1</v>
      </c>
      <c r="F28" s="65">
        <f>time^3</f>
        <v>1</v>
      </c>
      <c r="G28" s="66">
        <f>time^2</f>
        <v>1</v>
      </c>
      <c r="H28" s="66">
        <f>time^1</f>
        <v>1</v>
      </c>
      <c r="I28" s="66">
        <f>time^0</f>
        <v>1</v>
      </c>
      <c r="J28" s="66">
        <v>0</v>
      </c>
      <c r="K28" s="66">
        <v>0</v>
      </c>
      <c r="L28" s="66">
        <v>0</v>
      </c>
      <c r="M28" s="67">
        <v>0</v>
      </c>
      <c r="N28" s="66"/>
      <c r="O28" s="66"/>
      <c r="P28" s="66"/>
      <c r="Q28" s="66"/>
      <c r="R28" s="66"/>
      <c r="S28" s="68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7"/>
      <c r="AM28" s="45" t="str">
        <f>"a_"&amp; time</f>
        <v>a_1</v>
      </c>
      <c r="AN28" s="69">
        <v>7.735444560806384E-5</v>
      </c>
      <c r="AO28" s="45"/>
      <c r="AP28" s="45"/>
      <c r="AQ28" s="45"/>
    </row>
    <row r="29" spans="2:43" x14ac:dyDescent="0.2">
      <c r="B29" s="26" t="str">
        <f t="shared" ref="B29:B37" si="0">"y(" &amp; D29 &amp; ")"</f>
        <v>y(1)</v>
      </c>
      <c r="C29" s="45">
        <f>VLOOKUP(D29,$B$12:$C$20,2,0)</f>
        <v>0.02</v>
      </c>
      <c r="D29" s="45">
        <v>1</v>
      </c>
      <c r="F29" s="70">
        <v>0</v>
      </c>
      <c r="G29" s="71">
        <v>0</v>
      </c>
      <c r="H29" s="71">
        <v>0</v>
      </c>
      <c r="I29" s="71">
        <v>0</v>
      </c>
      <c r="J29" s="71">
        <f>time^3</f>
        <v>1</v>
      </c>
      <c r="K29" s="71">
        <f>time^2</f>
        <v>1</v>
      </c>
      <c r="L29" s="71">
        <f>time^1</f>
        <v>1</v>
      </c>
      <c r="M29" s="72">
        <f>time^0</f>
        <v>1</v>
      </c>
      <c r="N29" s="71"/>
      <c r="O29" s="71"/>
      <c r="P29" s="71"/>
      <c r="Q29" s="71"/>
      <c r="R29" s="71"/>
      <c r="S29" s="63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2"/>
      <c r="AM29" s="45" t="str">
        <f>"b_"&amp; time</f>
        <v>b_1</v>
      </c>
      <c r="AN29" s="69">
        <v>8.2100044301208308E-5</v>
      </c>
      <c r="AO29" s="45"/>
      <c r="AP29" s="45"/>
      <c r="AQ29" s="45"/>
    </row>
    <row r="30" spans="2:43" x14ac:dyDescent="0.2">
      <c r="B30" s="26" t="str">
        <f>"y'(" &amp; D30 &amp; ")"</f>
        <v>y'(1)</v>
      </c>
      <c r="C30" s="45">
        <v>0</v>
      </c>
      <c r="D30" s="45">
        <v>1</v>
      </c>
      <c r="F30" s="70">
        <f>3*time^2</f>
        <v>3</v>
      </c>
      <c r="G30" s="71">
        <f>2*time</f>
        <v>2</v>
      </c>
      <c r="H30" s="71">
        <f>time^0</f>
        <v>1</v>
      </c>
      <c r="I30" s="71">
        <v>0</v>
      </c>
      <c r="J30" s="71">
        <f>-3*time^2</f>
        <v>-3</v>
      </c>
      <c r="K30" s="71">
        <f>-2*time</f>
        <v>-2</v>
      </c>
      <c r="L30" s="71">
        <f>-(time^0)</f>
        <v>-1</v>
      </c>
      <c r="M30" s="72">
        <v>0</v>
      </c>
      <c r="N30" s="71"/>
      <c r="O30" s="71"/>
      <c r="P30" s="71"/>
      <c r="Q30" s="71"/>
      <c r="R30" s="71"/>
      <c r="S30" s="63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2"/>
      <c r="AM30" s="45" t="str">
        <f>"c_"&amp; time</f>
        <v>c_1</v>
      </c>
      <c r="AN30" s="69">
        <v>8.6516527900132079E-5</v>
      </c>
      <c r="AO30" s="45"/>
      <c r="AP30" s="45"/>
      <c r="AQ30" s="45"/>
    </row>
    <row r="31" spans="2:43" x14ac:dyDescent="0.2">
      <c r="B31" s="26" t="str">
        <f>"y''(" &amp; D31 &amp; ")"</f>
        <v>y''(1)</v>
      </c>
      <c r="C31" s="45">
        <v>0</v>
      </c>
      <c r="D31" s="45">
        <v>1</v>
      </c>
      <c r="F31" s="73">
        <f>2*3*time^1</f>
        <v>6</v>
      </c>
      <c r="G31" s="74">
        <f>2*time^0</f>
        <v>2</v>
      </c>
      <c r="H31" s="74">
        <v>0</v>
      </c>
      <c r="I31" s="74">
        <v>0</v>
      </c>
      <c r="J31" s="74">
        <f>-2*3*time^1</f>
        <v>-6</v>
      </c>
      <c r="K31" s="74">
        <f>-2*time^0</f>
        <v>-2</v>
      </c>
      <c r="L31" s="74">
        <v>0</v>
      </c>
      <c r="M31" s="75">
        <v>0</v>
      </c>
      <c r="N31" s="71"/>
      <c r="O31" s="71"/>
      <c r="P31" s="71"/>
      <c r="Q31" s="71"/>
      <c r="R31" s="71"/>
      <c r="S31" s="63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2"/>
      <c r="AM31" s="45" t="str">
        <f>"d_"&amp; time</f>
        <v>d_1</v>
      </c>
      <c r="AN31" s="69">
        <v>9.0339808310368851E-5</v>
      </c>
      <c r="AO31" s="45"/>
      <c r="AP31" s="45"/>
      <c r="AQ31" s="45"/>
    </row>
    <row r="32" spans="2:43" x14ac:dyDescent="0.2">
      <c r="B32" s="26" t="str">
        <f t="shared" ref="B32" si="1">"y(" &amp; D32 &amp; ")"</f>
        <v>y(2)</v>
      </c>
      <c r="C32" s="45">
        <f t="shared" ref="C32:C33" si="2">VLOOKUP(D32,$B$12:$C$20,2,0)</f>
        <v>3.7869296080000003E-2</v>
      </c>
      <c r="D32" s="45">
        <f>D28+1</f>
        <v>2</v>
      </c>
      <c r="F32" s="70"/>
      <c r="G32" s="71"/>
      <c r="H32" s="71"/>
      <c r="I32" s="71"/>
      <c r="J32" s="65">
        <f>time^3</f>
        <v>8</v>
      </c>
      <c r="K32" s="66">
        <f>time^2</f>
        <v>4</v>
      </c>
      <c r="L32" s="66">
        <f>time^1</f>
        <v>2</v>
      </c>
      <c r="M32" s="66">
        <f>time^0</f>
        <v>1</v>
      </c>
      <c r="N32" s="66">
        <v>0</v>
      </c>
      <c r="O32" s="66">
        <v>0</v>
      </c>
      <c r="P32" s="66">
        <v>0</v>
      </c>
      <c r="Q32" s="67">
        <v>0</v>
      </c>
      <c r="R32" s="71"/>
      <c r="S32" s="63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2"/>
      <c r="AM32" s="45" t="str">
        <f>"a_"&amp; time</f>
        <v>a_2</v>
      </c>
      <c r="AN32" s="69">
        <v>7.6360414150203435E-4</v>
      </c>
      <c r="AO32" s="45"/>
      <c r="AP32" s="45"/>
      <c r="AQ32" s="45"/>
    </row>
    <row r="33" spans="2:43" x14ac:dyDescent="0.2">
      <c r="B33" s="26" t="str">
        <f t="shared" si="0"/>
        <v>y(2)</v>
      </c>
      <c r="C33" s="45">
        <f t="shared" si="2"/>
        <v>3.7869296080000003E-2</v>
      </c>
      <c r="D33" s="45">
        <f t="shared" ref="D33:D47" si="3">D29+1</f>
        <v>2</v>
      </c>
      <c r="F33" s="70"/>
      <c r="G33" s="71"/>
      <c r="H33" s="71"/>
      <c r="I33" s="71"/>
      <c r="J33" s="70">
        <v>0</v>
      </c>
      <c r="K33" s="71">
        <v>0</v>
      </c>
      <c r="L33" s="71">
        <v>0</v>
      </c>
      <c r="M33" s="71">
        <v>0</v>
      </c>
      <c r="N33" s="71">
        <f>time^3</f>
        <v>8</v>
      </c>
      <c r="O33" s="71">
        <f>time^2</f>
        <v>4</v>
      </c>
      <c r="P33" s="71">
        <f>time^1</f>
        <v>2</v>
      </c>
      <c r="Q33" s="72">
        <f>time^0</f>
        <v>1</v>
      </c>
      <c r="R33" s="71"/>
      <c r="S33" s="63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2"/>
      <c r="AM33" s="45" t="str">
        <f>"b_"&amp; time</f>
        <v>b_2</v>
      </c>
      <c r="AN33" s="69">
        <v>5.6650685881859842E-4</v>
      </c>
      <c r="AO33" s="45"/>
      <c r="AP33" s="45"/>
      <c r="AQ33" s="45"/>
    </row>
    <row r="34" spans="2:43" x14ac:dyDescent="0.2">
      <c r="B34" s="26" t="str">
        <f t="shared" ref="B34" si="4">"y'(" &amp; D34 &amp; ")"</f>
        <v>y'(2)</v>
      </c>
      <c r="C34" s="45">
        <v>0</v>
      </c>
      <c r="D34" s="45">
        <f t="shared" si="3"/>
        <v>2</v>
      </c>
      <c r="F34" s="70"/>
      <c r="G34" s="71"/>
      <c r="H34" s="71"/>
      <c r="I34" s="71"/>
      <c r="J34" s="70">
        <f>3*time^2</f>
        <v>12</v>
      </c>
      <c r="K34" s="71">
        <f>2*time</f>
        <v>4</v>
      </c>
      <c r="L34" s="71">
        <f>time^0</f>
        <v>1</v>
      </c>
      <c r="M34" s="71">
        <v>0</v>
      </c>
      <c r="N34" s="71">
        <f>-3*time^2</f>
        <v>-12</v>
      </c>
      <c r="O34" s="71">
        <f>-2*time</f>
        <v>-4</v>
      </c>
      <c r="P34" s="71">
        <f>-(time^0)</f>
        <v>-1</v>
      </c>
      <c r="Q34" s="72">
        <v>0</v>
      </c>
      <c r="R34" s="71"/>
      <c r="S34" s="63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2"/>
      <c r="AM34" s="45" t="str">
        <f>"c_"&amp; time</f>
        <v>c_2</v>
      </c>
      <c r="AN34" s="69">
        <v>4.7337228908141317E-4</v>
      </c>
      <c r="AO34" s="45"/>
      <c r="AP34" s="45"/>
      <c r="AQ34" s="45"/>
    </row>
    <row r="35" spans="2:43" x14ac:dyDescent="0.2">
      <c r="B35" s="26" t="str">
        <f t="shared" ref="B35" si="5">"y''(" &amp; D35 &amp; ")"</f>
        <v>y''(2)</v>
      </c>
      <c r="C35" s="45">
        <v>0</v>
      </c>
      <c r="D35" s="45">
        <f t="shared" si="3"/>
        <v>2</v>
      </c>
      <c r="F35" s="70"/>
      <c r="G35" s="71"/>
      <c r="H35" s="71"/>
      <c r="I35" s="71"/>
      <c r="J35" s="73">
        <f>2*3*time^1</f>
        <v>12</v>
      </c>
      <c r="K35" s="74">
        <f>2*time^0</f>
        <v>2</v>
      </c>
      <c r="L35" s="74">
        <v>0</v>
      </c>
      <c r="M35" s="74">
        <v>0</v>
      </c>
      <c r="N35" s="74">
        <f>-2*3*time^1</f>
        <v>-12</v>
      </c>
      <c r="O35" s="74">
        <f>-2*time^0</f>
        <v>-2</v>
      </c>
      <c r="P35" s="74">
        <v>0</v>
      </c>
      <c r="Q35" s="75">
        <v>0</v>
      </c>
      <c r="R35" s="71"/>
      <c r="S35" s="63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2"/>
      <c r="AM35" s="45" t="str">
        <f>"d_"&amp; time</f>
        <v>d_2</v>
      </c>
      <c r="AN35" s="69">
        <v>4.286961065182151E-4</v>
      </c>
      <c r="AO35" s="45"/>
      <c r="AP35" s="45"/>
      <c r="AQ35" s="45"/>
    </row>
    <row r="36" spans="2:43" x14ac:dyDescent="0.2">
      <c r="B36" s="26" t="str">
        <f t="shared" ref="B36:B53" si="6">"y(" &amp; D36 &amp; ")"</f>
        <v>y(3)</v>
      </c>
      <c r="C36" s="45">
        <f t="shared" ref="C36:C37" si="7">VLOOKUP(D36,$B$12:$C$20,2,0)</f>
        <v>4.4685005659999999E-2</v>
      </c>
      <c r="D36" s="45">
        <f t="shared" si="3"/>
        <v>3</v>
      </c>
      <c r="F36" s="70"/>
      <c r="G36" s="71"/>
      <c r="H36" s="71"/>
      <c r="I36" s="71"/>
      <c r="J36" s="71"/>
      <c r="K36" s="71"/>
      <c r="L36" s="71"/>
      <c r="M36" s="71"/>
      <c r="N36" s="65">
        <f>time^3</f>
        <v>27</v>
      </c>
      <c r="O36" s="66">
        <f>time^2</f>
        <v>9</v>
      </c>
      <c r="P36" s="66">
        <f>time^1</f>
        <v>3</v>
      </c>
      <c r="Q36" s="66">
        <f>time^0</f>
        <v>1</v>
      </c>
      <c r="R36" s="66">
        <v>0</v>
      </c>
      <c r="S36" s="66">
        <v>0</v>
      </c>
      <c r="T36" s="66">
        <v>0</v>
      </c>
      <c r="U36" s="67">
        <v>0</v>
      </c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2"/>
      <c r="AM36" s="45" t="str">
        <f>"a_"&amp; time</f>
        <v>a_3</v>
      </c>
      <c r="AN36" s="69">
        <v>4.3697091013100166E-4</v>
      </c>
      <c r="AO36" s="45"/>
      <c r="AP36" s="45"/>
      <c r="AQ36" s="45"/>
    </row>
    <row r="37" spans="2:43" x14ac:dyDescent="0.2">
      <c r="B37" s="26" t="str">
        <f t="shared" si="0"/>
        <v>y(3)</v>
      </c>
      <c r="C37" s="45">
        <f t="shared" si="7"/>
        <v>4.4685005659999999E-2</v>
      </c>
      <c r="D37" s="45">
        <f t="shared" si="3"/>
        <v>3</v>
      </c>
      <c r="E37" s="26"/>
      <c r="F37" s="76"/>
      <c r="G37" s="77"/>
      <c r="H37" s="77"/>
      <c r="I37" s="77"/>
      <c r="J37" s="77"/>
      <c r="K37" s="77"/>
      <c r="L37" s="77"/>
      <c r="M37" s="77"/>
      <c r="N37" s="70">
        <v>0</v>
      </c>
      <c r="O37" s="71">
        <v>0</v>
      </c>
      <c r="P37" s="71">
        <v>0</v>
      </c>
      <c r="Q37" s="71">
        <v>0</v>
      </c>
      <c r="R37" s="71">
        <f>time^3</f>
        <v>27</v>
      </c>
      <c r="S37" s="71">
        <f>time^2</f>
        <v>9</v>
      </c>
      <c r="T37" s="71">
        <f>time^1</f>
        <v>3</v>
      </c>
      <c r="U37" s="72">
        <f>time^0</f>
        <v>1</v>
      </c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2"/>
      <c r="AM37" s="45" t="str">
        <f>"b_"&amp; time</f>
        <v>b_3</v>
      </c>
      <c r="AN37" s="69">
        <v>1.0765825950435676E-3</v>
      </c>
      <c r="AO37" s="45"/>
      <c r="AP37" s="45"/>
      <c r="AQ37" s="45"/>
    </row>
    <row r="38" spans="2:43" x14ac:dyDescent="0.2">
      <c r="B38" s="26" t="str">
        <f t="shared" ref="B38" si="8">"y'(" &amp; D38 &amp; ")"</f>
        <v>y'(3)</v>
      </c>
      <c r="C38" s="45">
        <v>0</v>
      </c>
      <c r="D38" s="45">
        <f t="shared" si="3"/>
        <v>3</v>
      </c>
      <c r="F38" s="70"/>
      <c r="G38" s="78"/>
      <c r="H38" s="71"/>
      <c r="I38" s="71"/>
      <c r="J38" s="71"/>
      <c r="K38" s="71"/>
      <c r="L38" s="71"/>
      <c r="M38" s="71"/>
      <c r="N38" s="70">
        <f>3*time^2</f>
        <v>27</v>
      </c>
      <c r="O38" s="71">
        <f>2*time</f>
        <v>6</v>
      </c>
      <c r="P38" s="71">
        <f>time^0</f>
        <v>1</v>
      </c>
      <c r="Q38" s="71">
        <v>0</v>
      </c>
      <c r="R38" s="71">
        <f>-3*time^2</f>
        <v>-27</v>
      </c>
      <c r="S38" s="71">
        <f>-2*time</f>
        <v>-6</v>
      </c>
      <c r="T38" s="71">
        <f>-(time^0)</f>
        <v>-1</v>
      </c>
      <c r="U38" s="72">
        <v>0</v>
      </c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2"/>
      <c r="AM38" s="45" t="str">
        <f>"c_"&amp; time</f>
        <v>c_3</v>
      </c>
      <c r="AN38" s="69">
        <v>8.2637205135232454E-4</v>
      </c>
      <c r="AO38" s="45"/>
      <c r="AP38" s="45"/>
      <c r="AQ38" s="45"/>
    </row>
    <row r="39" spans="2:43" x14ac:dyDescent="0.2">
      <c r="B39" s="26" t="str">
        <f t="shared" ref="B39" si="9">"y''(" &amp; D39 &amp; ")"</f>
        <v>y''(3)</v>
      </c>
      <c r="C39" s="45">
        <v>0</v>
      </c>
      <c r="D39" s="45">
        <f t="shared" si="3"/>
        <v>3</v>
      </c>
      <c r="F39" s="70"/>
      <c r="G39" s="78"/>
      <c r="H39" s="71"/>
      <c r="I39" s="71"/>
      <c r="J39" s="71"/>
      <c r="K39" s="71"/>
      <c r="L39" s="71"/>
      <c r="M39" s="71"/>
      <c r="N39" s="73">
        <f>2*3*time^1</f>
        <v>18</v>
      </c>
      <c r="O39" s="74">
        <f>2*time^0</f>
        <v>2</v>
      </c>
      <c r="P39" s="74">
        <v>0</v>
      </c>
      <c r="Q39" s="74">
        <v>0</v>
      </c>
      <c r="R39" s="74">
        <f>-2*3*time^1</f>
        <v>-18</v>
      </c>
      <c r="S39" s="74">
        <f>-2*time^0</f>
        <v>-2</v>
      </c>
      <c r="T39" s="74">
        <v>0</v>
      </c>
      <c r="U39" s="75">
        <v>0</v>
      </c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2"/>
      <c r="AM39" s="45" t="str">
        <f>"d_"&amp; time</f>
        <v>d_3</v>
      </c>
      <c r="AN39" s="69">
        <v>5.1053899318857343E-4</v>
      </c>
      <c r="AO39" s="45"/>
      <c r="AP39" s="45"/>
      <c r="AQ39" s="45"/>
    </row>
    <row r="40" spans="2:43" x14ac:dyDescent="0.2">
      <c r="B40" s="26" t="str">
        <f t="shared" si="6"/>
        <v>y(4)</v>
      </c>
      <c r="C40" s="45">
        <f t="shared" ref="C40:C41" si="10">VLOOKUP(D40,$B$12:$C$20,2,0)</f>
        <v>5.1500715240000002E-2</v>
      </c>
      <c r="D40" s="45">
        <f t="shared" si="3"/>
        <v>4</v>
      </c>
      <c r="F40" s="70"/>
      <c r="G40" s="78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65">
        <f>time^3</f>
        <v>64</v>
      </c>
      <c r="S40" s="66">
        <f>time^2</f>
        <v>16</v>
      </c>
      <c r="T40" s="66">
        <f>time^1</f>
        <v>4</v>
      </c>
      <c r="U40" s="66">
        <f>time^0</f>
        <v>1</v>
      </c>
      <c r="V40" s="66">
        <v>0</v>
      </c>
      <c r="W40" s="66">
        <v>0</v>
      </c>
      <c r="X40" s="66">
        <v>0</v>
      </c>
      <c r="Y40" s="67">
        <v>0</v>
      </c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2"/>
      <c r="AM40" s="45" t="str">
        <f>"a_"&amp; time</f>
        <v>a_4</v>
      </c>
      <c r="AN40" s="69">
        <v>1.2791698714492505E-4</v>
      </c>
      <c r="AO40" s="45"/>
      <c r="AP40" s="45"/>
      <c r="AQ40" s="45"/>
    </row>
    <row r="41" spans="2:43" x14ac:dyDescent="0.2">
      <c r="B41" s="26" t="str">
        <f t="shared" si="6"/>
        <v>y(4)</v>
      </c>
      <c r="C41" s="45">
        <f t="shared" si="10"/>
        <v>5.1500715240000002E-2</v>
      </c>
      <c r="D41" s="45">
        <f t="shared" si="3"/>
        <v>4</v>
      </c>
      <c r="F41" s="70"/>
      <c r="G41" s="78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>
        <v>0</v>
      </c>
      <c r="S41" s="71">
        <v>0</v>
      </c>
      <c r="T41" s="71">
        <v>0</v>
      </c>
      <c r="U41" s="71">
        <v>0</v>
      </c>
      <c r="V41" s="71">
        <f>time^3</f>
        <v>64</v>
      </c>
      <c r="W41" s="71">
        <f>time^2</f>
        <v>16</v>
      </c>
      <c r="X41" s="71">
        <f>time^1</f>
        <v>4</v>
      </c>
      <c r="Y41" s="72">
        <f>time^0</f>
        <v>1</v>
      </c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2"/>
      <c r="AM41" s="45" t="str">
        <f>"b_"&amp; time</f>
        <v>b_4</v>
      </c>
      <c r="AN41" s="69">
        <v>1.9089126300750416E-3</v>
      </c>
      <c r="AO41" s="45"/>
      <c r="AP41" s="45"/>
      <c r="AQ41" s="45"/>
    </row>
    <row r="42" spans="2:43" s="26" customFormat="1" x14ac:dyDescent="0.2">
      <c r="B42" s="26" t="str">
        <f t="shared" ref="B42:B54" si="11">"y'(" &amp; D42 &amp; ")"</f>
        <v>y'(4)</v>
      </c>
      <c r="C42" s="45">
        <v>0</v>
      </c>
      <c r="D42" s="45">
        <f t="shared" si="3"/>
        <v>4</v>
      </c>
      <c r="E42" s="45"/>
      <c r="F42" s="70"/>
      <c r="G42" s="78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>
        <f>3*time^2</f>
        <v>48</v>
      </c>
      <c r="S42" s="71">
        <f>2*time</f>
        <v>8</v>
      </c>
      <c r="T42" s="71">
        <f>time^0</f>
        <v>1</v>
      </c>
      <c r="U42" s="71">
        <v>0</v>
      </c>
      <c r="V42" s="71">
        <f>-3*time^2</f>
        <v>-48</v>
      </c>
      <c r="W42" s="71">
        <f>-2*time</f>
        <v>-8</v>
      </c>
      <c r="X42" s="71">
        <f>-(time^0)</f>
        <v>-1</v>
      </c>
      <c r="Y42" s="72">
        <v>0</v>
      </c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9"/>
      <c r="AM42" s="45" t="str">
        <f>"c_"&amp; time</f>
        <v>c_4</v>
      </c>
      <c r="AN42" s="69">
        <v>1.0976767001326384E-3</v>
      </c>
    </row>
    <row r="43" spans="2:43" x14ac:dyDescent="0.2">
      <c r="B43" s="26" t="str">
        <f t="shared" ref="B43:B59" si="12">"y''(" &amp; D43 &amp; ")"</f>
        <v>y''(4)</v>
      </c>
      <c r="C43" s="45">
        <v>0</v>
      </c>
      <c r="D43" s="45">
        <f t="shared" si="3"/>
        <v>4</v>
      </c>
      <c r="F43" s="70"/>
      <c r="G43" s="78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3">
        <f>2*3*time^1</f>
        <v>24</v>
      </c>
      <c r="S43" s="74">
        <f>2*time^0</f>
        <v>2</v>
      </c>
      <c r="T43" s="74">
        <v>0</v>
      </c>
      <c r="U43" s="74">
        <v>0</v>
      </c>
      <c r="V43" s="74">
        <f>-2*3*time^1</f>
        <v>-24</v>
      </c>
      <c r="W43" s="74">
        <f>-2*time^0</f>
        <v>-2</v>
      </c>
      <c r="X43" s="74">
        <v>0</v>
      </c>
      <c r="Y43" s="75">
        <v>0</v>
      </c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2"/>
      <c r="AM43" s="45" t="str">
        <f>"d_"&amp; time</f>
        <v>d_4</v>
      </c>
      <c r="AN43" s="69">
        <v>4.8111707959180502E-4</v>
      </c>
      <c r="AO43" s="45"/>
      <c r="AP43" s="45"/>
      <c r="AQ43" s="45"/>
    </row>
    <row r="44" spans="2:43" x14ac:dyDescent="0.2">
      <c r="B44" s="26" t="str">
        <f t="shared" si="6"/>
        <v>y(5)</v>
      </c>
      <c r="C44" s="45">
        <f t="shared" ref="C44:C58" si="13">VLOOKUP(D44,$B$12:$C$20,2,0)</f>
        <v>5.8316424819999997E-2</v>
      </c>
      <c r="D44" s="45">
        <f t="shared" si="3"/>
        <v>5</v>
      </c>
      <c r="F44" s="70"/>
      <c r="G44" s="78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65">
        <f>time^3</f>
        <v>125</v>
      </c>
      <c r="W44" s="66">
        <f>time^2</f>
        <v>25</v>
      </c>
      <c r="X44" s="66">
        <f>time^1</f>
        <v>5</v>
      </c>
      <c r="Y44" s="66">
        <f>time^0</f>
        <v>1</v>
      </c>
      <c r="Z44" s="66">
        <v>0</v>
      </c>
      <c r="AA44" s="66">
        <v>0</v>
      </c>
      <c r="AB44" s="66">
        <v>0</v>
      </c>
      <c r="AC44" s="67">
        <v>0</v>
      </c>
      <c r="AD44" s="71"/>
      <c r="AE44" s="71"/>
      <c r="AF44" s="71"/>
      <c r="AG44" s="71"/>
      <c r="AH44" s="71"/>
      <c r="AI44" s="63"/>
      <c r="AJ44" s="71"/>
      <c r="AK44" s="72"/>
      <c r="AM44" s="45" t="str">
        <f>"a_"&amp; time</f>
        <v>a_5</v>
      </c>
      <c r="AN44" s="69">
        <v>-1.2139295817215997E-4</v>
      </c>
      <c r="AO44" s="45"/>
      <c r="AP44" s="45"/>
      <c r="AQ44" s="45"/>
    </row>
    <row r="45" spans="2:43" x14ac:dyDescent="0.2">
      <c r="B45" s="26" t="str">
        <f t="shared" si="6"/>
        <v>y(5)</v>
      </c>
      <c r="C45" s="45">
        <f t="shared" si="13"/>
        <v>5.8316424819999997E-2</v>
      </c>
      <c r="D45" s="45">
        <f t="shared" si="3"/>
        <v>5</v>
      </c>
      <c r="F45" s="70"/>
      <c r="G45" s="78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0">
        <v>0</v>
      </c>
      <c r="W45" s="71">
        <v>0</v>
      </c>
      <c r="X45" s="71">
        <v>0</v>
      </c>
      <c r="Y45" s="71">
        <v>0</v>
      </c>
      <c r="Z45" s="71">
        <f>time^3</f>
        <v>125</v>
      </c>
      <c r="AA45" s="71">
        <f>time^2</f>
        <v>25</v>
      </c>
      <c r="AB45" s="71">
        <f>time^1</f>
        <v>5</v>
      </c>
      <c r="AC45" s="72">
        <f>time^0</f>
        <v>1</v>
      </c>
      <c r="AD45" s="71"/>
      <c r="AE45" s="71"/>
      <c r="AF45" s="71"/>
      <c r="AG45" s="71"/>
      <c r="AH45" s="71"/>
      <c r="AI45" s="63"/>
      <c r="AJ45" s="71"/>
      <c r="AK45" s="72"/>
      <c r="AM45" s="45" t="str">
        <f>"b_"&amp; time</f>
        <v>b_5</v>
      </c>
      <c r="AN45" s="69">
        <v>2.8545103371257329E-3</v>
      </c>
      <c r="AO45" s="45"/>
      <c r="AP45" s="45"/>
      <c r="AQ45" s="45"/>
    </row>
    <row r="46" spans="2:43" x14ac:dyDescent="0.2">
      <c r="B46" s="26" t="str">
        <f t="shared" si="11"/>
        <v>y'(5)</v>
      </c>
      <c r="C46" s="45">
        <v>0</v>
      </c>
      <c r="D46" s="45">
        <f t="shared" si="3"/>
        <v>5</v>
      </c>
      <c r="F46" s="70"/>
      <c r="G46" s="78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0">
        <f>3*time^2</f>
        <v>75</v>
      </c>
      <c r="W46" s="71">
        <f>2*time</f>
        <v>10</v>
      </c>
      <c r="X46" s="71">
        <f>time^0</f>
        <v>1</v>
      </c>
      <c r="Y46" s="71">
        <v>0</v>
      </c>
      <c r="Z46" s="71">
        <f>-3*time^2</f>
        <v>-75</v>
      </c>
      <c r="AA46" s="71">
        <f>-2*time</f>
        <v>-10</v>
      </c>
      <c r="AB46" s="71">
        <f>-(time^0)</f>
        <v>-1</v>
      </c>
      <c r="AC46" s="72">
        <v>0</v>
      </c>
      <c r="AD46" s="71"/>
      <c r="AE46" s="71"/>
      <c r="AF46" s="71"/>
      <c r="AG46" s="71"/>
      <c r="AH46" s="71"/>
      <c r="AI46" s="63"/>
      <c r="AJ46" s="71"/>
      <c r="AK46" s="72"/>
      <c r="AM46" s="45" t="str">
        <f>"c_"&amp; time</f>
        <v>c_5</v>
      </c>
      <c r="AN46" s="69">
        <v>1.2726699077089218E-3</v>
      </c>
      <c r="AO46" s="45"/>
      <c r="AP46" s="45"/>
      <c r="AQ46" s="45"/>
    </row>
    <row r="47" spans="2:43" x14ac:dyDescent="0.2">
      <c r="B47" s="26" t="str">
        <f t="shared" si="12"/>
        <v>y''(5)</v>
      </c>
      <c r="C47" s="45">
        <v>0</v>
      </c>
      <c r="D47" s="45">
        <f t="shared" si="3"/>
        <v>5</v>
      </c>
      <c r="F47" s="70"/>
      <c r="G47" s="78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3">
        <f>2*3*time^1</f>
        <v>30</v>
      </c>
      <c r="W47" s="74">
        <f>2*time^0</f>
        <v>2</v>
      </c>
      <c r="X47" s="74">
        <v>0</v>
      </c>
      <c r="Y47" s="74">
        <v>0</v>
      </c>
      <c r="Z47" s="74">
        <f>-2*3*time^1</f>
        <v>-30</v>
      </c>
      <c r="AA47" s="74">
        <f>-2*time^0</f>
        <v>-2</v>
      </c>
      <c r="AB47" s="74">
        <v>0</v>
      </c>
      <c r="AC47" s="75">
        <v>0</v>
      </c>
      <c r="AD47" s="71"/>
      <c r="AE47" s="71"/>
      <c r="AF47" s="71"/>
      <c r="AG47" s="71"/>
      <c r="AH47" s="71"/>
      <c r="AI47" s="63"/>
      <c r="AJ47" s="71"/>
      <c r="AK47" s="72"/>
      <c r="AM47" s="45" t="str">
        <f>"d_"&amp; time</f>
        <v>d_5</v>
      </c>
      <c r="AN47" s="69">
        <v>4.2917446539963451E-4</v>
      </c>
      <c r="AO47" s="45"/>
      <c r="AP47" s="45"/>
      <c r="AQ47" s="45"/>
    </row>
    <row r="48" spans="2:43" x14ac:dyDescent="0.2">
      <c r="B48" s="26" t="str">
        <f t="shared" si="6"/>
        <v>y(7)</v>
      </c>
      <c r="C48" s="45">
        <f t="shared" ref="C48:C49" si="14">VLOOKUP(D48,$B$12:$C$20,2,0)</f>
        <v>6.51321344E-2</v>
      </c>
      <c r="D48" s="45">
        <v>7</v>
      </c>
      <c r="F48" s="70"/>
      <c r="G48" s="78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65">
        <f>time^3</f>
        <v>343</v>
      </c>
      <c r="AA48" s="66">
        <f>time^2</f>
        <v>49</v>
      </c>
      <c r="AB48" s="66">
        <f>time^1</f>
        <v>7</v>
      </c>
      <c r="AC48" s="66">
        <f>time^0</f>
        <v>1</v>
      </c>
      <c r="AD48" s="66">
        <v>0</v>
      </c>
      <c r="AE48" s="66">
        <v>0</v>
      </c>
      <c r="AF48" s="66">
        <v>0</v>
      </c>
      <c r="AG48" s="67">
        <v>0</v>
      </c>
      <c r="AH48" s="71"/>
      <c r="AI48" s="63"/>
      <c r="AJ48" s="71"/>
      <c r="AK48" s="72"/>
      <c r="AM48" s="45" t="str">
        <f>"a_"&amp; time</f>
        <v>a_7</v>
      </c>
      <c r="AN48" s="69">
        <v>-9.5572170044169735E-4</v>
      </c>
      <c r="AO48" s="45"/>
      <c r="AP48" s="45"/>
      <c r="AQ48" s="45"/>
    </row>
    <row r="49" spans="2:40" s="45" customFormat="1" x14ac:dyDescent="0.2">
      <c r="B49" s="26" t="str">
        <f t="shared" si="6"/>
        <v>y(7)</v>
      </c>
      <c r="C49" s="45">
        <f t="shared" si="14"/>
        <v>6.51321344E-2</v>
      </c>
      <c r="D49" s="45">
        <v>7</v>
      </c>
      <c r="F49" s="70"/>
      <c r="G49" s="78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0">
        <v>0</v>
      </c>
      <c r="AA49" s="71">
        <v>0</v>
      </c>
      <c r="AB49" s="71">
        <v>0</v>
      </c>
      <c r="AC49" s="71">
        <v>0</v>
      </c>
      <c r="AD49" s="71">
        <f>time^3</f>
        <v>343</v>
      </c>
      <c r="AE49" s="71">
        <f>time^2</f>
        <v>49</v>
      </c>
      <c r="AF49" s="71">
        <f>time^1</f>
        <v>7</v>
      </c>
      <c r="AG49" s="72">
        <f>time^0</f>
        <v>1</v>
      </c>
      <c r="AH49" s="71"/>
      <c r="AI49" s="63"/>
      <c r="AJ49" s="71"/>
      <c r="AK49" s="72"/>
      <c r="AM49" s="45" t="str">
        <f>"b_"&amp; time</f>
        <v>b_7</v>
      </c>
      <c r="AN49" s="69">
        <v>6.7757398148075888E-3</v>
      </c>
    </row>
    <row r="50" spans="2:40" s="45" customFormat="1" x14ac:dyDescent="0.2">
      <c r="B50" s="26" t="str">
        <f t="shared" si="11"/>
        <v>y'(7)</v>
      </c>
      <c r="C50" s="45">
        <v>0</v>
      </c>
      <c r="D50" s="45">
        <v>7</v>
      </c>
      <c r="F50" s="70"/>
      <c r="G50" s="78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0">
        <f>3*time^2</f>
        <v>147</v>
      </c>
      <c r="AA50" s="71">
        <f>2*time</f>
        <v>14</v>
      </c>
      <c r="AB50" s="71">
        <f>time^0</f>
        <v>1</v>
      </c>
      <c r="AC50" s="71">
        <v>0</v>
      </c>
      <c r="AD50" s="71">
        <f>-3*time^2</f>
        <v>-147</v>
      </c>
      <c r="AE50" s="71">
        <f>-2*time</f>
        <v>-14</v>
      </c>
      <c r="AF50" s="71">
        <f>-(time^0)</f>
        <v>-1</v>
      </c>
      <c r="AG50" s="72">
        <v>0</v>
      </c>
      <c r="AH50" s="71"/>
      <c r="AI50" s="63"/>
      <c r="AJ50" s="71"/>
      <c r="AK50" s="72"/>
      <c r="AM50" s="45" t="str">
        <f>"c_"&amp; time</f>
        <v>c_7</v>
      </c>
      <c r="AN50" s="69">
        <v>2.2717573425505089E-3</v>
      </c>
    </row>
    <row r="51" spans="2:40" s="45" customFormat="1" x14ac:dyDescent="0.2">
      <c r="B51" s="26" t="str">
        <f t="shared" si="12"/>
        <v>y''(7)</v>
      </c>
      <c r="C51" s="45">
        <v>0</v>
      </c>
      <c r="D51" s="45">
        <v>7</v>
      </c>
      <c r="F51" s="70"/>
      <c r="G51" s="78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3">
        <f>2*3*time^1</f>
        <v>42</v>
      </c>
      <c r="AA51" s="74">
        <f>2*time^0</f>
        <v>2</v>
      </c>
      <c r="AB51" s="74">
        <v>0</v>
      </c>
      <c r="AC51" s="74">
        <v>0</v>
      </c>
      <c r="AD51" s="74">
        <f>-2*3*time^1</f>
        <v>-42</v>
      </c>
      <c r="AE51" s="74">
        <f>-2*time^0</f>
        <v>-2</v>
      </c>
      <c r="AF51" s="74">
        <v>0</v>
      </c>
      <c r="AG51" s="75">
        <v>0</v>
      </c>
      <c r="AH51" s="71"/>
      <c r="AI51" s="63"/>
      <c r="AJ51" s="71"/>
      <c r="AK51" s="72"/>
      <c r="AM51" s="45" t="str">
        <f>"d_"&amp; time</f>
        <v>d_7</v>
      </c>
      <c r="AN51" s="69">
        <v>5.8357827845356626E-4</v>
      </c>
    </row>
    <row r="52" spans="2:40" s="45" customFormat="1" x14ac:dyDescent="0.2">
      <c r="B52" s="26" t="str">
        <f t="shared" si="6"/>
        <v>y(10)</v>
      </c>
      <c r="C52" s="45">
        <f t="shared" ref="C52:C53" si="15">VLOOKUP(D52,$B$12:$C$20,2,0)</f>
        <v>6.7430707199999995E-2</v>
      </c>
      <c r="D52" s="45">
        <v>10</v>
      </c>
      <c r="F52" s="70"/>
      <c r="G52" s="78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65">
        <f>time^3</f>
        <v>1000</v>
      </c>
      <c r="AE52" s="66">
        <f>time^2</f>
        <v>100</v>
      </c>
      <c r="AF52" s="66">
        <f>time^1</f>
        <v>10</v>
      </c>
      <c r="AG52" s="66">
        <f>time^0</f>
        <v>1</v>
      </c>
      <c r="AH52" s="66">
        <v>0</v>
      </c>
      <c r="AI52" s="66">
        <v>0</v>
      </c>
      <c r="AJ52" s="66">
        <v>0</v>
      </c>
      <c r="AK52" s="67">
        <v>0</v>
      </c>
      <c r="AM52" s="45" t="str">
        <f>"a_"&amp; time</f>
        <v>a_10</v>
      </c>
      <c r="AN52" s="69">
        <v>-5.2512154040262894E-5</v>
      </c>
    </row>
    <row r="53" spans="2:40" s="45" customFormat="1" x14ac:dyDescent="0.2">
      <c r="B53" s="26" t="str">
        <f t="shared" si="6"/>
        <v>y(10)</v>
      </c>
      <c r="C53" s="45">
        <f t="shared" si="15"/>
        <v>6.7430707199999995E-2</v>
      </c>
      <c r="D53" s="45">
        <v>10</v>
      </c>
      <c r="F53" s="70"/>
      <c r="G53" s="78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7"/>
      <c r="W53" s="77"/>
      <c r="X53" s="77"/>
      <c r="Y53" s="77"/>
      <c r="Z53" s="77"/>
      <c r="AA53" s="77"/>
      <c r="AB53" s="77"/>
      <c r="AC53" s="77"/>
      <c r="AD53" s="70">
        <v>0</v>
      </c>
      <c r="AE53" s="71">
        <v>0</v>
      </c>
      <c r="AF53" s="71">
        <v>0</v>
      </c>
      <c r="AG53" s="71">
        <v>0</v>
      </c>
      <c r="AH53" s="71">
        <f>time^3</f>
        <v>1000</v>
      </c>
      <c r="AI53" s="71">
        <f>time^2</f>
        <v>100</v>
      </c>
      <c r="AJ53" s="71">
        <f>time^1</f>
        <v>10</v>
      </c>
      <c r="AK53" s="72">
        <f>time^0</f>
        <v>1</v>
      </c>
      <c r="AM53" s="45" t="str">
        <f>"b_"&amp; time</f>
        <v>b_10</v>
      </c>
      <c r="AN53" s="69">
        <v>8.6247481724226335E-4</v>
      </c>
    </row>
    <row r="54" spans="2:40" s="45" customFormat="1" x14ac:dyDescent="0.2">
      <c r="B54" s="26" t="str">
        <f t="shared" si="11"/>
        <v>y'(10)</v>
      </c>
      <c r="C54" s="45">
        <v>0</v>
      </c>
      <c r="D54" s="45">
        <v>10</v>
      </c>
      <c r="F54" s="70"/>
      <c r="G54" s="78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8"/>
      <c r="X54" s="71"/>
      <c r="Y54" s="71"/>
      <c r="Z54" s="71"/>
      <c r="AA54" s="71"/>
      <c r="AB54" s="71"/>
      <c r="AC54" s="71"/>
      <c r="AD54" s="70">
        <f>3*time^2</f>
        <v>300</v>
      </c>
      <c r="AE54" s="71">
        <f>2*time</f>
        <v>20</v>
      </c>
      <c r="AF54" s="71">
        <f>time^0</f>
        <v>1</v>
      </c>
      <c r="AG54" s="71">
        <v>0</v>
      </c>
      <c r="AH54" s="71">
        <f>-3*time^2</f>
        <v>-300</v>
      </c>
      <c r="AI54" s="71">
        <f>-2*time</f>
        <v>-20</v>
      </c>
      <c r="AJ54" s="71">
        <f>-(time^0)</f>
        <v>-1</v>
      </c>
      <c r="AK54" s="72">
        <v>0</v>
      </c>
      <c r="AM54" s="45" t="str">
        <f>"c_"&amp; time</f>
        <v>c_10</v>
      </c>
      <c r="AN54" s="69">
        <v>-1.5848655310924964E-4</v>
      </c>
    </row>
    <row r="55" spans="2:40" s="45" customFormat="1" x14ac:dyDescent="0.2">
      <c r="B55" s="26" t="str">
        <f t="shared" si="12"/>
        <v>y''(10)</v>
      </c>
      <c r="C55" s="45">
        <v>0</v>
      </c>
      <c r="D55" s="45">
        <v>10</v>
      </c>
      <c r="F55" s="70"/>
      <c r="G55" s="78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8"/>
      <c r="X55" s="71"/>
      <c r="Y55" s="71"/>
      <c r="Z55" s="71"/>
      <c r="AA55" s="71"/>
      <c r="AB55" s="71"/>
      <c r="AC55" s="71"/>
      <c r="AD55" s="73">
        <f>2*3*time^1</f>
        <v>60</v>
      </c>
      <c r="AE55" s="74">
        <f>2*time^0</f>
        <v>2</v>
      </c>
      <c r="AF55" s="74">
        <v>0</v>
      </c>
      <c r="AG55" s="74">
        <v>0</v>
      </c>
      <c r="AH55" s="74">
        <f>-2*3*time^1</f>
        <v>-60</v>
      </c>
      <c r="AI55" s="74">
        <f>-2*time^0</f>
        <v>-2</v>
      </c>
      <c r="AJ55" s="74">
        <v>0</v>
      </c>
      <c r="AK55" s="75">
        <v>0</v>
      </c>
      <c r="AM55" s="45" t="str">
        <f>"d_"&amp; time</f>
        <v>d_10</v>
      </c>
      <c r="AN55" s="69">
        <v>-5.4854428804596831E-5</v>
      </c>
    </row>
    <row r="56" spans="2:40" s="45" customFormat="1" x14ac:dyDescent="0.2">
      <c r="B56" s="26" t="str">
        <f t="shared" ref="B56" si="16">"y(" &amp; D56 &amp; ")"</f>
        <v>y(0)</v>
      </c>
      <c r="C56" s="45">
        <f t="shared" si="13"/>
        <v>0</v>
      </c>
      <c r="D56" s="45">
        <v>0</v>
      </c>
      <c r="F56" s="80">
        <f>time^3</f>
        <v>0</v>
      </c>
      <c r="G56" s="81">
        <f>time^2</f>
        <v>0</v>
      </c>
      <c r="H56" s="81">
        <f>time^1</f>
        <v>0</v>
      </c>
      <c r="I56" s="82">
        <v>1</v>
      </c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8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2"/>
      <c r="AM56" s="45" t="s">
        <v>197</v>
      </c>
      <c r="AN56" s="69">
        <v>-1.0687934822827866E-4</v>
      </c>
    </row>
    <row r="57" spans="2:40" s="45" customFormat="1" x14ac:dyDescent="0.2">
      <c r="B57" s="26" t="str">
        <f t="shared" si="12"/>
        <v>y''(0)</v>
      </c>
      <c r="C57" s="45">
        <v>0</v>
      </c>
      <c r="D57" s="45">
        <v>0</v>
      </c>
      <c r="F57" s="80">
        <f>2*3*time^1</f>
        <v>0</v>
      </c>
      <c r="G57" s="81">
        <f>2*1</f>
        <v>2</v>
      </c>
      <c r="H57" s="81">
        <v>0</v>
      </c>
      <c r="I57" s="82">
        <v>0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8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63"/>
      <c r="AJ57" s="71"/>
      <c r="AK57" s="72"/>
      <c r="AM57" s="45" t="s">
        <v>198</v>
      </c>
      <c r="AN57" s="69">
        <v>4.2282350775342042E-3</v>
      </c>
    </row>
    <row r="58" spans="2:40" s="45" customFormat="1" x14ac:dyDescent="0.2">
      <c r="B58" s="26" t="str">
        <f t="shared" ref="B58" si="17">"y(" &amp; D58 &amp; ")"</f>
        <v>y(30)</v>
      </c>
      <c r="C58" s="45">
        <f t="shared" si="13"/>
        <v>0.08</v>
      </c>
      <c r="D58" s="45">
        <v>30</v>
      </c>
      <c r="F58" s="70"/>
      <c r="G58" s="78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8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80">
        <f>time^3</f>
        <v>27000</v>
      </c>
      <c r="AI58" s="81">
        <f>time^2</f>
        <v>900</v>
      </c>
      <c r="AJ58" s="81">
        <f>time^1</f>
        <v>30</v>
      </c>
      <c r="AK58" s="82">
        <f>time^0</f>
        <v>1</v>
      </c>
      <c r="AM58" s="45" t="str">
        <f>"c_"&amp; time</f>
        <v>c_30</v>
      </c>
      <c r="AN58" s="69">
        <v>-2.7892578867593925E-2</v>
      </c>
    </row>
    <row r="59" spans="2:40" s="45" customFormat="1" x14ac:dyDescent="0.2">
      <c r="B59" s="26" t="str">
        <f t="shared" si="12"/>
        <v>y''(30)</v>
      </c>
      <c r="C59" s="45">
        <v>0</v>
      </c>
      <c r="D59" s="45">
        <v>30</v>
      </c>
      <c r="F59" s="73"/>
      <c r="G59" s="83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83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80">
        <f>2*3*time^1</f>
        <v>180</v>
      </c>
      <c r="AI59" s="81">
        <f>2*time^0</f>
        <v>2</v>
      </c>
      <c r="AJ59" s="81">
        <v>0</v>
      </c>
      <c r="AK59" s="82">
        <v>0</v>
      </c>
      <c r="AM59" s="45" t="str">
        <f>"d_"&amp; time</f>
        <v>d_30</v>
      </c>
      <c r="AN59" s="69">
        <v>-3.7656018538891282E-3</v>
      </c>
    </row>
    <row r="60" spans="2:40" s="45" customFormat="1" x14ac:dyDescent="0.2">
      <c r="G60" s="84"/>
    </row>
    <row r="61" spans="2:40" s="45" customFormat="1" x14ac:dyDescent="0.2">
      <c r="G61" s="84"/>
    </row>
    <row r="62" spans="2:40" s="45" customFormat="1" x14ac:dyDescent="0.2">
      <c r="G62" s="84"/>
    </row>
    <row r="63" spans="2:40" s="45" customFormat="1" x14ac:dyDescent="0.2">
      <c r="G63" s="84"/>
    </row>
    <row r="64" spans="2:40" s="45" customFormat="1" x14ac:dyDescent="0.2">
      <c r="G64" s="84"/>
    </row>
    <row r="65" spans="6:37" s="45" customFormat="1" x14ac:dyDescent="0.2">
      <c r="F65" s="71">
        <f>IF(ISBLANK(F28),0,F28)</f>
        <v>1</v>
      </c>
      <c r="G65" s="71">
        <f t="shared" ref="G65:AK65" si="18">IF(ISBLANK(G28),0,G28)</f>
        <v>1</v>
      </c>
      <c r="H65" s="71">
        <f t="shared" si="18"/>
        <v>1</v>
      </c>
      <c r="I65" s="71">
        <f t="shared" si="18"/>
        <v>1</v>
      </c>
      <c r="J65" s="71">
        <f t="shared" si="18"/>
        <v>0</v>
      </c>
      <c r="K65" s="71">
        <f t="shared" si="18"/>
        <v>0</v>
      </c>
      <c r="L65" s="71">
        <f t="shared" si="18"/>
        <v>0</v>
      </c>
      <c r="M65" s="71">
        <f t="shared" si="18"/>
        <v>0</v>
      </c>
      <c r="N65" s="71">
        <f t="shared" si="18"/>
        <v>0</v>
      </c>
      <c r="O65" s="71">
        <f t="shared" si="18"/>
        <v>0</v>
      </c>
      <c r="P65" s="71">
        <f t="shared" si="18"/>
        <v>0</v>
      </c>
      <c r="Q65" s="71">
        <f t="shared" si="18"/>
        <v>0</v>
      </c>
      <c r="R65" s="71">
        <f t="shared" si="18"/>
        <v>0</v>
      </c>
      <c r="S65" s="71">
        <f t="shared" si="18"/>
        <v>0</v>
      </c>
      <c r="T65" s="71">
        <f t="shared" si="18"/>
        <v>0</v>
      </c>
      <c r="U65" s="71">
        <f t="shared" si="18"/>
        <v>0</v>
      </c>
      <c r="V65" s="71">
        <f t="shared" si="18"/>
        <v>0</v>
      </c>
      <c r="W65" s="71">
        <f t="shared" si="18"/>
        <v>0</v>
      </c>
      <c r="X65" s="71">
        <f t="shared" si="18"/>
        <v>0</v>
      </c>
      <c r="Y65" s="71">
        <f t="shared" si="18"/>
        <v>0</v>
      </c>
      <c r="Z65" s="71">
        <f t="shared" si="18"/>
        <v>0</v>
      </c>
      <c r="AA65" s="71">
        <f t="shared" si="18"/>
        <v>0</v>
      </c>
      <c r="AB65" s="71">
        <f t="shared" si="18"/>
        <v>0</v>
      </c>
      <c r="AC65" s="71">
        <f t="shared" si="18"/>
        <v>0</v>
      </c>
      <c r="AD65" s="71">
        <f t="shared" si="18"/>
        <v>0</v>
      </c>
      <c r="AE65" s="71">
        <f t="shared" si="18"/>
        <v>0</v>
      </c>
      <c r="AF65" s="71">
        <f t="shared" si="18"/>
        <v>0</v>
      </c>
      <c r="AG65" s="71">
        <f t="shared" si="18"/>
        <v>0</v>
      </c>
      <c r="AH65" s="71">
        <f t="shared" si="18"/>
        <v>0</v>
      </c>
      <c r="AI65" s="71">
        <f t="shared" si="18"/>
        <v>0</v>
      </c>
      <c r="AJ65" s="71">
        <f t="shared" si="18"/>
        <v>0</v>
      </c>
      <c r="AK65" s="71">
        <f t="shared" si="18"/>
        <v>0</v>
      </c>
    </row>
    <row r="66" spans="6:37" s="45" customFormat="1" x14ac:dyDescent="0.2">
      <c r="F66" s="71">
        <f t="shared" ref="F66:AK73" si="19">IF(ISBLANK(F29),0,F29)</f>
        <v>0</v>
      </c>
      <c r="G66" s="71">
        <f t="shared" si="19"/>
        <v>0</v>
      </c>
      <c r="H66" s="71">
        <f t="shared" si="19"/>
        <v>0</v>
      </c>
      <c r="I66" s="71">
        <f t="shared" si="19"/>
        <v>0</v>
      </c>
      <c r="J66" s="71">
        <f t="shared" si="19"/>
        <v>1</v>
      </c>
      <c r="K66" s="71">
        <f t="shared" si="19"/>
        <v>1</v>
      </c>
      <c r="L66" s="71">
        <f t="shared" si="19"/>
        <v>1</v>
      </c>
      <c r="M66" s="71">
        <f t="shared" si="19"/>
        <v>1</v>
      </c>
      <c r="N66" s="71">
        <f t="shared" si="19"/>
        <v>0</v>
      </c>
      <c r="O66" s="71">
        <f t="shared" si="19"/>
        <v>0</v>
      </c>
      <c r="P66" s="71">
        <f t="shared" si="19"/>
        <v>0</v>
      </c>
      <c r="Q66" s="71">
        <f t="shared" si="19"/>
        <v>0</v>
      </c>
      <c r="R66" s="71">
        <f t="shared" si="19"/>
        <v>0</v>
      </c>
      <c r="S66" s="71">
        <f t="shared" si="19"/>
        <v>0</v>
      </c>
      <c r="T66" s="71">
        <f t="shared" si="19"/>
        <v>0</v>
      </c>
      <c r="U66" s="71">
        <f t="shared" si="19"/>
        <v>0</v>
      </c>
      <c r="V66" s="71">
        <f t="shared" si="19"/>
        <v>0</v>
      </c>
      <c r="W66" s="71">
        <f t="shared" si="19"/>
        <v>0</v>
      </c>
      <c r="X66" s="71">
        <f t="shared" si="19"/>
        <v>0</v>
      </c>
      <c r="Y66" s="71">
        <f t="shared" si="19"/>
        <v>0</v>
      </c>
      <c r="Z66" s="71">
        <f t="shared" si="19"/>
        <v>0</v>
      </c>
      <c r="AA66" s="71">
        <f t="shared" si="19"/>
        <v>0</v>
      </c>
      <c r="AB66" s="71">
        <f t="shared" si="19"/>
        <v>0</v>
      </c>
      <c r="AC66" s="71">
        <f t="shared" si="19"/>
        <v>0</v>
      </c>
      <c r="AD66" s="71">
        <f t="shared" si="19"/>
        <v>0</v>
      </c>
      <c r="AE66" s="71">
        <f t="shared" si="19"/>
        <v>0</v>
      </c>
      <c r="AF66" s="71">
        <f t="shared" si="19"/>
        <v>0</v>
      </c>
      <c r="AG66" s="71">
        <f t="shared" si="19"/>
        <v>0</v>
      </c>
      <c r="AH66" s="71">
        <f t="shared" si="19"/>
        <v>0</v>
      </c>
      <c r="AI66" s="71">
        <f t="shared" si="19"/>
        <v>0</v>
      </c>
      <c r="AJ66" s="71">
        <f t="shared" si="19"/>
        <v>0</v>
      </c>
      <c r="AK66" s="71">
        <f t="shared" si="19"/>
        <v>0</v>
      </c>
    </row>
    <row r="67" spans="6:37" s="45" customFormat="1" x14ac:dyDescent="0.2">
      <c r="F67" s="71">
        <f t="shared" si="19"/>
        <v>3</v>
      </c>
      <c r="G67" s="71">
        <f t="shared" si="19"/>
        <v>2</v>
      </c>
      <c r="H67" s="71">
        <f t="shared" si="19"/>
        <v>1</v>
      </c>
      <c r="I67" s="71">
        <f t="shared" si="19"/>
        <v>0</v>
      </c>
      <c r="J67" s="71">
        <f t="shared" si="19"/>
        <v>-3</v>
      </c>
      <c r="K67" s="71">
        <f t="shared" si="19"/>
        <v>-2</v>
      </c>
      <c r="L67" s="71">
        <f t="shared" si="19"/>
        <v>-1</v>
      </c>
      <c r="M67" s="71">
        <f t="shared" si="19"/>
        <v>0</v>
      </c>
      <c r="N67" s="71">
        <f t="shared" si="19"/>
        <v>0</v>
      </c>
      <c r="O67" s="71">
        <f t="shared" si="19"/>
        <v>0</v>
      </c>
      <c r="P67" s="71">
        <f t="shared" si="19"/>
        <v>0</v>
      </c>
      <c r="Q67" s="71">
        <f t="shared" si="19"/>
        <v>0</v>
      </c>
      <c r="R67" s="71">
        <f t="shared" si="19"/>
        <v>0</v>
      </c>
      <c r="S67" s="71">
        <f t="shared" si="19"/>
        <v>0</v>
      </c>
      <c r="T67" s="71">
        <f t="shared" si="19"/>
        <v>0</v>
      </c>
      <c r="U67" s="71">
        <f t="shared" si="19"/>
        <v>0</v>
      </c>
      <c r="V67" s="71">
        <f t="shared" si="19"/>
        <v>0</v>
      </c>
      <c r="W67" s="71">
        <f t="shared" si="19"/>
        <v>0</v>
      </c>
      <c r="X67" s="71">
        <f t="shared" si="19"/>
        <v>0</v>
      </c>
      <c r="Y67" s="71">
        <f t="shared" si="19"/>
        <v>0</v>
      </c>
      <c r="Z67" s="71">
        <f t="shared" si="19"/>
        <v>0</v>
      </c>
      <c r="AA67" s="71">
        <f t="shared" si="19"/>
        <v>0</v>
      </c>
      <c r="AB67" s="71">
        <f t="shared" si="19"/>
        <v>0</v>
      </c>
      <c r="AC67" s="71">
        <f t="shared" si="19"/>
        <v>0</v>
      </c>
      <c r="AD67" s="71">
        <f t="shared" si="19"/>
        <v>0</v>
      </c>
      <c r="AE67" s="71">
        <f t="shared" si="19"/>
        <v>0</v>
      </c>
      <c r="AF67" s="71">
        <f t="shared" si="19"/>
        <v>0</v>
      </c>
      <c r="AG67" s="71">
        <f t="shared" si="19"/>
        <v>0</v>
      </c>
      <c r="AH67" s="71">
        <f t="shared" si="19"/>
        <v>0</v>
      </c>
      <c r="AI67" s="71">
        <f t="shared" si="19"/>
        <v>0</v>
      </c>
      <c r="AJ67" s="71">
        <f t="shared" si="19"/>
        <v>0</v>
      </c>
      <c r="AK67" s="71">
        <f t="shared" si="19"/>
        <v>0</v>
      </c>
    </row>
    <row r="68" spans="6:37" s="45" customFormat="1" x14ac:dyDescent="0.2">
      <c r="F68" s="71">
        <f t="shared" si="19"/>
        <v>6</v>
      </c>
      <c r="G68" s="71">
        <f t="shared" si="19"/>
        <v>2</v>
      </c>
      <c r="H68" s="71">
        <f t="shared" si="19"/>
        <v>0</v>
      </c>
      <c r="I68" s="71">
        <f t="shared" si="19"/>
        <v>0</v>
      </c>
      <c r="J68" s="71">
        <f t="shared" si="19"/>
        <v>-6</v>
      </c>
      <c r="K68" s="71">
        <f t="shared" si="19"/>
        <v>-2</v>
      </c>
      <c r="L68" s="71">
        <f t="shared" si="19"/>
        <v>0</v>
      </c>
      <c r="M68" s="71">
        <f t="shared" si="19"/>
        <v>0</v>
      </c>
      <c r="N68" s="71">
        <f t="shared" si="19"/>
        <v>0</v>
      </c>
      <c r="O68" s="71">
        <f t="shared" si="19"/>
        <v>0</v>
      </c>
      <c r="P68" s="71">
        <f t="shared" si="19"/>
        <v>0</v>
      </c>
      <c r="Q68" s="71">
        <f t="shared" si="19"/>
        <v>0</v>
      </c>
      <c r="R68" s="71">
        <f t="shared" si="19"/>
        <v>0</v>
      </c>
      <c r="S68" s="71">
        <f t="shared" si="19"/>
        <v>0</v>
      </c>
      <c r="T68" s="71">
        <f t="shared" si="19"/>
        <v>0</v>
      </c>
      <c r="U68" s="71">
        <f t="shared" si="19"/>
        <v>0</v>
      </c>
      <c r="V68" s="71">
        <f t="shared" si="19"/>
        <v>0</v>
      </c>
      <c r="W68" s="71">
        <f t="shared" si="19"/>
        <v>0</v>
      </c>
      <c r="X68" s="71">
        <f t="shared" si="19"/>
        <v>0</v>
      </c>
      <c r="Y68" s="71">
        <f t="shared" si="19"/>
        <v>0</v>
      </c>
      <c r="Z68" s="71">
        <f t="shared" si="19"/>
        <v>0</v>
      </c>
      <c r="AA68" s="71">
        <f t="shared" si="19"/>
        <v>0</v>
      </c>
      <c r="AB68" s="71">
        <f t="shared" si="19"/>
        <v>0</v>
      </c>
      <c r="AC68" s="71">
        <f t="shared" si="19"/>
        <v>0</v>
      </c>
      <c r="AD68" s="71">
        <f t="shared" si="19"/>
        <v>0</v>
      </c>
      <c r="AE68" s="71">
        <f t="shared" si="19"/>
        <v>0</v>
      </c>
      <c r="AF68" s="71">
        <f t="shared" si="19"/>
        <v>0</v>
      </c>
      <c r="AG68" s="71">
        <f t="shared" si="19"/>
        <v>0</v>
      </c>
      <c r="AH68" s="71">
        <f t="shared" si="19"/>
        <v>0</v>
      </c>
      <c r="AI68" s="71">
        <f t="shared" si="19"/>
        <v>0</v>
      </c>
      <c r="AJ68" s="71">
        <f t="shared" si="19"/>
        <v>0</v>
      </c>
      <c r="AK68" s="71">
        <f t="shared" si="19"/>
        <v>0</v>
      </c>
    </row>
    <row r="69" spans="6:37" s="45" customFormat="1" x14ac:dyDescent="0.2">
      <c r="F69" s="71">
        <f t="shared" si="19"/>
        <v>0</v>
      </c>
      <c r="G69" s="71">
        <f t="shared" si="19"/>
        <v>0</v>
      </c>
      <c r="H69" s="71">
        <f t="shared" si="19"/>
        <v>0</v>
      </c>
      <c r="I69" s="71">
        <f t="shared" si="19"/>
        <v>0</v>
      </c>
      <c r="J69" s="71">
        <f t="shared" si="19"/>
        <v>8</v>
      </c>
      <c r="K69" s="71">
        <f t="shared" si="19"/>
        <v>4</v>
      </c>
      <c r="L69" s="71">
        <f t="shared" si="19"/>
        <v>2</v>
      </c>
      <c r="M69" s="71">
        <f t="shared" si="19"/>
        <v>1</v>
      </c>
      <c r="N69" s="71">
        <f t="shared" si="19"/>
        <v>0</v>
      </c>
      <c r="O69" s="71">
        <f t="shared" si="19"/>
        <v>0</v>
      </c>
      <c r="P69" s="71">
        <f t="shared" si="19"/>
        <v>0</v>
      </c>
      <c r="Q69" s="71">
        <f t="shared" si="19"/>
        <v>0</v>
      </c>
      <c r="R69" s="71">
        <f t="shared" si="19"/>
        <v>0</v>
      </c>
      <c r="S69" s="71">
        <f t="shared" si="19"/>
        <v>0</v>
      </c>
      <c r="T69" s="71">
        <f t="shared" si="19"/>
        <v>0</v>
      </c>
      <c r="U69" s="71">
        <f t="shared" si="19"/>
        <v>0</v>
      </c>
      <c r="V69" s="71">
        <f t="shared" si="19"/>
        <v>0</v>
      </c>
      <c r="W69" s="71">
        <f t="shared" si="19"/>
        <v>0</v>
      </c>
      <c r="X69" s="71">
        <f t="shared" si="19"/>
        <v>0</v>
      </c>
      <c r="Y69" s="71">
        <f t="shared" si="19"/>
        <v>0</v>
      </c>
      <c r="Z69" s="71">
        <f t="shared" si="19"/>
        <v>0</v>
      </c>
      <c r="AA69" s="71">
        <f t="shared" si="19"/>
        <v>0</v>
      </c>
      <c r="AB69" s="71">
        <f t="shared" si="19"/>
        <v>0</v>
      </c>
      <c r="AC69" s="71">
        <f t="shared" si="19"/>
        <v>0</v>
      </c>
      <c r="AD69" s="71">
        <f t="shared" si="19"/>
        <v>0</v>
      </c>
      <c r="AE69" s="71">
        <f t="shared" si="19"/>
        <v>0</v>
      </c>
      <c r="AF69" s="71">
        <f t="shared" si="19"/>
        <v>0</v>
      </c>
      <c r="AG69" s="71">
        <f t="shared" si="19"/>
        <v>0</v>
      </c>
      <c r="AH69" s="71">
        <f t="shared" si="19"/>
        <v>0</v>
      </c>
      <c r="AI69" s="71">
        <f t="shared" si="19"/>
        <v>0</v>
      </c>
      <c r="AJ69" s="71">
        <f t="shared" si="19"/>
        <v>0</v>
      </c>
      <c r="AK69" s="71">
        <f t="shared" si="19"/>
        <v>0</v>
      </c>
    </row>
    <row r="70" spans="6:37" s="45" customFormat="1" x14ac:dyDescent="0.2">
      <c r="F70" s="71">
        <f t="shared" si="19"/>
        <v>0</v>
      </c>
      <c r="G70" s="71">
        <f t="shared" si="19"/>
        <v>0</v>
      </c>
      <c r="H70" s="71">
        <f t="shared" si="19"/>
        <v>0</v>
      </c>
      <c r="I70" s="71">
        <f t="shared" si="19"/>
        <v>0</v>
      </c>
      <c r="J70" s="71">
        <f t="shared" si="19"/>
        <v>0</v>
      </c>
      <c r="K70" s="71">
        <f t="shared" si="19"/>
        <v>0</v>
      </c>
      <c r="L70" s="71">
        <f t="shared" si="19"/>
        <v>0</v>
      </c>
      <c r="M70" s="71">
        <f t="shared" si="19"/>
        <v>0</v>
      </c>
      <c r="N70" s="71">
        <f t="shared" si="19"/>
        <v>8</v>
      </c>
      <c r="O70" s="71">
        <f t="shared" si="19"/>
        <v>4</v>
      </c>
      <c r="P70" s="71">
        <f t="shared" si="19"/>
        <v>2</v>
      </c>
      <c r="Q70" s="71">
        <f t="shared" si="19"/>
        <v>1</v>
      </c>
      <c r="R70" s="71">
        <f t="shared" si="19"/>
        <v>0</v>
      </c>
      <c r="S70" s="71">
        <f t="shared" si="19"/>
        <v>0</v>
      </c>
      <c r="T70" s="71">
        <f t="shared" si="19"/>
        <v>0</v>
      </c>
      <c r="U70" s="71">
        <f t="shared" si="19"/>
        <v>0</v>
      </c>
      <c r="V70" s="71">
        <f t="shared" si="19"/>
        <v>0</v>
      </c>
      <c r="W70" s="71">
        <f t="shared" si="19"/>
        <v>0</v>
      </c>
      <c r="X70" s="71">
        <f t="shared" si="19"/>
        <v>0</v>
      </c>
      <c r="Y70" s="71">
        <f t="shared" si="19"/>
        <v>0</v>
      </c>
      <c r="Z70" s="71">
        <f t="shared" si="19"/>
        <v>0</v>
      </c>
      <c r="AA70" s="71">
        <f t="shared" si="19"/>
        <v>0</v>
      </c>
      <c r="AB70" s="71">
        <f t="shared" si="19"/>
        <v>0</v>
      </c>
      <c r="AC70" s="71">
        <f t="shared" si="19"/>
        <v>0</v>
      </c>
      <c r="AD70" s="71">
        <f t="shared" si="19"/>
        <v>0</v>
      </c>
      <c r="AE70" s="71">
        <f t="shared" si="19"/>
        <v>0</v>
      </c>
      <c r="AF70" s="71">
        <f t="shared" si="19"/>
        <v>0</v>
      </c>
      <c r="AG70" s="71">
        <f t="shared" si="19"/>
        <v>0</v>
      </c>
      <c r="AH70" s="71">
        <f t="shared" si="19"/>
        <v>0</v>
      </c>
      <c r="AI70" s="71">
        <f t="shared" si="19"/>
        <v>0</v>
      </c>
      <c r="AJ70" s="71">
        <f t="shared" si="19"/>
        <v>0</v>
      </c>
      <c r="AK70" s="71">
        <f t="shared" si="19"/>
        <v>0</v>
      </c>
    </row>
    <row r="71" spans="6:37" s="45" customFormat="1" x14ac:dyDescent="0.2">
      <c r="F71" s="71">
        <f t="shared" si="19"/>
        <v>0</v>
      </c>
      <c r="G71" s="71">
        <f t="shared" si="19"/>
        <v>0</v>
      </c>
      <c r="H71" s="71">
        <f t="shared" si="19"/>
        <v>0</v>
      </c>
      <c r="I71" s="71">
        <f t="shared" si="19"/>
        <v>0</v>
      </c>
      <c r="J71" s="71">
        <f t="shared" si="19"/>
        <v>12</v>
      </c>
      <c r="K71" s="71">
        <f t="shared" si="19"/>
        <v>4</v>
      </c>
      <c r="L71" s="71">
        <f t="shared" si="19"/>
        <v>1</v>
      </c>
      <c r="M71" s="71">
        <f t="shared" si="19"/>
        <v>0</v>
      </c>
      <c r="N71" s="71">
        <f t="shared" si="19"/>
        <v>-12</v>
      </c>
      <c r="O71" s="71">
        <f t="shared" si="19"/>
        <v>-4</v>
      </c>
      <c r="P71" s="71">
        <f t="shared" si="19"/>
        <v>-1</v>
      </c>
      <c r="Q71" s="71">
        <f t="shared" si="19"/>
        <v>0</v>
      </c>
      <c r="R71" s="71">
        <f t="shared" si="19"/>
        <v>0</v>
      </c>
      <c r="S71" s="71">
        <f t="shared" si="19"/>
        <v>0</v>
      </c>
      <c r="T71" s="71">
        <f t="shared" si="19"/>
        <v>0</v>
      </c>
      <c r="U71" s="71">
        <f t="shared" si="19"/>
        <v>0</v>
      </c>
      <c r="V71" s="71">
        <f t="shared" si="19"/>
        <v>0</v>
      </c>
      <c r="W71" s="71">
        <f t="shared" si="19"/>
        <v>0</v>
      </c>
      <c r="X71" s="71">
        <f t="shared" si="19"/>
        <v>0</v>
      </c>
      <c r="Y71" s="71">
        <f t="shared" si="19"/>
        <v>0</v>
      </c>
      <c r="Z71" s="71">
        <f t="shared" si="19"/>
        <v>0</v>
      </c>
      <c r="AA71" s="71">
        <f t="shared" si="19"/>
        <v>0</v>
      </c>
      <c r="AB71" s="71">
        <f t="shared" si="19"/>
        <v>0</v>
      </c>
      <c r="AC71" s="71">
        <f t="shared" si="19"/>
        <v>0</v>
      </c>
      <c r="AD71" s="71">
        <f t="shared" si="19"/>
        <v>0</v>
      </c>
      <c r="AE71" s="71">
        <f t="shared" si="19"/>
        <v>0</v>
      </c>
      <c r="AF71" s="71">
        <f t="shared" si="19"/>
        <v>0</v>
      </c>
      <c r="AG71" s="71">
        <f t="shared" si="19"/>
        <v>0</v>
      </c>
      <c r="AH71" s="71">
        <f t="shared" si="19"/>
        <v>0</v>
      </c>
      <c r="AI71" s="71">
        <f t="shared" si="19"/>
        <v>0</v>
      </c>
      <c r="AJ71" s="71">
        <f t="shared" si="19"/>
        <v>0</v>
      </c>
      <c r="AK71" s="71">
        <f t="shared" si="19"/>
        <v>0</v>
      </c>
    </row>
    <row r="72" spans="6:37" s="45" customFormat="1" x14ac:dyDescent="0.2">
      <c r="F72" s="71">
        <f t="shared" si="19"/>
        <v>0</v>
      </c>
      <c r="G72" s="71">
        <f t="shared" si="19"/>
        <v>0</v>
      </c>
      <c r="H72" s="71">
        <f t="shared" si="19"/>
        <v>0</v>
      </c>
      <c r="I72" s="71">
        <f t="shared" si="19"/>
        <v>0</v>
      </c>
      <c r="J72" s="71">
        <f t="shared" si="19"/>
        <v>12</v>
      </c>
      <c r="K72" s="71">
        <f t="shared" si="19"/>
        <v>2</v>
      </c>
      <c r="L72" s="71">
        <f t="shared" si="19"/>
        <v>0</v>
      </c>
      <c r="M72" s="71">
        <f t="shared" si="19"/>
        <v>0</v>
      </c>
      <c r="N72" s="71">
        <f t="shared" si="19"/>
        <v>-12</v>
      </c>
      <c r="O72" s="71">
        <f t="shared" si="19"/>
        <v>-2</v>
      </c>
      <c r="P72" s="71">
        <f t="shared" si="19"/>
        <v>0</v>
      </c>
      <c r="Q72" s="71">
        <f t="shared" si="19"/>
        <v>0</v>
      </c>
      <c r="R72" s="71">
        <f t="shared" si="19"/>
        <v>0</v>
      </c>
      <c r="S72" s="71">
        <f t="shared" si="19"/>
        <v>0</v>
      </c>
      <c r="T72" s="71">
        <f t="shared" si="19"/>
        <v>0</v>
      </c>
      <c r="U72" s="71">
        <f t="shared" si="19"/>
        <v>0</v>
      </c>
      <c r="V72" s="71">
        <f t="shared" si="19"/>
        <v>0</v>
      </c>
      <c r="W72" s="71">
        <f t="shared" si="19"/>
        <v>0</v>
      </c>
      <c r="X72" s="71">
        <f t="shared" si="19"/>
        <v>0</v>
      </c>
      <c r="Y72" s="71">
        <f t="shared" si="19"/>
        <v>0</v>
      </c>
      <c r="Z72" s="71">
        <f t="shared" si="19"/>
        <v>0</v>
      </c>
      <c r="AA72" s="71">
        <f t="shared" si="19"/>
        <v>0</v>
      </c>
      <c r="AB72" s="71">
        <f t="shared" si="19"/>
        <v>0</v>
      </c>
      <c r="AC72" s="71">
        <f t="shared" si="19"/>
        <v>0</v>
      </c>
      <c r="AD72" s="71">
        <f t="shared" si="19"/>
        <v>0</v>
      </c>
      <c r="AE72" s="71">
        <f t="shared" si="19"/>
        <v>0</v>
      </c>
      <c r="AF72" s="71">
        <f t="shared" si="19"/>
        <v>0</v>
      </c>
      <c r="AG72" s="71">
        <f t="shared" si="19"/>
        <v>0</v>
      </c>
      <c r="AH72" s="71">
        <f t="shared" si="19"/>
        <v>0</v>
      </c>
      <c r="AI72" s="71">
        <f t="shared" si="19"/>
        <v>0</v>
      </c>
      <c r="AJ72" s="71">
        <f t="shared" si="19"/>
        <v>0</v>
      </c>
      <c r="AK72" s="71">
        <f t="shared" si="19"/>
        <v>0</v>
      </c>
    </row>
    <row r="73" spans="6:37" s="45" customFormat="1" x14ac:dyDescent="0.2">
      <c r="F73" s="71">
        <f t="shared" si="19"/>
        <v>0</v>
      </c>
      <c r="G73" s="71">
        <f t="shared" si="19"/>
        <v>0</v>
      </c>
      <c r="H73" s="71">
        <f t="shared" si="19"/>
        <v>0</v>
      </c>
      <c r="I73" s="71">
        <f t="shared" si="19"/>
        <v>0</v>
      </c>
      <c r="J73" s="71">
        <f t="shared" si="19"/>
        <v>0</v>
      </c>
      <c r="K73" s="71">
        <f t="shared" si="19"/>
        <v>0</v>
      </c>
      <c r="L73" s="71">
        <f t="shared" si="19"/>
        <v>0</v>
      </c>
      <c r="M73" s="71">
        <f t="shared" si="19"/>
        <v>0</v>
      </c>
      <c r="N73" s="71">
        <f t="shared" si="19"/>
        <v>27</v>
      </c>
      <c r="O73" s="71">
        <f t="shared" si="19"/>
        <v>9</v>
      </c>
      <c r="P73" s="71">
        <f t="shared" si="19"/>
        <v>3</v>
      </c>
      <c r="Q73" s="71">
        <f t="shared" si="19"/>
        <v>1</v>
      </c>
      <c r="R73" s="71">
        <f t="shared" si="19"/>
        <v>0</v>
      </c>
      <c r="S73" s="71">
        <f t="shared" si="19"/>
        <v>0</v>
      </c>
      <c r="T73" s="71">
        <f t="shared" si="19"/>
        <v>0</v>
      </c>
      <c r="U73" s="71">
        <f t="shared" si="19"/>
        <v>0</v>
      </c>
      <c r="V73" s="71">
        <f t="shared" si="19"/>
        <v>0</v>
      </c>
      <c r="W73" s="71">
        <f t="shared" si="19"/>
        <v>0</v>
      </c>
      <c r="X73" s="71">
        <f t="shared" si="19"/>
        <v>0</v>
      </c>
      <c r="Y73" s="71">
        <f t="shared" si="19"/>
        <v>0</v>
      </c>
      <c r="Z73" s="71">
        <f t="shared" si="19"/>
        <v>0</v>
      </c>
      <c r="AA73" s="71">
        <f t="shared" si="19"/>
        <v>0</v>
      </c>
      <c r="AB73" s="71">
        <f t="shared" si="19"/>
        <v>0</v>
      </c>
      <c r="AC73" s="71">
        <f t="shared" si="19"/>
        <v>0</v>
      </c>
      <c r="AD73" s="71">
        <f t="shared" si="19"/>
        <v>0</v>
      </c>
      <c r="AE73" s="71">
        <f t="shared" si="19"/>
        <v>0</v>
      </c>
      <c r="AF73" s="71">
        <f t="shared" si="19"/>
        <v>0</v>
      </c>
      <c r="AG73" s="71">
        <f t="shared" si="19"/>
        <v>0</v>
      </c>
      <c r="AH73" s="71">
        <f t="shared" si="19"/>
        <v>0</v>
      </c>
      <c r="AI73" s="71">
        <f t="shared" si="19"/>
        <v>0</v>
      </c>
      <c r="AJ73" s="71">
        <f t="shared" si="19"/>
        <v>0</v>
      </c>
      <c r="AK73" s="71">
        <f t="shared" ref="AK73" si="20">IF(ISBLANK(AK36),0,AK36)</f>
        <v>0</v>
      </c>
    </row>
    <row r="74" spans="6:37" s="45" customFormat="1" x14ac:dyDescent="0.2">
      <c r="F74" s="71">
        <f t="shared" ref="F74:AK81" si="21">IF(ISBLANK(F37),0,F37)</f>
        <v>0</v>
      </c>
      <c r="G74" s="71">
        <f t="shared" si="21"/>
        <v>0</v>
      </c>
      <c r="H74" s="71">
        <f t="shared" si="21"/>
        <v>0</v>
      </c>
      <c r="I74" s="71">
        <f t="shared" si="21"/>
        <v>0</v>
      </c>
      <c r="J74" s="71">
        <f t="shared" si="21"/>
        <v>0</v>
      </c>
      <c r="K74" s="71">
        <f t="shared" si="21"/>
        <v>0</v>
      </c>
      <c r="L74" s="71">
        <f t="shared" si="21"/>
        <v>0</v>
      </c>
      <c r="M74" s="71">
        <f t="shared" si="21"/>
        <v>0</v>
      </c>
      <c r="N74" s="71">
        <f t="shared" si="21"/>
        <v>0</v>
      </c>
      <c r="O74" s="71">
        <f t="shared" si="21"/>
        <v>0</v>
      </c>
      <c r="P74" s="71">
        <f t="shared" si="21"/>
        <v>0</v>
      </c>
      <c r="Q74" s="71">
        <f t="shared" si="21"/>
        <v>0</v>
      </c>
      <c r="R74" s="71">
        <f t="shared" si="21"/>
        <v>27</v>
      </c>
      <c r="S74" s="71">
        <f t="shared" si="21"/>
        <v>9</v>
      </c>
      <c r="T74" s="71">
        <f t="shared" si="21"/>
        <v>3</v>
      </c>
      <c r="U74" s="71">
        <f t="shared" si="21"/>
        <v>1</v>
      </c>
      <c r="V74" s="71">
        <f t="shared" si="21"/>
        <v>0</v>
      </c>
      <c r="W74" s="71">
        <f t="shared" si="21"/>
        <v>0</v>
      </c>
      <c r="X74" s="71">
        <f t="shared" si="21"/>
        <v>0</v>
      </c>
      <c r="Y74" s="71">
        <f t="shared" si="21"/>
        <v>0</v>
      </c>
      <c r="Z74" s="71">
        <f t="shared" si="21"/>
        <v>0</v>
      </c>
      <c r="AA74" s="71">
        <f t="shared" si="21"/>
        <v>0</v>
      </c>
      <c r="AB74" s="71">
        <f t="shared" si="21"/>
        <v>0</v>
      </c>
      <c r="AC74" s="71">
        <f t="shared" si="21"/>
        <v>0</v>
      </c>
      <c r="AD74" s="71">
        <f t="shared" si="21"/>
        <v>0</v>
      </c>
      <c r="AE74" s="71">
        <f t="shared" si="21"/>
        <v>0</v>
      </c>
      <c r="AF74" s="71">
        <f t="shared" si="21"/>
        <v>0</v>
      </c>
      <c r="AG74" s="71">
        <f t="shared" si="21"/>
        <v>0</v>
      </c>
      <c r="AH74" s="71">
        <f t="shared" si="21"/>
        <v>0</v>
      </c>
      <c r="AI74" s="71">
        <f t="shared" si="21"/>
        <v>0</v>
      </c>
      <c r="AJ74" s="71">
        <f t="shared" si="21"/>
        <v>0</v>
      </c>
      <c r="AK74" s="71">
        <f t="shared" si="21"/>
        <v>0</v>
      </c>
    </row>
    <row r="75" spans="6:37" s="45" customFormat="1" x14ac:dyDescent="0.2">
      <c r="F75" s="71">
        <f t="shared" si="21"/>
        <v>0</v>
      </c>
      <c r="G75" s="71">
        <f t="shared" si="21"/>
        <v>0</v>
      </c>
      <c r="H75" s="71">
        <f t="shared" si="21"/>
        <v>0</v>
      </c>
      <c r="I75" s="71">
        <f t="shared" si="21"/>
        <v>0</v>
      </c>
      <c r="J75" s="71">
        <f t="shared" si="21"/>
        <v>0</v>
      </c>
      <c r="K75" s="71">
        <f t="shared" si="21"/>
        <v>0</v>
      </c>
      <c r="L75" s="71">
        <f t="shared" si="21"/>
        <v>0</v>
      </c>
      <c r="M75" s="71">
        <f t="shared" si="21"/>
        <v>0</v>
      </c>
      <c r="N75" s="71">
        <f t="shared" si="21"/>
        <v>27</v>
      </c>
      <c r="O75" s="71">
        <f t="shared" si="21"/>
        <v>6</v>
      </c>
      <c r="P75" s="71">
        <f t="shared" si="21"/>
        <v>1</v>
      </c>
      <c r="Q75" s="71">
        <f t="shared" si="21"/>
        <v>0</v>
      </c>
      <c r="R75" s="71">
        <f t="shared" si="21"/>
        <v>-27</v>
      </c>
      <c r="S75" s="71">
        <f t="shared" si="21"/>
        <v>-6</v>
      </c>
      <c r="T75" s="71">
        <f t="shared" si="21"/>
        <v>-1</v>
      </c>
      <c r="U75" s="71">
        <f t="shared" si="21"/>
        <v>0</v>
      </c>
      <c r="V75" s="71">
        <f t="shared" si="21"/>
        <v>0</v>
      </c>
      <c r="W75" s="71">
        <f t="shared" si="21"/>
        <v>0</v>
      </c>
      <c r="X75" s="71">
        <f t="shared" si="21"/>
        <v>0</v>
      </c>
      <c r="Y75" s="71">
        <f t="shared" si="21"/>
        <v>0</v>
      </c>
      <c r="Z75" s="71">
        <f t="shared" si="21"/>
        <v>0</v>
      </c>
      <c r="AA75" s="71">
        <f t="shared" si="21"/>
        <v>0</v>
      </c>
      <c r="AB75" s="71">
        <f t="shared" si="21"/>
        <v>0</v>
      </c>
      <c r="AC75" s="71">
        <f t="shared" si="21"/>
        <v>0</v>
      </c>
      <c r="AD75" s="71">
        <f t="shared" si="21"/>
        <v>0</v>
      </c>
      <c r="AE75" s="71">
        <f t="shared" si="21"/>
        <v>0</v>
      </c>
      <c r="AF75" s="71">
        <f t="shared" si="21"/>
        <v>0</v>
      </c>
      <c r="AG75" s="71">
        <f t="shared" si="21"/>
        <v>0</v>
      </c>
      <c r="AH75" s="71">
        <f t="shared" si="21"/>
        <v>0</v>
      </c>
      <c r="AI75" s="71">
        <f t="shared" si="21"/>
        <v>0</v>
      </c>
      <c r="AJ75" s="71">
        <f t="shared" si="21"/>
        <v>0</v>
      </c>
      <c r="AK75" s="71">
        <f t="shared" si="21"/>
        <v>0</v>
      </c>
    </row>
    <row r="76" spans="6:37" s="45" customFormat="1" x14ac:dyDescent="0.2">
      <c r="F76" s="71">
        <f t="shared" si="21"/>
        <v>0</v>
      </c>
      <c r="G76" s="71">
        <f t="shared" si="21"/>
        <v>0</v>
      </c>
      <c r="H76" s="71">
        <f t="shared" si="21"/>
        <v>0</v>
      </c>
      <c r="I76" s="71">
        <f t="shared" si="21"/>
        <v>0</v>
      </c>
      <c r="J76" s="71">
        <f t="shared" si="21"/>
        <v>0</v>
      </c>
      <c r="K76" s="71">
        <f t="shared" si="21"/>
        <v>0</v>
      </c>
      <c r="L76" s="71">
        <f t="shared" si="21"/>
        <v>0</v>
      </c>
      <c r="M76" s="71">
        <f t="shared" si="21"/>
        <v>0</v>
      </c>
      <c r="N76" s="71">
        <f t="shared" si="21"/>
        <v>18</v>
      </c>
      <c r="O76" s="71">
        <f t="shared" si="21"/>
        <v>2</v>
      </c>
      <c r="P76" s="71">
        <f t="shared" si="21"/>
        <v>0</v>
      </c>
      <c r="Q76" s="71">
        <f t="shared" si="21"/>
        <v>0</v>
      </c>
      <c r="R76" s="71">
        <f t="shared" si="21"/>
        <v>-18</v>
      </c>
      <c r="S76" s="71">
        <f t="shared" si="21"/>
        <v>-2</v>
      </c>
      <c r="T76" s="71">
        <f t="shared" si="21"/>
        <v>0</v>
      </c>
      <c r="U76" s="71">
        <f t="shared" si="21"/>
        <v>0</v>
      </c>
      <c r="V76" s="71">
        <f t="shared" si="21"/>
        <v>0</v>
      </c>
      <c r="W76" s="71">
        <f t="shared" si="21"/>
        <v>0</v>
      </c>
      <c r="X76" s="71">
        <f t="shared" si="21"/>
        <v>0</v>
      </c>
      <c r="Y76" s="71">
        <f t="shared" si="21"/>
        <v>0</v>
      </c>
      <c r="Z76" s="71">
        <f t="shared" si="21"/>
        <v>0</v>
      </c>
      <c r="AA76" s="71">
        <f t="shared" si="21"/>
        <v>0</v>
      </c>
      <c r="AB76" s="71">
        <f t="shared" si="21"/>
        <v>0</v>
      </c>
      <c r="AC76" s="71">
        <f t="shared" si="21"/>
        <v>0</v>
      </c>
      <c r="AD76" s="71">
        <f t="shared" si="21"/>
        <v>0</v>
      </c>
      <c r="AE76" s="71">
        <f t="shared" si="21"/>
        <v>0</v>
      </c>
      <c r="AF76" s="71">
        <f t="shared" si="21"/>
        <v>0</v>
      </c>
      <c r="AG76" s="71">
        <f t="shared" si="21"/>
        <v>0</v>
      </c>
      <c r="AH76" s="71">
        <f t="shared" si="21"/>
        <v>0</v>
      </c>
      <c r="AI76" s="71">
        <f t="shared" si="21"/>
        <v>0</v>
      </c>
      <c r="AJ76" s="71">
        <f t="shared" si="21"/>
        <v>0</v>
      </c>
      <c r="AK76" s="71">
        <f t="shared" si="21"/>
        <v>0</v>
      </c>
    </row>
    <row r="77" spans="6:37" s="45" customFormat="1" x14ac:dyDescent="0.2">
      <c r="F77" s="71">
        <f t="shared" si="21"/>
        <v>0</v>
      </c>
      <c r="G77" s="71">
        <f t="shared" si="21"/>
        <v>0</v>
      </c>
      <c r="H77" s="71">
        <f t="shared" si="21"/>
        <v>0</v>
      </c>
      <c r="I77" s="71">
        <f t="shared" si="21"/>
        <v>0</v>
      </c>
      <c r="J77" s="71">
        <f t="shared" si="21"/>
        <v>0</v>
      </c>
      <c r="K77" s="71">
        <f t="shared" si="21"/>
        <v>0</v>
      </c>
      <c r="L77" s="71">
        <f t="shared" si="21"/>
        <v>0</v>
      </c>
      <c r="M77" s="71">
        <f t="shared" si="21"/>
        <v>0</v>
      </c>
      <c r="N77" s="71">
        <f t="shared" si="21"/>
        <v>0</v>
      </c>
      <c r="O77" s="71">
        <f t="shared" si="21"/>
        <v>0</v>
      </c>
      <c r="P77" s="71">
        <f t="shared" si="21"/>
        <v>0</v>
      </c>
      <c r="Q77" s="71">
        <f t="shared" si="21"/>
        <v>0</v>
      </c>
      <c r="R77" s="71">
        <f t="shared" si="21"/>
        <v>64</v>
      </c>
      <c r="S77" s="71">
        <f t="shared" si="21"/>
        <v>16</v>
      </c>
      <c r="T77" s="71">
        <f t="shared" si="21"/>
        <v>4</v>
      </c>
      <c r="U77" s="71">
        <f t="shared" si="21"/>
        <v>1</v>
      </c>
      <c r="V77" s="71">
        <f t="shared" si="21"/>
        <v>0</v>
      </c>
      <c r="W77" s="71">
        <f t="shared" si="21"/>
        <v>0</v>
      </c>
      <c r="X77" s="71">
        <f t="shared" si="21"/>
        <v>0</v>
      </c>
      <c r="Y77" s="71">
        <f t="shared" si="21"/>
        <v>0</v>
      </c>
      <c r="Z77" s="71">
        <f t="shared" si="21"/>
        <v>0</v>
      </c>
      <c r="AA77" s="71">
        <f t="shared" si="21"/>
        <v>0</v>
      </c>
      <c r="AB77" s="71">
        <f t="shared" si="21"/>
        <v>0</v>
      </c>
      <c r="AC77" s="71">
        <f t="shared" si="21"/>
        <v>0</v>
      </c>
      <c r="AD77" s="71">
        <f t="shared" si="21"/>
        <v>0</v>
      </c>
      <c r="AE77" s="71">
        <f t="shared" si="21"/>
        <v>0</v>
      </c>
      <c r="AF77" s="71">
        <f t="shared" si="21"/>
        <v>0</v>
      </c>
      <c r="AG77" s="71">
        <f t="shared" si="21"/>
        <v>0</v>
      </c>
      <c r="AH77" s="71">
        <f t="shared" si="21"/>
        <v>0</v>
      </c>
      <c r="AI77" s="71">
        <f t="shared" si="21"/>
        <v>0</v>
      </c>
      <c r="AJ77" s="71">
        <f t="shared" si="21"/>
        <v>0</v>
      </c>
      <c r="AK77" s="71">
        <f t="shared" si="21"/>
        <v>0</v>
      </c>
    </row>
    <row r="78" spans="6:37" s="45" customFormat="1" x14ac:dyDescent="0.2">
      <c r="F78" s="71">
        <f t="shared" si="21"/>
        <v>0</v>
      </c>
      <c r="G78" s="71">
        <f t="shared" si="21"/>
        <v>0</v>
      </c>
      <c r="H78" s="71">
        <f t="shared" si="21"/>
        <v>0</v>
      </c>
      <c r="I78" s="71">
        <f t="shared" si="21"/>
        <v>0</v>
      </c>
      <c r="J78" s="71">
        <f t="shared" si="21"/>
        <v>0</v>
      </c>
      <c r="K78" s="71">
        <f t="shared" si="21"/>
        <v>0</v>
      </c>
      <c r="L78" s="71">
        <f t="shared" si="21"/>
        <v>0</v>
      </c>
      <c r="M78" s="71">
        <f t="shared" si="21"/>
        <v>0</v>
      </c>
      <c r="N78" s="71">
        <f t="shared" si="21"/>
        <v>0</v>
      </c>
      <c r="O78" s="71">
        <f t="shared" si="21"/>
        <v>0</v>
      </c>
      <c r="P78" s="71">
        <f t="shared" si="21"/>
        <v>0</v>
      </c>
      <c r="Q78" s="71">
        <f t="shared" si="21"/>
        <v>0</v>
      </c>
      <c r="R78" s="71">
        <f t="shared" si="21"/>
        <v>0</v>
      </c>
      <c r="S78" s="71">
        <f t="shared" si="21"/>
        <v>0</v>
      </c>
      <c r="T78" s="71">
        <f t="shared" si="21"/>
        <v>0</v>
      </c>
      <c r="U78" s="71">
        <f t="shared" si="21"/>
        <v>0</v>
      </c>
      <c r="V78" s="71">
        <f t="shared" si="21"/>
        <v>64</v>
      </c>
      <c r="W78" s="71">
        <f t="shared" si="21"/>
        <v>16</v>
      </c>
      <c r="X78" s="71">
        <f t="shared" si="21"/>
        <v>4</v>
      </c>
      <c r="Y78" s="71">
        <f t="shared" si="21"/>
        <v>1</v>
      </c>
      <c r="Z78" s="71">
        <f t="shared" si="21"/>
        <v>0</v>
      </c>
      <c r="AA78" s="71">
        <f t="shared" si="21"/>
        <v>0</v>
      </c>
      <c r="AB78" s="71">
        <f t="shared" si="21"/>
        <v>0</v>
      </c>
      <c r="AC78" s="71">
        <f t="shared" si="21"/>
        <v>0</v>
      </c>
      <c r="AD78" s="71">
        <f t="shared" si="21"/>
        <v>0</v>
      </c>
      <c r="AE78" s="71">
        <f t="shared" si="21"/>
        <v>0</v>
      </c>
      <c r="AF78" s="71">
        <f t="shared" si="21"/>
        <v>0</v>
      </c>
      <c r="AG78" s="71">
        <f t="shared" si="21"/>
        <v>0</v>
      </c>
      <c r="AH78" s="71">
        <f t="shared" si="21"/>
        <v>0</v>
      </c>
      <c r="AI78" s="71">
        <f t="shared" si="21"/>
        <v>0</v>
      </c>
      <c r="AJ78" s="71">
        <f t="shared" si="21"/>
        <v>0</v>
      </c>
      <c r="AK78" s="71">
        <f t="shared" si="21"/>
        <v>0</v>
      </c>
    </row>
    <row r="79" spans="6:37" s="45" customFormat="1" x14ac:dyDescent="0.2">
      <c r="F79" s="71">
        <f t="shared" si="21"/>
        <v>0</v>
      </c>
      <c r="G79" s="71">
        <f t="shared" si="21"/>
        <v>0</v>
      </c>
      <c r="H79" s="71">
        <f t="shared" si="21"/>
        <v>0</v>
      </c>
      <c r="I79" s="71">
        <f t="shared" si="21"/>
        <v>0</v>
      </c>
      <c r="J79" s="71">
        <f t="shared" si="21"/>
        <v>0</v>
      </c>
      <c r="K79" s="71">
        <f t="shared" si="21"/>
        <v>0</v>
      </c>
      <c r="L79" s="71">
        <f t="shared" si="21"/>
        <v>0</v>
      </c>
      <c r="M79" s="71">
        <f t="shared" si="21"/>
        <v>0</v>
      </c>
      <c r="N79" s="71">
        <f t="shared" si="21"/>
        <v>0</v>
      </c>
      <c r="O79" s="71">
        <f t="shared" si="21"/>
        <v>0</v>
      </c>
      <c r="P79" s="71">
        <f t="shared" si="21"/>
        <v>0</v>
      </c>
      <c r="Q79" s="71">
        <f t="shared" si="21"/>
        <v>0</v>
      </c>
      <c r="R79" s="71">
        <f t="shared" si="21"/>
        <v>48</v>
      </c>
      <c r="S79" s="71">
        <f t="shared" si="21"/>
        <v>8</v>
      </c>
      <c r="T79" s="71">
        <f t="shared" si="21"/>
        <v>1</v>
      </c>
      <c r="U79" s="71">
        <f t="shared" si="21"/>
        <v>0</v>
      </c>
      <c r="V79" s="71">
        <f t="shared" si="21"/>
        <v>-48</v>
      </c>
      <c r="W79" s="71">
        <f t="shared" si="21"/>
        <v>-8</v>
      </c>
      <c r="X79" s="71">
        <f t="shared" si="21"/>
        <v>-1</v>
      </c>
      <c r="Y79" s="71">
        <f t="shared" si="21"/>
        <v>0</v>
      </c>
      <c r="Z79" s="71">
        <f t="shared" si="21"/>
        <v>0</v>
      </c>
      <c r="AA79" s="71">
        <f t="shared" si="21"/>
        <v>0</v>
      </c>
      <c r="AB79" s="71">
        <f t="shared" si="21"/>
        <v>0</v>
      </c>
      <c r="AC79" s="71">
        <f t="shared" si="21"/>
        <v>0</v>
      </c>
      <c r="AD79" s="71">
        <f t="shared" si="21"/>
        <v>0</v>
      </c>
      <c r="AE79" s="71">
        <f t="shared" si="21"/>
        <v>0</v>
      </c>
      <c r="AF79" s="71">
        <f t="shared" si="21"/>
        <v>0</v>
      </c>
      <c r="AG79" s="71">
        <f t="shared" si="21"/>
        <v>0</v>
      </c>
      <c r="AH79" s="71">
        <f t="shared" si="21"/>
        <v>0</v>
      </c>
      <c r="AI79" s="71">
        <f t="shared" si="21"/>
        <v>0</v>
      </c>
      <c r="AJ79" s="71">
        <f t="shared" si="21"/>
        <v>0</v>
      </c>
      <c r="AK79" s="71">
        <f t="shared" si="21"/>
        <v>0</v>
      </c>
    </row>
    <row r="80" spans="6:37" s="45" customFormat="1" x14ac:dyDescent="0.2">
      <c r="F80" s="71">
        <f t="shared" si="21"/>
        <v>0</v>
      </c>
      <c r="G80" s="71">
        <f t="shared" si="21"/>
        <v>0</v>
      </c>
      <c r="H80" s="71">
        <f t="shared" si="21"/>
        <v>0</v>
      </c>
      <c r="I80" s="71">
        <f t="shared" si="21"/>
        <v>0</v>
      </c>
      <c r="J80" s="71">
        <f t="shared" si="21"/>
        <v>0</v>
      </c>
      <c r="K80" s="71">
        <f t="shared" si="21"/>
        <v>0</v>
      </c>
      <c r="L80" s="71">
        <f t="shared" si="21"/>
        <v>0</v>
      </c>
      <c r="M80" s="71">
        <f t="shared" si="21"/>
        <v>0</v>
      </c>
      <c r="N80" s="71">
        <f t="shared" si="21"/>
        <v>0</v>
      </c>
      <c r="O80" s="71">
        <f t="shared" si="21"/>
        <v>0</v>
      </c>
      <c r="P80" s="71">
        <f t="shared" si="21"/>
        <v>0</v>
      </c>
      <c r="Q80" s="71">
        <f t="shared" si="21"/>
        <v>0</v>
      </c>
      <c r="R80" s="71">
        <f t="shared" si="21"/>
        <v>24</v>
      </c>
      <c r="S80" s="71">
        <f t="shared" si="21"/>
        <v>2</v>
      </c>
      <c r="T80" s="71">
        <f t="shared" si="21"/>
        <v>0</v>
      </c>
      <c r="U80" s="71">
        <f t="shared" si="21"/>
        <v>0</v>
      </c>
      <c r="V80" s="71">
        <f t="shared" si="21"/>
        <v>-24</v>
      </c>
      <c r="W80" s="71">
        <f t="shared" si="21"/>
        <v>-2</v>
      </c>
      <c r="X80" s="71">
        <f t="shared" si="21"/>
        <v>0</v>
      </c>
      <c r="Y80" s="71">
        <f t="shared" si="21"/>
        <v>0</v>
      </c>
      <c r="Z80" s="71">
        <f t="shared" si="21"/>
        <v>0</v>
      </c>
      <c r="AA80" s="71">
        <f t="shared" si="21"/>
        <v>0</v>
      </c>
      <c r="AB80" s="71">
        <f t="shared" si="21"/>
        <v>0</v>
      </c>
      <c r="AC80" s="71">
        <f t="shared" si="21"/>
        <v>0</v>
      </c>
      <c r="AD80" s="71">
        <f t="shared" si="21"/>
        <v>0</v>
      </c>
      <c r="AE80" s="71">
        <f t="shared" si="21"/>
        <v>0</v>
      </c>
      <c r="AF80" s="71">
        <f t="shared" si="21"/>
        <v>0</v>
      </c>
      <c r="AG80" s="71">
        <f t="shared" si="21"/>
        <v>0</v>
      </c>
      <c r="AH80" s="71">
        <f t="shared" si="21"/>
        <v>0</v>
      </c>
      <c r="AI80" s="71">
        <f t="shared" si="21"/>
        <v>0</v>
      </c>
      <c r="AJ80" s="71">
        <f t="shared" si="21"/>
        <v>0</v>
      </c>
      <c r="AK80" s="71">
        <f t="shared" si="21"/>
        <v>0</v>
      </c>
    </row>
    <row r="81" spans="6:37" s="45" customFormat="1" x14ac:dyDescent="0.2">
      <c r="F81" s="71">
        <f t="shared" si="21"/>
        <v>0</v>
      </c>
      <c r="G81" s="71">
        <f t="shared" si="21"/>
        <v>0</v>
      </c>
      <c r="H81" s="71">
        <f t="shared" si="21"/>
        <v>0</v>
      </c>
      <c r="I81" s="71">
        <f t="shared" si="21"/>
        <v>0</v>
      </c>
      <c r="J81" s="71">
        <f t="shared" si="21"/>
        <v>0</v>
      </c>
      <c r="K81" s="71">
        <f t="shared" si="21"/>
        <v>0</v>
      </c>
      <c r="L81" s="71">
        <f t="shared" si="21"/>
        <v>0</v>
      </c>
      <c r="M81" s="71">
        <f t="shared" si="21"/>
        <v>0</v>
      </c>
      <c r="N81" s="71">
        <f t="shared" si="21"/>
        <v>0</v>
      </c>
      <c r="O81" s="71">
        <f t="shared" si="21"/>
        <v>0</v>
      </c>
      <c r="P81" s="71">
        <f t="shared" si="21"/>
        <v>0</v>
      </c>
      <c r="Q81" s="71">
        <f t="shared" si="21"/>
        <v>0</v>
      </c>
      <c r="R81" s="71">
        <f t="shared" si="21"/>
        <v>0</v>
      </c>
      <c r="S81" s="71">
        <f t="shared" si="21"/>
        <v>0</v>
      </c>
      <c r="T81" s="71">
        <f t="shared" si="21"/>
        <v>0</v>
      </c>
      <c r="U81" s="71">
        <f t="shared" si="21"/>
        <v>0</v>
      </c>
      <c r="V81" s="71">
        <f t="shared" si="21"/>
        <v>125</v>
      </c>
      <c r="W81" s="71">
        <f t="shared" si="21"/>
        <v>25</v>
      </c>
      <c r="X81" s="71">
        <f t="shared" si="21"/>
        <v>5</v>
      </c>
      <c r="Y81" s="71">
        <f t="shared" si="21"/>
        <v>1</v>
      </c>
      <c r="Z81" s="71">
        <f t="shared" si="21"/>
        <v>0</v>
      </c>
      <c r="AA81" s="71">
        <f t="shared" si="21"/>
        <v>0</v>
      </c>
      <c r="AB81" s="71">
        <f t="shared" si="21"/>
        <v>0</v>
      </c>
      <c r="AC81" s="71">
        <f t="shared" si="21"/>
        <v>0</v>
      </c>
      <c r="AD81" s="71">
        <f t="shared" si="21"/>
        <v>0</v>
      </c>
      <c r="AE81" s="71">
        <f t="shared" si="21"/>
        <v>0</v>
      </c>
      <c r="AF81" s="71">
        <f t="shared" si="21"/>
        <v>0</v>
      </c>
      <c r="AG81" s="71">
        <f t="shared" si="21"/>
        <v>0</v>
      </c>
      <c r="AH81" s="71">
        <f t="shared" si="21"/>
        <v>0</v>
      </c>
      <c r="AI81" s="71">
        <f t="shared" si="21"/>
        <v>0</v>
      </c>
      <c r="AJ81" s="71">
        <f t="shared" si="21"/>
        <v>0</v>
      </c>
      <c r="AK81" s="71">
        <f t="shared" ref="AK81" si="22">IF(ISBLANK(AK44),0,AK44)</f>
        <v>0</v>
      </c>
    </row>
    <row r="82" spans="6:37" s="45" customFormat="1" x14ac:dyDescent="0.2">
      <c r="F82" s="71">
        <f t="shared" ref="F82:AK89" si="23">IF(ISBLANK(F45),0,F45)</f>
        <v>0</v>
      </c>
      <c r="G82" s="71">
        <f t="shared" si="23"/>
        <v>0</v>
      </c>
      <c r="H82" s="71">
        <f t="shared" si="23"/>
        <v>0</v>
      </c>
      <c r="I82" s="71">
        <f t="shared" si="23"/>
        <v>0</v>
      </c>
      <c r="J82" s="71">
        <f t="shared" si="23"/>
        <v>0</v>
      </c>
      <c r="K82" s="71">
        <f t="shared" si="23"/>
        <v>0</v>
      </c>
      <c r="L82" s="71">
        <f t="shared" si="23"/>
        <v>0</v>
      </c>
      <c r="M82" s="71">
        <f t="shared" si="23"/>
        <v>0</v>
      </c>
      <c r="N82" s="71">
        <f t="shared" si="23"/>
        <v>0</v>
      </c>
      <c r="O82" s="71">
        <f t="shared" si="23"/>
        <v>0</v>
      </c>
      <c r="P82" s="71">
        <f t="shared" si="23"/>
        <v>0</v>
      </c>
      <c r="Q82" s="71">
        <f t="shared" si="23"/>
        <v>0</v>
      </c>
      <c r="R82" s="71">
        <f t="shared" si="23"/>
        <v>0</v>
      </c>
      <c r="S82" s="71">
        <f t="shared" si="23"/>
        <v>0</v>
      </c>
      <c r="T82" s="71">
        <f t="shared" si="23"/>
        <v>0</v>
      </c>
      <c r="U82" s="71">
        <f t="shared" si="23"/>
        <v>0</v>
      </c>
      <c r="V82" s="71">
        <f t="shared" si="23"/>
        <v>0</v>
      </c>
      <c r="W82" s="71">
        <f t="shared" si="23"/>
        <v>0</v>
      </c>
      <c r="X82" s="71">
        <f t="shared" si="23"/>
        <v>0</v>
      </c>
      <c r="Y82" s="71">
        <f t="shared" si="23"/>
        <v>0</v>
      </c>
      <c r="Z82" s="71">
        <f t="shared" si="23"/>
        <v>125</v>
      </c>
      <c r="AA82" s="71">
        <f t="shared" si="23"/>
        <v>25</v>
      </c>
      <c r="AB82" s="71">
        <f t="shared" si="23"/>
        <v>5</v>
      </c>
      <c r="AC82" s="71">
        <f t="shared" si="23"/>
        <v>1</v>
      </c>
      <c r="AD82" s="71">
        <f t="shared" si="23"/>
        <v>0</v>
      </c>
      <c r="AE82" s="71">
        <f t="shared" si="23"/>
        <v>0</v>
      </c>
      <c r="AF82" s="71">
        <f t="shared" si="23"/>
        <v>0</v>
      </c>
      <c r="AG82" s="71">
        <f t="shared" si="23"/>
        <v>0</v>
      </c>
      <c r="AH82" s="71">
        <f t="shared" si="23"/>
        <v>0</v>
      </c>
      <c r="AI82" s="71">
        <f t="shared" si="23"/>
        <v>0</v>
      </c>
      <c r="AJ82" s="71">
        <f t="shared" si="23"/>
        <v>0</v>
      </c>
      <c r="AK82" s="71">
        <f t="shared" si="23"/>
        <v>0</v>
      </c>
    </row>
    <row r="83" spans="6:37" s="45" customFormat="1" x14ac:dyDescent="0.2">
      <c r="F83" s="71">
        <f t="shared" si="23"/>
        <v>0</v>
      </c>
      <c r="G83" s="71">
        <f t="shared" si="23"/>
        <v>0</v>
      </c>
      <c r="H83" s="71">
        <f t="shared" si="23"/>
        <v>0</v>
      </c>
      <c r="I83" s="71">
        <f t="shared" si="23"/>
        <v>0</v>
      </c>
      <c r="J83" s="71">
        <f t="shared" si="23"/>
        <v>0</v>
      </c>
      <c r="K83" s="71">
        <f t="shared" si="23"/>
        <v>0</v>
      </c>
      <c r="L83" s="71">
        <f t="shared" si="23"/>
        <v>0</v>
      </c>
      <c r="M83" s="71">
        <f t="shared" si="23"/>
        <v>0</v>
      </c>
      <c r="N83" s="71">
        <f t="shared" si="23"/>
        <v>0</v>
      </c>
      <c r="O83" s="71">
        <f t="shared" si="23"/>
        <v>0</v>
      </c>
      <c r="P83" s="71">
        <f t="shared" si="23"/>
        <v>0</v>
      </c>
      <c r="Q83" s="71">
        <f t="shared" si="23"/>
        <v>0</v>
      </c>
      <c r="R83" s="71">
        <f t="shared" si="23"/>
        <v>0</v>
      </c>
      <c r="S83" s="71">
        <f t="shared" si="23"/>
        <v>0</v>
      </c>
      <c r="T83" s="71">
        <f t="shared" si="23"/>
        <v>0</v>
      </c>
      <c r="U83" s="71">
        <f t="shared" si="23"/>
        <v>0</v>
      </c>
      <c r="V83" s="71">
        <f t="shared" si="23"/>
        <v>75</v>
      </c>
      <c r="W83" s="71">
        <f t="shared" si="23"/>
        <v>10</v>
      </c>
      <c r="X83" s="71">
        <f t="shared" si="23"/>
        <v>1</v>
      </c>
      <c r="Y83" s="71">
        <f t="shared" si="23"/>
        <v>0</v>
      </c>
      <c r="Z83" s="71">
        <f t="shared" si="23"/>
        <v>-75</v>
      </c>
      <c r="AA83" s="71">
        <f t="shared" si="23"/>
        <v>-10</v>
      </c>
      <c r="AB83" s="71">
        <f t="shared" si="23"/>
        <v>-1</v>
      </c>
      <c r="AC83" s="71">
        <f t="shared" si="23"/>
        <v>0</v>
      </c>
      <c r="AD83" s="71">
        <f t="shared" si="23"/>
        <v>0</v>
      </c>
      <c r="AE83" s="71">
        <f t="shared" si="23"/>
        <v>0</v>
      </c>
      <c r="AF83" s="71">
        <f t="shared" si="23"/>
        <v>0</v>
      </c>
      <c r="AG83" s="71">
        <f t="shared" si="23"/>
        <v>0</v>
      </c>
      <c r="AH83" s="71">
        <f t="shared" si="23"/>
        <v>0</v>
      </c>
      <c r="AI83" s="71">
        <f t="shared" si="23"/>
        <v>0</v>
      </c>
      <c r="AJ83" s="71">
        <f t="shared" si="23"/>
        <v>0</v>
      </c>
      <c r="AK83" s="71">
        <f t="shared" si="23"/>
        <v>0</v>
      </c>
    </row>
    <row r="84" spans="6:37" s="45" customFormat="1" x14ac:dyDescent="0.2">
      <c r="F84" s="71">
        <f t="shared" si="23"/>
        <v>0</v>
      </c>
      <c r="G84" s="71">
        <f t="shared" si="23"/>
        <v>0</v>
      </c>
      <c r="H84" s="71">
        <f t="shared" si="23"/>
        <v>0</v>
      </c>
      <c r="I84" s="71">
        <f t="shared" si="23"/>
        <v>0</v>
      </c>
      <c r="J84" s="71">
        <f t="shared" si="23"/>
        <v>0</v>
      </c>
      <c r="K84" s="71">
        <f t="shared" si="23"/>
        <v>0</v>
      </c>
      <c r="L84" s="71">
        <f t="shared" si="23"/>
        <v>0</v>
      </c>
      <c r="M84" s="71">
        <f t="shared" si="23"/>
        <v>0</v>
      </c>
      <c r="N84" s="71">
        <f t="shared" si="23"/>
        <v>0</v>
      </c>
      <c r="O84" s="71">
        <f t="shared" si="23"/>
        <v>0</v>
      </c>
      <c r="P84" s="71">
        <f t="shared" si="23"/>
        <v>0</v>
      </c>
      <c r="Q84" s="71">
        <f t="shared" si="23"/>
        <v>0</v>
      </c>
      <c r="R84" s="71">
        <f t="shared" si="23"/>
        <v>0</v>
      </c>
      <c r="S84" s="71">
        <f t="shared" si="23"/>
        <v>0</v>
      </c>
      <c r="T84" s="71">
        <f t="shared" si="23"/>
        <v>0</v>
      </c>
      <c r="U84" s="71">
        <f t="shared" si="23"/>
        <v>0</v>
      </c>
      <c r="V84" s="71">
        <f t="shared" si="23"/>
        <v>30</v>
      </c>
      <c r="W84" s="71">
        <f t="shared" si="23"/>
        <v>2</v>
      </c>
      <c r="X84" s="71">
        <f t="shared" si="23"/>
        <v>0</v>
      </c>
      <c r="Y84" s="71">
        <f t="shared" si="23"/>
        <v>0</v>
      </c>
      <c r="Z84" s="71">
        <f t="shared" si="23"/>
        <v>-30</v>
      </c>
      <c r="AA84" s="71">
        <f t="shared" si="23"/>
        <v>-2</v>
      </c>
      <c r="AB84" s="71">
        <f t="shared" si="23"/>
        <v>0</v>
      </c>
      <c r="AC84" s="71">
        <f t="shared" si="23"/>
        <v>0</v>
      </c>
      <c r="AD84" s="71">
        <f t="shared" si="23"/>
        <v>0</v>
      </c>
      <c r="AE84" s="71">
        <f t="shared" si="23"/>
        <v>0</v>
      </c>
      <c r="AF84" s="71">
        <f t="shared" si="23"/>
        <v>0</v>
      </c>
      <c r="AG84" s="71">
        <f t="shared" si="23"/>
        <v>0</v>
      </c>
      <c r="AH84" s="71">
        <f t="shared" si="23"/>
        <v>0</v>
      </c>
      <c r="AI84" s="71">
        <f t="shared" si="23"/>
        <v>0</v>
      </c>
      <c r="AJ84" s="71">
        <f t="shared" si="23"/>
        <v>0</v>
      </c>
      <c r="AK84" s="71">
        <f t="shared" si="23"/>
        <v>0</v>
      </c>
    </row>
    <row r="85" spans="6:37" s="45" customFormat="1" x14ac:dyDescent="0.2">
      <c r="F85" s="71">
        <f t="shared" si="23"/>
        <v>0</v>
      </c>
      <c r="G85" s="71">
        <f t="shared" si="23"/>
        <v>0</v>
      </c>
      <c r="H85" s="71">
        <f t="shared" si="23"/>
        <v>0</v>
      </c>
      <c r="I85" s="71">
        <f t="shared" si="23"/>
        <v>0</v>
      </c>
      <c r="J85" s="71">
        <f t="shared" si="23"/>
        <v>0</v>
      </c>
      <c r="K85" s="71">
        <f t="shared" si="23"/>
        <v>0</v>
      </c>
      <c r="L85" s="71">
        <f t="shared" si="23"/>
        <v>0</v>
      </c>
      <c r="M85" s="71">
        <f t="shared" si="23"/>
        <v>0</v>
      </c>
      <c r="N85" s="71">
        <f t="shared" si="23"/>
        <v>0</v>
      </c>
      <c r="O85" s="71">
        <f t="shared" si="23"/>
        <v>0</v>
      </c>
      <c r="P85" s="71">
        <f t="shared" si="23"/>
        <v>0</v>
      </c>
      <c r="Q85" s="71">
        <f t="shared" si="23"/>
        <v>0</v>
      </c>
      <c r="R85" s="71">
        <f t="shared" si="23"/>
        <v>0</v>
      </c>
      <c r="S85" s="71">
        <f t="shared" si="23"/>
        <v>0</v>
      </c>
      <c r="T85" s="71">
        <f t="shared" si="23"/>
        <v>0</v>
      </c>
      <c r="U85" s="71">
        <f t="shared" si="23"/>
        <v>0</v>
      </c>
      <c r="V85" s="71">
        <f t="shared" si="23"/>
        <v>0</v>
      </c>
      <c r="W85" s="71">
        <f t="shared" si="23"/>
        <v>0</v>
      </c>
      <c r="X85" s="71">
        <f t="shared" si="23"/>
        <v>0</v>
      </c>
      <c r="Y85" s="71">
        <f t="shared" si="23"/>
        <v>0</v>
      </c>
      <c r="Z85" s="71">
        <f t="shared" si="23"/>
        <v>343</v>
      </c>
      <c r="AA85" s="71">
        <f t="shared" si="23"/>
        <v>49</v>
      </c>
      <c r="AB85" s="71">
        <f t="shared" si="23"/>
        <v>7</v>
      </c>
      <c r="AC85" s="71">
        <f t="shared" si="23"/>
        <v>1</v>
      </c>
      <c r="AD85" s="71">
        <f t="shared" si="23"/>
        <v>0</v>
      </c>
      <c r="AE85" s="71">
        <f t="shared" si="23"/>
        <v>0</v>
      </c>
      <c r="AF85" s="71">
        <f t="shared" si="23"/>
        <v>0</v>
      </c>
      <c r="AG85" s="71">
        <f t="shared" si="23"/>
        <v>0</v>
      </c>
      <c r="AH85" s="71">
        <f t="shared" si="23"/>
        <v>0</v>
      </c>
      <c r="AI85" s="71">
        <f t="shared" si="23"/>
        <v>0</v>
      </c>
      <c r="AJ85" s="71">
        <f t="shared" si="23"/>
        <v>0</v>
      </c>
      <c r="AK85" s="71">
        <f t="shared" si="23"/>
        <v>0</v>
      </c>
    </row>
    <row r="86" spans="6:37" s="45" customFormat="1" x14ac:dyDescent="0.2">
      <c r="F86" s="71">
        <f t="shared" si="23"/>
        <v>0</v>
      </c>
      <c r="G86" s="71">
        <f t="shared" si="23"/>
        <v>0</v>
      </c>
      <c r="H86" s="71">
        <f t="shared" si="23"/>
        <v>0</v>
      </c>
      <c r="I86" s="71">
        <f t="shared" si="23"/>
        <v>0</v>
      </c>
      <c r="J86" s="71">
        <f t="shared" si="23"/>
        <v>0</v>
      </c>
      <c r="K86" s="71">
        <f t="shared" si="23"/>
        <v>0</v>
      </c>
      <c r="L86" s="71">
        <f t="shared" si="23"/>
        <v>0</v>
      </c>
      <c r="M86" s="71">
        <f t="shared" si="23"/>
        <v>0</v>
      </c>
      <c r="N86" s="71">
        <f t="shared" si="23"/>
        <v>0</v>
      </c>
      <c r="O86" s="71">
        <f t="shared" si="23"/>
        <v>0</v>
      </c>
      <c r="P86" s="71">
        <f t="shared" si="23"/>
        <v>0</v>
      </c>
      <c r="Q86" s="71">
        <f t="shared" si="23"/>
        <v>0</v>
      </c>
      <c r="R86" s="71">
        <f t="shared" si="23"/>
        <v>0</v>
      </c>
      <c r="S86" s="71">
        <f t="shared" si="23"/>
        <v>0</v>
      </c>
      <c r="T86" s="71">
        <f t="shared" si="23"/>
        <v>0</v>
      </c>
      <c r="U86" s="71">
        <f t="shared" si="23"/>
        <v>0</v>
      </c>
      <c r="V86" s="71">
        <f t="shared" si="23"/>
        <v>0</v>
      </c>
      <c r="W86" s="71">
        <f t="shared" si="23"/>
        <v>0</v>
      </c>
      <c r="X86" s="71">
        <f t="shared" si="23"/>
        <v>0</v>
      </c>
      <c r="Y86" s="71">
        <f t="shared" si="23"/>
        <v>0</v>
      </c>
      <c r="Z86" s="71">
        <f t="shared" si="23"/>
        <v>0</v>
      </c>
      <c r="AA86" s="71">
        <f t="shared" si="23"/>
        <v>0</v>
      </c>
      <c r="AB86" s="71">
        <f t="shared" si="23"/>
        <v>0</v>
      </c>
      <c r="AC86" s="71">
        <f t="shared" si="23"/>
        <v>0</v>
      </c>
      <c r="AD86" s="71">
        <f t="shared" si="23"/>
        <v>343</v>
      </c>
      <c r="AE86" s="71">
        <f t="shared" si="23"/>
        <v>49</v>
      </c>
      <c r="AF86" s="71">
        <f t="shared" si="23"/>
        <v>7</v>
      </c>
      <c r="AG86" s="71">
        <f t="shared" si="23"/>
        <v>1</v>
      </c>
      <c r="AH86" s="71">
        <f t="shared" si="23"/>
        <v>0</v>
      </c>
      <c r="AI86" s="71">
        <f t="shared" si="23"/>
        <v>0</v>
      </c>
      <c r="AJ86" s="71">
        <f t="shared" si="23"/>
        <v>0</v>
      </c>
      <c r="AK86" s="71">
        <f t="shared" si="23"/>
        <v>0</v>
      </c>
    </row>
    <row r="87" spans="6:37" s="45" customFormat="1" x14ac:dyDescent="0.2">
      <c r="F87" s="71">
        <f t="shared" si="23"/>
        <v>0</v>
      </c>
      <c r="G87" s="71">
        <f t="shared" si="23"/>
        <v>0</v>
      </c>
      <c r="H87" s="71">
        <f t="shared" si="23"/>
        <v>0</v>
      </c>
      <c r="I87" s="71">
        <f t="shared" si="23"/>
        <v>0</v>
      </c>
      <c r="J87" s="71">
        <f t="shared" si="23"/>
        <v>0</v>
      </c>
      <c r="K87" s="71">
        <f t="shared" si="23"/>
        <v>0</v>
      </c>
      <c r="L87" s="71">
        <f t="shared" si="23"/>
        <v>0</v>
      </c>
      <c r="M87" s="71">
        <f t="shared" si="23"/>
        <v>0</v>
      </c>
      <c r="N87" s="71">
        <f t="shared" si="23"/>
        <v>0</v>
      </c>
      <c r="O87" s="71">
        <f t="shared" si="23"/>
        <v>0</v>
      </c>
      <c r="P87" s="71">
        <f t="shared" si="23"/>
        <v>0</v>
      </c>
      <c r="Q87" s="71">
        <f t="shared" si="23"/>
        <v>0</v>
      </c>
      <c r="R87" s="71">
        <f t="shared" si="23"/>
        <v>0</v>
      </c>
      <c r="S87" s="71">
        <f t="shared" si="23"/>
        <v>0</v>
      </c>
      <c r="T87" s="71">
        <f t="shared" si="23"/>
        <v>0</v>
      </c>
      <c r="U87" s="71">
        <f t="shared" si="23"/>
        <v>0</v>
      </c>
      <c r="V87" s="71">
        <f t="shared" si="23"/>
        <v>0</v>
      </c>
      <c r="W87" s="71">
        <f t="shared" si="23"/>
        <v>0</v>
      </c>
      <c r="X87" s="71">
        <f t="shared" si="23"/>
        <v>0</v>
      </c>
      <c r="Y87" s="71">
        <f t="shared" si="23"/>
        <v>0</v>
      </c>
      <c r="Z87" s="71">
        <f t="shared" si="23"/>
        <v>147</v>
      </c>
      <c r="AA87" s="71">
        <f t="shared" si="23"/>
        <v>14</v>
      </c>
      <c r="AB87" s="71">
        <f t="shared" si="23"/>
        <v>1</v>
      </c>
      <c r="AC87" s="71">
        <f t="shared" si="23"/>
        <v>0</v>
      </c>
      <c r="AD87" s="71">
        <f t="shared" si="23"/>
        <v>-147</v>
      </c>
      <c r="AE87" s="71">
        <f t="shared" si="23"/>
        <v>-14</v>
      </c>
      <c r="AF87" s="71">
        <f t="shared" si="23"/>
        <v>-1</v>
      </c>
      <c r="AG87" s="71">
        <f t="shared" si="23"/>
        <v>0</v>
      </c>
      <c r="AH87" s="71">
        <f t="shared" si="23"/>
        <v>0</v>
      </c>
      <c r="AI87" s="71">
        <f t="shared" si="23"/>
        <v>0</v>
      </c>
      <c r="AJ87" s="71">
        <f t="shared" si="23"/>
        <v>0</v>
      </c>
      <c r="AK87" s="71">
        <f t="shared" si="23"/>
        <v>0</v>
      </c>
    </row>
    <row r="88" spans="6:37" s="45" customFormat="1" x14ac:dyDescent="0.2">
      <c r="F88" s="71">
        <f t="shared" si="23"/>
        <v>0</v>
      </c>
      <c r="G88" s="71">
        <f t="shared" si="23"/>
        <v>0</v>
      </c>
      <c r="H88" s="71">
        <f t="shared" si="23"/>
        <v>0</v>
      </c>
      <c r="I88" s="71">
        <f t="shared" si="23"/>
        <v>0</v>
      </c>
      <c r="J88" s="71">
        <f t="shared" si="23"/>
        <v>0</v>
      </c>
      <c r="K88" s="71">
        <f t="shared" si="23"/>
        <v>0</v>
      </c>
      <c r="L88" s="71">
        <f t="shared" si="23"/>
        <v>0</v>
      </c>
      <c r="M88" s="71">
        <f t="shared" si="23"/>
        <v>0</v>
      </c>
      <c r="N88" s="71">
        <f t="shared" si="23"/>
        <v>0</v>
      </c>
      <c r="O88" s="71">
        <f t="shared" si="23"/>
        <v>0</v>
      </c>
      <c r="P88" s="71">
        <f t="shared" si="23"/>
        <v>0</v>
      </c>
      <c r="Q88" s="71">
        <f t="shared" si="23"/>
        <v>0</v>
      </c>
      <c r="R88" s="71">
        <f t="shared" si="23"/>
        <v>0</v>
      </c>
      <c r="S88" s="71">
        <f t="shared" si="23"/>
        <v>0</v>
      </c>
      <c r="T88" s="71">
        <f t="shared" si="23"/>
        <v>0</v>
      </c>
      <c r="U88" s="71">
        <f t="shared" si="23"/>
        <v>0</v>
      </c>
      <c r="V88" s="71">
        <f t="shared" si="23"/>
        <v>0</v>
      </c>
      <c r="W88" s="71">
        <f t="shared" si="23"/>
        <v>0</v>
      </c>
      <c r="X88" s="71">
        <f t="shared" si="23"/>
        <v>0</v>
      </c>
      <c r="Y88" s="71">
        <f t="shared" si="23"/>
        <v>0</v>
      </c>
      <c r="Z88" s="71">
        <f t="shared" si="23"/>
        <v>42</v>
      </c>
      <c r="AA88" s="71">
        <f t="shared" si="23"/>
        <v>2</v>
      </c>
      <c r="AB88" s="71">
        <f t="shared" si="23"/>
        <v>0</v>
      </c>
      <c r="AC88" s="71">
        <f t="shared" si="23"/>
        <v>0</v>
      </c>
      <c r="AD88" s="71">
        <f t="shared" si="23"/>
        <v>-42</v>
      </c>
      <c r="AE88" s="71">
        <f t="shared" si="23"/>
        <v>-2</v>
      </c>
      <c r="AF88" s="71">
        <f t="shared" si="23"/>
        <v>0</v>
      </c>
      <c r="AG88" s="71">
        <f t="shared" si="23"/>
        <v>0</v>
      </c>
      <c r="AH88" s="71">
        <f t="shared" si="23"/>
        <v>0</v>
      </c>
      <c r="AI88" s="71">
        <f t="shared" si="23"/>
        <v>0</v>
      </c>
      <c r="AJ88" s="71">
        <f t="shared" si="23"/>
        <v>0</v>
      </c>
      <c r="AK88" s="71">
        <f t="shared" si="23"/>
        <v>0</v>
      </c>
    </row>
    <row r="89" spans="6:37" s="45" customFormat="1" x14ac:dyDescent="0.2">
      <c r="F89" s="71">
        <f t="shared" si="23"/>
        <v>0</v>
      </c>
      <c r="G89" s="71">
        <f t="shared" si="23"/>
        <v>0</v>
      </c>
      <c r="H89" s="71">
        <f t="shared" si="23"/>
        <v>0</v>
      </c>
      <c r="I89" s="71">
        <f t="shared" si="23"/>
        <v>0</v>
      </c>
      <c r="J89" s="71">
        <f t="shared" si="23"/>
        <v>0</v>
      </c>
      <c r="K89" s="71">
        <f t="shared" si="23"/>
        <v>0</v>
      </c>
      <c r="L89" s="71">
        <f t="shared" si="23"/>
        <v>0</v>
      </c>
      <c r="M89" s="71">
        <f t="shared" si="23"/>
        <v>0</v>
      </c>
      <c r="N89" s="71">
        <f t="shared" si="23"/>
        <v>0</v>
      </c>
      <c r="O89" s="71">
        <f t="shared" si="23"/>
        <v>0</v>
      </c>
      <c r="P89" s="71">
        <f t="shared" si="23"/>
        <v>0</v>
      </c>
      <c r="Q89" s="71">
        <f t="shared" si="23"/>
        <v>0</v>
      </c>
      <c r="R89" s="71">
        <f t="shared" si="23"/>
        <v>0</v>
      </c>
      <c r="S89" s="71">
        <f t="shared" si="23"/>
        <v>0</v>
      </c>
      <c r="T89" s="71">
        <f t="shared" si="23"/>
        <v>0</v>
      </c>
      <c r="U89" s="71">
        <f t="shared" si="23"/>
        <v>0</v>
      </c>
      <c r="V89" s="71">
        <f t="shared" si="23"/>
        <v>0</v>
      </c>
      <c r="W89" s="71">
        <f t="shared" si="23"/>
        <v>0</v>
      </c>
      <c r="X89" s="71">
        <f t="shared" si="23"/>
        <v>0</v>
      </c>
      <c r="Y89" s="71">
        <f t="shared" si="23"/>
        <v>0</v>
      </c>
      <c r="Z89" s="71">
        <f t="shared" si="23"/>
        <v>0</v>
      </c>
      <c r="AA89" s="71">
        <f t="shared" si="23"/>
        <v>0</v>
      </c>
      <c r="AB89" s="71">
        <f t="shared" si="23"/>
        <v>0</v>
      </c>
      <c r="AC89" s="71">
        <f t="shared" si="23"/>
        <v>0</v>
      </c>
      <c r="AD89" s="71">
        <f t="shared" si="23"/>
        <v>1000</v>
      </c>
      <c r="AE89" s="71">
        <f t="shared" si="23"/>
        <v>100</v>
      </c>
      <c r="AF89" s="71">
        <f t="shared" si="23"/>
        <v>10</v>
      </c>
      <c r="AG89" s="71">
        <f t="shared" si="23"/>
        <v>1</v>
      </c>
      <c r="AH89" s="71">
        <f t="shared" si="23"/>
        <v>0</v>
      </c>
      <c r="AI89" s="71">
        <f t="shared" si="23"/>
        <v>0</v>
      </c>
      <c r="AJ89" s="71">
        <f t="shared" si="23"/>
        <v>0</v>
      </c>
      <c r="AK89" s="71">
        <f t="shared" ref="AK89" si="24">IF(ISBLANK(AK52),0,AK52)</f>
        <v>0</v>
      </c>
    </row>
    <row r="90" spans="6:37" s="45" customFormat="1" x14ac:dyDescent="0.2">
      <c r="F90" s="71">
        <f t="shared" ref="F90:AK96" si="25">IF(ISBLANK(F53),0,F53)</f>
        <v>0</v>
      </c>
      <c r="G90" s="71">
        <f t="shared" si="25"/>
        <v>0</v>
      </c>
      <c r="H90" s="71">
        <f t="shared" si="25"/>
        <v>0</v>
      </c>
      <c r="I90" s="71">
        <f t="shared" si="25"/>
        <v>0</v>
      </c>
      <c r="J90" s="71">
        <f t="shared" si="25"/>
        <v>0</v>
      </c>
      <c r="K90" s="71">
        <f t="shared" si="25"/>
        <v>0</v>
      </c>
      <c r="L90" s="71">
        <f t="shared" si="25"/>
        <v>0</v>
      </c>
      <c r="M90" s="71">
        <f t="shared" si="25"/>
        <v>0</v>
      </c>
      <c r="N90" s="71">
        <f t="shared" si="25"/>
        <v>0</v>
      </c>
      <c r="O90" s="71">
        <f t="shared" si="25"/>
        <v>0</v>
      </c>
      <c r="P90" s="71">
        <f t="shared" si="25"/>
        <v>0</v>
      </c>
      <c r="Q90" s="71">
        <f t="shared" si="25"/>
        <v>0</v>
      </c>
      <c r="R90" s="71">
        <f t="shared" si="25"/>
        <v>0</v>
      </c>
      <c r="S90" s="71">
        <f t="shared" si="25"/>
        <v>0</v>
      </c>
      <c r="T90" s="71">
        <f t="shared" si="25"/>
        <v>0</v>
      </c>
      <c r="U90" s="71">
        <f t="shared" si="25"/>
        <v>0</v>
      </c>
      <c r="V90" s="71">
        <f t="shared" si="25"/>
        <v>0</v>
      </c>
      <c r="W90" s="71">
        <f t="shared" si="25"/>
        <v>0</v>
      </c>
      <c r="X90" s="71">
        <f t="shared" si="25"/>
        <v>0</v>
      </c>
      <c r="Y90" s="71">
        <f t="shared" si="25"/>
        <v>0</v>
      </c>
      <c r="Z90" s="71">
        <f t="shared" si="25"/>
        <v>0</v>
      </c>
      <c r="AA90" s="71">
        <f t="shared" si="25"/>
        <v>0</v>
      </c>
      <c r="AB90" s="71">
        <f t="shared" si="25"/>
        <v>0</v>
      </c>
      <c r="AC90" s="71">
        <f t="shared" si="25"/>
        <v>0</v>
      </c>
      <c r="AD90" s="71">
        <f t="shared" si="25"/>
        <v>0</v>
      </c>
      <c r="AE90" s="71">
        <f t="shared" si="25"/>
        <v>0</v>
      </c>
      <c r="AF90" s="71">
        <f t="shared" si="25"/>
        <v>0</v>
      </c>
      <c r="AG90" s="71">
        <f t="shared" si="25"/>
        <v>0</v>
      </c>
      <c r="AH90" s="71">
        <f t="shared" si="25"/>
        <v>1000</v>
      </c>
      <c r="AI90" s="71">
        <f t="shared" si="25"/>
        <v>100</v>
      </c>
      <c r="AJ90" s="71">
        <f t="shared" si="25"/>
        <v>10</v>
      </c>
      <c r="AK90" s="71">
        <f t="shared" si="25"/>
        <v>1</v>
      </c>
    </row>
    <row r="91" spans="6:37" s="45" customFormat="1" x14ac:dyDescent="0.2">
      <c r="F91" s="71">
        <f t="shared" si="25"/>
        <v>0</v>
      </c>
      <c r="G91" s="71">
        <f t="shared" si="25"/>
        <v>0</v>
      </c>
      <c r="H91" s="71">
        <f t="shared" si="25"/>
        <v>0</v>
      </c>
      <c r="I91" s="71">
        <f t="shared" si="25"/>
        <v>0</v>
      </c>
      <c r="J91" s="71">
        <f t="shared" si="25"/>
        <v>0</v>
      </c>
      <c r="K91" s="71">
        <f t="shared" si="25"/>
        <v>0</v>
      </c>
      <c r="L91" s="71">
        <f t="shared" si="25"/>
        <v>0</v>
      </c>
      <c r="M91" s="71">
        <f t="shared" si="25"/>
        <v>0</v>
      </c>
      <c r="N91" s="71">
        <f t="shared" si="25"/>
        <v>0</v>
      </c>
      <c r="O91" s="71">
        <f t="shared" si="25"/>
        <v>0</v>
      </c>
      <c r="P91" s="71">
        <f t="shared" si="25"/>
        <v>0</v>
      </c>
      <c r="Q91" s="71">
        <f t="shared" si="25"/>
        <v>0</v>
      </c>
      <c r="R91" s="71">
        <f t="shared" si="25"/>
        <v>0</v>
      </c>
      <c r="S91" s="71">
        <f t="shared" si="25"/>
        <v>0</v>
      </c>
      <c r="T91" s="71">
        <f t="shared" si="25"/>
        <v>0</v>
      </c>
      <c r="U91" s="71">
        <f t="shared" si="25"/>
        <v>0</v>
      </c>
      <c r="V91" s="71">
        <f t="shared" si="25"/>
        <v>0</v>
      </c>
      <c r="W91" s="71">
        <f t="shared" si="25"/>
        <v>0</v>
      </c>
      <c r="X91" s="71">
        <f t="shared" si="25"/>
        <v>0</v>
      </c>
      <c r="Y91" s="71">
        <f t="shared" si="25"/>
        <v>0</v>
      </c>
      <c r="Z91" s="71">
        <f t="shared" si="25"/>
        <v>0</v>
      </c>
      <c r="AA91" s="71">
        <f t="shared" si="25"/>
        <v>0</v>
      </c>
      <c r="AB91" s="71">
        <f t="shared" si="25"/>
        <v>0</v>
      </c>
      <c r="AC91" s="71">
        <f t="shared" si="25"/>
        <v>0</v>
      </c>
      <c r="AD91" s="71">
        <f t="shared" si="25"/>
        <v>300</v>
      </c>
      <c r="AE91" s="71">
        <f t="shared" si="25"/>
        <v>20</v>
      </c>
      <c r="AF91" s="71">
        <f t="shared" si="25"/>
        <v>1</v>
      </c>
      <c r="AG91" s="71">
        <f t="shared" si="25"/>
        <v>0</v>
      </c>
      <c r="AH91" s="71">
        <f t="shared" si="25"/>
        <v>-300</v>
      </c>
      <c r="AI91" s="71">
        <f t="shared" si="25"/>
        <v>-20</v>
      </c>
      <c r="AJ91" s="71">
        <f t="shared" si="25"/>
        <v>-1</v>
      </c>
      <c r="AK91" s="71">
        <f t="shared" si="25"/>
        <v>0</v>
      </c>
    </row>
    <row r="92" spans="6:37" s="45" customFormat="1" x14ac:dyDescent="0.2">
      <c r="F92" s="71">
        <f t="shared" si="25"/>
        <v>0</v>
      </c>
      <c r="G92" s="71">
        <f t="shared" si="25"/>
        <v>0</v>
      </c>
      <c r="H92" s="71">
        <f t="shared" si="25"/>
        <v>0</v>
      </c>
      <c r="I92" s="71">
        <f t="shared" si="25"/>
        <v>0</v>
      </c>
      <c r="J92" s="71">
        <f t="shared" si="25"/>
        <v>0</v>
      </c>
      <c r="K92" s="71">
        <f t="shared" si="25"/>
        <v>0</v>
      </c>
      <c r="L92" s="71">
        <f t="shared" si="25"/>
        <v>0</v>
      </c>
      <c r="M92" s="71">
        <f t="shared" si="25"/>
        <v>0</v>
      </c>
      <c r="N92" s="71">
        <f t="shared" si="25"/>
        <v>0</v>
      </c>
      <c r="O92" s="71">
        <f t="shared" si="25"/>
        <v>0</v>
      </c>
      <c r="P92" s="71">
        <f t="shared" si="25"/>
        <v>0</v>
      </c>
      <c r="Q92" s="71">
        <f t="shared" si="25"/>
        <v>0</v>
      </c>
      <c r="R92" s="71">
        <f t="shared" si="25"/>
        <v>0</v>
      </c>
      <c r="S92" s="71">
        <f t="shared" si="25"/>
        <v>0</v>
      </c>
      <c r="T92" s="71">
        <f t="shared" si="25"/>
        <v>0</v>
      </c>
      <c r="U92" s="71">
        <f t="shared" si="25"/>
        <v>0</v>
      </c>
      <c r="V92" s="71">
        <f t="shared" si="25"/>
        <v>0</v>
      </c>
      <c r="W92" s="71">
        <f t="shared" si="25"/>
        <v>0</v>
      </c>
      <c r="X92" s="71">
        <f t="shared" si="25"/>
        <v>0</v>
      </c>
      <c r="Y92" s="71">
        <f t="shared" si="25"/>
        <v>0</v>
      </c>
      <c r="Z92" s="71">
        <f t="shared" si="25"/>
        <v>0</v>
      </c>
      <c r="AA92" s="71">
        <f t="shared" si="25"/>
        <v>0</v>
      </c>
      <c r="AB92" s="71">
        <f t="shared" si="25"/>
        <v>0</v>
      </c>
      <c r="AC92" s="71">
        <f t="shared" si="25"/>
        <v>0</v>
      </c>
      <c r="AD92" s="71">
        <f t="shared" si="25"/>
        <v>60</v>
      </c>
      <c r="AE92" s="71">
        <f t="shared" si="25"/>
        <v>2</v>
      </c>
      <c r="AF92" s="71">
        <f t="shared" si="25"/>
        <v>0</v>
      </c>
      <c r="AG92" s="71">
        <f t="shared" si="25"/>
        <v>0</v>
      </c>
      <c r="AH92" s="71">
        <f t="shared" si="25"/>
        <v>-60</v>
      </c>
      <c r="AI92" s="71">
        <f t="shared" si="25"/>
        <v>-2</v>
      </c>
      <c r="AJ92" s="71">
        <f t="shared" si="25"/>
        <v>0</v>
      </c>
      <c r="AK92" s="71">
        <f t="shared" si="25"/>
        <v>0</v>
      </c>
    </row>
    <row r="93" spans="6:37" s="45" customFormat="1" x14ac:dyDescent="0.2">
      <c r="F93" s="71">
        <f t="shared" si="25"/>
        <v>0</v>
      </c>
      <c r="G93" s="71">
        <f t="shared" si="25"/>
        <v>0</v>
      </c>
      <c r="H93" s="71">
        <f t="shared" si="25"/>
        <v>0</v>
      </c>
      <c r="I93" s="71">
        <f t="shared" si="25"/>
        <v>1</v>
      </c>
      <c r="J93" s="71">
        <f t="shared" si="25"/>
        <v>0</v>
      </c>
      <c r="K93" s="71">
        <f t="shared" si="25"/>
        <v>0</v>
      </c>
      <c r="L93" s="71">
        <f t="shared" si="25"/>
        <v>0</v>
      </c>
      <c r="M93" s="71">
        <f t="shared" si="25"/>
        <v>0</v>
      </c>
      <c r="N93" s="71">
        <f t="shared" si="25"/>
        <v>0</v>
      </c>
      <c r="O93" s="71">
        <f t="shared" si="25"/>
        <v>0</v>
      </c>
      <c r="P93" s="71">
        <f t="shared" si="25"/>
        <v>0</v>
      </c>
      <c r="Q93" s="71">
        <f t="shared" si="25"/>
        <v>0</v>
      </c>
      <c r="R93" s="71">
        <f t="shared" si="25"/>
        <v>0</v>
      </c>
      <c r="S93" s="71">
        <f t="shared" si="25"/>
        <v>0</v>
      </c>
      <c r="T93" s="71">
        <f t="shared" si="25"/>
        <v>0</v>
      </c>
      <c r="U93" s="71">
        <f t="shared" si="25"/>
        <v>0</v>
      </c>
      <c r="V93" s="71">
        <f t="shared" si="25"/>
        <v>0</v>
      </c>
      <c r="W93" s="71">
        <f t="shared" si="25"/>
        <v>0</v>
      </c>
      <c r="X93" s="71">
        <f t="shared" si="25"/>
        <v>0</v>
      </c>
      <c r="Y93" s="71">
        <f t="shared" si="25"/>
        <v>0</v>
      </c>
      <c r="Z93" s="71">
        <f t="shared" si="25"/>
        <v>0</v>
      </c>
      <c r="AA93" s="71">
        <f t="shared" si="25"/>
        <v>0</v>
      </c>
      <c r="AB93" s="71">
        <f t="shared" si="25"/>
        <v>0</v>
      </c>
      <c r="AC93" s="71">
        <f t="shared" si="25"/>
        <v>0</v>
      </c>
      <c r="AD93" s="71">
        <f t="shared" si="25"/>
        <v>0</v>
      </c>
      <c r="AE93" s="71">
        <f t="shared" si="25"/>
        <v>0</v>
      </c>
      <c r="AF93" s="71">
        <f t="shared" si="25"/>
        <v>0</v>
      </c>
      <c r="AG93" s="71">
        <f t="shared" si="25"/>
        <v>0</v>
      </c>
      <c r="AH93" s="71">
        <f t="shared" si="25"/>
        <v>0</v>
      </c>
      <c r="AI93" s="71">
        <f t="shared" si="25"/>
        <v>0</v>
      </c>
      <c r="AJ93" s="71">
        <f t="shared" si="25"/>
        <v>0</v>
      </c>
      <c r="AK93" s="71">
        <f t="shared" si="25"/>
        <v>0</v>
      </c>
    </row>
    <row r="94" spans="6:37" s="45" customFormat="1" x14ac:dyDescent="0.2">
      <c r="F94" s="71">
        <f t="shared" si="25"/>
        <v>0</v>
      </c>
      <c r="G94" s="71">
        <f t="shared" si="25"/>
        <v>2</v>
      </c>
      <c r="H94" s="71">
        <f t="shared" si="25"/>
        <v>0</v>
      </c>
      <c r="I94" s="71">
        <f t="shared" si="25"/>
        <v>0</v>
      </c>
      <c r="J94" s="71">
        <f t="shared" si="25"/>
        <v>0</v>
      </c>
      <c r="K94" s="71">
        <f t="shared" si="25"/>
        <v>0</v>
      </c>
      <c r="L94" s="71">
        <f t="shared" si="25"/>
        <v>0</v>
      </c>
      <c r="M94" s="71">
        <f t="shared" si="25"/>
        <v>0</v>
      </c>
      <c r="N94" s="71">
        <f t="shared" si="25"/>
        <v>0</v>
      </c>
      <c r="O94" s="71">
        <f t="shared" si="25"/>
        <v>0</v>
      </c>
      <c r="P94" s="71">
        <f t="shared" si="25"/>
        <v>0</v>
      </c>
      <c r="Q94" s="71">
        <f t="shared" si="25"/>
        <v>0</v>
      </c>
      <c r="R94" s="71">
        <f t="shared" si="25"/>
        <v>0</v>
      </c>
      <c r="S94" s="71">
        <f t="shared" si="25"/>
        <v>0</v>
      </c>
      <c r="T94" s="71">
        <f t="shared" si="25"/>
        <v>0</v>
      </c>
      <c r="U94" s="71">
        <f t="shared" si="25"/>
        <v>0</v>
      </c>
      <c r="V94" s="71">
        <f t="shared" si="25"/>
        <v>0</v>
      </c>
      <c r="W94" s="71">
        <f t="shared" si="25"/>
        <v>0</v>
      </c>
      <c r="X94" s="71">
        <f t="shared" si="25"/>
        <v>0</v>
      </c>
      <c r="Y94" s="71">
        <f t="shared" si="25"/>
        <v>0</v>
      </c>
      <c r="Z94" s="71">
        <f t="shared" si="25"/>
        <v>0</v>
      </c>
      <c r="AA94" s="71">
        <f t="shared" si="25"/>
        <v>0</v>
      </c>
      <c r="AB94" s="71">
        <f t="shared" si="25"/>
        <v>0</v>
      </c>
      <c r="AC94" s="71">
        <f t="shared" si="25"/>
        <v>0</v>
      </c>
      <c r="AD94" s="71">
        <f t="shared" si="25"/>
        <v>0</v>
      </c>
      <c r="AE94" s="71">
        <f t="shared" si="25"/>
        <v>0</v>
      </c>
      <c r="AF94" s="71">
        <f t="shared" si="25"/>
        <v>0</v>
      </c>
      <c r="AG94" s="71">
        <f t="shared" si="25"/>
        <v>0</v>
      </c>
      <c r="AH94" s="71">
        <f t="shared" si="25"/>
        <v>0</v>
      </c>
      <c r="AI94" s="71">
        <f t="shared" si="25"/>
        <v>0</v>
      </c>
      <c r="AJ94" s="71">
        <f t="shared" si="25"/>
        <v>0</v>
      </c>
      <c r="AK94" s="71">
        <f t="shared" si="25"/>
        <v>0</v>
      </c>
    </row>
    <row r="95" spans="6:37" s="45" customFormat="1" x14ac:dyDescent="0.2">
      <c r="F95" s="71">
        <f t="shared" si="25"/>
        <v>0</v>
      </c>
      <c r="G95" s="71">
        <f t="shared" si="25"/>
        <v>0</v>
      </c>
      <c r="H95" s="71">
        <f t="shared" si="25"/>
        <v>0</v>
      </c>
      <c r="I95" s="71">
        <f t="shared" si="25"/>
        <v>0</v>
      </c>
      <c r="J95" s="71">
        <f t="shared" si="25"/>
        <v>0</v>
      </c>
      <c r="K95" s="71">
        <f t="shared" si="25"/>
        <v>0</v>
      </c>
      <c r="L95" s="71">
        <f t="shared" si="25"/>
        <v>0</v>
      </c>
      <c r="M95" s="71">
        <f t="shared" si="25"/>
        <v>0</v>
      </c>
      <c r="N95" s="71">
        <f t="shared" si="25"/>
        <v>0</v>
      </c>
      <c r="O95" s="71">
        <f t="shared" si="25"/>
        <v>0</v>
      </c>
      <c r="P95" s="71">
        <f t="shared" si="25"/>
        <v>0</v>
      </c>
      <c r="Q95" s="71">
        <f t="shared" si="25"/>
        <v>0</v>
      </c>
      <c r="R95" s="71">
        <f t="shared" si="25"/>
        <v>0</v>
      </c>
      <c r="S95" s="71">
        <f t="shared" si="25"/>
        <v>0</v>
      </c>
      <c r="T95" s="71">
        <f t="shared" si="25"/>
        <v>0</v>
      </c>
      <c r="U95" s="71">
        <f t="shared" si="25"/>
        <v>0</v>
      </c>
      <c r="V95" s="71">
        <f t="shared" si="25"/>
        <v>0</v>
      </c>
      <c r="W95" s="71">
        <f t="shared" si="25"/>
        <v>0</v>
      </c>
      <c r="X95" s="71">
        <f t="shared" si="25"/>
        <v>0</v>
      </c>
      <c r="Y95" s="71">
        <f t="shared" si="25"/>
        <v>0</v>
      </c>
      <c r="Z95" s="71">
        <f t="shared" si="25"/>
        <v>0</v>
      </c>
      <c r="AA95" s="71">
        <f t="shared" si="25"/>
        <v>0</v>
      </c>
      <c r="AB95" s="71">
        <f t="shared" si="25"/>
        <v>0</v>
      </c>
      <c r="AC95" s="71">
        <f t="shared" si="25"/>
        <v>0</v>
      </c>
      <c r="AD95" s="71">
        <f t="shared" si="25"/>
        <v>0</v>
      </c>
      <c r="AE95" s="71">
        <f t="shared" si="25"/>
        <v>0</v>
      </c>
      <c r="AF95" s="71">
        <f t="shared" si="25"/>
        <v>0</v>
      </c>
      <c r="AG95" s="71">
        <f t="shared" si="25"/>
        <v>0</v>
      </c>
      <c r="AH95" s="71">
        <f t="shared" si="25"/>
        <v>27000</v>
      </c>
      <c r="AI95" s="71">
        <f t="shared" si="25"/>
        <v>900</v>
      </c>
      <c r="AJ95" s="71">
        <f t="shared" si="25"/>
        <v>30</v>
      </c>
      <c r="AK95" s="71">
        <f t="shared" si="25"/>
        <v>1</v>
      </c>
    </row>
    <row r="96" spans="6:37" s="45" customFormat="1" x14ac:dyDescent="0.2">
      <c r="F96" s="71">
        <f t="shared" si="25"/>
        <v>0</v>
      </c>
      <c r="G96" s="71">
        <f t="shared" si="25"/>
        <v>0</v>
      </c>
      <c r="H96" s="71">
        <f t="shared" si="25"/>
        <v>0</v>
      </c>
      <c r="I96" s="71">
        <f t="shared" si="25"/>
        <v>0</v>
      </c>
      <c r="J96" s="71">
        <f t="shared" si="25"/>
        <v>0</v>
      </c>
      <c r="K96" s="71">
        <f t="shared" si="25"/>
        <v>0</v>
      </c>
      <c r="L96" s="71">
        <f t="shared" si="25"/>
        <v>0</v>
      </c>
      <c r="M96" s="71">
        <f t="shared" si="25"/>
        <v>0</v>
      </c>
      <c r="N96" s="71">
        <f t="shared" si="25"/>
        <v>0</v>
      </c>
      <c r="O96" s="71">
        <f t="shared" si="25"/>
        <v>0</v>
      </c>
      <c r="P96" s="71">
        <f t="shared" si="25"/>
        <v>0</v>
      </c>
      <c r="Q96" s="71">
        <f t="shared" si="25"/>
        <v>0</v>
      </c>
      <c r="R96" s="71">
        <f t="shared" si="25"/>
        <v>0</v>
      </c>
      <c r="S96" s="71">
        <f t="shared" si="25"/>
        <v>0</v>
      </c>
      <c r="T96" s="71">
        <f t="shared" si="25"/>
        <v>0</v>
      </c>
      <c r="U96" s="71">
        <f t="shared" si="25"/>
        <v>0</v>
      </c>
      <c r="V96" s="71">
        <f t="shared" si="25"/>
        <v>0</v>
      </c>
      <c r="W96" s="71">
        <f t="shared" si="25"/>
        <v>0</v>
      </c>
      <c r="X96" s="71">
        <f t="shared" si="25"/>
        <v>0</v>
      </c>
      <c r="Y96" s="71">
        <f t="shared" si="25"/>
        <v>0</v>
      </c>
      <c r="Z96" s="71">
        <f t="shared" si="25"/>
        <v>0</v>
      </c>
      <c r="AA96" s="71">
        <f t="shared" si="25"/>
        <v>0</v>
      </c>
      <c r="AB96" s="71">
        <f t="shared" si="25"/>
        <v>0</v>
      </c>
      <c r="AC96" s="71">
        <f t="shared" si="25"/>
        <v>0</v>
      </c>
      <c r="AD96" s="71">
        <f t="shared" si="25"/>
        <v>0</v>
      </c>
      <c r="AE96" s="71">
        <f t="shared" si="25"/>
        <v>0</v>
      </c>
      <c r="AF96" s="71">
        <f t="shared" si="25"/>
        <v>0</v>
      </c>
      <c r="AG96" s="71">
        <f t="shared" si="25"/>
        <v>0</v>
      </c>
      <c r="AH96" s="71">
        <f t="shared" si="25"/>
        <v>180</v>
      </c>
      <c r="AI96" s="71">
        <f t="shared" si="25"/>
        <v>2</v>
      </c>
      <c r="AJ96" s="71">
        <f t="shared" si="25"/>
        <v>0</v>
      </c>
      <c r="AK96" s="71">
        <f t="shared" si="25"/>
        <v>0</v>
      </c>
    </row>
    <row r="97" spans="2:43" x14ac:dyDescent="0.2">
      <c r="AO97" s="45"/>
      <c r="AP97" s="45"/>
      <c r="AQ97" s="45"/>
    </row>
    <row r="98" spans="2:43" x14ac:dyDescent="0.2">
      <c r="AO98" s="45"/>
      <c r="AP98" s="45"/>
      <c r="AQ98" s="45"/>
    </row>
    <row r="99" spans="2:43" s="26" customFormat="1" x14ac:dyDescent="0.2">
      <c r="B99" s="26" t="s">
        <v>231</v>
      </c>
      <c r="C99" s="26" t="s">
        <v>163</v>
      </c>
      <c r="D99" s="26" t="s">
        <v>199</v>
      </c>
      <c r="E99" s="26" t="s">
        <v>200</v>
      </c>
      <c r="R99" s="26" t="s">
        <v>200</v>
      </c>
      <c r="S99" s="26" t="s">
        <v>234</v>
      </c>
      <c r="T99" s="26" t="s">
        <v>235</v>
      </c>
      <c r="AO99" s="45"/>
      <c r="AP99" s="45"/>
      <c r="AQ99" s="45"/>
    </row>
    <row r="100" spans="2:43" x14ac:dyDescent="0.2">
      <c r="C100" s="45">
        <v>1</v>
      </c>
      <c r="D100" s="45">
        <v>0</v>
      </c>
      <c r="E100" s="85">
        <f t="shared" ref="E100" ca="1" si="26">INDIRECT("a_" &amp; i) * t^3 + INDIRECT("b_" &amp; i) * t^2 + INDIRECT("c_" &amp; i) * t^1 + INDIRECT("d_" &amp; i)</f>
        <v>9.0339808310368851E-5</v>
      </c>
      <c r="F100" s="88">
        <v>0</v>
      </c>
      <c r="G100" s="88">
        <f ca="1">F100-E100</f>
        <v>-9.0339808310368851E-5</v>
      </c>
      <c r="K100" s="45" t="s">
        <v>232</v>
      </c>
      <c r="L100" s="89"/>
      <c r="M100" s="45" t="s">
        <v>232</v>
      </c>
      <c r="O100" s="45" t="s">
        <v>232</v>
      </c>
      <c r="Q100" s="90"/>
      <c r="R100" s="91">
        <f t="array" aca="1" ref="R100" ca="1">E100:E400</f>
        <v>9.0339808310368851E-5</v>
      </c>
      <c r="X100" s="45" t="s">
        <v>232</v>
      </c>
      <c r="Y100" s="26"/>
      <c r="AA100" s="45" t="s">
        <v>236</v>
      </c>
      <c r="AD100" s="45" t="s">
        <v>237</v>
      </c>
      <c r="AF100" s="45" t="s">
        <v>238</v>
      </c>
      <c r="AO100" s="45"/>
      <c r="AP100" s="45"/>
      <c r="AQ100" s="45"/>
    </row>
    <row r="101" spans="2:43" x14ac:dyDescent="0.2">
      <c r="C101" s="45">
        <v>1</v>
      </c>
      <c r="D101" s="45">
        <v>0.1</v>
      </c>
      <c r="E101" s="85">
        <f t="shared" ref="E101" ca="1" si="27">INDIRECT("a_" &amp; i) * t^3 + INDIRECT("b_" &amp; i) * t^2 + INDIRECT("c_" &amp; i) * t^1 + INDIRECT("d_" &amp; i)</f>
        <v>9.9889815989002203E-5</v>
      </c>
      <c r="F101" s="88" t="s">
        <v>233</v>
      </c>
      <c r="K101" s="45">
        <f ca="1">SUMSQ(G100,G110,G120,G130,G140,G150,G170,G200,G400)</f>
        <v>4.520196461019599E-3</v>
      </c>
      <c r="M101" s="45">
        <f ca="1">SUMSQ(I110,I120,I130,I140,I150,I170,I200)</f>
        <v>1.2012971387661331E-5</v>
      </c>
      <c r="O101" s="45">
        <f ca="1">K101+M101</f>
        <v>4.5322094324072608E-3</v>
      </c>
      <c r="R101" s="91">
        <f t="array" aca="1" ref="R101" ca="1">E101:E401</f>
        <v>9.9889815989002203E-5</v>
      </c>
      <c r="S101" s="92">
        <f ca="1">(R101-R100)/(D101-D100)</f>
        <v>9.5500076786333521E-5</v>
      </c>
      <c r="X101" s="45">
        <f ca="1">SUMSQ(T110:T111,T120:T121,T130:T131,T140:T141,T150:T151,T170:T171,T200:T201)</f>
        <v>0.20987925571887722</v>
      </c>
      <c r="Y101" s="26"/>
      <c r="AA101" s="93">
        <f ca="1">X101</f>
        <v>0.20987925571887722</v>
      </c>
      <c r="AB101" s="71"/>
      <c r="AC101" s="71"/>
      <c r="AD101" s="71">
        <v>1</v>
      </c>
      <c r="AE101" s="71"/>
      <c r="AF101" s="93">
        <f ca="1">O101+AD101*X101</f>
        <v>0.21441146515128448</v>
      </c>
      <c r="AO101" s="45"/>
      <c r="AP101" s="45"/>
      <c r="AQ101" s="45"/>
    </row>
    <row r="102" spans="2:43" x14ac:dyDescent="0.2">
      <c r="C102" s="45">
        <v>1</v>
      </c>
      <c r="D102" s="45">
        <v>0.2</v>
      </c>
      <c r="E102" s="85">
        <f t="shared" ref="E102" ca="1" si="28">INDIRECT("a_" &amp; i) * t^3 + INDIRECT("b_" &amp; i) * t^2 + INDIRECT("c_" &amp; i) * t^1 + INDIRECT("d_" &amp; i)</f>
        <v>1.1154595122730811E-4</v>
      </c>
      <c r="F102" s="88" t="s">
        <v>233</v>
      </c>
      <c r="R102" s="91">
        <f t="array" aca="1" ref="R102" ca="1">E102:E402</f>
        <v>1.1154595122730811E-4</v>
      </c>
      <c r="S102" s="92">
        <f t="shared" ref="S102:S165" ca="1" si="29">(R102-R101)/(D102-D101)</f>
        <v>1.1656135238305904E-4</v>
      </c>
      <c r="T102" s="92">
        <f ca="1">(S102-S101)/(D102-D101)</f>
        <v>2.1061275596725515E-4</v>
      </c>
      <c r="AO102" s="45"/>
      <c r="AP102" s="45"/>
      <c r="AQ102" s="45"/>
    </row>
    <row r="103" spans="2:43" x14ac:dyDescent="0.2">
      <c r="C103" s="45">
        <v>1</v>
      </c>
      <c r="D103" s="45">
        <v>0.3</v>
      </c>
      <c r="E103" s="85">
        <f t="shared" ref="E103" ca="1" si="30">INDIRECT("a_" &amp; i) * t^3 + INDIRECT("b_" &amp; i) * t^2 + INDIRECT("c_" &amp; i) * t^1 + INDIRECT("d_" &amp; i)</f>
        <v>1.2577234069893495E-4</v>
      </c>
      <c r="F103" s="88" t="s">
        <v>233</v>
      </c>
      <c r="O103" s="45">
        <f ca="1">LOG10(O101)</f>
        <v>-2.3436900296918575</v>
      </c>
      <c r="R103" s="91">
        <f t="array" aca="1" ref="R103" ca="1">E103:E403</f>
        <v>1.2577234069893495E-4</v>
      </c>
      <c r="S103" s="92">
        <f t="shared" ca="1" si="29"/>
        <v>1.422638947162685E-4</v>
      </c>
      <c r="T103" s="92">
        <f t="shared" ref="T103:T166" ca="1" si="31">(S103-S102)/(D103-D102)</f>
        <v>2.5702542333209467E-4</v>
      </c>
      <c r="AO103" s="45"/>
      <c r="AP103" s="45"/>
      <c r="AQ103" s="45"/>
    </row>
    <row r="104" spans="2:43" x14ac:dyDescent="0.2">
      <c r="C104" s="45">
        <v>1</v>
      </c>
      <c r="D104" s="45">
        <v>0.4</v>
      </c>
      <c r="E104" s="85">
        <f t="shared" ref="E104" ca="1" si="32">INDIRECT("a_" &amp; i) * t^3 + INDIRECT("b_" &amp; i) * t^2 + INDIRECT("c_" &amp; i) * t^1 + INDIRECT("d_" &amp; i)</f>
        <v>1.4303311107753111E-4</v>
      </c>
      <c r="F104" s="88" t="s">
        <v>233</v>
      </c>
      <c r="R104" s="91">
        <f t="array" aca="1" ref="R104" ca="1">E104:E404</f>
        <v>1.4303311107753111E-4</v>
      </c>
      <c r="S104" s="92">
        <f t="shared" ca="1" si="29"/>
        <v>1.726077037859615E-4</v>
      </c>
      <c r="T104" s="92">
        <f t="shared" ca="1" si="31"/>
        <v>3.034380906969299E-4</v>
      </c>
      <c r="AO104" s="45"/>
      <c r="AP104" s="45"/>
      <c r="AQ104" s="45"/>
    </row>
    <row r="105" spans="2:43" x14ac:dyDescent="0.2">
      <c r="C105" s="45">
        <v>1</v>
      </c>
      <c r="D105" s="45">
        <v>0.5</v>
      </c>
      <c r="E105" s="85">
        <f t="shared" ref="E105" ca="1" si="33">INDIRECT("a_" &amp; i) * t^3 + INDIRECT("b_" &amp; i) * t^2 + INDIRECT("c_" &amp; i) * t^1 + INDIRECT("d_" &amp; i)</f>
        <v>1.6379238903674494E-4</v>
      </c>
      <c r="F105" s="88" t="s">
        <v>233</v>
      </c>
      <c r="R105" s="91">
        <f t="array" aca="1" ref="R105" ca="1">E105:E405</f>
        <v>1.6379238903674494E-4</v>
      </c>
      <c r="S105" s="92">
        <f t="shared" ca="1" si="29"/>
        <v>2.0759277959213834E-4</v>
      </c>
      <c r="T105" s="92">
        <f t="shared" ca="1" si="31"/>
        <v>3.4985075806176843E-4</v>
      </c>
      <c r="AO105" s="45"/>
      <c r="AP105" s="45"/>
      <c r="AQ105" s="45"/>
    </row>
    <row r="106" spans="2:43" x14ac:dyDescent="0.2">
      <c r="C106" s="45">
        <v>1</v>
      </c>
      <c r="D106" s="45">
        <v>0.6</v>
      </c>
      <c r="E106" s="85">
        <f t="shared" ref="E106" ca="1" si="34">INDIRECT("a_" &amp; i) * t^3 + INDIRECT("b_" &amp; i) * t^2 + INDIRECT("c_" &amp; i) * t^1 + INDIRECT("d_" &amp; i)</f>
        <v>1.8851430125022488E-4</v>
      </c>
      <c r="F106" s="88" t="s">
        <v>233</v>
      </c>
      <c r="R106" s="91">
        <f t="array" aca="1" ref="R106" ca="1">E106:E406</f>
        <v>1.8851430125022488E-4</v>
      </c>
      <c r="S106" s="92">
        <f t="shared" ca="1" si="29"/>
        <v>2.4721912213479953E-4</v>
      </c>
      <c r="T106" s="92">
        <f t="shared" ca="1" si="31"/>
        <v>3.9626342542661201E-4</v>
      </c>
      <c r="AO106" s="45"/>
      <c r="AP106" s="45"/>
      <c r="AQ106" s="45"/>
    </row>
    <row r="107" spans="2:43" x14ac:dyDescent="0.2">
      <c r="C107" s="45">
        <v>1</v>
      </c>
      <c r="D107" s="45">
        <v>0.7</v>
      </c>
      <c r="E107" s="85">
        <f t="shared" ref="E107" ca="1" si="35">INDIRECT("a_" &amp; i) * t^3 + INDIRECT("b_" &amp; i) * t^2 + INDIRECT("c_" &amp; i) * t^1 + INDIRECT("d_" &amp; i)</f>
        <v>2.1766297439161926E-4</v>
      </c>
      <c r="F107" s="88" t="s">
        <v>233</v>
      </c>
      <c r="R107" s="91">
        <f t="array" aca="1" ref="R107" ca="1">E107:E407</f>
        <v>2.1766297439161926E-4</v>
      </c>
      <c r="S107" s="92">
        <f t="shared" ca="1" si="29"/>
        <v>2.9148673141394382E-4</v>
      </c>
      <c r="T107" s="92">
        <f t="shared" ca="1" si="31"/>
        <v>4.4267609279144307E-4</v>
      </c>
      <c r="AO107" s="45"/>
      <c r="AP107" s="45"/>
      <c r="AQ107" s="45"/>
    </row>
    <row r="108" spans="2:43" x14ac:dyDescent="0.2">
      <c r="C108" s="45">
        <v>1</v>
      </c>
      <c r="D108" s="45">
        <v>0.8</v>
      </c>
      <c r="E108" s="85">
        <f t="shared" ref="E108" ca="1" si="36">INDIRECT("a_" &amp; i) * t^3 + INDIRECT("b_" &amp; i) * t^2 + INDIRECT("c_" &amp; i) * t^1 + INDIRECT("d_" &amp; i)</f>
        <v>2.5170253513457654E-4</v>
      </c>
      <c r="F108" s="88" t="s">
        <v>233</v>
      </c>
      <c r="R108" s="91">
        <f t="array" aca="1" ref="R108" ca="1">E108:E408</f>
        <v>2.5170253513457654E-4</v>
      </c>
      <c r="S108" s="92">
        <f t="shared" ca="1" si="29"/>
        <v>3.4039560742957247E-4</v>
      </c>
      <c r="T108" s="92">
        <f t="shared" ca="1" si="31"/>
        <v>4.8908876015628605E-4</v>
      </c>
      <c r="AO108" s="45"/>
      <c r="AP108" s="45"/>
      <c r="AQ108" s="45"/>
    </row>
    <row r="109" spans="2:43" x14ac:dyDescent="0.2">
      <c r="C109" s="45">
        <v>1</v>
      </c>
      <c r="D109" s="45">
        <v>0.9</v>
      </c>
      <c r="E109" s="85">
        <f t="shared" ref="E109" ca="1" si="37">INDIRECT("a_" &amp; i) * t^3 + INDIRECT("b_" &amp; i) * t^2 + INDIRECT("c_" &amp; i) * t^1 + INDIRECT("d_" &amp; i)</f>
        <v>2.9109711015274503E-4</v>
      </c>
      <c r="F109" s="88" t="s">
        <v>233</v>
      </c>
      <c r="R109" s="91">
        <f t="array" aca="1" ref="R109" ca="1">E109:E409</f>
        <v>2.9109711015274503E-4</v>
      </c>
      <c r="S109" s="92">
        <f t="shared" ca="1" si="29"/>
        <v>3.9394575018168504E-4</v>
      </c>
      <c r="T109" s="92">
        <f t="shared" ca="1" si="31"/>
        <v>5.3550142752112578E-4</v>
      </c>
      <c r="AO109" s="45"/>
      <c r="AP109" s="45"/>
      <c r="AQ109" s="45"/>
    </row>
    <row r="110" spans="2:43" x14ac:dyDescent="0.2">
      <c r="B110" s="45">
        <v>1</v>
      </c>
      <c r="C110" s="45">
        <v>2</v>
      </c>
      <c r="D110" s="45">
        <v>1</v>
      </c>
      <c r="E110" s="85">
        <f t="shared" ref="E110" ca="1" si="38">INDIRECT("a_" &amp; i) * t^3 + INDIRECT("b_" &amp; i) * t^2 + INDIRECT("c_" &amp; i) * t^1 + INDIRECT("d_" &amp; i)</f>
        <v>2.2321793959202609E-3</v>
      </c>
      <c r="F110" s="88">
        <v>0.02</v>
      </c>
      <c r="G110" s="88">
        <f ca="1">F110-E110</f>
        <v>1.7767820604079741E-2</v>
      </c>
      <c r="H110" s="88">
        <f ca="1">INDIRECT("a_" &amp; i_1) * t^3 + INDIRECT("b_" &amp; i_1) * t^2 + INDIRECT("c_" &amp; i_1) * t^1 + INDIRECT("d_" &amp; i_1)</f>
        <v>3.363108261197731E-4</v>
      </c>
      <c r="I110" s="88">
        <f ca="1">H110-E110</f>
        <v>-1.8958685698004878E-3</v>
      </c>
      <c r="K110" s="90"/>
      <c r="Q110" s="90"/>
      <c r="R110" s="91">
        <f t="array" aca="1" ref="R110" ca="1">E110:E410</f>
        <v>2.2321793959202609E-3</v>
      </c>
      <c r="S110" s="92">
        <f t="shared" ca="1" si="29"/>
        <v>1.9410822857675161E-2</v>
      </c>
      <c r="T110" s="92">
        <f t="shared" ca="1" si="31"/>
        <v>0.19016877107493482</v>
      </c>
      <c r="AO110" s="45"/>
      <c r="AP110" s="45"/>
      <c r="AQ110" s="45"/>
    </row>
    <row r="111" spans="2:43" x14ac:dyDescent="0.2">
      <c r="C111" s="45">
        <v>2</v>
      </c>
      <c r="D111" s="45">
        <v>1.1000000000000001</v>
      </c>
      <c r="E111" s="85">
        <f t="shared" ref="E111" ca="1" si="39">INDIRECT("a_" &amp; i) * t^3 + INDIRECT("b_" &amp; i) * t^2 + INDIRECT("c_" &amp; i) * t^1 + INDIRECT("d_" &amp; i)</f>
        <v>2.6512360360174815E-3</v>
      </c>
      <c r="F111" s="88" t="s">
        <v>233</v>
      </c>
      <c r="R111" s="91">
        <f t="array" aca="1" ref="R111" ca="1">E111:E411</f>
        <v>2.6512360360174815E-3</v>
      </c>
      <c r="S111" s="92">
        <f t="shared" ca="1" si="29"/>
        <v>4.1905664009722022E-3</v>
      </c>
      <c r="T111" s="92">
        <f t="shared" ca="1" si="31"/>
        <v>-0.15220256456702944</v>
      </c>
      <c r="AO111" s="45"/>
      <c r="AP111" s="45"/>
      <c r="AQ111" s="45"/>
    </row>
    <row r="112" spans="2:43" x14ac:dyDescent="0.2">
      <c r="C112" s="45">
        <v>2</v>
      </c>
      <c r="D112" s="45">
        <v>1.2</v>
      </c>
      <c r="E112" s="85">
        <f t="shared" ref="E112" ca="1" si="40">INDIRECT("a_" &amp; i) * t^3 + INDIRECT("b_" &amp; i) * t^2 + INDIRECT("c_" &amp; i) * t^1 + INDIRECT("d_" &amp; i)</f>
        <v>3.1320206866302081E-3</v>
      </c>
      <c r="F112" s="88" t="s">
        <v>233</v>
      </c>
      <c r="R112" s="91">
        <f t="array" aca="1" ref="R112" ca="1">E112:E412</f>
        <v>3.1320206866302081E-3</v>
      </c>
      <c r="S112" s="92">
        <f t="shared" ca="1" si="29"/>
        <v>4.8078465061272722E-3</v>
      </c>
      <c r="T112" s="92">
        <f t="shared" ca="1" si="31"/>
        <v>6.1728010515507076E-3</v>
      </c>
      <c r="AO112" s="45"/>
      <c r="AP112" s="45"/>
      <c r="AQ112" s="45"/>
    </row>
    <row r="113" spans="2:20" s="45" customFormat="1" x14ac:dyDescent="0.2">
      <c r="C113" s="45">
        <v>2</v>
      </c>
      <c r="D113" s="45">
        <v>1.3</v>
      </c>
      <c r="E113" s="85">
        <f t="shared" ref="E113" ca="1" si="41">INDIRECT("a_" &amp; i) * t^3 + INDIRECT("b_" &amp; i) * t^2 + INDIRECT("c_" &amp; i) * t^1 + INDIRECT("d_" &amp; i)</f>
        <v>3.6791149726074532E-3</v>
      </c>
      <c r="F113" s="88" t="s">
        <v>233</v>
      </c>
      <c r="R113" s="91">
        <f t="array" aca="1" ref="R113" ca="1">E113:E413</f>
        <v>3.6791149726074532E-3</v>
      </c>
      <c r="S113" s="92">
        <f t="shared" ca="1" si="29"/>
        <v>5.4709428597724454E-3</v>
      </c>
      <c r="T113" s="92">
        <f t="shared" ca="1" si="31"/>
        <v>6.6309635364517261E-3</v>
      </c>
    </row>
    <row r="114" spans="2:20" s="45" customFormat="1" x14ac:dyDescent="0.2">
      <c r="C114" s="45">
        <v>2</v>
      </c>
      <c r="D114" s="45">
        <v>1.4</v>
      </c>
      <c r="E114" s="85">
        <f t="shared" ref="E114" ca="1" si="42">INDIRECT("a_" &amp; i) * t^3 + INDIRECT("b_" &amp; i) * t^2 + INDIRECT("c_" &amp; i) * t^1 + INDIRECT("d_" &amp; i)</f>
        <v>4.2971005187982282E-3</v>
      </c>
      <c r="F114" s="88" t="s">
        <v>233</v>
      </c>
      <c r="R114" s="91">
        <f t="array" aca="1" ref="R114" ca="1">E114:E414</f>
        <v>4.2971005187982282E-3</v>
      </c>
      <c r="S114" s="92">
        <f t="shared" ca="1" si="29"/>
        <v>6.1798554619077583E-3</v>
      </c>
      <c r="T114" s="92">
        <f t="shared" ca="1" si="31"/>
        <v>7.0891260213531383E-3</v>
      </c>
    </row>
    <row r="115" spans="2:20" s="45" customFormat="1" x14ac:dyDescent="0.2">
      <c r="C115" s="45">
        <v>2</v>
      </c>
      <c r="D115" s="45">
        <v>1.5</v>
      </c>
      <c r="E115" s="85">
        <f t="shared" ref="E115" ca="1" si="43">INDIRECT("a_" &amp; i) * t^3 + INDIRECT("b_" &amp; i) * t^2 + INDIRECT("c_" &amp; i) * t^1 + INDIRECT("d_" &amp; i)</f>
        <v>4.9905589500515478E-3</v>
      </c>
      <c r="F115" s="88" t="s">
        <v>233</v>
      </c>
      <c r="R115" s="91">
        <f t="array" aca="1" ref="R115" ca="1">E115:E415</f>
        <v>4.9905589500515478E-3</v>
      </c>
      <c r="S115" s="92">
        <f t="shared" ca="1" si="29"/>
        <v>6.93458431253319E-3</v>
      </c>
      <c r="T115" s="92">
        <f t="shared" ca="1" si="31"/>
        <v>7.5472885062543103E-3</v>
      </c>
    </row>
    <row r="116" spans="2:20" s="45" customFormat="1" x14ac:dyDescent="0.2">
      <c r="C116" s="45">
        <v>2</v>
      </c>
      <c r="D116" s="45">
        <v>1.6</v>
      </c>
      <c r="E116" s="85">
        <f t="shared" ref="E116" ca="1" si="44">INDIRECT("a_" &amp; i) * t^3 + INDIRECT("b_" &amp; i) * t^2 + INDIRECT("c_" &amp; i) * t^1 + INDIRECT("d_" &amp; i)</f>
        <v>5.7640718912164218E-3</v>
      </c>
      <c r="F116" s="88" t="s">
        <v>233</v>
      </c>
      <c r="R116" s="91">
        <f t="array" aca="1" ref="R116" ca="1">E116:E416</f>
        <v>5.7640718912164218E-3</v>
      </c>
      <c r="S116" s="92">
        <f t="shared" ca="1" si="29"/>
        <v>7.7351294116487328E-3</v>
      </c>
      <c r="T116" s="92">
        <f t="shared" ca="1" si="31"/>
        <v>8.0054509911554207E-3</v>
      </c>
    </row>
    <row r="117" spans="2:20" s="45" customFormat="1" x14ac:dyDescent="0.2">
      <c r="C117" s="45">
        <v>2</v>
      </c>
      <c r="D117" s="45">
        <v>1.7</v>
      </c>
      <c r="E117" s="85">
        <f t="shared" ref="E117" ca="1" si="45">INDIRECT("a_" &amp; i) * t^3 + INDIRECT("b_" &amp; i) * t^2 + INDIRECT("c_" &amp; i) * t^1 + INDIRECT("d_" &amp; i)</f>
        <v>6.6222209671418604E-3</v>
      </c>
      <c r="F117" s="88" t="s">
        <v>233</v>
      </c>
      <c r="R117" s="91">
        <f t="array" aca="1" ref="R117" ca="1">E117:E417</f>
        <v>6.6222209671418604E-3</v>
      </c>
      <c r="S117" s="92">
        <f t="shared" ca="1" si="29"/>
        <v>8.5814907592543978E-3</v>
      </c>
      <c r="T117" s="92">
        <f t="shared" ca="1" si="31"/>
        <v>8.4636134760566629E-3</v>
      </c>
    </row>
    <row r="118" spans="2:20" s="45" customFormat="1" x14ac:dyDescent="0.2">
      <c r="C118" s="45">
        <v>2</v>
      </c>
      <c r="D118" s="45">
        <v>1.8</v>
      </c>
      <c r="E118" s="85">
        <f t="shared" ref="E118" ca="1" si="46">INDIRECT("a_" &amp; i) * t^3 + INDIRECT("b_" &amp; i) * t^2 + INDIRECT("c_" &amp; i) * t^1 + INDIRECT("d_" &amp; i)</f>
        <v>7.5695878026768824E-3</v>
      </c>
      <c r="F118" s="88" t="s">
        <v>233</v>
      </c>
      <c r="R118" s="91">
        <f t="array" aca="1" ref="R118" ca="1">E118:E418</f>
        <v>7.5695878026768824E-3</v>
      </c>
      <c r="S118" s="92">
        <f t="shared" ca="1" si="29"/>
        <v>9.4736683553502121E-3</v>
      </c>
      <c r="T118" s="92">
        <f t="shared" ca="1" si="31"/>
        <v>8.9217759609581341E-3</v>
      </c>
    </row>
    <row r="119" spans="2:20" s="45" customFormat="1" x14ac:dyDescent="0.2">
      <c r="C119" s="45">
        <v>2</v>
      </c>
      <c r="D119" s="45">
        <v>1.9</v>
      </c>
      <c r="E119" s="85">
        <f t="shared" ref="E119" ca="1" si="47">INDIRECT("a_" &amp; i) * t^3 + INDIRECT("b_" &amp; i) * t^2 + INDIRECT("c_" &amp; i) * t^1 + INDIRECT("d_" &amp; i)</f>
        <v>8.6107540226704939E-3</v>
      </c>
      <c r="F119" s="88" t="s">
        <v>233</v>
      </c>
      <c r="R119" s="91">
        <f t="array" aca="1" ref="R119" ca="1">E119:E419</f>
        <v>8.6107540226704939E-3</v>
      </c>
      <c r="S119" s="92">
        <f t="shared" ca="1" si="29"/>
        <v>1.0411662199936129E-2</v>
      </c>
      <c r="T119" s="92">
        <f t="shared" ca="1" si="31"/>
        <v>9.3799384458591786E-3</v>
      </c>
    </row>
    <row r="120" spans="2:20" s="45" customFormat="1" x14ac:dyDescent="0.2">
      <c r="B120" s="45">
        <v>2</v>
      </c>
      <c r="C120" s="45">
        <v>3</v>
      </c>
      <c r="D120" s="45">
        <v>2</v>
      </c>
      <c r="E120" s="85">
        <f t="shared" ref="E120" ca="1" si="48">INDIRECT("a_" &amp; i) * t^3 + INDIRECT("b_" &amp; i) * t^2 + INDIRECT("c_" &amp; i) * t^1 + INDIRECT("d_" &amp; i)</f>
        <v>9.9653807571155051E-3</v>
      </c>
      <c r="F120" s="88">
        <v>3.7869296080000003E-2</v>
      </c>
      <c r="G120" s="88">
        <f ca="1">F120-E120</f>
        <v>2.7903915322884498E-2</v>
      </c>
      <c r="H120" s="88">
        <f ca="1">INDIRECT("a_" &amp; i_1) * t^3 + INDIRECT("b_" &amp; i_1) * t^2 + INDIRECT("c_" &amp; i_1) * t^1 + INDIRECT("d_" &amp; i_1)</f>
        <v>9.7503012519717103E-3</v>
      </c>
      <c r="I120" s="88">
        <f ca="1">H120-E120</f>
        <v>-2.1507950514379481E-4</v>
      </c>
      <c r="K120" s="90"/>
      <c r="Q120" s="90"/>
      <c r="R120" s="91">
        <f t="array" aca="1" ref="R120" ca="1">E120:E420</f>
        <v>9.9653807571155051E-3</v>
      </c>
      <c r="S120" s="92">
        <f t="shared" ca="1" si="29"/>
        <v>1.3546267344450099E-2</v>
      </c>
      <c r="T120" s="92">
        <f t="shared" ca="1" si="31"/>
        <v>3.1346051445139675E-2</v>
      </c>
    </row>
    <row r="121" spans="2:20" s="45" customFormat="1" x14ac:dyDescent="0.2">
      <c r="C121" s="45">
        <v>3</v>
      </c>
      <c r="D121" s="45">
        <v>2.1</v>
      </c>
      <c r="E121" s="85">
        <f t="shared" ref="E121" ca="1" si="49">INDIRECT("a_" &amp; i) * t^3 + INDIRECT("b_" &amp; i) * t^2 + INDIRECT("c_" &amp; i) * t^1 + INDIRECT("d_" &amp; i)</f>
        <v>1.1040437143893793E-2</v>
      </c>
      <c r="F121" s="88" t="s">
        <v>233</v>
      </c>
      <c r="R121" s="91">
        <f t="array" aca="1" ref="R121" ca="1">E121:E421</f>
        <v>1.1040437143893793E-2</v>
      </c>
      <c r="S121" s="92">
        <f t="shared" ca="1" si="29"/>
        <v>1.0750563867782868E-2</v>
      </c>
      <c r="T121" s="92">
        <f t="shared" ca="1" si="31"/>
        <v>-2.7957034766672294E-2</v>
      </c>
    </row>
    <row r="122" spans="2:20" s="45" customFormat="1" x14ac:dyDescent="0.2">
      <c r="C122" s="45">
        <v>3</v>
      </c>
      <c r="D122" s="45">
        <v>2.2000000000000002</v>
      </c>
      <c r="E122" s="85">
        <f t="shared" ref="E122" ca="1" si="50">INDIRECT("a_" &amp; i) * t^3 + INDIRECT("b_" &amp; i) * t^2 + INDIRECT("c_" &amp; i) * t^1 + INDIRECT("d_" &amp; i)</f>
        <v>1.2192083517249463E-2</v>
      </c>
      <c r="F122" s="88" t="s">
        <v>233</v>
      </c>
      <c r="R122" s="91">
        <f t="array" aca="1" ref="R122" ca="1">E122:E422</f>
        <v>1.2192083517249463E-2</v>
      </c>
      <c r="S122" s="92">
        <f t="shared" ca="1" si="29"/>
        <v>1.1516463733556692E-2</v>
      </c>
      <c r="T122" s="92">
        <f t="shared" ca="1" si="31"/>
        <v>7.6589986577382391E-3</v>
      </c>
    </row>
    <row r="123" spans="2:20" s="45" customFormat="1" x14ac:dyDescent="0.2">
      <c r="C123" s="45">
        <v>3</v>
      </c>
      <c r="D123" s="45">
        <v>2.2999999999999998</v>
      </c>
      <c r="E123" s="85">
        <f t="shared" ref="E123" ca="1" si="51">INDIRECT("a_" &amp; i) * t^3 + INDIRECT("b_" &amp; i) * t^2 + INDIRECT("c_" &amp; i) * t^1 + INDIRECT("d_" &amp; i)</f>
        <v>1.3422941702643286E-2</v>
      </c>
      <c r="F123" s="88" t="s">
        <v>233</v>
      </c>
      <c r="R123" s="91">
        <f t="array" aca="1" ref="R123" ca="1">E123:E423</f>
        <v>1.3422941702643286E-2</v>
      </c>
      <c r="S123" s="92">
        <f t="shared" ca="1" si="29"/>
        <v>1.2308581853938275E-2</v>
      </c>
      <c r="T123" s="92">
        <f t="shared" ca="1" si="31"/>
        <v>7.9211812038158559E-3</v>
      </c>
    </row>
    <row r="124" spans="2:20" s="45" customFormat="1" x14ac:dyDescent="0.2">
      <c r="C124" s="45">
        <v>3</v>
      </c>
      <c r="D124" s="45">
        <v>2.4</v>
      </c>
      <c r="E124" s="85">
        <f t="shared" ref="E124" ca="1" si="52">INDIRECT("a_" &amp; i) * t^3 + INDIRECT("b_" &amp; i) * t^2 + INDIRECT("c_" &amp; i) * t^1 + INDIRECT("d_" &amp; i)</f>
        <v>1.4735633525536068E-2</v>
      </c>
      <c r="F124" s="88" t="s">
        <v>233</v>
      </c>
      <c r="R124" s="91">
        <f t="array" aca="1" ref="R124" ca="1">E124:E424</f>
        <v>1.4735633525536068E-2</v>
      </c>
      <c r="S124" s="92">
        <f t="shared" ca="1" si="29"/>
        <v>1.31269182289278E-2</v>
      </c>
      <c r="T124" s="92">
        <f t="shared" ca="1" si="31"/>
        <v>8.1833637498952422E-3</v>
      </c>
    </row>
    <row r="125" spans="2:20" s="45" customFormat="1" x14ac:dyDescent="0.2">
      <c r="C125" s="45">
        <v>3</v>
      </c>
      <c r="D125" s="45">
        <v>2.5</v>
      </c>
      <c r="E125" s="85">
        <f t="shared" ref="E125" ca="1" si="53">INDIRECT("a_" &amp; i) * t^3 + INDIRECT("b_" &amp; i) * t^2 + INDIRECT("c_" &amp; i) * t^1 + INDIRECT("d_" &amp; i)</f>
        <v>1.6132780811388584E-2</v>
      </c>
      <c r="F125" s="88" t="s">
        <v>233</v>
      </c>
      <c r="R125" s="91">
        <f t="array" aca="1" ref="R125" ca="1">E125:E425</f>
        <v>1.6132780811388584E-2</v>
      </c>
      <c r="S125" s="92">
        <f t="shared" ca="1" si="29"/>
        <v>1.3971472858525154E-2</v>
      </c>
      <c r="T125" s="92">
        <f t="shared" ca="1" si="31"/>
        <v>8.4455462959735356E-3</v>
      </c>
    </row>
    <row r="126" spans="2:20" s="45" customFormat="1" x14ac:dyDescent="0.2">
      <c r="C126" s="45">
        <v>3</v>
      </c>
      <c r="D126" s="45">
        <v>2.6</v>
      </c>
      <c r="E126" s="85">
        <f t="shared" ref="E126" ca="1" si="54">INDIRECT("a_" &amp; i) * t^3 + INDIRECT("b_" &amp; i) * t^2 + INDIRECT("c_" &amp; i) * t^1 + INDIRECT("d_" &amp; i)</f>
        <v>1.7617005385661622E-2</v>
      </c>
      <c r="F126" s="88" t="s">
        <v>233</v>
      </c>
      <c r="R126" s="91">
        <f t="array" aca="1" ref="R126" ca="1">E126:E426</f>
        <v>1.7617005385661622E-2</v>
      </c>
      <c r="S126" s="92">
        <f t="shared" ca="1" si="29"/>
        <v>1.4842245742730367E-2</v>
      </c>
      <c r="T126" s="92">
        <f t="shared" ca="1" si="31"/>
        <v>8.7077288420521239E-3</v>
      </c>
    </row>
    <row r="127" spans="2:20" s="45" customFormat="1" x14ac:dyDescent="0.2">
      <c r="C127" s="45">
        <v>3</v>
      </c>
      <c r="D127" s="45">
        <v>2.7</v>
      </c>
      <c r="E127" s="85">
        <f t="shared" ref="E127" ca="1" si="55">INDIRECT("a_" &amp; i) * t^3 + INDIRECT("b_" &amp; i) * t^2 + INDIRECT("c_" &amp; i) * t^1 + INDIRECT("d_" &amp; i)</f>
        <v>1.9190929073815966E-2</v>
      </c>
      <c r="F127" s="88" t="s">
        <v>233</v>
      </c>
      <c r="R127" s="91">
        <f t="array" aca="1" ref="R127" ca="1">E127:E427</f>
        <v>1.9190929073815966E-2</v>
      </c>
      <c r="S127" s="92">
        <f t="shared" ca="1" si="29"/>
        <v>1.5739236881543425E-2</v>
      </c>
      <c r="T127" s="92">
        <f t="shared" ca="1" si="31"/>
        <v>8.9699113881305716E-3</v>
      </c>
    </row>
    <row r="128" spans="2:20" s="45" customFormat="1" x14ac:dyDescent="0.2">
      <c r="C128" s="45">
        <v>3</v>
      </c>
      <c r="D128" s="45">
        <v>2.8</v>
      </c>
      <c r="E128" s="85">
        <f t="shared" ref="E128" ca="1" si="56">INDIRECT("a_" &amp; i) * t^3 + INDIRECT("b_" &amp; i) * t^2 + INDIRECT("c_" &amp; i) * t^1 + INDIRECT("d_" &amp; i)</f>
        <v>2.0857173701312397E-2</v>
      </c>
      <c r="F128" s="88" t="s">
        <v>233</v>
      </c>
      <c r="R128" s="91">
        <f t="array" aca="1" ref="R128" ca="1">E128:E428</f>
        <v>2.0857173701312397E-2</v>
      </c>
      <c r="S128" s="92">
        <f t="shared" ca="1" si="29"/>
        <v>1.6662446274964365E-2</v>
      </c>
      <c r="T128" s="92">
        <f t="shared" ca="1" si="31"/>
        <v>9.2320939342094271E-3</v>
      </c>
    </row>
    <row r="129" spans="2:20" s="45" customFormat="1" x14ac:dyDescent="0.2">
      <c r="C129" s="45">
        <v>3</v>
      </c>
      <c r="D129" s="45">
        <v>2.9</v>
      </c>
      <c r="E129" s="85">
        <f t="shared" ref="E129" ca="1" si="57">INDIRECT("a_" &amp; i) * t^3 + INDIRECT("b_" &amp; i) * t^2 + INDIRECT("c_" &amp; i) * t^1 + INDIRECT("d_" &amp; i)</f>
        <v>2.2618361093611716E-2</v>
      </c>
      <c r="F129" s="88" t="s">
        <v>233</v>
      </c>
      <c r="R129" s="91">
        <f t="array" aca="1" ref="R129" ca="1">E129:E429</f>
        <v>2.2618361093611716E-2</v>
      </c>
      <c r="S129" s="92">
        <f t="shared" ca="1" si="29"/>
        <v>1.7611873922993172E-2</v>
      </c>
      <c r="T129" s="92">
        <f t="shared" ca="1" si="31"/>
        <v>9.4942764802880605E-3</v>
      </c>
    </row>
    <row r="130" spans="2:20" s="45" customFormat="1" x14ac:dyDescent="0.2">
      <c r="B130" s="45">
        <v>3</v>
      </c>
      <c r="C130" s="45">
        <v>4</v>
      </c>
      <c r="D130" s="45">
        <v>3</v>
      </c>
      <c r="E130" s="85">
        <f t="shared" ref="E130" ca="1" si="58">INDIRECT("a_" &amp; i) * t^3 + INDIRECT("b_" &amp; i) * t^2 + INDIRECT("c_" &amp; i) * t^1 + INDIRECT("d_" &amp; i)</f>
        <v>2.4408119503578071E-2</v>
      </c>
      <c r="F130" s="88">
        <v>4.4685005659999999E-2</v>
      </c>
      <c r="G130" s="88">
        <f ca="1">F130-E130</f>
        <v>2.0276886156421928E-2</v>
      </c>
      <c r="H130" s="88">
        <f ca="1">INDIRECT("a_" &amp; i_1) * t^3 + INDIRECT("b_" &amp; i_1) * t^2 + INDIRECT("c_" &amp; i_1) * t^1 + INDIRECT("d_" &amp; i_1)</f>
        <v>2.4477113076174704E-2</v>
      </c>
      <c r="I130" s="88">
        <f ca="1">H130-E130</f>
        <v>6.8993572596633135E-5</v>
      </c>
      <c r="K130" s="90"/>
      <c r="Q130" s="90"/>
      <c r="R130" s="91">
        <f t="array" aca="1" ref="R130" ca="1">E130:E430</f>
        <v>2.4408119503578071E-2</v>
      </c>
      <c r="S130" s="92">
        <f t="shared" ca="1" si="29"/>
        <v>1.7897584099663532E-2</v>
      </c>
      <c r="T130" s="92">
        <f t="shared" ca="1" si="31"/>
        <v>2.8571017667036016E-3</v>
      </c>
    </row>
    <row r="131" spans="2:20" s="45" customFormat="1" x14ac:dyDescent="0.2">
      <c r="C131" s="45">
        <v>4</v>
      </c>
      <c r="D131" s="45">
        <v>3.1</v>
      </c>
      <c r="E131" s="85">
        <f t="shared" ref="E131" ca="1" si="59">INDIRECT("a_" &amp; i) * t^3 + INDIRECT("b_" &amp; i) * t^2 + INDIRECT("c_" &amp; i) * t^1 + INDIRECT("d_" &amp; i)</f>
        <v>2.60393401890586E-2</v>
      </c>
      <c r="F131" s="88" t="s">
        <v>233</v>
      </c>
      <c r="R131" s="91">
        <f t="array" aca="1" ref="R131" ca="1">E131:E431</f>
        <v>2.60393401890586E-2</v>
      </c>
      <c r="S131" s="92">
        <f t="shared" ca="1" si="29"/>
        <v>1.6312206854805278E-2</v>
      </c>
      <c r="T131" s="92">
        <f t="shared" ca="1" si="31"/>
        <v>-1.5853772448582527E-2</v>
      </c>
    </row>
    <row r="132" spans="2:20" s="45" customFormat="1" x14ac:dyDescent="0.2">
      <c r="C132" s="45">
        <v>4</v>
      </c>
      <c r="D132" s="45">
        <v>3.2</v>
      </c>
      <c r="E132" s="85">
        <f t="shared" ref="E132" ca="1" si="60">INDIRECT("a_" &amp; i) * t^3 + INDIRECT("b_" &amp; i) * t^2 + INDIRECT("c_" &amp; i) * t^1 + INDIRECT("d_" &amp; i)</f>
        <v>2.7732531686749582E-2</v>
      </c>
      <c r="F132" s="88" t="s">
        <v>233</v>
      </c>
      <c r="R132" s="91">
        <f t="array" aca="1" ref="R132" ca="1">E132:E432</f>
        <v>2.7732531686749582E-2</v>
      </c>
      <c r="S132" s="92">
        <f t="shared" ca="1" si="29"/>
        <v>1.6931914976909809E-2</v>
      </c>
      <c r="T132" s="92">
        <f t="shared" ca="1" si="31"/>
        <v>6.1970812210453089E-3</v>
      </c>
    </row>
    <row r="133" spans="2:20" s="45" customFormat="1" x14ac:dyDescent="0.2">
      <c r="C133" s="45">
        <v>4</v>
      </c>
      <c r="D133" s="45">
        <v>3.3</v>
      </c>
      <c r="E133" s="85">
        <f t="shared" ref="E133" ca="1" si="61">INDIRECT("a_" &amp; i) * t^3 + INDIRECT("b_" &amp; i) * t^2 + INDIRECT("c_" &amp; i) * t^1 + INDIRECT("d_" &amp; i)</f>
        <v>2.9488461498573884E-2</v>
      </c>
      <c r="F133" s="88" t="s">
        <v>233</v>
      </c>
      <c r="R133" s="91">
        <f t="array" aca="1" ref="R133" ca="1">E133:E433</f>
        <v>2.9488461498573884E-2</v>
      </c>
      <c r="S133" s="92">
        <f t="shared" ca="1" si="29"/>
        <v>1.7559298118243083E-2</v>
      </c>
      <c r="T133" s="92">
        <f t="shared" ca="1" si="31"/>
        <v>6.2738314133327592E-3</v>
      </c>
    </row>
    <row r="134" spans="2:20" s="45" customFormat="1" x14ac:dyDescent="0.2">
      <c r="C134" s="45">
        <v>4</v>
      </c>
      <c r="D134" s="45">
        <v>3.4</v>
      </c>
      <c r="E134" s="85">
        <f t="shared" ref="E134" ca="1" si="62">INDIRECT("a_" &amp; i) * t^3 + INDIRECT("b_" &amp; i) * t^2 + INDIRECT("c_" &amp; i) * t^1 + INDIRECT("d_" &amp; i)</f>
        <v>3.130789712645439E-2</v>
      </c>
      <c r="F134" s="88" t="s">
        <v>233</v>
      </c>
      <c r="R134" s="91">
        <f t="array" aca="1" ref="R134" ca="1">E134:E434</f>
        <v>3.130789712645439E-2</v>
      </c>
      <c r="S134" s="92">
        <f t="shared" ca="1" si="29"/>
        <v>1.819435627880504E-2</v>
      </c>
      <c r="T134" s="92">
        <f t="shared" ca="1" si="31"/>
        <v>6.3505816056195633E-3</v>
      </c>
    </row>
    <row r="135" spans="2:20" s="45" customFormat="1" x14ac:dyDescent="0.2">
      <c r="C135" s="45">
        <v>4</v>
      </c>
      <c r="D135" s="45">
        <v>3.5</v>
      </c>
      <c r="E135" s="85">
        <f t="shared" ref="E135" ca="1" si="63">INDIRECT("a_" &amp; i) * t^3 + INDIRECT("b_" &amp; i) * t^2 + INDIRECT("c_" &amp; i) * t^1 + INDIRECT("d_" &amp; i)</f>
        <v>3.3191606072313959E-2</v>
      </c>
      <c r="F135" s="88" t="s">
        <v>233</v>
      </c>
      <c r="R135" s="91">
        <f t="array" aca="1" ref="R135" ca="1">E135:E435</f>
        <v>3.3191606072313959E-2</v>
      </c>
      <c r="S135" s="92">
        <f t="shared" ca="1" si="29"/>
        <v>1.8837089458595673E-2</v>
      </c>
      <c r="T135" s="92">
        <f t="shared" ca="1" si="31"/>
        <v>6.4273317979063266E-3</v>
      </c>
    </row>
    <row r="136" spans="2:20" s="45" customFormat="1" x14ac:dyDescent="0.2">
      <c r="C136" s="45">
        <v>4</v>
      </c>
      <c r="D136" s="45">
        <v>3.6</v>
      </c>
      <c r="E136" s="85">
        <f t="shared" ref="E136" ca="1" si="64">INDIRECT("a_" &amp; i) * t^3 + INDIRECT("b_" &amp; i) * t^2 + INDIRECT("c_" &amp; i) * t^1 + INDIRECT("d_" &amp; i)</f>
        <v>3.5140355838075468E-2</v>
      </c>
      <c r="F136" s="88" t="s">
        <v>233</v>
      </c>
      <c r="R136" s="91">
        <f t="array" aca="1" ref="R136" ca="1">E136:E436</f>
        <v>3.5140355838075468E-2</v>
      </c>
      <c r="S136" s="92">
        <f t="shared" ca="1" si="29"/>
        <v>1.9487497657615076E-2</v>
      </c>
      <c r="T136" s="92">
        <f t="shared" ca="1" si="31"/>
        <v>6.5040819901940267E-3</v>
      </c>
    </row>
    <row r="137" spans="2:20" s="45" customFormat="1" x14ac:dyDescent="0.2">
      <c r="C137" s="45">
        <v>4</v>
      </c>
      <c r="D137" s="45">
        <v>3.7</v>
      </c>
      <c r="E137" s="85">
        <f t="shared" ref="E137" ca="1" si="65">INDIRECT("a_" &amp; i) * t^3 + INDIRECT("b_" &amp; i) * t^2 + INDIRECT("c_" &amp; i) * t^1 + INDIRECT("d_" &amp; i)</f>
        <v>3.7154913925661781E-2</v>
      </c>
      <c r="F137" s="88" t="s">
        <v>233</v>
      </c>
      <c r="R137" s="91">
        <f t="array" aca="1" ref="R137" ca="1">E137:E437</f>
        <v>3.7154913925661781E-2</v>
      </c>
      <c r="S137" s="92">
        <f t="shared" ca="1" si="29"/>
        <v>2.0145580875863111E-2</v>
      </c>
      <c r="T137" s="92">
        <f t="shared" ca="1" si="31"/>
        <v>6.580832182480339E-3</v>
      </c>
    </row>
    <row r="138" spans="2:20" s="45" customFormat="1" x14ac:dyDescent="0.2">
      <c r="C138" s="45">
        <v>4</v>
      </c>
      <c r="D138" s="45">
        <v>3.8</v>
      </c>
      <c r="E138" s="85">
        <f t="shared" ref="E138" ca="1" si="66">INDIRECT("a_" &amp; i) * t^3 + INDIRECT("b_" &amp; i) * t^2 + INDIRECT("c_" &amp; i) * t^1 + INDIRECT("d_" &amp; i)</f>
        <v>3.923604783699576E-2</v>
      </c>
      <c r="F138" s="88" t="s">
        <v>233</v>
      </c>
      <c r="R138" s="91">
        <f t="array" aca="1" ref="R138" ca="1">E138:E438</f>
        <v>3.923604783699576E-2</v>
      </c>
      <c r="S138" s="92">
        <f t="shared" ca="1" si="29"/>
        <v>2.0811339113339867E-2</v>
      </c>
      <c r="T138" s="92">
        <f t="shared" ca="1" si="31"/>
        <v>6.6575823747675828E-3</v>
      </c>
    </row>
    <row r="139" spans="2:20" s="45" customFormat="1" x14ac:dyDescent="0.2">
      <c r="C139" s="45">
        <v>4</v>
      </c>
      <c r="D139" s="45">
        <v>3.9</v>
      </c>
      <c r="E139" s="85">
        <f t="shared" ref="E139" ca="1" si="67">INDIRECT("a_" &amp; i) * t^3 + INDIRECT("b_" &amp; i) * t^2 + INDIRECT("c_" &amp; i) * t^1 + INDIRECT("d_" &amp; i)</f>
        <v>4.1384525074000283E-2</v>
      </c>
      <c r="F139" s="88" t="s">
        <v>233</v>
      </c>
      <c r="R139" s="91">
        <f t="array" aca="1" ref="R139" ca="1">E139:E439</f>
        <v>4.1384525074000283E-2</v>
      </c>
      <c r="S139" s="92">
        <f t="shared" ca="1" si="29"/>
        <v>2.1484772370045209E-2</v>
      </c>
      <c r="T139" s="92">
        <f t="shared" ca="1" si="31"/>
        <v>6.7343325670534146E-3</v>
      </c>
    </row>
    <row r="140" spans="2:20" s="45" customFormat="1" x14ac:dyDescent="0.2">
      <c r="B140" s="45">
        <v>4</v>
      </c>
      <c r="C140" s="45">
        <v>5</v>
      </c>
      <c r="D140" s="45">
        <v>4</v>
      </c>
      <c r="E140" s="85">
        <f t="shared" ref="E140" ca="1" si="68">INDIRECT("a_" &amp; i) * t^3 + INDIRECT("b_" &amp; i) * t^2 + INDIRECT("c_" &amp; i) * t^1 + INDIRECT("d_" &amp; i)</f>
        <v>4.3422870167228809E-2</v>
      </c>
      <c r="F140" s="88">
        <v>5.1500715240000002E-2</v>
      </c>
      <c r="G140" s="88">
        <f ca="1">F140-E140</f>
        <v>8.077845072771192E-3</v>
      </c>
      <c r="H140" s="88">
        <f ca="1">INDIRECT("a_" &amp; i_1) * t^3 + INDIRECT("b_" &amp; i_1) * t^2 + INDIRECT("c_" &amp; i_1) * t^1 + INDIRECT("d_" &amp; i_1)</f>
        <v>4.3601113138598227E-2</v>
      </c>
      <c r="I140" s="88">
        <f ca="1">H140-E140</f>
        <v>1.7824297136941752E-4</v>
      </c>
      <c r="K140" s="90"/>
      <c r="Q140" s="90"/>
      <c r="R140" s="91">
        <f t="array" aca="1" ref="R140" ca="1">E140:E440</f>
        <v>4.3422870167228809E-2</v>
      </c>
      <c r="S140" s="92">
        <f t="shared" ca="1" si="29"/>
        <v>2.0383450932285243E-2</v>
      </c>
      <c r="T140" s="92">
        <f t="shared" ca="1" si="31"/>
        <v>-1.101321437759965E-2</v>
      </c>
    </row>
    <row r="141" spans="2:20" s="45" customFormat="1" x14ac:dyDescent="0.2">
      <c r="C141" s="45">
        <v>5</v>
      </c>
      <c r="D141" s="45">
        <v>4.0999999999999996</v>
      </c>
      <c r="E141" s="85">
        <f t="shared" ref="E141" ca="1" si="69">INDIRECT("a_" &amp; i) * t^3 + INDIRECT("b_" &amp; i) * t^2 + INDIRECT("c_" &amp; i) * t^1 + INDIRECT("d_" &amp; i)</f>
        <v>4.5264915783906345E-2</v>
      </c>
      <c r="F141" s="88" t="s">
        <v>233</v>
      </c>
      <c r="R141" s="91">
        <f t="array" aca="1" ref="R141" ca="1">E141:E441</f>
        <v>4.5264915783906345E-2</v>
      </c>
      <c r="S141" s="92">
        <f t="shared" ca="1" si="29"/>
        <v>1.8420456166775425E-2</v>
      </c>
      <c r="T141" s="92">
        <f t="shared" ca="1" si="31"/>
        <v>-1.9629947655098248E-2</v>
      </c>
    </row>
    <row r="142" spans="2:20" s="45" customFormat="1" x14ac:dyDescent="0.2">
      <c r="C142" s="45">
        <v>5</v>
      </c>
      <c r="D142" s="45">
        <v>4.2</v>
      </c>
      <c r="E142" s="85">
        <f t="shared" ref="E142" ca="1" si="70">INDIRECT("a_" &amp; i) * t^3 + INDIRECT("b_" &amp; i) * t^2 + INDIRECT("c_" &amp; i) * t^1 + INDIRECT("d_" &amp; i)</f>
        <v>4.7134188939616045E-2</v>
      </c>
      <c r="F142" s="88" t="s">
        <v>233</v>
      </c>
      <c r="R142" s="91">
        <f t="array" aca="1" ref="R142" ca="1">E142:E442</f>
        <v>4.7134188939616045E-2</v>
      </c>
      <c r="S142" s="92">
        <f t="shared" ca="1" si="29"/>
        <v>1.8692731557096897E-2</v>
      </c>
      <c r="T142" s="92">
        <f t="shared" ca="1" si="31"/>
        <v>2.7227539032147054E-3</v>
      </c>
    </row>
    <row r="143" spans="2:20" s="45" customFormat="1" x14ac:dyDescent="0.2">
      <c r="C143" s="45">
        <v>5</v>
      </c>
      <c r="D143" s="45">
        <v>4.3</v>
      </c>
      <c r="E143" s="85">
        <f t="shared" ref="E143" ca="1" si="71">INDIRECT("a_" &amp; i) * t^3 + INDIRECT("b_" &amp; i) * t^2 + INDIRECT("c_" &amp; i) * t^1 + INDIRECT("d_" &amp; i)</f>
        <v>4.9029961276608872E-2</v>
      </c>
      <c r="F143" s="88" t="s">
        <v>233</v>
      </c>
      <c r="R143" s="91">
        <f t="array" aca="1" ref="R143" ca="1">E143:E443</f>
        <v>4.9029961276608872E-2</v>
      </c>
      <c r="S143" s="92">
        <f t="shared" ca="1" si="29"/>
        <v>1.895772336992833E-2</v>
      </c>
      <c r="T143" s="92">
        <f t="shared" ca="1" si="31"/>
        <v>2.649918128314342E-3</v>
      </c>
    </row>
    <row r="144" spans="2:20" s="45" customFormat="1" x14ac:dyDescent="0.2">
      <c r="C144" s="45">
        <v>5</v>
      </c>
      <c r="D144" s="45">
        <v>4.4000000000000004</v>
      </c>
      <c r="E144" s="85">
        <f t="shared" ref="E144" ca="1" si="72">INDIRECT("a_" &amp; i) * t^3 + INDIRECT("b_" &amp; i) * t^2 + INDIRECT("c_" &amp; i) * t^1 + INDIRECT("d_" &amp; i)</f>
        <v>5.0951504437135808E-2</v>
      </c>
      <c r="F144" s="88" t="s">
        <v>233</v>
      </c>
      <c r="R144" s="91">
        <f t="array" aca="1" ref="R144" ca="1">E144:E444</f>
        <v>5.0951504437135808E-2</v>
      </c>
      <c r="S144" s="92">
        <f t="shared" ca="1" si="29"/>
        <v>1.9215431605269263E-2</v>
      </c>
      <c r="T144" s="92">
        <f t="shared" ca="1" si="31"/>
        <v>2.5770823534093171E-3</v>
      </c>
    </row>
    <row r="145" spans="2:20" s="45" customFormat="1" x14ac:dyDescent="0.2">
      <c r="C145" s="45">
        <v>5</v>
      </c>
      <c r="D145" s="45">
        <v>4.5</v>
      </c>
      <c r="E145" s="85">
        <f t="shared" ref="E145" ca="1" si="73">INDIRECT("a_" &amp; i) * t^3 + INDIRECT("b_" &amp; i) * t^2 + INDIRECT("c_" &amp; i) * t^1 + INDIRECT("d_" &amp; i)</f>
        <v>5.289809006344779E-2</v>
      </c>
      <c r="F145" s="88" t="s">
        <v>233</v>
      </c>
      <c r="R145" s="91">
        <f t="array" aca="1" ref="R145" ca="1">E145:E445</f>
        <v>5.289809006344779E-2</v>
      </c>
      <c r="S145" s="92">
        <f t="shared" ca="1" si="29"/>
        <v>1.9465856263119891E-2</v>
      </c>
      <c r="T145" s="92">
        <f t="shared" ca="1" si="31"/>
        <v>2.5042465785062814E-3</v>
      </c>
    </row>
    <row r="146" spans="2:20" s="45" customFormat="1" x14ac:dyDescent="0.2">
      <c r="C146" s="45">
        <v>5</v>
      </c>
      <c r="D146" s="45">
        <v>4.5999999999999996</v>
      </c>
      <c r="E146" s="85">
        <f t="shared" ref="E146" ca="1" si="74">INDIRECT("a_" &amp; i) * t^3 + INDIRECT("b_" &amp; i) * t^2 + INDIRECT("c_" &amp; i) * t^1 + INDIRECT("d_" &amp; i)</f>
        <v>5.4868989797795815E-2</v>
      </c>
      <c r="F146" s="88" t="s">
        <v>233</v>
      </c>
      <c r="R146" s="91">
        <f t="array" aca="1" ref="R146" ca="1">E146:E446</f>
        <v>5.4868989797795815E-2</v>
      </c>
      <c r="S146" s="92">
        <f t="shared" ca="1" si="29"/>
        <v>1.970899734348032E-2</v>
      </c>
      <c r="T146" s="92">
        <f t="shared" ca="1" si="31"/>
        <v>2.4314108036042979E-3</v>
      </c>
    </row>
    <row r="147" spans="2:20" s="45" customFormat="1" x14ac:dyDescent="0.2">
      <c r="C147" s="45">
        <v>5</v>
      </c>
      <c r="D147" s="45">
        <v>4.7</v>
      </c>
      <c r="E147" s="85">
        <f t="shared" ref="E147" ca="1" si="75">INDIRECT("a_" &amp; i) * t^3 + INDIRECT("b_" &amp; i) * t^2 + INDIRECT("c_" &amp; i) * t^1 + INDIRECT("d_" &amp; i)</f>
        <v>5.6863475282430853E-2</v>
      </c>
      <c r="F147" s="88" t="s">
        <v>233</v>
      </c>
      <c r="R147" s="91">
        <f t="array" aca="1" ref="R147" ca="1">E147:E447</f>
        <v>5.6863475282430853E-2</v>
      </c>
      <c r="S147" s="92">
        <f t="shared" ca="1" si="29"/>
        <v>1.9944854846350269E-2</v>
      </c>
      <c r="T147" s="92">
        <f t="shared" ca="1" si="31"/>
        <v>2.3585750286994832E-3</v>
      </c>
    </row>
    <row r="148" spans="2:20" s="45" customFormat="1" x14ac:dyDescent="0.2">
      <c r="C148" s="45">
        <v>5</v>
      </c>
      <c r="D148" s="45">
        <v>4.8</v>
      </c>
      <c r="E148" s="85">
        <f t="shared" ref="E148" ca="1" si="76">INDIRECT("a_" &amp; i) * t^3 + INDIRECT("b_" &amp; i) * t^2 + INDIRECT("c_" &amp; i) * t^1 + INDIRECT("d_" &amp; i)</f>
        <v>5.8880818159603825E-2</v>
      </c>
      <c r="F148" s="88" t="s">
        <v>233</v>
      </c>
      <c r="R148" s="91">
        <f t="array" aca="1" ref="R148" ca="1">E148:E448</f>
        <v>5.8880818159603825E-2</v>
      </c>
      <c r="S148" s="92">
        <f t="shared" ca="1" si="29"/>
        <v>2.0173428771729788E-2</v>
      </c>
      <c r="T148" s="92">
        <f t="shared" ca="1" si="31"/>
        <v>2.2857392537951964E-3</v>
      </c>
    </row>
    <row r="149" spans="2:20" s="45" customFormat="1" x14ac:dyDescent="0.2">
      <c r="C149" s="45">
        <v>5</v>
      </c>
      <c r="D149" s="45">
        <v>4.9000000000000004</v>
      </c>
      <c r="E149" s="85">
        <f t="shared" ref="E149" ca="1" si="77">INDIRECT("a_" &amp; i) * t^3 + INDIRECT("b_" &amp; i) * t^2 + INDIRECT("c_" &amp; i) * t^1 + INDIRECT("d_" &amp; i)</f>
        <v>6.0920290071565762E-2</v>
      </c>
      <c r="F149" s="88" t="s">
        <v>233</v>
      </c>
      <c r="R149" s="91">
        <f t="array" aca="1" ref="R149" ca="1">E149:E449</f>
        <v>6.0920290071565762E-2</v>
      </c>
      <c r="S149" s="92">
        <f t="shared" ca="1" si="29"/>
        <v>2.0394719119619268E-2</v>
      </c>
      <c r="T149" s="92">
        <f t="shared" ca="1" si="31"/>
        <v>2.2129034788947893E-3</v>
      </c>
    </row>
    <row r="150" spans="2:20" s="45" customFormat="1" x14ac:dyDescent="0.2">
      <c r="B150" s="45">
        <v>5</v>
      </c>
      <c r="C150" s="45">
        <v>7</v>
      </c>
      <c r="D150" s="45">
        <v>5</v>
      </c>
      <c r="E150" s="85">
        <f t="shared" ref="E150" ca="1" si="78">INDIRECT("a_" &amp; i) * t^3 + INDIRECT("b_" &amp; i) * t^2 + INDIRECT("c_" &amp; i) * t^1 + INDIRECT("d_" &amp; i)</f>
        <v>6.1870647806183662E-2</v>
      </c>
      <c r="F150" s="88">
        <v>5.8316424819999997E-2</v>
      </c>
      <c r="G150" s="88">
        <f ca="1">F150-E150</f>
        <v>-3.5542229861836652E-3</v>
      </c>
      <c r="H150" s="88">
        <f ca="1">INDIRECT("a_" &amp; i_1) * t^3 + INDIRECT("b_" &amp; i_1) * t^2 + INDIRECT("c_" &amp; i_1) * t^1 + INDIRECT("d_" &amp; i_1)</f>
        <v>6.298116266056758E-2</v>
      </c>
      <c r="I150" s="88">
        <f ca="1">H150-E150</f>
        <v>1.1105148543839177E-3</v>
      </c>
      <c r="K150" s="90"/>
      <c r="Q150" s="90"/>
      <c r="R150" s="91">
        <f t="array" aca="1" ref="R150" ca="1">E150:E450</f>
        <v>6.1870647806183662E-2</v>
      </c>
      <c r="S150" s="92">
        <f t="shared" ca="1" si="29"/>
        <v>9.5035773461790343E-3</v>
      </c>
      <c r="T150" s="92">
        <f t="shared" ca="1" si="31"/>
        <v>-0.10891141773440273</v>
      </c>
    </row>
    <row r="151" spans="2:20" s="45" customFormat="1" x14ac:dyDescent="0.2">
      <c r="C151" s="45">
        <v>7</v>
      </c>
      <c r="D151" s="45">
        <v>5.0999999999999996</v>
      </c>
      <c r="E151" s="85">
        <f t="shared" ref="E151" ca="1" si="79">INDIRECT("a_" &amp; i) * t^3 + INDIRECT("b_" &amp; i) * t^2 + INDIRECT("c_" &amp; i) * t^1 + INDIRECT("d_" &amp; i)</f>
        <v>6.162909402331495E-2</v>
      </c>
      <c r="F151" s="88" t="s">
        <v>233</v>
      </c>
      <c r="R151" s="91">
        <f t="array" aca="1" ref="R151" ca="1">E151:E451</f>
        <v>6.162909402331495E-2</v>
      </c>
      <c r="S151" s="92">
        <f t="shared" ca="1" si="29"/>
        <v>-2.4155378286871369E-3</v>
      </c>
      <c r="T151" s="92">
        <f t="shared" ca="1" si="31"/>
        <v>-0.11919115174866214</v>
      </c>
    </row>
    <row r="152" spans="2:20" s="45" customFormat="1" x14ac:dyDescent="0.2">
      <c r="C152" s="45">
        <v>7</v>
      </c>
      <c r="D152" s="45">
        <v>5.2</v>
      </c>
      <c r="E152" s="85">
        <f t="shared" ref="E152" ca="1" si="80">INDIRECT("a_" &amp; i) * t^3 + INDIRECT("b_" &amp; i) * t^2 + INDIRECT("c_" &amp; i) * t^1 + INDIRECT("d_" &amp; i)</f>
        <v>6.1230604196407218E-2</v>
      </c>
      <c r="F152" s="88" t="s">
        <v>233</v>
      </c>
      <c r="R152" s="91">
        <f t="array" aca="1" ref="R152" ca="1">E152:E452</f>
        <v>6.1230604196407218E-2</v>
      </c>
      <c r="S152" s="92">
        <f t="shared" ca="1" si="29"/>
        <v>-3.9848982690772958E-3</v>
      </c>
      <c r="T152" s="92">
        <f t="shared" ca="1" si="31"/>
        <v>-1.5693604403901506E-2</v>
      </c>
    </row>
    <row r="153" spans="2:20" s="45" customFormat="1" x14ac:dyDescent="0.2">
      <c r="C153" s="45">
        <v>7</v>
      </c>
      <c r="D153" s="45">
        <v>5.3</v>
      </c>
      <c r="E153" s="85">
        <f t="shared" ref="E153" ca="1" si="81">INDIRECT("a_" &amp; i) * t^3 + INDIRECT("b_" &amp; i) * t^2 + INDIRECT("c_" &amp; i) * t^1 + INDIRECT("d_" &amp; i)</f>
        <v>6.066944399525788E-2</v>
      </c>
      <c r="F153" s="88" t="s">
        <v>233</v>
      </c>
      <c r="R153" s="91">
        <f t="array" aca="1" ref="R153" ca="1">E153:E453</f>
        <v>6.066944399525788E-2</v>
      </c>
      <c r="S153" s="92">
        <f t="shared" ca="1" si="29"/>
        <v>-5.6116020114934028E-3</v>
      </c>
      <c r="T153" s="92">
        <f t="shared" ca="1" si="31"/>
        <v>-1.6267037424161128E-2</v>
      </c>
    </row>
    <row r="154" spans="2:20" s="45" customFormat="1" x14ac:dyDescent="0.2">
      <c r="C154" s="45">
        <v>7</v>
      </c>
      <c r="D154" s="45">
        <v>5.4</v>
      </c>
      <c r="E154" s="85">
        <f t="shared" ref="E154" ca="1" si="82">INDIRECT("a_" &amp; i) * t^3 + INDIRECT("b_" &amp; i) * t^2 + INDIRECT("c_" &amp; i) * t^1 + INDIRECT("d_" &amp; i)</f>
        <v>5.9939879089664187E-2</v>
      </c>
      <c r="F154" s="88" t="s">
        <v>233</v>
      </c>
      <c r="R154" s="91">
        <f t="array" aca="1" ref="R154" ca="1">E154:E454</f>
        <v>5.9939879089664187E-2</v>
      </c>
      <c r="S154" s="92">
        <f t="shared" ca="1" si="29"/>
        <v>-7.295649055936884E-3</v>
      </c>
      <c r="T154" s="92">
        <f t="shared" ca="1" si="31"/>
        <v>-1.6840470444434721E-2</v>
      </c>
    </row>
    <row r="155" spans="2:20" s="45" customFormat="1" x14ac:dyDescent="0.2">
      <c r="C155" s="45">
        <v>7</v>
      </c>
      <c r="D155" s="45">
        <v>5.5</v>
      </c>
      <c r="E155" s="85">
        <f t="shared" ref="E155" ca="1" si="83">INDIRECT("a_" &amp; i) * t^3 + INDIRECT("b_" &amp; i) * t^2 + INDIRECT("c_" &amp; i) * t^1 + INDIRECT("d_" &amp; i)</f>
        <v>5.9036175149423553E-2</v>
      </c>
      <c r="F155" s="88" t="s">
        <v>233</v>
      </c>
      <c r="R155" s="91">
        <f t="array" aca="1" ref="R155" ca="1">E155:E455</f>
        <v>5.9036175149423553E-2</v>
      </c>
      <c r="S155" s="92">
        <f t="shared" ca="1" si="29"/>
        <v>-9.037039402406374E-3</v>
      </c>
      <c r="T155" s="92">
        <f t="shared" ca="1" si="31"/>
        <v>-1.7413903464694961E-2</v>
      </c>
    </row>
    <row r="156" spans="2:20" s="45" customFormat="1" x14ac:dyDescent="0.2">
      <c r="C156" s="45">
        <v>7</v>
      </c>
      <c r="D156" s="45">
        <v>5.6</v>
      </c>
      <c r="E156" s="85">
        <f t="shared" ref="E156" ca="1" si="84">INDIRECT("a_" &amp; i) * t^3 + INDIRECT("b_" &amp; i) * t^2 + INDIRECT("c_" &amp; i) * t^1 + INDIRECT("d_" &amp; i)</f>
        <v>5.7952597844333278E-2</v>
      </c>
      <c r="F156" s="88" t="s">
        <v>233</v>
      </c>
      <c r="R156" s="91">
        <f t="array" aca="1" ref="R156" ca="1">E156:E456</f>
        <v>5.7952597844333278E-2</v>
      </c>
      <c r="S156" s="92">
        <f t="shared" ca="1" si="29"/>
        <v>-1.0835773050902785E-2</v>
      </c>
      <c r="T156" s="92">
        <f t="shared" ca="1" si="31"/>
        <v>-1.7987336484964176E-2</v>
      </c>
    </row>
    <row r="157" spans="2:20" s="45" customFormat="1" x14ac:dyDescent="0.2">
      <c r="C157" s="45">
        <v>7</v>
      </c>
      <c r="D157" s="45">
        <v>5.7</v>
      </c>
      <c r="E157" s="85">
        <f t="shared" ref="E157" ca="1" si="85">INDIRECT("a_" &amp; i) * t^3 + INDIRECT("b_" &amp; i) * t^2 + INDIRECT("c_" &amp; i) * t^1 + INDIRECT("d_" &amp; i)</f>
        <v>5.6683412844190782E-2</v>
      </c>
      <c r="F157" s="88" t="s">
        <v>233</v>
      </c>
      <c r="R157" s="91">
        <f t="array" aca="1" ref="R157" ca="1">E157:E457</f>
        <v>5.6683412844190782E-2</v>
      </c>
      <c r="S157" s="92">
        <f t="shared" ca="1" si="29"/>
        <v>-1.2691850001424894E-2</v>
      </c>
      <c r="T157" s="92">
        <f t="shared" ca="1" si="31"/>
        <v>-1.8560769505220988E-2</v>
      </c>
    </row>
    <row r="158" spans="2:20" s="45" customFormat="1" x14ac:dyDescent="0.2">
      <c r="C158" s="45">
        <v>7</v>
      </c>
      <c r="D158" s="45">
        <v>5.8</v>
      </c>
      <c r="E158" s="85">
        <f t="shared" ref="E158" ca="1" si="86">INDIRECT("a_" &amp; i) * t^3 + INDIRECT("b_" &amp; i) * t^2 + INDIRECT("c_" &amp; i) * t^1 + INDIRECT("d_" &amp; i)</f>
        <v>5.5222885818793366E-2</v>
      </c>
      <c r="F158" s="88" t="s">
        <v>233</v>
      </c>
      <c r="R158" s="91">
        <f t="array" aca="1" ref="R158" ca="1">E158:E458</f>
        <v>5.5222885818793366E-2</v>
      </c>
      <c r="S158" s="92">
        <f t="shared" ca="1" si="29"/>
        <v>-1.4605270253974217E-2</v>
      </c>
      <c r="T158" s="92">
        <f t="shared" ca="1" si="31"/>
        <v>-1.9134202525493294E-2</v>
      </c>
    </row>
    <row r="159" spans="2:20" s="45" customFormat="1" x14ac:dyDescent="0.2">
      <c r="C159" s="45">
        <v>7</v>
      </c>
      <c r="D159" s="45">
        <v>5.9</v>
      </c>
      <c r="E159" s="85">
        <f t="shared" ref="E159" ca="1" si="87">INDIRECT("a_" &amp; i) * t^3 + INDIRECT("b_" &amp; i) * t^2 + INDIRECT("c_" &amp; i) * t^1 + INDIRECT("d_" &amp; i)</f>
        <v>5.3565282437938386E-2</v>
      </c>
      <c r="F159" s="88" t="s">
        <v>233</v>
      </c>
      <c r="R159" s="91">
        <f t="array" aca="1" ref="R159" ca="1">E159:E459</f>
        <v>5.3565282437938386E-2</v>
      </c>
      <c r="S159" s="92">
        <f t="shared" ca="1" si="29"/>
        <v>-1.6576033808549714E-2</v>
      </c>
      <c r="T159" s="92">
        <f t="shared" ca="1" si="31"/>
        <v>-1.9707635545754866E-2</v>
      </c>
    </row>
    <row r="160" spans="2:20" s="45" customFormat="1" x14ac:dyDescent="0.2">
      <c r="C160" s="45">
        <v>7</v>
      </c>
      <c r="D160" s="45">
        <v>6</v>
      </c>
      <c r="E160" s="85">
        <f t="shared" ref="E160" ca="1" si="88">INDIRECT("a_" &amp; i) * t^3 + INDIRECT("b_" &amp; i) * t^2 + INDIRECT("c_" &amp; i) * t^1 + INDIRECT("d_" &amp; i)</f>
        <v>5.1704868371423178E-2</v>
      </c>
      <c r="F160" s="88" t="s">
        <v>233</v>
      </c>
      <c r="R160" s="91">
        <f t="array" aca="1" ref="R160" ca="1">E160:E460</f>
        <v>5.1704868371423178E-2</v>
      </c>
      <c r="S160" s="92">
        <f t="shared" ca="1" si="29"/>
        <v>-1.8604140665152143E-2</v>
      </c>
      <c r="T160" s="92">
        <f t="shared" ca="1" si="31"/>
        <v>-2.0281068566024369E-2</v>
      </c>
    </row>
    <row r="161" spans="2:20" s="45" customFormat="1" x14ac:dyDescent="0.2">
      <c r="C161" s="45">
        <v>7</v>
      </c>
      <c r="D161" s="45">
        <v>6.1</v>
      </c>
      <c r="E161" s="85">
        <f t="shared" ref="E161" ca="1" si="89">INDIRECT("a_" &amp; i) * t^3 + INDIRECT("b_" &amp; i) * t^2 + INDIRECT("c_" &amp; i) * t^1 + INDIRECT("d_" &amp; i)</f>
        <v>4.9635909289045183E-2</v>
      </c>
      <c r="F161" s="88" t="s">
        <v>233</v>
      </c>
      <c r="R161" s="91">
        <f t="array" aca="1" ref="R161" ca="1">E161:E461</f>
        <v>4.9635909289045183E-2</v>
      </c>
      <c r="S161" s="92">
        <f t="shared" ca="1" si="29"/>
        <v>-2.0689590823780028E-2</v>
      </c>
      <c r="T161" s="92">
        <f t="shared" ca="1" si="31"/>
        <v>-2.0854501586278915E-2</v>
      </c>
    </row>
    <row r="162" spans="2:20" s="45" customFormat="1" x14ac:dyDescent="0.2">
      <c r="C162" s="45">
        <v>7</v>
      </c>
      <c r="D162" s="45">
        <v>6.2</v>
      </c>
      <c r="E162" s="85">
        <f t="shared" ref="E162" ca="1" si="90">INDIRECT("a_" &amp; i) * t^3 + INDIRECT("b_" &amp; i) * t^2 + INDIRECT("c_" &amp; i) * t^1 + INDIRECT("d_" &amp; i)</f>
        <v>4.7352670860601589E-2</v>
      </c>
      <c r="F162" s="88" t="s">
        <v>233</v>
      </c>
      <c r="R162" s="91">
        <f t="array" aca="1" ref="R162" ca="1">E162:E462</f>
        <v>4.7352670860601589E-2</v>
      </c>
      <c r="S162" s="92">
        <f t="shared" ca="1" si="29"/>
        <v>-2.2832384284435809E-2</v>
      </c>
      <c r="T162" s="92">
        <f t="shared" ca="1" si="31"/>
        <v>-2.1427934606557699E-2</v>
      </c>
    </row>
    <row r="163" spans="2:20" s="45" customFormat="1" x14ac:dyDescent="0.2">
      <c r="C163" s="45">
        <v>7</v>
      </c>
      <c r="D163" s="45">
        <v>6.3</v>
      </c>
      <c r="E163" s="85">
        <f t="shared" ref="E163" ca="1" si="91">INDIRECT("a_" &amp; i) * t^3 + INDIRECT("b_" &amp; i) * t^2 + INDIRECT("c_" &amp; i) * t^1 + INDIRECT("d_" &amp; i)</f>
        <v>4.4849418755889901E-2</v>
      </c>
      <c r="F163" s="88" t="s">
        <v>233</v>
      </c>
      <c r="R163" s="91">
        <f t="array" aca="1" ref="R163" ca="1">E163:E463</f>
        <v>4.4849418755889901E-2</v>
      </c>
      <c r="S163" s="92">
        <f t="shared" ca="1" si="29"/>
        <v>-2.5032521047116972E-2</v>
      </c>
      <c r="T163" s="92">
        <f t="shared" ca="1" si="31"/>
        <v>-2.2001367626811711E-2</v>
      </c>
    </row>
    <row r="164" spans="2:20" s="45" customFormat="1" x14ac:dyDescent="0.2">
      <c r="C164" s="45">
        <v>7</v>
      </c>
      <c r="D164" s="45">
        <v>6.4</v>
      </c>
      <c r="E164" s="85">
        <f t="shared" ref="E164" ca="1" si="92">INDIRECT("a_" &amp; i) * t^3 + INDIRECT("b_" &amp; i) * t^2 + INDIRECT("c_" &amp; i) * t^1 + INDIRECT("d_" &amp; i)</f>
        <v>4.2120418644707364E-2</v>
      </c>
      <c r="F164" s="88" t="s">
        <v>233</v>
      </c>
      <c r="R164" s="91">
        <f t="array" aca="1" ref="R164" ca="1">E164:E464</f>
        <v>4.2120418644707364E-2</v>
      </c>
      <c r="S164" s="92">
        <f t="shared" ca="1" si="29"/>
        <v>-2.7290001111825231E-2</v>
      </c>
      <c r="T164" s="92">
        <f t="shared" ca="1" si="31"/>
        <v>-2.2574800647082467E-2</v>
      </c>
    </row>
    <row r="165" spans="2:20" s="45" customFormat="1" x14ac:dyDescent="0.2">
      <c r="C165" s="45">
        <v>7</v>
      </c>
      <c r="D165" s="45">
        <v>6.5</v>
      </c>
      <c r="E165" s="85">
        <f t="shared" ref="E165" ca="1" si="93">INDIRECT("a_" &amp; i) * t^3 + INDIRECT("b_" &amp; i) * t^2 + INDIRECT("c_" &amp; i) * t^1 + INDIRECT("d_" &amp; i)</f>
        <v>3.9159936196851382E-2</v>
      </c>
      <c r="F165" s="88" t="s">
        <v>233</v>
      </c>
      <c r="R165" s="91">
        <f t="array" aca="1" ref="R165" ca="1">E165:E465</f>
        <v>3.9159936196851382E-2</v>
      </c>
      <c r="S165" s="92">
        <f t="shared" ca="1" si="29"/>
        <v>-2.9604824478559923E-2</v>
      </c>
      <c r="T165" s="92">
        <f t="shared" ca="1" si="31"/>
        <v>-2.3148233667347001E-2</v>
      </c>
    </row>
    <row r="166" spans="2:20" s="45" customFormat="1" x14ac:dyDescent="0.2">
      <c r="C166" s="45">
        <v>7</v>
      </c>
      <c r="D166" s="45">
        <v>6.6</v>
      </c>
      <c r="E166" s="85">
        <f t="shared" ref="E166" ca="1" si="94">INDIRECT("a_" &amp; i) * t^3 + INDIRECT("b_" &amp; i) * t^2 + INDIRECT("c_" &amp; i) * t^1 + INDIRECT("d_" &amp; i)</f>
        <v>3.596223708211925E-2</v>
      </c>
      <c r="F166" s="88" t="s">
        <v>233</v>
      </c>
      <c r="R166" s="91">
        <f t="array" aca="1" ref="R166" ca="1">E166:E466</f>
        <v>3.596223708211925E-2</v>
      </c>
      <c r="S166" s="92">
        <f t="shared" ref="S166:S229" ca="1" si="95">(R166-R165)/(D166-D165)</f>
        <v>-3.1976991147321429E-2</v>
      </c>
      <c r="T166" s="92">
        <f t="shared" ca="1" si="31"/>
        <v>-2.3721666687615148E-2</v>
      </c>
    </row>
    <row r="167" spans="2:20" s="45" customFormat="1" x14ac:dyDescent="0.2">
      <c r="C167" s="45">
        <v>7</v>
      </c>
      <c r="D167" s="45">
        <v>6.7</v>
      </c>
      <c r="E167" s="85">
        <f t="shared" ref="E167" ca="1" si="96">INDIRECT("a_" &amp; i) * t^3 + INDIRECT("b_" &amp; i) * t^2 + INDIRECT("c_" &amp; i) * t^1 + INDIRECT("d_" &amp; i)</f>
        <v>3.2521586970308408E-2</v>
      </c>
      <c r="F167" s="88" t="s">
        <v>233</v>
      </c>
      <c r="R167" s="91">
        <f t="array" aca="1" ref="R167" ca="1">E167:E467</f>
        <v>3.2521586970308408E-2</v>
      </c>
      <c r="S167" s="92">
        <f t="shared" ca="1" si="95"/>
        <v>-3.4406501118108238E-2</v>
      </c>
      <c r="T167" s="92">
        <f t="shared" ref="T167:T230" ca="1" si="97">(S167-S166)/(D167-D166)</f>
        <v>-2.4295099707867956E-2</v>
      </c>
    </row>
    <row r="168" spans="2:20" s="45" customFormat="1" x14ac:dyDescent="0.2">
      <c r="C168" s="45">
        <v>7</v>
      </c>
      <c r="D168" s="45">
        <v>6.8</v>
      </c>
      <c r="E168" s="85">
        <f t="shared" ref="E168" ca="1" si="98">INDIRECT("a_" &amp; i) * t^3 + INDIRECT("b_" &amp; i) * t^2 + INDIRECT("c_" &amp; i) * t^1 + INDIRECT("d_" &amp; i)</f>
        <v>2.8832251531216165E-2</v>
      </c>
      <c r="F168" s="88" t="s">
        <v>233</v>
      </c>
      <c r="R168" s="91">
        <f t="array" aca="1" ref="R168" ca="1">E168:E468</f>
        <v>2.8832251531216165E-2</v>
      </c>
      <c r="S168" s="92">
        <f t="shared" ca="1" si="95"/>
        <v>-3.6893354390922568E-2</v>
      </c>
      <c r="T168" s="92">
        <f t="shared" ca="1" si="97"/>
        <v>-2.4868532728143395E-2</v>
      </c>
    </row>
    <row r="169" spans="2:20" s="45" customFormat="1" x14ac:dyDescent="0.2">
      <c r="C169" s="45">
        <v>7</v>
      </c>
      <c r="D169" s="45">
        <v>6.9</v>
      </c>
      <c r="E169" s="85">
        <f t="shared" ref="E169" ca="1" si="99">INDIRECT("a_" &amp; i) * t^3 + INDIRECT("b_" &amp; i) * t^2 + INDIRECT("c_" &amp; i) * t^1 + INDIRECT("d_" &amp; i)</f>
        <v>2.4888496434639796E-2</v>
      </c>
      <c r="F169" s="88" t="s">
        <v>233</v>
      </c>
      <c r="R169" s="91">
        <f t="array" aca="1" ref="R169" ca="1">E169:E469</f>
        <v>2.4888496434639796E-2</v>
      </c>
      <c r="S169" s="92">
        <f t="shared" ca="1" si="95"/>
        <v>-3.9437550965763478E-2</v>
      </c>
      <c r="T169" s="92">
        <f t="shared" ca="1" si="97"/>
        <v>-2.544196574840896E-2</v>
      </c>
    </row>
    <row r="170" spans="2:20" s="45" customFormat="1" x14ac:dyDescent="0.2">
      <c r="B170" s="45">
        <v>7</v>
      </c>
      <c r="C170" s="45">
        <v>10</v>
      </c>
      <c r="D170" s="45">
        <v>7</v>
      </c>
      <c r="E170" s="85">
        <f t="shared" ref="E170" ca="1" si="100">INDIRECT("a_" &amp; i) * t^3 + INDIRECT("b_" &amp; i) * t^2 + INDIRECT("c_" &amp; i) * t^1 + INDIRECT("d_" &amp; i)</f>
        <v>2.3085336908491388E-2</v>
      </c>
      <c r="F170" s="88">
        <v>6.51321344E-2</v>
      </c>
      <c r="G170" s="88">
        <f ca="1">F170-E170</f>
        <v>4.2046797491508608E-2</v>
      </c>
      <c r="H170" s="88">
        <f ca="1">INDIRECT("a_" &amp; i_1) * t^3 + INDIRECT("b_" &amp; i_1) * t^2 + INDIRECT("c_" &amp; i_1) * t^1 + INDIRECT("d_" &amp; i_1)</f>
        <v>2.0684587350376787E-2</v>
      </c>
      <c r="I170" s="88">
        <f ca="1">H170-E170</f>
        <v>-2.4007495581146003E-3</v>
      </c>
      <c r="K170" s="90"/>
      <c r="Q170" s="90"/>
      <c r="R170" s="91">
        <f t="array" aca="1" ref="R170" ca="1">E170:E470</f>
        <v>2.3085336908491388E-2</v>
      </c>
      <c r="S170" s="92">
        <f t="shared" ca="1" si="95"/>
        <v>-1.8031595261484144E-2</v>
      </c>
      <c r="T170" s="92">
        <f t="shared" ca="1" si="97"/>
        <v>0.21405955704279409</v>
      </c>
    </row>
    <row r="171" spans="2:20" s="45" customFormat="1" x14ac:dyDescent="0.2">
      <c r="C171" s="45">
        <v>10</v>
      </c>
      <c r="D171" s="45">
        <v>7.1</v>
      </c>
      <c r="E171" s="85">
        <f t="shared" ref="E171" ca="1" si="101">INDIRECT("a_" &amp; i) * t^3 + INDIRECT("b_" &amp; i) * t^2 + INDIRECT("c_" &amp; i) * t^1 + INDIRECT("d_" &amp; i)</f>
        <v>2.3502569016597696E-2</v>
      </c>
      <c r="F171" s="88" t="s">
        <v>233</v>
      </c>
      <c r="R171" s="91">
        <f t="array" aca="1" ref="R171" ca="1">E171:E471</f>
        <v>2.3502569016597696E-2</v>
      </c>
      <c r="S171" s="92">
        <f t="shared" ca="1" si="95"/>
        <v>4.1723210810631012E-3</v>
      </c>
      <c r="T171" s="92">
        <f t="shared" ca="1" si="97"/>
        <v>0.22203916342547322</v>
      </c>
    </row>
    <row r="172" spans="2:20" s="45" customFormat="1" x14ac:dyDescent="0.2">
      <c r="C172" s="45">
        <v>10</v>
      </c>
      <c r="D172" s="45">
        <v>7.2</v>
      </c>
      <c r="E172" s="85">
        <f t="shared" ref="E172" ca="1" si="102">INDIRECT("a_" &amp; i) * t^3 + INDIRECT("b_" &amp; i) * t^2 + INDIRECT("c_" &amp; i) * t^1 + INDIRECT("d_" &amp; i)</f>
        <v>2.3914680443427698E-2</v>
      </c>
      <c r="F172" s="88" t="s">
        <v>233</v>
      </c>
      <c r="R172" s="91">
        <f t="array" aca="1" ref="R172" ca="1">E172:E472</f>
        <v>2.3914680443427698E-2</v>
      </c>
      <c r="S172" s="92">
        <f t="shared" ca="1" si="95"/>
        <v>4.1211142682999946E-3</v>
      </c>
      <c r="T172" s="92">
        <f t="shared" ca="1" si="97"/>
        <v>-5.1206812763106367E-4</v>
      </c>
    </row>
    <row r="173" spans="2:20" s="45" customFormat="1" x14ac:dyDescent="0.2">
      <c r="C173" s="45">
        <v>10</v>
      </c>
      <c r="D173" s="45">
        <v>7.3</v>
      </c>
      <c r="E173" s="85">
        <f t="shared" ref="E173" ca="1" si="103">INDIRECT("a_" &amp; i) * t^3 + INDIRECT("b_" &amp; i) * t^2 + INDIRECT("c_" &amp; i) * t^1 + INDIRECT("d_" &amp; i)</f>
        <v>2.4321356116057149E-2</v>
      </c>
      <c r="F173" s="88" t="s">
        <v>233</v>
      </c>
      <c r="R173" s="91">
        <f t="array" aca="1" ref="R173" ca="1">E173:E473</f>
        <v>2.4321356116057149E-2</v>
      </c>
      <c r="S173" s="92">
        <f t="shared" ca="1" si="95"/>
        <v>4.0667567262945232E-3</v>
      </c>
      <c r="T173" s="92">
        <f t="shared" ca="1" si="97"/>
        <v>-5.4357542005471619E-4</v>
      </c>
    </row>
    <row r="174" spans="2:20" s="45" customFormat="1" x14ac:dyDescent="0.2">
      <c r="C174" s="45">
        <v>10</v>
      </c>
      <c r="D174" s="45">
        <v>7.4</v>
      </c>
      <c r="E174" s="85">
        <f t="shared" ref="E174" ca="1" si="104">INDIRECT("a_" &amp; i) * t^3 + INDIRECT("b_" &amp; i) * t^2 + INDIRECT("c_" &amp; i) * t^1 + INDIRECT("d_" &amp; i)</f>
        <v>2.4722280961561809E-2</v>
      </c>
      <c r="F174" s="88" t="s">
        <v>233</v>
      </c>
      <c r="R174" s="91">
        <f t="array" aca="1" ref="R174" ca="1">E174:E474</f>
        <v>2.4722280961561809E-2</v>
      </c>
      <c r="S174" s="92">
        <f t="shared" ca="1" si="95"/>
        <v>4.0092484550465759E-3</v>
      </c>
      <c r="T174" s="92">
        <f t="shared" ca="1" si="97"/>
        <v>-5.7508271247946928E-4</v>
      </c>
    </row>
    <row r="175" spans="2:20" s="45" customFormat="1" x14ac:dyDescent="0.2">
      <c r="C175" s="45">
        <v>10</v>
      </c>
      <c r="D175" s="45">
        <v>7.5</v>
      </c>
      <c r="E175" s="85">
        <f t="shared" ref="E175" ca="1" si="105">INDIRECT("a_" &amp; i) * t^3 + INDIRECT("b_" &amp; i) * t^2 + INDIRECT("c_" &amp; i) * t^1 + INDIRECT("d_" &amp; i)</f>
        <v>2.5117139907017437E-2</v>
      </c>
      <c r="F175" s="88" t="s">
        <v>233</v>
      </c>
      <c r="R175" s="91">
        <f t="array" aca="1" ref="R175" ca="1">E175:E475</f>
        <v>2.5117139907017437E-2</v>
      </c>
      <c r="S175" s="92">
        <f t="shared" ca="1" si="95"/>
        <v>3.9485894545562977E-3</v>
      </c>
      <c r="T175" s="92">
        <f t="shared" ca="1" si="97"/>
        <v>-6.0659000490278408E-4</v>
      </c>
    </row>
    <row r="176" spans="2:20" s="45" customFormat="1" x14ac:dyDescent="0.2">
      <c r="C176" s="45">
        <v>10</v>
      </c>
      <c r="D176" s="45">
        <v>7.6</v>
      </c>
      <c r="E176" s="85">
        <f t="shared" ref="E176" ca="1" si="106">INDIRECT("a_" &amp; i) * t^3 + INDIRECT("b_" &amp; i) * t^2 + INDIRECT("c_" &amp; i) * t^1 + INDIRECT("d_" &amp; i)</f>
        <v>2.5505617879499797E-2</v>
      </c>
      <c r="F176" s="88" t="s">
        <v>233</v>
      </c>
      <c r="R176" s="91">
        <f t="array" aca="1" ref="R176" ca="1">E176:E476</f>
        <v>2.5505617879499797E-2</v>
      </c>
      <c r="S176" s="92">
        <f t="shared" ca="1" si="95"/>
        <v>3.8847797248236157E-3</v>
      </c>
      <c r="T176" s="92">
        <f t="shared" ca="1" si="97"/>
        <v>-6.3809729732682236E-4</v>
      </c>
    </row>
    <row r="177" spans="3:20" s="45" customFormat="1" x14ac:dyDescent="0.2">
      <c r="C177" s="45">
        <v>10</v>
      </c>
      <c r="D177" s="45">
        <v>7.7</v>
      </c>
      <c r="E177" s="85">
        <f t="shared" ref="E177" ca="1" si="107">INDIRECT("a_" &amp; i) * t^3 + INDIRECT("b_" &amp; i) * t^2 + INDIRECT("c_" &amp; i) * t^1 + INDIRECT("d_" &amp; i)</f>
        <v>2.5887399806084638E-2</v>
      </c>
      <c r="F177" s="88" t="s">
        <v>233</v>
      </c>
      <c r="R177" s="91">
        <f t="array" aca="1" ref="R177" ca="1">E177:E477</f>
        <v>2.5887399806084638E-2</v>
      </c>
      <c r="S177" s="92">
        <f t="shared" ca="1" si="95"/>
        <v>3.8178192658483924E-3</v>
      </c>
      <c r="T177" s="92">
        <f t="shared" ca="1" si="97"/>
        <v>-6.6960458975222944E-4</v>
      </c>
    </row>
    <row r="178" spans="3:20" s="45" customFormat="1" x14ac:dyDescent="0.2">
      <c r="C178" s="45">
        <v>10</v>
      </c>
      <c r="D178" s="45">
        <v>7.8</v>
      </c>
      <c r="E178" s="85">
        <f t="shared" ref="E178" ca="1" si="108">INDIRECT("a_" &amp; i) * t^3 + INDIRECT("b_" &amp; i) * t^2 + INDIRECT("c_" &amp; i) * t^1 + INDIRECT("d_" &amp; i)</f>
        <v>2.6262170613847721E-2</v>
      </c>
      <c r="F178" s="88" t="s">
        <v>233</v>
      </c>
      <c r="R178" s="91">
        <f t="array" aca="1" ref="R178" ca="1">E178:E478</f>
        <v>2.6262170613847721E-2</v>
      </c>
      <c r="S178" s="92">
        <f t="shared" ca="1" si="95"/>
        <v>3.7477080776308343E-3</v>
      </c>
      <c r="T178" s="92">
        <f t="shared" ca="1" si="97"/>
        <v>-7.0111188217558413E-4</v>
      </c>
    </row>
    <row r="179" spans="3:20" s="45" customFormat="1" x14ac:dyDescent="0.2">
      <c r="C179" s="45">
        <v>10</v>
      </c>
      <c r="D179" s="45">
        <v>7.9</v>
      </c>
      <c r="E179" s="85">
        <f t="shared" ref="E179" ca="1" si="109">INDIRECT("a_" &amp; i) * t^3 + INDIRECT("b_" &amp; i) * t^2 + INDIRECT("c_" &amp; i) * t^1 + INDIRECT("d_" &amp; i)</f>
        <v>2.6629615229864814E-2</v>
      </c>
      <c r="F179" s="88" t="s">
        <v>233</v>
      </c>
      <c r="R179" s="91">
        <f t="array" aca="1" ref="R179" ca="1">E179:E479</f>
        <v>2.6629615229864814E-2</v>
      </c>
      <c r="S179" s="92">
        <f t="shared" ca="1" si="95"/>
        <v>3.6744461601709104E-3</v>
      </c>
      <c r="T179" s="92">
        <f t="shared" ca="1" si="97"/>
        <v>-7.3261917459923427E-4</v>
      </c>
    </row>
    <row r="180" spans="3:20" s="45" customFormat="1" x14ac:dyDescent="0.2">
      <c r="C180" s="45">
        <v>10</v>
      </c>
      <c r="D180" s="45">
        <v>8</v>
      </c>
      <c r="E180" s="85">
        <f t="shared" ref="E180" ca="1" si="110">INDIRECT("a_" &amp; i) * t^3 + INDIRECT("b_" &amp; i) * t^2 + INDIRECT("c_" &amp; i) * t^1 + INDIRECT("d_" &amp; i)</f>
        <v>2.698941858121166E-2</v>
      </c>
      <c r="F180" s="88" t="s">
        <v>233</v>
      </c>
      <c r="R180" s="91">
        <f t="array" aca="1" ref="R180" ca="1">E180:E480</f>
        <v>2.698941858121166E-2</v>
      </c>
      <c r="S180" s="92">
        <f t="shared" ca="1" si="95"/>
        <v>3.5980335134684753E-3</v>
      </c>
      <c r="T180" s="92">
        <f t="shared" ca="1" si="97"/>
        <v>-7.6412646702435458E-4</v>
      </c>
    </row>
    <row r="181" spans="3:20" s="45" customFormat="1" x14ac:dyDescent="0.2">
      <c r="C181" s="45">
        <v>10</v>
      </c>
      <c r="D181" s="45">
        <v>8.1</v>
      </c>
      <c r="E181" s="85">
        <f t="shared" ref="E181" ca="1" si="111">INDIRECT("a_" &amp; i) * t^3 + INDIRECT("b_" &amp; i) * t^2 + INDIRECT("c_" &amp; i) * t^1 + INDIRECT("d_" &amp; i)</f>
        <v>2.7341265594964033E-2</v>
      </c>
      <c r="F181" s="88" t="s">
        <v>233</v>
      </c>
      <c r="R181" s="91">
        <f t="array" aca="1" ref="R181" ca="1">E181:E481</f>
        <v>2.7341265594964033E-2</v>
      </c>
      <c r="S181" s="92">
        <f t="shared" ca="1" si="95"/>
        <v>3.5184701375237438E-3</v>
      </c>
      <c r="T181" s="92">
        <f t="shared" ca="1" si="97"/>
        <v>-7.9563375944731733E-4</v>
      </c>
    </row>
    <row r="182" spans="3:20" s="45" customFormat="1" x14ac:dyDescent="0.2">
      <c r="C182" s="45">
        <v>10</v>
      </c>
      <c r="D182" s="45">
        <v>8.1999999999999993</v>
      </c>
      <c r="E182" s="85">
        <f t="shared" ref="E182" ca="1" si="112">INDIRECT("a_" &amp; i) * t^3 + INDIRECT("b_" &amp; i) * t^2 + INDIRECT("c_" &amp; i) * t^1 + INDIRECT("d_" &amp; i)</f>
        <v>2.7684841198197672E-2</v>
      </c>
      <c r="F182" s="88" t="s">
        <v>233</v>
      </c>
      <c r="R182" s="91">
        <f t="array" aca="1" ref="R182" ca="1">E182:E482</f>
        <v>2.7684841198197672E-2</v>
      </c>
      <c r="S182" s="92">
        <f t="shared" ca="1" si="95"/>
        <v>3.4357560323364008E-3</v>
      </c>
      <c r="T182" s="92">
        <f t="shared" ca="1" si="97"/>
        <v>-8.2714105187343295E-4</v>
      </c>
    </row>
    <row r="183" spans="3:20" s="45" customFormat="1" x14ac:dyDescent="0.2">
      <c r="C183" s="45">
        <v>10</v>
      </c>
      <c r="D183" s="45">
        <v>8.3000000000000007</v>
      </c>
      <c r="E183" s="85">
        <f t="shared" ref="E183" ca="1" si="113">INDIRECT("a_" &amp; i) * t^3 + INDIRECT("b_" &amp; i) * t^2 + INDIRECT("c_" &amp; i) * t^1 + INDIRECT("d_" &amp; i)</f>
        <v>2.8019830317988357E-2</v>
      </c>
      <c r="F183" s="88" t="s">
        <v>233</v>
      </c>
      <c r="R183" s="91">
        <f t="array" aca="1" ref="R183" ca="1">E183:E483</f>
        <v>2.8019830317988357E-2</v>
      </c>
      <c r="S183" s="92">
        <f t="shared" ca="1" si="95"/>
        <v>3.3498911979068036E-3</v>
      </c>
      <c r="T183" s="92">
        <f t="shared" ca="1" si="97"/>
        <v>-8.5864834429595974E-4</v>
      </c>
    </row>
    <row r="184" spans="3:20" s="45" customFormat="1" x14ac:dyDescent="0.2">
      <c r="C184" s="45">
        <v>10</v>
      </c>
      <c r="D184" s="45">
        <v>8.4</v>
      </c>
      <c r="E184" s="85">
        <f t="shared" ref="E184" ca="1" si="114">INDIRECT("a_" &amp; i) * t^3 + INDIRECT("b_" &amp; i) * t^2 + INDIRECT("c_" &amp; i) * t^1 + INDIRECT("d_" &amp; i)</f>
        <v>2.8345917881411827E-2</v>
      </c>
      <c r="F184" s="88" t="s">
        <v>233</v>
      </c>
      <c r="R184" s="91">
        <f t="array" aca="1" ref="R184" ca="1">E184:E484</f>
        <v>2.8345917881411827E-2</v>
      </c>
      <c r="S184" s="92">
        <f t="shared" ca="1" si="95"/>
        <v>3.2608756342347145E-3</v>
      </c>
      <c r="T184" s="92">
        <f t="shared" ca="1" si="97"/>
        <v>-8.9015563672089368E-4</v>
      </c>
    </row>
    <row r="185" spans="3:20" s="45" customFormat="1" x14ac:dyDescent="0.2">
      <c r="C185" s="45">
        <v>10</v>
      </c>
      <c r="D185" s="45">
        <v>8.5</v>
      </c>
      <c r="E185" s="85">
        <f t="shared" ref="E185" ca="1" si="115">INDIRECT("a_" &amp; i) * t^3 + INDIRECT("b_" &amp; i) * t^2 + INDIRECT("c_" &amp; i) * t^1 + INDIRECT("d_" &amp; i)</f>
        <v>2.8662788815543856E-2</v>
      </c>
      <c r="F185" s="88" t="s">
        <v>233</v>
      </c>
      <c r="R185" s="91">
        <f t="array" aca="1" ref="R185" ca="1">E185:E485</f>
        <v>2.8662788815543856E-2</v>
      </c>
      <c r="S185" s="92">
        <f t="shared" ca="1" si="95"/>
        <v>3.1687093413203015E-3</v>
      </c>
      <c r="T185" s="92">
        <f t="shared" ca="1" si="97"/>
        <v>-9.2166292914413399E-4</v>
      </c>
    </row>
    <row r="186" spans="3:20" s="45" customFormat="1" x14ac:dyDescent="0.2">
      <c r="C186" s="45">
        <v>10</v>
      </c>
      <c r="D186" s="45">
        <v>8.6</v>
      </c>
      <c r="E186" s="85">
        <f t="shared" ref="E186" ca="1" si="116">INDIRECT("a_" &amp; i) * t^3 + INDIRECT("b_" &amp; i) * t^2 + INDIRECT("c_" &amp; i) * t^1 + INDIRECT("d_" &amp; i)</f>
        <v>2.89701280474602E-2</v>
      </c>
      <c r="F186" s="88" t="s">
        <v>233</v>
      </c>
      <c r="R186" s="91">
        <f t="array" aca="1" ref="R186" ca="1">E186:E486</f>
        <v>2.89701280474602E-2</v>
      </c>
      <c r="S186" s="92">
        <f t="shared" ca="1" si="95"/>
        <v>3.0733923191634508E-3</v>
      </c>
      <c r="T186" s="92">
        <f t="shared" ca="1" si="97"/>
        <v>-9.5317022156851054E-4</v>
      </c>
    </row>
    <row r="187" spans="3:20" s="45" customFormat="1" x14ac:dyDescent="0.2">
      <c r="C187" s="45">
        <v>10</v>
      </c>
      <c r="D187" s="45">
        <v>8.6999999999999993</v>
      </c>
      <c r="E187" s="85">
        <f t="shared" ref="E187" ca="1" si="117">INDIRECT("a_" &amp; i) * t^3 + INDIRECT("b_" &amp; i) * t^2 + INDIRECT("c_" &amp; i) * t^1 + INDIRECT("d_" &amp; i)</f>
        <v>2.9267620504236602E-2</v>
      </c>
      <c r="F187" s="88" t="s">
        <v>233</v>
      </c>
      <c r="R187" s="91">
        <f t="array" aca="1" ref="R187" ca="1">E187:E487</f>
        <v>2.9267620504236602E-2</v>
      </c>
      <c r="S187" s="92">
        <f t="shared" ca="1" si="95"/>
        <v>2.9749245677640236E-3</v>
      </c>
      <c r="T187" s="92">
        <f t="shared" ca="1" si="97"/>
        <v>-9.8467751399427487E-4</v>
      </c>
    </row>
    <row r="188" spans="3:20" s="45" customFormat="1" x14ac:dyDescent="0.2">
      <c r="C188" s="45">
        <v>10</v>
      </c>
      <c r="D188" s="45">
        <v>8.8000000000000007</v>
      </c>
      <c r="E188" s="85">
        <f t="shared" ref="E188" ca="1" si="118">INDIRECT("a_" &amp; i) * t^3 + INDIRECT("b_" &amp; i) * t^2 + INDIRECT("c_" &amp; i) * t^1 + INDIRECT("d_" &amp; i)</f>
        <v>2.9554951112948841E-2</v>
      </c>
      <c r="F188" s="88" t="s">
        <v>233</v>
      </c>
      <c r="R188" s="91">
        <f t="array" aca="1" ref="R188" ca="1">E188:E488</f>
        <v>2.9554951112948841E-2</v>
      </c>
      <c r="S188" s="92">
        <f t="shared" ca="1" si="95"/>
        <v>2.873306087122351E-3</v>
      </c>
      <c r="T188" s="92">
        <f t="shared" ca="1" si="97"/>
        <v>-1.0161848064167121E-3</v>
      </c>
    </row>
    <row r="189" spans="3:20" s="45" customFormat="1" x14ac:dyDescent="0.2">
      <c r="C189" s="45">
        <v>10</v>
      </c>
      <c r="D189" s="45">
        <v>8.9</v>
      </c>
      <c r="E189" s="85">
        <f t="shared" ref="E189" ca="1" si="119">INDIRECT("a_" &amp; i) * t^3 + INDIRECT("b_" &amp; i) * t^2 + INDIRECT("c_" &amp; i) * t^1 + INDIRECT("d_" &amp; i)</f>
        <v>2.9831804800672674E-2</v>
      </c>
      <c r="F189" s="88" t="s">
        <v>233</v>
      </c>
      <c r="R189" s="91">
        <f t="array" aca="1" ref="R189" ca="1">E189:E489</f>
        <v>2.9831804800672674E-2</v>
      </c>
      <c r="S189" s="92">
        <f t="shared" ca="1" si="95"/>
        <v>2.7685368772383426E-3</v>
      </c>
      <c r="T189" s="92">
        <f t="shared" ca="1" si="97"/>
        <v>-1.0476920988400876E-3</v>
      </c>
    </row>
    <row r="190" spans="3:20" s="45" customFormat="1" x14ac:dyDescent="0.2">
      <c r="C190" s="45">
        <v>10</v>
      </c>
      <c r="D190" s="45">
        <v>9</v>
      </c>
      <c r="E190" s="85">
        <f t="shared" ref="E190" ca="1" si="120">INDIRECT("a_" &amp; i) * t^3 + INDIRECT("b_" &amp; i) * t^2 + INDIRECT("c_" &amp; i) * t^1 + INDIRECT("d_" &amp; i)</f>
        <v>3.009786649448384E-2</v>
      </c>
      <c r="F190" s="88" t="s">
        <v>233</v>
      </c>
      <c r="R190" s="91">
        <f t="array" aca="1" ref="R190" ca="1">E190:E490</f>
        <v>3.009786649448384E-2</v>
      </c>
      <c r="S190" s="92">
        <f t="shared" ca="1" si="95"/>
        <v>2.6606169381116719E-3</v>
      </c>
      <c r="T190" s="92">
        <f t="shared" ca="1" si="97"/>
        <v>-1.0791993912667107E-3</v>
      </c>
    </row>
    <row r="191" spans="3:20" s="45" customFormat="1" x14ac:dyDescent="0.2">
      <c r="C191" s="45">
        <v>10</v>
      </c>
      <c r="D191" s="45">
        <v>9.1</v>
      </c>
      <c r="E191" s="85">
        <f t="shared" ref="E191" ca="1" si="121">INDIRECT("a_" &amp; i) * t^3 + INDIRECT("b_" &amp; i) * t^2 + INDIRECT("c_" &amp; i) * t^1 + INDIRECT("d_" &amp; i)</f>
        <v>3.035282112145811E-2</v>
      </c>
      <c r="F191" s="88" t="s">
        <v>233</v>
      </c>
      <c r="R191" s="91">
        <f t="array" aca="1" ref="R191" ca="1">E191:E491</f>
        <v>3.035282112145811E-2</v>
      </c>
      <c r="S191" s="92">
        <f t="shared" ca="1" si="95"/>
        <v>2.5495462697427023E-3</v>
      </c>
      <c r="T191" s="92">
        <f t="shared" ca="1" si="97"/>
        <v>-1.1107066836896994E-3</v>
      </c>
    </row>
    <row r="192" spans="3:20" s="45" customFormat="1" x14ac:dyDescent="0.2">
      <c r="C192" s="45">
        <v>10</v>
      </c>
      <c r="D192" s="45">
        <v>9.1999999999999993</v>
      </c>
      <c r="E192" s="85">
        <f t="shared" ref="E192" ca="1" si="122">INDIRECT("a_" &amp; i) * t^3 + INDIRECT("b_" &amp; i) * t^2 + INDIRECT("c_" &amp; i) * t^1 + INDIRECT("d_" &amp; i)</f>
        <v>3.0596353608671242E-2</v>
      </c>
      <c r="F192" s="88" t="s">
        <v>233</v>
      </c>
      <c r="R192" s="91">
        <f t="array" aca="1" ref="R192" ca="1">E192:E492</f>
        <v>3.0596353608671242E-2</v>
      </c>
      <c r="S192" s="92">
        <f t="shared" ca="1" si="95"/>
        <v>2.4353248721313298E-3</v>
      </c>
      <c r="T192" s="92">
        <f t="shared" ca="1" si="97"/>
        <v>-1.1422139761137291E-3</v>
      </c>
    </row>
    <row r="193" spans="2:20" s="45" customFormat="1" x14ac:dyDescent="0.2">
      <c r="C193" s="45">
        <v>10</v>
      </c>
      <c r="D193" s="45">
        <v>9.3000000000000007</v>
      </c>
      <c r="E193" s="85">
        <f t="shared" ref="E193" ca="1" si="123">INDIRECT("a_" &amp; i) * t^3 + INDIRECT("b_" &amp; i) * t^2 + INDIRECT("c_" &amp; i) * t^1 + INDIRECT("d_" &amp; i)</f>
        <v>3.0828148883198993E-2</v>
      </c>
      <c r="F193" s="88" t="s">
        <v>233</v>
      </c>
      <c r="R193" s="91">
        <f t="array" aca="1" ref="R193" ca="1">E193:E493</f>
        <v>3.0828148883198993E-2</v>
      </c>
      <c r="S193" s="92">
        <f t="shared" ca="1" si="95"/>
        <v>2.3179527452774785E-3</v>
      </c>
      <c r="T193" s="92">
        <f t="shared" ca="1" si="97"/>
        <v>-1.1737212685384967E-3</v>
      </c>
    </row>
    <row r="194" spans="2:20" s="45" customFormat="1" x14ac:dyDescent="0.2">
      <c r="C194" s="45">
        <v>10</v>
      </c>
      <c r="D194" s="45">
        <v>9.4</v>
      </c>
      <c r="E194" s="85">
        <f t="shared" ref="E194" ca="1" si="124">INDIRECT("a_" &amp; i) * t^3 + INDIRECT("b_" &amp; i) * t^2 + INDIRECT("c_" &amp; i) * t^1 + INDIRECT("d_" &amp; i)</f>
        <v>3.104789187211713E-2</v>
      </c>
      <c r="F194" s="88" t="s">
        <v>233</v>
      </c>
      <c r="R194" s="91">
        <f t="array" aca="1" ref="R194" ca="1">E194:E494</f>
        <v>3.104789187211713E-2</v>
      </c>
      <c r="S194" s="92">
        <f t="shared" ca="1" si="95"/>
        <v>2.197429889181376E-3</v>
      </c>
      <c r="T194" s="92">
        <f t="shared" ca="1" si="97"/>
        <v>-1.2052285609610294E-3</v>
      </c>
    </row>
    <row r="195" spans="2:20" s="45" customFormat="1" x14ac:dyDescent="0.2">
      <c r="C195" s="45">
        <v>10</v>
      </c>
      <c r="D195" s="45">
        <v>9.5</v>
      </c>
      <c r="E195" s="85">
        <f t="shared" ref="E195" ca="1" si="125">INDIRECT("a_" &amp; i) * t^3 + INDIRECT("b_" &amp; i) * t^2 + INDIRECT("c_" &amp; i) * t^1 + INDIRECT("d_" &amp; i)</f>
        <v>3.1255267502501405E-2</v>
      </c>
      <c r="F195" s="88" t="s">
        <v>233</v>
      </c>
      <c r="R195" s="91">
        <f t="array" aca="1" ref="R195" ca="1">E195:E495</f>
        <v>3.1255267502501405E-2</v>
      </c>
      <c r="S195" s="92">
        <f t="shared" ca="1" si="95"/>
        <v>2.0737563038427599E-3</v>
      </c>
      <c r="T195" s="92">
        <f t="shared" ca="1" si="97"/>
        <v>-1.2367358533861648E-3</v>
      </c>
    </row>
    <row r="196" spans="2:20" s="45" customFormat="1" x14ac:dyDescent="0.2">
      <c r="C196" s="45">
        <v>10</v>
      </c>
      <c r="D196" s="45">
        <v>9.6</v>
      </c>
      <c r="E196" s="85">
        <f t="shared" ref="E196" ca="1" si="126">INDIRECT("a_" &amp; i) * t^3 + INDIRECT("b_" &amp; i) * t^2 + INDIRECT("c_" &amp; i) * t^1 + INDIRECT("d_" &amp; i)</f>
        <v>3.1449960701427568E-2</v>
      </c>
      <c r="F196" s="88" t="s">
        <v>233</v>
      </c>
      <c r="R196" s="91">
        <f t="array" aca="1" ref="R196" ca="1">E196:E496</f>
        <v>3.1449960701427568E-2</v>
      </c>
      <c r="S196" s="92">
        <f t="shared" ca="1" si="95"/>
        <v>1.9469319892616369E-3</v>
      </c>
      <c r="T196" s="92">
        <f t="shared" ca="1" si="97"/>
        <v>-1.2682431458112353E-3</v>
      </c>
    </row>
    <row r="197" spans="2:20" s="45" customFormat="1" x14ac:dyDescent="0.2">
      <c r="C197" s="45">
        <v>10</v>
      </c>
      <c r="D197" s="45">
        <v>9.6999999999999993</v>
      </c>
      <c r="E197" s="85">
        <f t="shared" ref="E197" ca="1" si="127">INDIRECT("a_" &amp; i) * t^3 + INDIRECT("b_" &amp; i) * t^2 + INDIRECT("c_" &amp; i) * t^1 + INDIRECT("d_" &amp; i)</f>
        <v>3.1631656395971389E-2</v>
      </c>
      <c r="F197" s="88" t="s">
        <v>233</v>
      </c>
      <c r="R197" s="91">
        <f t="array" aca="1" ref="R197" ca="1">E197:E497</f>
        <v>3.1631656395971389E-2</v>
      </c>
      <c r="S197" s="92">
        <f t="shared" ca="1" si="95"/>
        <v>1.8169569454382149E-3</v>
      </c>
      <c r="T197" s="92">
        <f t="shared" ca="1" si="97"/>
        <v>-1.299750438234224E-3</v>
      </c>
    </row>
    <row r="198" spans="2:20" s="45" customFormat="1" x14ac:dyDescent="0.2">
      <c r="C198" s="45">
        <v>10</v>
      </c>
      <c r="D198" s="45">
        <v>9.8000000000000007</v>
      </c>
      <c r="E198" s="85">
        <f t="shared" ref="E198" ca="1" si="128">INDIRECT("a_" &amp; i) * t^3 + INDIRECT("b_" &amp; i) * t^2 + INDIRECT("c_" &amp; i) * t^1 + INDIRECT("d_" &amp; i)</f>
        <v>3.1800039513208617E-2</v>
      </c>
      <c r="F198" s="88" t="s">
        <v>233</v>
      </c>
      <c r="R198" s="91">
        <f t="array" aca="1" ref="R198" ca="1">E198:E498</f>
        <v>3.1800039513208617E-2</v>
      </c>
      <c r="S198" s="92">
        <f t="shared" ca="1" si="95"/>
        <v>1.683831172372256E-3</v>
      </c>
      <c r="T198" s="92">
        <f t="shared" ca="1" si="97"/>
        <v>-1.3312577306595701E-3</v>
      </c>
    </row>
    <row r="199" spans="2:20" s="45" customFormat="1" x14ac:dyDescent="0.2">
      <c r="C199" s="45">
        <v>10</v>
      </c>
      <c r="D199" s="45">
        <v>9.9</v>
      </c>
      <c r="E199" s="85">
        <f t="shared" ref="E199" ca="1" si="129">INDIRECT("a_" &amp; i) * t^3 + INDIRECT("b_" &amp; i) * t^2 + INDIRECT("c_" &amp; i) * t^1 + INDIRECT("d_" &amp; i)</f>
        <v>3.1954794980215015E-2</v>
      </c>
      <c r="F199" s="88" t="s">
        <v>233</v>
      </c>
      <c r="R199" s="91">
        <f t="array" aca="1" ref="R199" ca="1">E199:E499</f>
        <v>3.1954794980215015E-2</v>
      </c>
      <c r="S199" s="92">
        <f t="shared" ca="1" si="95"/>
        <v>1.5475546700639885E-3</v>
      </c>
      <c r="T199" s="92">
        <f t="shared" ca="1" si="97"/>
        <v>-1.36276502308268E-3</v>
      </c>
    </row>
    <row r="200" spans="2:20" s="45" customFormat="1" x14ac:dyDescent="0.2">
      <c r="B200" s="45">
        <v>10</v>
      </c>
      <c r="C200" s="45">
        <v>30</v>
      </c>
      <c r="D200" s="45">
        <v>10</v>
      </c>
      <c r="E200" s="85">
        <f t="shared" ref="E200" ca="1" si="130">INDIRECT("a_" &amp; i) * t^3 + INDIRECT("b_" &amp; i) * t^2 + INDIRECT("c_" &amp; i) * t^1 + INDIRECT("d_" &amp; i)</f>
        <v>3.3252768995313382E-2</v>
      </c>
      <c r="F200" s="88">
        <v>6.7430707199999995E-2</v>
      </c>
      <c r="G200" s="88">
        <f ca="1">F200-E200</f>
        <v>3.4177938204686613E-2</v>
      </c>
      <c r="H200" s="88">
        <f ca="1">INDIRECT("a_" &amp; i_1) * t^3 + INDIRECT("b_" &amp; i_1) * t^2 + INDIRECT("c_" &amp; i_1) * t^1 + INDIRECT("d_" &amp; i_1)</f>
        <v>3.2095607724066347E-2</v>
      </c>
      <c r="I200" s="88">
        <f ca="1">H200-E200</f>
        <v>-1.1571612712470355E-3</v>
      </c>
      <c r="K200" s="90"/>
      <c r="Q200" s="90"/>
      <c r="R200" s="91">
        <f t="array" aca="1" ref="R200" ca="1">E200:E500</f>
        <v>3.3252768995313382E-2</v>
      </c>
      <c r="S200" s="92">
        <f t="shared" ca="1" si="95"/>
        <v>1.297974015098372E-2</v>
      </c>
      <c r="T200" s="92">
        <f t="shared" ca="1" si="97"/>
        <v>0.11432185480919772</v>
      </c>
    </row>
    <row r="201" spans="2:20" s="45" customFormat="1" x14ac:dyDescent="0.2">
      <c r="C201" s="45">
        <v>30</v>
      </c>
      <c r="D201" s="45">
        <v>10.1</v>
      </c>
      <c r="E201" s="85">
        <f t="shared" ref="E201" ca="1" si="131">INDIRECT("a_" &amp; i) * t^3 + INDIRECT("b_" &amp; i) * t^2 + INDIRECT("c_" &amp; i) * t^1 + INDIRECT("d_" &amp; i)</f>
        <v>3.5723712483732635E-2</v>
      </c>
      <c r="F201" s="88" t="s">
        <v>233</v>
      </c>
      <c r="R201" s="91">
        <f t="array" aca="1" ref="R201" ca="1">E201:E501</f>
        <v>3.5723712483732635E-2</v>
      </c>
      <c r="S201" s="92">
        <f t="shared" ca="1" si="95"/>
        <v>2.4709434884192614E-2</v>
      </c>
      <c r="T201" s="92">
        <f t="shared" ca="1" si="97"/>
        <v>0.11729694733208935</v>
      </c>
    </row>
    <row r="202" spans="2:20" s="45" customFormat="1" x14ac:dyDescent="0.2">
      <c r="C202" s="45">
        <v>30</v>
      </c>
      <c r="D202" s="45">
        <v>10.199999999999999</v>
      </c>
      <c r="E202" s="85">
        <f t="shared" ref="E202" ca="1" si="132">INDIRECT("a_" &amp; i) * t^3 + INDIRECT("b_" &amp; i) * t^2 + INDIRECT("c_" &amp; i) * t^1 + INDIRECT("d_" &amp; i)</f>
        <v>3.8214451788676336E-2</v>
      </c>
      <c r="F202" s="88" t="s">
        <v>233</v>
      </c>
      <c r="R202" s="91">
        <f t="array" aca="1" ref="R202" ca="1">E202:E502</f>
        <v>3.8214451788676336E-2</v>
      </c>
      <c r="S202" s="92">
        <f t="shared" ca="1" si="95"/>
        <v>2.49073930494371E-2</v>
      </c>
      <c r="T202" s="92">
        <f t="shared" ca="1" si="97"/>
        <v>1.9795816524448701E-3</v>
      </c>
    </row>
    <row r="203" spans="2:20" s="45" customFormat="1" x14ac:dyDescent="0.2">
      <c r="C203" s="45">
        <v>30</v>
      </c>
      <c r="D203" s="45">
        <v>10.3</v>
      </c>
      <c r="E203" s="85">
        <f t="shared" ref="E203" ca="1" si="133">INDIRECT("a_" &amp; i) * t^3 + INDIRECT("b_" &amp; i) * t^2 + INDIRECT("c_" &amp; i) * t^1 + INDIRECT("d_" &amp; i)</f>
        <v>4.0724345634054922E-2</v>
      </c>
      <c r="F203" s="88" t="s">
        <v>233</v>
      </c>
      <c r="R203" s="91">
        <f t="array" aca="1" ref="R203" ca="1">E203:E503</f>
        <v>4.0724345634054922E-2</v>
      </c>
      <c r="S203" s="92">
        <f t="shared" ca="1" si="95"/>
        <v>2.50989384537855E-2</v>
      </c>
      <c r="T203" s="92">
        <f t="shared" ca="1" si="97"/>
        <v>1.9154540434839708E-3</v>
      </c>
    </row>
    <row r="204" spans="2:20" s="45" customFormat="1" x14ac:dyDescent="0.2">
      <c r="C204" s="45">
        <v>30</v>
      </c>
      <c r="D204" s="45">
        <v>10.4</v>
      </c>
      <c r="E204" s="85">
        <f t="shared" ref="E204" ca="1" si="134">INDIRECT("a_" &amp; i) * t^3 + INDIRECT("b_" &amp; i) * t^2 + INDIRECT("c_" &amp; i) * t^1 + INDIRECT("d_" &amp; i)</f>
        <v>4.3252752743779162E-2</v>
      </c>
      <c r="F204" s="88" t="s">
        <v>233</v>
      </c>
      <c r="R204" s="91">
        <f t="array" aca="1" ref="R204" ca="1">E204:E504</f>
        <v>4.3252752743779162E-2</v>
      </c>
      <c r="S204" s="92">
        <f t="shared" ca="1" si="95"/>
        <v>2.528407109724249E-2</v>
      </c>
      <c r="T204" s="92">
        <f t="shared" ca="1" si="97"/>
        <v>1.8513264345699078E-3</v>
      </c>
    </row>
    <row r="205" spans="2:20" s="45" customFormat="1" x14ac:dyDescent="0.2">
      <c r="C205" s="45">
        <v>30</v>
      </c>
      <c r="D205" s="45">
        <v>10.5</v>
      </c>
      <c r="E205" s="85">
        <f t="shared" ref="E205" ca="1" si="135">INDIRECT("a_" &amp; i) * t^3 + INDIRECT("b_" &amp; i) * t^2 + INDIRECT("c_" &amp; i) * t^1 + INDIRECT("d_" &amp; i)</f>
        <v>4.5799031841759603E-2</v>
      </c>
      <c r="F205" s="88" t="s">
        <v>233</v>
      </c>
      <c r="R205" s="91">
        <f t="array" aca="1" ref="R205" ca="1">E205:E505</f>
        <v>4.5799031841759603E-2</v>
      </c>
      <c r="S205" s="92">
        <f t="shared" ca="1" si="95"/>
        <v>2.5462790979804507E-2</v>
      </c>
      <c r="T205" s="92">
        <f t="shared" ca="1" si="97"/>
        <v>1.7871988256201795E-3</v>
      </c>
    </row>
    <row r="206" spans="2:20" s="45" customFormat="1" x14ac:dyDescent="0.2">
      <c r="C206" s="45">
        <v>30</v>
      </c>
      <c r="D206" s="45">
        <v>10.6</v>
      </c>
      <c r="E206" s="85">
        <f t="shared" ref="E206" ca="1" si="136">INDIRECT("a_" &amp; i) * t^3 + INDIRECT("b_" &amp; i) * t^2 + INDIRECT("c_" &amp; i) * t^1 + INDIRECT("d_" &amp; i)</f>
        <v>4.8362541651906961E-2</v>
      </c>
      <c r="F206" s="88" t="s">
        <v>233</v>
      </c>
      <c r="R206" s="91">
        <f t="array" aca="1" ref="R206" ca="1">E206:E506</f>
        <v>4.8362541651906961E-2</v>
      </c>
      <c r="S206" s="92">
        <f t="shared" ca="1" si="95"/>
        <v>2.5635098101473665E-2</v>
      </c>
      <c r="T206" s="92">
        <f t="shared" ca="1" si="97"/>
        <v>1.7230712166915801E-3</v>
      </c>
    </row>
    <row r="207" spans="2:20" s="45" customFormat="1" x14ac:dyDescent="0.2">
      <c r="C207" s="45">
        <v>30</v>
      </c>
      <c r="D207" s="45">
        <v>10.7</v>
      </c>
      <c r="E207" s="85">
        <f t="shared" ref="E207" ca="1" si="137">INDIRECT("a_" &amp; i) * t^3 + INDIRECT("b_" &amp; i) * t^2 + INDIRECT("c_" &amp; i) * t^1 + INDIRECT("d_" &amp; i)</f>
        <v>5.0942640898131726E-2</v>
      </c>
      <c r="F207" s="88" t="s">
        <v>233</v>
      </c>
      <c r="R207" s="91">
        <f t="array" aca="1" ref="R207" ca="1">E207:E507</f>
        <v>5.0942640898131726E-2</v>
      </c>
      <c r="S207" s="92">
        <f t="shared" ca="1" si="95"/>
        <v>2.5800992462247742E-2</v>
      </c>
      <c r="T207" s="92">
        <f t="shared" ca="1" si="97"/>
        <v>1.6589436077407763E-3</v>
      </c>
    </row>
    <row r="208" spans="2:20" s="45" customFormat="1" x14ac:dyDescent="0.2">
      <c r="C208" s="45">
        <v>30</v>
      </c>
      <c r="D208" s="45">
        <v>10.8</v>
      </c>
      <c r="E208" s="85">
        <f t="shared" ref="E208" ca="1" si="138">INDIRECT("a_" &amp; i) * t^3 + INDIRECT("b_" &amp; i) * t^2 + INDIRECT("c_" &amp; i) * t^1 + INDIRECT("d_" &amp; i)</f>
        <v>5.3538688304344724E-2</v>
      </c>
      <c r="F208" s="88" t="s">
        <v>233</v>
      </c>
      <c r="R208" s="91">
        <f t="array" aca="1" ref="R208" ca="1">E208:E508</f>
        <v>5.3538688304344724E-2</v>
      </c>
      <c r="S208" s="92">
        <f t="shared" ca="1" si="95"/>
        <v>2.5960474062129611E-2</v>
      </c>
      <c r="T208" s="92">
        <f t="shared" ca="1" si="97"/>
        <v>1.5948159988186711E-3</v>
      </c>
    </row>
    <row r="209" spans="3:20" s="45" customFormat="1" x14ac:dyDescent="0.2">
      <c r="C209" s="45">
        <v>30</v>
      </c>
      <c r="D209" s="45">
        <v>10.9</v>
      </c>
      <c r="E209" s="85">
        <f t="shared" ref="E209" ca="1" si="139">INDIRECT("a_" &amp; i) * t^3 + INDIRECT("b_" &amp; i) * t^2 + INDIRECT("c_" &amp; i) * t^1 + INDIRECT("d_" &amp; i)</f>
        <v>5.6150042594456447E-2</v>
      </c>
      <c r="F209" s="88" t="s">
        <v>233</v>
      </c>
      <c r="R209" s="91">
        <f t="array" aca="1" ref="R209" ca="1">E209:E509</f>
        <v>5.6150042594456447E-2</v>
      </c>
      <c r="S209" s="92">
        <f t="shared" ca="1" si="95"/>
        <v>2.611354290111732E-2</v>
      </c>
      <c r="T209" s="92">
        <f t="shared" ca="1" si="97"/>
        <v>1.5306883898770897E-3</v>
      </c>
    </row>
    <row r="210" spans="3:20" s="45" customFormat="1" x14ac:dyDescent="0.2">
      <c r="C210" s="45">
        <v>30</v>
      </c>
      <c r="D210" s="45">
        <v>11</v>
      </c>
      <c r="E210" s="85">
        <f t="shared" ref="E210" ca="1" si="140">INDIRECT("a_" &amp; i) * t^3 + INDIRECT("b_" &amp; i) * t^2 + INDIRECT("c_" &amp; i) * t^1 + INDIRECT("d_" &amp; i)</f>
        <v>5.8776062492377441E-2</v>
      </c>
      <c r="F210" s="88" t="s">
        <v>233</v>
      </c>
      <c r="R210" s="91">
        <f t="array" aca="1" ref="R210" ca="1">E210:E510</f>
        <v>5.8776062492377441E-2</v>
      </c>
      <c r="S210" s="92">
        <f t="shared" ca="1" si="95"/>
        <v>2.6260198979210041E-2</v>
      </c>
      <c r="T210" s="92">
        <f t="shared" ca="1" si="97"/>
        <v>1.4665607809272226E-3</v>
      </c>
    </row>
    <row r="211" spans="3:20" s="45" customFormat="1" x14ac:dyDescent="0.2">
      <c r="C211" s="45">
        <v>30</v>
      </c>
      <c r="D211" s="45">
        <v>11.1</v>
      </c>
      <c r="E211" s="85">
        <f t="shared" ref="E211" ca="1" si="141">INDIRECT("a_" &amp; i) * t^3 + INDIRECT("b_" &amp; i) * t^2 + INDIRECT("c_" &amp; i) * t^1 + INDIRECT("d_" &amp; i)</f>
        <v>6.1416106722018589E-2</v>
      </c>
      <c r="F211" s="88" t="s">
        <v>233</v>
      </c>
      <c r="R211" s="91">
        <f t="array" aca="1" ref="R211" ca="1">E211:E511</f>
        <v>6.1416106722018589E-2</v>
      </c>
      <c r="S211" s="92">
        <f t="shared" ca="1" si="95"/>
        <v>2.6400442296411569E-2</v>
      </c>
      <c r="T211" s="92">
        <f t="shared" ca="1" si="97"/>
        <v>1.4024331720152766E-3</v>
      </c>
    </row>
    <row r="212" spans="3:20" s="45" customFormat="1" x14ac:dyDescent="0.2">
      <c r="C212" s="45">
        <v>30</v>
      </c>
      <c r="D212" s="45">
        <v>11.2</v>
      </c>
      <c r="E212" s="85">
        <f t="shared" ref="E212" ca="1" si="142">INDIRECT("a_" &amp; i) * t^3 + INDIRECT("b_" &amp; i) * t^2 + INDIRECT("c_" &amp; i) * t^1 + INDIRECT("d_" &amp; i)</f>
        <v>6.4069534007290374E-2</v>
      </c>
      <c r="F212" s="88" t="s">
        <v>233</v>
      </c>
      <c r="R212" s="91">
        <f t="array" aca="1" ref="R212" ca="1">E212:E512</f>
        <v>6.4069534007290374E-2</v>
      </c>
      <c r="S212" s="92">
        <f t="shared" ca="1" si="95"/>
        <v>2.6534272852717946E-2</v>
      </c>
      <c r="T212" s="92">
        <f t="shared" ca="1" si="97"/>
        <v>1.3383055630637789E-3</v>
      </c>
    </row>
    <row r="213" spans="3:20" s="45" customFormat="1" x14ac:dyDescent="0.2">
      <c r="C213" s="45">
        <v>30</v>
      </c>
      <c r="D213" s="45">
        <v>11.3</v>
      </c>
      <c r="E213" s="85">
        <f t="shared" ref="E213" ca="1" si="143">INDIRECT("a_" &amp; i) * t^3 + INDIRECT("b_" &amp; i) * t^2 + INDIRECT("c_" &amp; i) * t^1 + INDIRECT("d_" &amp; i)</f>
        <v>6.6735703072103414E-2</v>
      </c>
      <c r="F213" s="88" t="s">
        <v>233</v>
      </c>
      <c r="R213" s="91">
        <f t="array" aca="1" ref="R213" ca="1">E213:E513</f>
        <v>6.6735703072103414E-2</v>
      </c>
      <c r="S213" s="92">
        <f t="shared" ca="1" si="95"/>
        <v>2.666169064813002E-2</v>
      </c>
      <c r="T213" s="92">
        <f t="shared" ca="1" si="97"/>
        <v>1.2741779541207239E-3</v>
      </c>
    </row>
    <row r="214" spans="3:20" s="45" customFormat="1" x14ac:dyDescent="0.2">
      <c r="C214" s="45">
        <v>30</v>
      </c>
      <c r="D214" s="45">
        <v>11.4</v>
      </c>
      <c r="E214" s="85">
        <f t="shared" ref="E214" ca="1" si="144">INDIRECT("a_" &amp; i) * t^3 + INDIRECT("b_" &amp; i) * t^2 + INDIRECT("c_" &amp; i) * t^1 + INDIRECT("d_" &amp; i)</f>
        <v>6.9413972640368415E-2</v>
      </c>
      <c r="F214" s="88" t="s">
        <v>233</v>
      </c>
      <c r="R214" s="91">
        <f t="array" aca="1" ref="R214" ca="1">E214:E514</f>
        <v>6.9413972640368415E-2</v>
      </c>
      <c r="S214" s="92">
        <f t="shared" ca="1" si="95"/>
        <v>2.6782695682650109E-2</v>
      </c>
      <c r="T214" s="92">
        <f t="shared" ca="1" si="97"/>
        <v>1.2100503452008903E-3</v>
      </c>
    </row>
    <row r="215" spans="3:20" s="45" customFormat="1" x14ac:dyDescent="0.2">
      <c r="C215" s="45">
        <v>30</v>
      </c>
      <c r="D215" s="45">
        <v>11.5</v>
      </c>
      <c r="E215" s="85">
        <f t="shared" ref="E215" ca="1" si="145">INDIRECT("a_" &amp; i) * t^3 + INDIRECT("b_" &amp; i) * t^2 + INDIRECT("c_" &amp; i) * t^1 + INDIRECT("d_" &amp; i)</f>
        <v>7.2103701435995926E-2</v>
      </c>
      <c r="F215" s="88" t="s">
        <v>233</v>
      </c>
      <c r="R215" s="91">
        <f t="array" aca="1" ref="R215" ca="1">E215:E515</f>
        <v>7.2103701435995926E-2</v>
      </c>
      <c r="S215" s="92">
        <f t="shared" ca="1" si="95"/>
        <v>2.6897287956275204E-2</v>
      </c>
      <c r="T215" s="92">
        <f t="shared" ca="1" si="97"/>
        <v>1.1459227362509538E-3</v>
      </c>
    </row>
    <row r="216" spans="3:20" s="45" customFormat="1" x14ac:dyDescent="0.2">
      <c r="C216" s="45">
        <v>30</v>
      </c>
      <c r="D216" s="45">
        <v>11.6</v>
      </c>
      <c r="E216" s="85">
        <f t="shared" ref="E216" ca="1" si="146">INDIRECT("a_" &amp; i) * t^3 + INDIRECT("b_" &amp; i) * t^2 + INDIRECT("c_" &amp; i) * t^1 + INDIRECT("d_" &amp; i)</f>
        <v>7.480424818289666E-2</v>
      </c>
      <c r="F216" s="88" t="s">
        <v>233</v>
      </c>
      <c r="R216" s="91">
        <f t="array" aca="1" ref="R216" ca="1">E216:E516</f>
        <v>7.480424818289666E-2</v>
      </c>
      <c r="S216" s="92">
        <f t="shared" ca="1" si="95"/>
        <v>2.7005467469007435E-2</v>
      </c>
      <c r="T216" s="92">
        <f t="shared" ca="1" si="97"/>
        <v>1.0817951273223198E-3</v>
      </c>
    </row>
    <row r="217" spans="3:20" s="45" customFormat="1" x14ac:dyDescent="0.2">
      <c r="C217" s="45">
        <v>30</v>
      </c>
      <c r="D217" s="45">
        <v>11.7</v>
      </c>
      <c r="E217" s="85">
        <f t="shared" ref="E217" ca="1" si="147">INDIRECT("a_" &amp; i) * t^3 + INDIRECT("b_" &amp; i) * t^2 + INDIRECT("c_" &amp; i) * t^1 + INDIRECT("d_" &amp; i)</f>
        <v>7.7514971604981109E-2</v>
      </c>
      <c r="F217" s="88" t="s">
        <v>233</v>
      </c>
      <c r="R217" s="91">
        <f t="array" aca="1" ref="R217" ca="1">E217:E517</f>
        <v>7.7514971604981109E-2</v>
      </c>
      <c r="S217" s="92">
        <f t="shared" ca="1" si="95"/>
        <v>2.7107234220844587E-2</v>
      </c>
      <c r="T217" s="92">
        <f t="shared" ca="1" si="97"/>
        <v>1.0176675183715159E-3</v>
      </c>
    </row>
    <row r="218" spans="3:20" s="45" customFormat="1" x14ac:dyDescent="0.2">
      <c r="C218" s="45">
        <v>30</v>
      </c>
      <c r="D218" s="45">
        <v>11.8</v>
      </c>
      <c r="E218" s="85">
        <f t="shared" ref="E218" ca="1" si="148">INDIRECT("a_" &amp; i) * t^3 + INDIRECT("b_" &amp; i) * t^2 + INDIRECT("c_" &amp; i) * t^1 + INDIRECT("d_" &amp; i)</f>
        <v>8.0235230426160042E-2</v>
      </c>
      <c r="F218" s="88" t="s">
        <v>233</v>
      </c>
      <c r="R218" s="91">
        <f t="array" aca="1" ref="R218" ca="1">E218:E518</f>
        <v>8.0235230426160042E-2</v>
      </c>
      <c r="S218" s="92">
        <f t="shared" ca="1" si="95"/>
        <v>2.7202588211788951E-2</v>
      </c>
      <c r="T218" s="92">
        <f t="shared" ca="1" si="97"/>
        <v>9.5353990944362815E-4</v>
      </c>
    </row>
    <row r="219" spans="3:20" s="45" customFormat="1" x14ac:dyDescent="0.2">
      <c r="C219" s="45">
        <v>30</v>
      </c>
      <c r="D219" s="45">
        <v>11.9</v>
      </c>
      <c r="E219" s="85">
        <f t="shared" ref="E219" ca="1" si="149">INDIRECT("a_" &amp; i) * t^3 + INDIRECT("b_" &amp; i) * t^2 + INDIRECT("c_" &amp; i) * t^1 + INDIRECT("d_" &amp; i)</f>
        <v>8.2964383370344064E-2</v>
      </c>
      <c r="F219" s="88" t="s">
        <v>233</v>
      </c>
      <c r="R219" s="91">
        <f t="array" aca="1" ref="R219" ca="1">E219:E519</f>
        <v>8.2964383370344064E-2</v>
      </c>
      <c r="S219" s="92">
        <f t="shared" ca="1" si="95"/>
        <v>2.7291529441840309E-2</v>
      </c>
      <c r="T219" s="92">
        <f t="shared" ca="1" si="97"/>
        <v>8.8941230051358853E-4</v>
      </c>
    </row>
    <row r="220" spans="3:20" s="45" customFormat="1" x14ac:dyDescent="0.2">
      <c r="C220" s="45">
        <v>30</v>
      </c>
      <c r="D220" s="45">
        <v>12</v>
      </c>
      <c r="E220" s="85">
        <f t="shared" ref="E220" ca="1" si="150">INDIRECT("a_" &amp; i) * t^3 + INDIRECT("b_" &amp; i) * t^2 + INDIRECT("c_" &amp; i) * t^1 + INDIRECT("d_" &amp; i)</f>
        <v>8.570178916144372E-2</v>
      </c>
      <c r="F220" s="88" t="s">
        <v>233</v>
      </c>
      <c r="R220" s="91">
        <f t="array" aca="1" ref="R220" ca="1">E220:E520</f>
        <v>8.570178916144372E-2</v>
      </c>
      <c r="S220" s="92">
        <f t="shared" ca="1" si="95"/>
        <v>2.737405791099666E-2</v>
      </c>
      <c r="T220" s="92">
        <f t="shared" ca="1" si="97"/>
        <v>8.2528469156351329E-4</v>
      </c>
    </row>
    <row r="221" spans="3:20" s="45" customFormat="1" x14ac:dyDescent="0.2">
      <c r="C221" s="45">
        <v>30</v>
      </c>
      <c r="D221" s="45">
        <v>12.1</v>
      </c>
      <c r="E221" s="85">
        <f t="shared" ref="E221" ca="1" si="151">INDIRECT("a_" &amp; i) * t^3 + INDIRECT("b_" &amp; i) * t^2 + INDIRECT("c_" &amp; i) * t^1 + INDIRECT("d_" &amp; i)</f>
        <v>8.844680652336967E-2</v>
      </c>
      <c r="F221" s="88" t="s">
        <v>233</v>
      </c>
      <c r="R221" s="91">
        <f t="array" aca="1" ref="R221" ca="1">E221:E521</f>
        <v>8.844680652336967E-2</v>
      </c>
      <c r="S221" s="92">
        <f t="shared" ca="1" si="95"/>
        <v>2.7450173619259596E-2</v>
      </c>
      <c r="T221" s="92">
        <f t="shared" ca="1" si="97"/>
        <v>7.6115708262936281E-4</v>
      </c>
    </row>
    <row r="222" spans="3:20" s="45" customFormat="1" x14ac:dyDescent="0.2">
      <c r="C222" s="45">
        <v>30</v>
      </c>
      <c r="D222" s="45">
        <v>12.2</v>
      </c>
      <c r="E222" s="85">
        <f t="shared" ref="E222" ca="1" si="152">INDIRECT("a_" &amp; i) * t^3 + INDIRECT("b_" &amp; i) * t^2 + INDIRECT("c_" &amp; i) * t^1 + INDIRECT("d_" &amp; i)</f>
        <v>9.1198794180032572E-2</v>
      </c>
      <c r="F222" s="88" t="s">
        <v>233</v>
      </c>
      <c r="R222" s="91">
        <f t="array" aca="1" ref="R222" ca="1">E222:E522</f>
        <v>9.1198794180032572E-2</v>
      </c>
      <c r="S222" s="92">
        <f t="shared" ca="1" si="95"/>
        <v>2.7519876566629117E-2</v>
      </c>
      <c r="T222" s="92">
        <f t="shared" ca="1" si="97"/>
        <v>6.9702947369521234E-4</v>
      </c>
    </row>
    <row r="223" spans="3:20" s="45" customFormat="1" x14ac:dyDescent="0.2">
      <c r="C223" s="45">
        <v>30</v>
      </c>
      <c r="D223" s="45">
        <v>12.3</v>
      </c>
      <c r="E223" s="85">
        <f t="shared" ref="E223" ca="1" si="153">INDIRECT("a_" &amp; i) * t^3 + INDIRECT("b_" &amp; i) * t^2 + INDIRECT("c_" &amp; i) * t^1 + INDIRECT("d_" &amp; i)</f>
        <v>9.3957110855343251E-2</v>
      </c>
      <c r="F223" s="88" t="s">
        <v>233</v>
      </c>
      <c r="R223" s="91">
        <f t="array" aca="1" ref="R223" ca="1">E223:E523</f>
        <v>9.3957110855343251E-2</v>
      </c>
      <c r="S223" s="92">
        <f t="shared" ca="1" si="95"/>
        <v>2.7583166753106399E-2</v>
      </c>
      <c r="T223" s="92">
        <f t="shared" ca="1" si="97"/>
        <v>6.3290186477281201E-4</v>
      </c>
    </row>
    <row r="224" spans="3:20" s="45" customFormat="1" x14ac:dyDescent="0.2">
      <c r="C224" s="45">
        <v>30</v>
      </c>
      <c r="D224" s="45">
        <v>12.4</v>
      </c>
      <c r="E224" s="85">
        <f t="shared" ref="E224" ca="1" si="154">INDIRECT("a_" &amp; i) * t^3 + INDIRECT("b_" &amp; i) * t^2 + INDIRECT("c_" &amp; i) * t^1 + INDIRECT("d_" &amp; i)</f>
        <v>9.6721115273211866E-2</v>
      </c>
      <c r="F224" s="88" t="s">
        <v>233</v>
      </c>
      <c r="R224" s="91">
        <f t="array" aca="1" ref="R224" ca="1">E224:E524</f>
        <v>9.6721115273211866E-2</v>
      </c>
      <c r="S224" s="92">
        <f t="shared" ca="1" si="95"/>
        <v>2.7640044178686249E-2</v>
      </c>
      <c r="T224" s="92">
        <f t="shared" ca="1" si="97"/>
        <v>5.6877425579849661E-4</v>
      </c>
    </row>
    <row r="225" spans="3:20" s="45" customFormat="1" x14ac:dyDescent="0.2">
      <c r="C225" s="45">
        <v>30</v>
      </c>
      <c r="D225" s="45">
        <v>12.5</v>
      </c>
      <c r="E225" s="85">
        <f t="shared" ref="E225" ca="1" si="155">INDIRECT("a_" &amp; i) * t^3 + INDIRECT("b_" &amp; i) * t^2 + INDIRECT("c_" &amp; i) * t^1 + INDIRECT("d_" &amp; i)</f>
        <v>9.9490166157549353E-2</v>
      </c>
      <c r="F225" s="88" t="s">
        <v>233</v>
      </c>
      <c r="R225" s="91">
        <f t="array" aca="1" ref="R225" ca="1">E225:E525</f>
        <v>9.9490166157549353E-2</v>
      </c>
      <c r="S225" s="92">
        <f t="shared" ca="1" si="95"/>
        <v>2.769050884337497E-2</v>
      </c>
      <c r="T225" s="92">
        <f t="shared" ca="1" si="97"/>
        <v>5.0464664688720979E-4</v>
      </c>
    </row>
    <row r="226" spans="3:20" s="45" customFormat="1" x14ac:dyDescent="0.2">
      <c r="C226" s="45">
        <v>30</v>
      </c>
      <c r="D226" s="45">
        <v>12.6</v>
      </c>
      <c r="E226" s="85">
        <f t="shared" ref="E226" ca="1" si="156">INDIRECT("a_" &amp; i) * t^3 + INDIRECT("b_" &amp; i) * t^2 + INDIRECT("c_" &amp; i) * t^1 + INDIRECT("d_" &amp; i)</f>
        <v>0.10226362223226654</v>
      </c>
      <c r="F226" s="88" t="s">
        <v>233</v>
      </c>
      <c r="R226" s="91">
        <f t="array" aca="1" ref="R226" ca="1">E226:E526</f>
        <v>0.10226362223226654</v>
      </c>
      <c r="S226" s="92">
        <f t="shared" ca="1" si="95"/>
        <v>2.7734560747171941E-2</v>
      </c>
      <c r="T226" s="92">
        <f t="shared" ca="1" si="97"/>
        <v>4.4051903796971261E-4</v>
      </c>
    </row>
    <row r="227" spans="3:20" s="45" customFormat="1" x14ac:dyDescent="0.2">
      <c r="C227" s="45">
        <v>30</v>
      </c>
      <c r="D227" s="45">
        <v>12.7</v>
      </c>
      <c r="E227" s="85">
        <f t="shared" ref="E227" ca="1" si="157">INDIRECT("a_" &amp; i) * t^3 + INDIRECT("b_" &amp; i) * t^2 + INDIRECT("c_" &amp; i) * t^1 + INDIRECT("d_" &amp; i)</f>
        <v>0.10504084222127374</v>
      </c>
      <c r="F227" s="88" t="s">
        <v>233</v>
      </c>
      <c r="R227" s="91">
        <f t="array" aca="1" ref="R227" ca="1">E227:E527</f>
        <v>0.10504084222127374</v>
      </c>
      <c r="S227" s="92">
        <f t="shared" ca="1" si="95"/>
        <v>2.7772199890072166E-2</v>
      </c>
      <c r="T227" s="92">
        <f t="shared" ca="1" si="97"/>
        <v>3.7639142900225544E-4</v>
      </c>
    </row>
    <row r="228" spans="3:20" s="45" customFormat="1" x14ac:dyDescent="0.2">
      <c r="C228" s="45">
        <v>30</v>
      </c>
      <c r="D228" s="45">
        <v>12.8</v>
      </c>
      <c r="E228" s="85">
        <f t="shared" ref="E228" ca="1" si="158">INDIRECT("a_" &amp; i) * t^3 + INDIRECT("b_" &amp; i) * t^2 + INDIRECT("c_" &amp; i) * t^1 + INDIRECT("d_" &amp; i)</f>
        <v>0.10782118484848158</v>
      </c>
      <c r="F228" s="88" t="s">
        <v>233</v>
      </c>
      <c r="R228" s="91">
        <f t="array" aca="1" ref="R228" ca="1">E228:E528</f>
        <v>0.10782118484848158</v>
      </c>
      <c r="S228" s="92">
        <f t="shared" ca="1" si="95"/>
        <v>2.7803426272077929E-2</v>
      </c>
      <c r="T228" s="92">
        <f t="shared" ca="1" si="97"/>
        <v>3.1226382005762165E-4</v>
      </c>
    </row>
    <row r="229" spans="3:20" s="45" customFormat="1" x14ac:dyDescent="0.2">
      <c r="C229" s="45">
        <v>30</v>
      </c>
      <c r="D229" s="45">
        <v>12.9</v>
      </c>
      <c r="E229" s="85">
        <f t="shared" ref="E229" ca="1" si="159">INDIRECT("a_" &amp; i) * t^3 + INDIRECT("b_" &amp; i) * t^2 + INDIRECT("c_" &amp; i) * t^1 + INDIRECT("d_" &amp; i)</f>
        <v>0.11060400883780086</v>
      </c>
      <c r="F229" s="88" t="s">
        <v>233</v>
      </c>
      <c r="R229" s="91">
        <f t="array" aca="1" ref="R229" ca="1">E229:E529</f>
        <v>0.11060400883780086</v>
      </c>
      <c r="S229" s="92">
        <f t="shared" ca="1" si="95"/>
        <v>2.7828239893192927E-2</v>
      </c>
      <c r="T229" s="92">
        <f t="shared" ca="1" si="97"/>
        <v>2.4813621114998328E-4</v>
      </c>
    </row>
    <row r="230" spans="3:20" s="45" customFormat="1" x14ac:dyDescent="0.2">
      <c r="C230" s="45">
        <v>30</v>
      </c>
      <c r="D230" s="45">
        <v>13</v>
      </c>
      <c r="E230" s="85">
        <f t="shared" ref="E230" ca="1" si="160">INDIRECT("a_" &amp; i) * t^3 + INDIRECT("b_" &amp; i) * t^2 + INDIRECT("c_" &amp; i) * t^1 + INDIRECT("d_" &amp; i)</f>
        <v>0.11338867291314214</v>
      </c>
      <c r="F230" s="88" t="s">
        <v>233</v>
      </c>
      <c r="R230" s="91">
        <f t="array" aca="1" ref="R230" ca="1">E230:E530</f>
        <v>0.11338867291314214</v>
      </c>
      <c r="S230" s="92">
        <f t="shared" ref="S230:S293" ca="1" si="161">(R230-R229)/(D230-D229)</f>
        <v>2.7846640753412911E-2</v>
      </c>
      <c r="T230" s="92">
        <f t="shared" ca="1" si="97"/>
        <v>1.8400860219983865E-4</v>
      </c>
    </row>
    <row r="231" spans="3:20" s="45" customFormat="1" x14ac:dyDescent="0.2">
      <c r="C231" s="45">
        <v>30</v>
      </c>
      <c r="D231" s="45">
        <v>13.1</v>
      </c>
      <c r="E231" s="85">
        <f t="shared" ref="E231" ca="1" si="162">INDIRECT("a_" &amp; i) * t^3 + INDIRECT("b_" &amp; i) * t^2 + INDIRECT("c_" &amp; i) * t^1 + INDIRECT("d_" &amp; i)</f>
        <v>0.11617453579841602</v>
      </c>
      <c r="F231" s="88" t="s">
        <v>233</v>
      </c>
      <c r="R231" s="91">
        <f t="array" aca="1" ref="R231" ca="1">E231:E531</f>
        <v>0.11617453579841602</v>
      </c>
      <c r="S231" s="92">
        <f t="shared" ca="1" si="161"/>
        <v>2.7858628852738921E-2</v>
      </c>
      <c r="T231" s="92">
        <f t="shared" ref="T231:T294" ca="1" si="163">(S231-S230)/(D231-D230)</f>
        <v>1.1988099326010235E-4</v>
      </c>
    </row>
    <row r="232" spans="3:20" s="45" customFormat="1" x14ac:dyDescent="0.2">
      <c r="C232" s="45">
        <v>30</v>
      </c>
      <c r="D232" s="45">
        <v>13.2</v>
      </c>
      <c r="E232" s="85">
        <f t="shared" ref="E232" ca="1" si="164">INDIRECT("a_" &amp; i) * t^3 + INDIRECT("b_" &amp; i) * t^2 + INDIRECT("c_" &amp; i) * t^1 + INDIRECT("d_" &amp; i)</f>
        <v>0.11896095621753316</v>
      </c>
      <c r="F232" s="88" t="s">
        <v>233</v>
      </c>
      <c r="R232" s="91">
        <f t="array" aca="1" ref="R232" ca="1">E232:E532</f>
        <v>0.11896095621753316</v>
      </c>
      <c r="S232" s="92">
        <f t="shared" ca="1" si="161"/>
        <v>2.7864204191171516E-2</v>
      </c>
      <c r="T232" s="92">
        <f t="shared" ca="1" si="163"/>
        <v>5.5753384325951868E-5</v>
      </c>
    </row>
    <row r="233" spans="3:20" s="45" customFormat="1" x14ac:dyDescent="0.2">
      <c r="C233" s="45">
        <v>30</v>
      </c>
      <c r="D233" s="45">
        <v>13.3</v>
      </c>
      <c r="E233" s="85">
        <f t="shared" ref="E233" ca="1" si="165">INDIRECT("a_" &amp; i) * t^3 + INDIRECT("b_" &amp; i) * t^2 + INDIRECT("c_" &amp; i) * t^1 + INDIRECT("d_" &amp; i)</f>
        <v>0.12174729289440428</v>
      </c>
      <c r="F233" s="88" t="s">
        <v>233</v>
      </c>
      <c r="R233" s="91">
        <f t="array" aca="1" ref="R233" ca="1">E233:E533</f>
        <v>0.12174729289440428</v>
      </c>
      <c r="S233" s="92">
        <f t="shared" ca="1" si="161"/>
        <v>2.7863366768710755E-2</v>
      </c>
      <c r="T233" s="92">
        <f t="shared" ca="1" si="163"/>
        <v>-8.3742246076086637E-6</v>
      </c>
    </row>
    <row r="234" spans="3:20" s="45" customFormat="1" x14ac:dyDescent="0.2">
      <c r="C234" s="45">
        <v>30</v>
      </c>
      <c r="D234" s="45">
        <v>13.4</v>
      </c>
      <c r="E234" s="85">
        <f t="shared" ref="E234" ca="1" si="166">INDIRECT("a_" &amp; i) * t^3 + INDIRECT("b_" &amp; i) * t^2 + INDIRECT("c_" &amp; i) * t^1 + INDIRECT("d_" &amp; i)</f>
        <v>0.12453290455293969</v>
      </c>
      <c r="F234" s="88" t="s">
        <v>233</v>
      </c>
      <c r="R234" s="91">
        <f t="array" aca="1" ref="R234" ca="1">E234:E534</f>
        <v>0.12453290455293969</v>
      </c>
      <c r="S234" s="92">
        <f t="shared" ca="1" si="161"/>
        <v>2.7856116585354241E-2</v>
      </c>
      <c r="T234" s="92">
        <f t="shared" ca="1" si="163"/>
        <v>-7.2501833565143372E-5</v>
      </c>
    </row>
    <row r="235" spans="3:20" s="45" customFormat="1" x14ac:dyDescent="0.2">
      <c r="C235" s="45">
        <v>30</v>
      </c>
      <c r="D235" s="45">
        <v>13.5</v>
      </c>
      <c r="E235" s="85">
        <f t="shared" ref="E235" ca="1" si="167">INDIRECT("a_" &amp; i) * t^3 + INDIRECT("b_" &amp; i) * t^2 + INDIRECT("c_" &amp; i) * t^1 + INDIRECT("d_" &amp; i)</f>
        <v>0.12731714991705045</v>
      </c>
      <c r="F235" s="88" t="s">
        <v>233</v>
      </c>
      <c r="R235" s="91">
        <f t="array" aca="1" ref="R235" ca="1">E235:E535</f>
        <v>0.12731714991705045</v>
      </c>
      <c r="S235" s="92">
        <f t="shared" ca="1" si="161"/>
        <v>2.7842453641107701E-2</v>
      </c>
      <c r="T235" s="92">
        <f t="shared" ca="1" si="163"/>
        <v>-1.3662944246539737E-4</v>
      </c>
    </row>
    <row r="236" spans="3:20" s="45" customFormat="1" x14ac:dyDescent="0.2">
      <c r="C236" s="45">
        <v>30</v>
      </c>
      <c r="D236" s="45">
        <v>13.6</v>
      </c>
      <c r="E236" s="85">
        <f t="shared" ref="E236" ca="1" si="168">INDIRECT("a_" &amp; i) * t^3 + INDIRECT("b_" &amp; i) * t^2 + INDIRECT("c_" &amp; i) * t^1 + INDIRECT("d_" &amp; i)</f>
        <v>0.13009938771064694</v>
      </c>
      <c r="F236" s="88" t="s">
        <v>233</v>
      </c>
      <c r="R236" s="91">
        <f t="array" aca="1" ref="R236" ca="1">E236:E536</f>
        <v>0.13009938771064694</v>
      </c>
      <c r="S236" s="92">
        <f t="shared" ca="1" si="161"/>
        <v>2.7822377935964968E-2</v>
      </c>
      <c r="T236" s="92">
        <f t="shared" ca="1" si="163"/>
        <v>-2.0075705142733811E-4</v>
      </c>
    </row>
    <row r="237" spans="3:20" s="45" customFormat="1" x14ac:dyDescent="0.2">
      <c r="C237" s="45">
        <v>30</v>
      </c>
      <c r="D237" s="45">
        <v>13.7</v>
      </c>
      <c r="E237" s="85">
        <f t="shared" ref="E237" ca="1" si="169">INDIRECT("a_" &amp; i) * t^3 + INDIRECT("b_" &amp; i) * t^2 + INDIRECT("c_" &amp; i) * t^1 + INDIRECT("d_" &amp; i)</f>
        <v>0.13287897665763981</v>
      </c>
      <c r="F237" s="88" t="s">
        <v>233</v>
      </c>
      <c r="R237" s="91">
        <f t="array" aca="1" ref="R237" ca="1">E237:E537</f>
        <v>0.13287897665763981</v>
      </c>
      <c r="S237" s="92">
        <f t="shared" ca="1" si="161"/>
        <v>2.7795889469928822E-2</v>
      </c>
      <c r="T237" s="92">
        <f t="shared" ca="1" si="163"/>
        <v>-2.6488466036145389E-4</v>
      </c>
    </row>
    <row r="238" spans="3:20" s="45" customFormat="1" x14ac:dyDescent="0.2">
      <c r="C238" s="45">
        <v>30</v>
      </c>
      <c r="D238" s="45">
        <v>13.8</v>
      </c>
      <c r="E238" s="85">
        <f t="shared" ref="E238" ca="1" si="170">INDIRECT("a_" &amp; i) * t^3 + INDIRECT("b_" &amp; i) * t^2 + INDIRECT("c_" &amp; i) * t^1 + INDIRECT("d_" &amp; i)</f>
        <v>0.1356552754819399</v>
      </c>
      <c r="F238" s="88" t="s">
        <v>233</v>
      </c>
      <c r="R238" s="91">
        <f t="array" aca="1" ref="R238" ca="1">E238:E538</f>
        <v>0.1356552754819399</v>
      </c>
      <c r="S238" s="92">
        <f t="shared" ca="1" si="161"/>
        <v>2.7762988243000435E-2</v>
      </c>
      <c r="T238" s="92">
        <f t="shared" ca="1" si="163"/>
        <v>-3.2901226928387184E-4</v>
      </c>
    </row>
    <row r="239" spans="3:20" s="45" customFormat="1" x14ac:dyDescent="0.2">
      <c r="C239" s="45">
        <v>30</v>
      </c>
      <c r="D239" s="45">
        <v>13.9</v>
      </c>
      <c r="E239" s="85">
        <f t="shared" ref="E239" ca="1" si="171">INDIRECT("a_" &amp; i) * t^3 + INDIRECT("b_" &amp; i) * t^2 + INDIRECT("c_" &amp; i) * t^1 + INDIRECT("d_" &amp; i)</f>
        <v>0.13842764290745746</v>
      </c>
      <c r="F239" s="88" t="s">
        <v>233</v>
      </c>
      <c r="R239" s="91">
        <f t="array" aca="1" ref="R239" ca="1">E239:E539</f>
        <v>0.13842764290745746</v>
      </c>
      <c r="S239" s="92">
        <f t="shared" ca="1" si="161"/>
        <v>2.7723674255175731E-2</v>
      </c>
      <c r="T239" s="92">
        <f t="shared" ca="1" si="163"/>
        <v>-3.9313987824703275E-4</v>
      </c>
    </row>
    <row r="240" spans="3:20" s="45" customFormat="1" x14ac:dyDescent="0.2">
      <c r="C240" s="45">
        <v>30</v>
      </c>
      <c r="D240" s="45">
        <v>14</v>
      </c>
      <c r="E240" s="85">
        <f t="shared" ref="E240" ca="1" si="172">INDIRECT("a_" &amp; i) * t^3 + INDIRECT("b_" &amp; i) * t^2 + INDIRECT("c_" &amp; i) * t^1 + INDIRECT("d_" &amp; i)</f>
        <v>0.14119543765810333</v>
      </c>
      <c r="F240" s="88" t="s">
        <v>233</v>
      </c>
      <c r="R240" s="91">
        <f t="array" aca="1" ref="R240" ca="1">E240:E540</f>
        <v>0.14119543765810333</v>
      </c>
      <c r="S240" s="92">
        <f t="shared" ca="1" si="161"/>
        <v>2.7677947506458786E-2</v>
      </c>
      <c r="T240" s="92">
        <f t="shared" ca="1" si="163"/>
        <v>-4.5726748716945649E-4</v>
      </c>
    </row>
    <row r="241" spans="3:20" s="45" customFormat="1" x14ac:dyDescent="0.2">
      <c r="C241" s="45">
        <v>30</v>
      </c>
      <c r="D241" s="45">
        <v>14.1</v>
      </c>
      <c r="E241" s="85">
        <f t="shared" ref="E241" ca="1" si="173">INDIRECT("a_" &amp; i) * t^3 + INDIRECT("b_" &amp; i) * t^2 + INDIRECT("c_" &amp; i) * t^1 + INDIRECT("d_" &amp; i)</f>
        <v>0.14395801845778811</v>
      </c>
      <c r="F241" s="88" t="s">
        <v>233</v>
      </c>
      <c r="R241" s="91">
        <f t="array" aca="1" ref="R241" ca="1">E241:E541</f>
        <v>0.14395801845778811</v>
      </c>
      <c r="S241" s="92">
        <f t="shared" ca="1" si="161"/>
        <v>2.762580799684787E-2</v>
      </c>
      <c r="T241" s="92">
        <f t="shared" ca="1" si="163"/>
        <v>-5.2139509610915809E-4</v>
      </c>
    </row>
    <row r="242" spans="3:20" s="45" customFormat="1" x14ac:dyDescent="0.2">
      <c r="C242" s="45">
        <v>30</v>
      </c>
      <c r="D242" s="45">
        <v>14.2</v>
      </c>
      <c r="E242" s="85">
        <f t="shared" ref="E242" ca="1" si="174">INDIRECT("a_" &amp; i) * t^3 + INDIRECT("b_" &amp; i) * t^2 + INDIRECT("c_" &amp; i) * t^1 + INDIRECT("d_" &amp; i)</f>
        <v>0.14671474403042245</v>
      </c>
      <c r="F242" s="88" t="s">
        <v>233</v>
      </c>
      <c r="R242" s="91">
        <f t="array" aca="1" ref="R242" ca="1">E242:E542</f>
        <v>0.14671474403042245</v>
      </c>
      <c r="S242" s="92">
        <f t="shared" ca="1" si="161"/>
        <v>2.756725572634354E-2</v>
      </c>
      <c r="T242" s="92">
        <f t="shared" ca="1" si="163"/>
        <v>-5.8552270504330856E-4</v>
      </c>
    </row>
    <row r="243" spans="3:20" s="45" customFormat="1" x14ac:dyDescent="0.2">
      <c r="C243" s="45">
        <v>30</v>
      </c>
      <c r="D243" s="45">
        <v>14.3</v>
      </c>
      <c r="E243" s="85">
        <f t="shared" ref="E243" ca="1" si="175">INDIRECT("a_" &amp; i) * t^3 + INDIRECT("b_" &amp; i) * t^2 + INDIRECT("c_" &amp; i) * t^1 + INDIRECT("d_" &amp; i)</f>
        <v>0.14946497309991708</v>
      </c>
      <c r="F243" s="88" t="s">
        <v>233</v>
      </c>
      <c r="R243" s="91">
        <f t="array" aca="1" ref="R243" ca="1">E243:E543</f>
        <v>0.14946497309991708</v>
      </c>
      <c r="S243" s="92">
        <f t="shared" ca="1" si="161"/>
        <v>2.750229069494586E-2</v>
      </c>
      <c r="T243" s="92">
        <f t="shared" ca="1" si="163"/>
        <v>-6.4965031397678835E-4</v>
      </c>
    </row>
    <row r="244" spans="3:20" s="45" customFormat="1" x14ac:dyDescent="0.2">
      <c r="C244" s="45">
        <v>30</v>
      </c>
      <c r="D244" s="45">
        <v>14.4</v>
      </c>
      <c r="E244" s="85">
        <f t="shared" ref="E244" ca="1" si="176">INDIRECT("a_" &amp; i) * t^3 + INDIRECT("b_" &amp; i) * t^2 + INDIRECT("c_" &amp; i) * t^1 + INDIRECT("d_" &amp; i)</f>
        <v>0.15220806439018253</v>
      </c>
      <c r="F244" s="88" t="s">
        <v>233</v>
      </c>
      <c r="R244" s="91">
        <f t="array" aca="1" ref="R244" ca="1">E244:E544</f>
        <v>0.15220806439018253</v>
      </c>
      <c r="S244" s="92">
        <f t="shared" ca="1" si="161"/>
        <v>2.7430912902654633E-2</v>
      </c>
      <c r="T244" s="92">
        <f t="shared" ca="1" si="163"/>
        <v>-7.1377792291226871E-4</v>
      </c>
    </row>
    <row r="245" spans="3:20" s="45" customFormat="1" x14ac:dyDescent="0.2">
      <c r="C245" s="45">
        <v>30</v>
      </c>
      <c r="D245" s="45">
        <v>14.5</v>
      </c>
      <c r="E245" s="85">
        <f t="shared" ref="E245" ca="1" si="177">INDIRECT("a_" &amp; i) * t^3 + INDIRECT("b_" &amp; i) * t^2 + INDIRECT("c_" &amp; i) * t^1 + INDIRECT("d_" &amp; i)</f>
        <v>0.1549433766251293</v>
      </c>
      <c r="F245" s="88" t="s">
        <v>233</v>
      </c>
      <c r="R245" s="91">
        <f t="array" aca="1" ref="R245" ca="1">E245:E545</f>
        <v>0.1549433766251293</v>
      </c>
      <c r="S245" s="92">
        <f t="shared" ca="1" si="161"/>
        <v>2.7353122349467837E-2</v>
      </c>
      <c r="T245" s="92">
        <f t="shared" ca="1" si="163"/>
        <v>-7.7790553186796445E-4</v>
      </c>
    </row>
    <row r="246" spans="3:20" s="45" customFormat="1" x14ac:dyDescent="0.2">
      <c r="C246" s="45">
        <v>30</v>
      </c>
      <c r="D246" s="45">
        <v>14.6</v>
      </c>
      <c r="E246" s="85">
        <f t="shared" ref="E246" ca="1" si="178">INDIRECT("a_" &amp; i) * t^3 + INDIRECT("b_" &amp; i) * t^2 + INDIRECT("c_" &amp; i) * t^1 + INDIRECT("d_" &amp; i)</f>
        <v>0.15767026852866839</v>
      </c>
      <c r="F246" s="88" t="s">
        <v>233</v>
      </c>
      <c r="R246" s="91">
        <f t="array" aca="1" ref="R246" ca="1">E246:E546</f>
        <v>0.15767026852866839</v>
      </c>
      <c r="S246" s="92">
        <f t="shared" ca="1" si="161"/>
        <v>2.7268919035390957E-2</v>
      </c>
      <c r="T246" s="92">
        <f t="shared" ca="1" si="163"/>
        <v>-8.4203314076880835E-4</v>
      </c>
    </row>
    <row r="247" spans="3:20" s="45" customFormat="1" x14ac:dyDescent="0.2">
      <c r="C247" s="45">
        <v>30</v>
      </c>
      <c r="D247" s="45">
        <v>14.7</v>
      </c>
      <c r="E247" s="85">
        <f t="shared" ref="E247" ca="1" si="179">INDIRECT("a_" &amp; i) * t^3 + INDIRECT("b_" &amp; i) * t^2 + INDIRECT("c_" &amp; i) * t^1 + INDIRECT("d_" &amp; i)</f>
        <v>0.16038809882470989</v>
      </c>
      <c r="F247" s="88" t="s">
        <v>233</v>
      </c>
      <c r="R247" s="91">
        <f t="array" aca="1" ref="R247" ca="1">E247:E547</f>
        <v>0.16038809882470989</v>
      </c>
      <c r="S247" s="92">
        <f t="shared" ca="1" si="161"/>
        <v>2.717830296041511E-2</v>
      </c>
      <c r="T247" s="92">
        <f t="shared" ca="1" si="163"/>
        <v>-9.0616074975846997E-4</v>
      </c>
    </row>
    <row r="248" spans="3:20" s="45" customFormat="1" x14ac:dyDescent="0.2">
      <c r="C248" s="45">
        <v>30</v>
      </c>
      <c r="D248" s="45">
        <v>14.8</v>
      </c>
      <c r="E248" s="85">
        <f t="shared" ref="E248" ca="1" si="180">INDIRECT("a_" &amp; i) * t^3 + INDIRECT("b_" &amp; i) * t^2 + INDIRECT("c_" &amp; i) * t^1 + INDIRECT("d_" &amp; i)</f>
        <v>0.16309622623716497</v>
      </c>
      <c r="F248" s="88" t="s">
        <v>233</v>
      </c>
      <c r="R248" s="91">
        <f t="array" aca="1" ref="R248" ca="1">E248:E548</f>
        <v>0.16309622623716497</v>
      </c>
      <c r="S248" s="92">
        <f t="shared" ca="1" si="161"/>
        <v>2.7081274124550362E-2</v>
      </c>
      <c r="T248" s="92">
        <f t="shared" ca="1" si="163"/>
        <v>-9.7028835864746571E-4</v>
      </c>
    </row>
    <row r="249" spans="3:20" s="45" customFormat="1" x14ac:dyDescent="0.2">
      <c r="C249" s="45">
        <v>30</v>
      </c>
      <c r="D249" s="45">
        <v>14.9</v>
      </c>
      <c r="E249" s="85">
        <f t="shared" ref="E249" ca="1" si="181">INDIRECT("a_" &amp; i) * t^3 + INDIRECT("b_" &amp; i) * t^2 + INDIRECT("c_" &amp; i) * t^1 + INDIRECT("d_" &amp; i)</f>
        <v>0.16579400948994405</v>
      </c>
      <c r="F249" s="88" t="s">
        <v>233</v>
      </c>
      <c r="R249" s="91">
        <f t="array" aca="1" ref="R249" ca="1">E249:E549</f>
        <v>0.16579400948994405</v>
      </c>
      <c r="S249" s="92">
        <f t="shared" ca="1" si="161"/>
        <v>2.6977832527790943E-2</v>
      </c>
      <c r="T249" s="92">
        <f t="shared" ca="1" si="163"/>
        <v>-1.0344159675941928E-3</v>
      </c>
    </row>
    <row r="250" spans="3:20" s="45" customFormat="1" x14ac:dyDescent="0.2">
      <c r="C250" s="45">
        <v>30</v>
      </c>
      <c r="D250" s="45">
        <v>15</v>
      </c>
      <c r="E250" s="85">
        <f t="shared" ref="E250" ca="1" si="182">INDIRECT("a_" &amp; i) * t^3 + INDIRECT("b_" &amp; i) * t^2 + INDIRECT("c_" &amp; i) * t^1 + INDIRECT("d_" &amp; i)</f>
        <v>0.16848080730695741</v>
      </c>
      <c r="F250" s="88" t="s">
        <v>233</v>
      </c>
      <c r="R250" s="91">
        <f t="array" aca="1" ref="R250" ca="1">E250:E550</f>
        <v>0.16848080730695741</v>
      </c>
      <c r="S250" s="92">
        <f t="shared" ca="1" si="161"/>
        <v>2.6867978170133741E-2</v>
      </c>
      <c r="T250" s="92">
        <f t="shared" ca="1" si="163"/>
        <v>-1.0985435765720236E-3</v>
      </c>
    </row>
    <row r="251" spans="3:20" s="45" customFormat="1" x14ac:dyDescent="0.2">
      <c r="C251" s="45">
        <v>30</v>
      </c>
      <c r="D251" s="45">
        <v>15.1</v>
      </c>
      <c r="E251" s="85">
        <f t="shared" ref="E251" ca="1" si="183">INDIRECT("a_" &amp; i) * t^3 + INDIRECT("b_" &amp; i) * t^2 + INDIRECT("c_" &amp; i) * t^1 + INDIRECT("d_" &amp; i)</f>
        <v>0.17115597841211627</v>
      </c>
      <c r="F251" s="88" t="s">
        <v>233</v>
      </c>
      <c r="R251" s="91">
        <f t="array" aca="1" ref="R251" ca="1">E251:E551</f>
        <v>0.17115597841211627</v>
      </c>
      <c r="S251" s="92">
        <f t="shared" ca="1" si="161"/>
        <v>2.6751711051588672E-2</v>
      </c>
      <c r="T251" s="92">
        <f t="shared" ca="1" si="163"/>
        <v>-1.1626711854506977E-3</v>
      </c>
    </row>
    <row r="252" spans="3:20" s="45" customFormat="1" x14ac:dyDescent="0.2">
      <c r="C252" s="45">
        <v>30</v>
      </c>
      <c r="D252" s="45">
        <v>15.2</v>
      </c>
      <c r="E252" s="85">
        <f t="shared" ref="E252" ca="1" si="184">INDIRECT("a_" &amp; i) * t^3 + INDIRECT("b_" &amp; i) * t^2 + INDIRECT("c_" &amp; i) * t^1 + INDIRECT("d_" &amp; i)</f>
        <v>0.17381888152933095</v>
      </c>
      <c r="F252" s="88" t="s">
        <v>233</v>
      </c>
      <c r="R252" s="91">
        <f t="array" aca="1" ref="R252" ca="1">E252:E552</f>
        <v>0.17381888152933095</v>
      </c>
      <c r="S252" s="92">
        <f t="shared" ca="1" si="161"/>
        <v>2.662903117214686E-2</v>
      </c>
      <c r="T252" s="92">
        <f t="shared" ca="1" si="163"/>
        <v>-1.2267987944181201E-3</v>
      </c>
    </row>
    <row r="253" spans="3:20" s="45" customFormat="1" x14ac:dyDescent="0.2">
      <c r="C253" s="45">
        <v>30</v>
      </c>
      <c r="D253" s="45">
        <v>15.3</v>
      </c>
      <c r="E253" s="85">
        <f t="shared" ref="E253" ca="1" si="185">INDIRECT("a_" &amp; i) * t^3 + INDIRECT("b_" &amp; i) * t^2 + INDIRECT("c_" &amp; i) * t^1 + INDIRECT("d_" &amp; i)</f>
        <v>0.17646887538251216</v>
      </c>
      <c r="F253" s="88" t="s">
        <v>233</v>
      </c>
      <c r="R253" s="91">
        <f t="array" aca="1" ref="R253" ca="1">E253:E553</f>
        <v>0.17646887538251216</v>
      </c>
      <c r="S253" s="92">
        <f t="shared" ca="1" si="161"/>
        <v>2.6499938531811717E-2</v>
      </c>
      <c r="T253" s="92">
        <f t="shared" ca="1" si="163"/>
        <v>-1.290926403351415E-3</v>
      </c>
    </row>
    <row r="254" spans="3:20" s="45" customFormat="1" x14ac:dyDescent="0.2">
      <c r="C254" s="45">
        <v>30</v>
      </c>
      <c r="D254" s="45">
        <v>15.4</v>
      </c>
      <c r="E254" s="85">
        <f t="shared" ref="E254" ca="1" si="186">INDIRECT("a_" &amp; i) * t^3 + INDIRECT("b_" &amp; i) * t^2 + INDIRECT("c_" &amp; i) * t^1 + INDIRECT("d_" &amp; i)</f>
        <v>0.17910531869557028</v>
      </c>
      <c r="F254" s="88" t="s">
        <v>233</v>
      </c>
      <c r="R254" s="91">
        <f t="array" aca="1" ref="R254" ca="1">E254:E554</f>
        <v>0.17910531869557028</v>
      </c>
      <c r="S254" s="92">
        <f t="shared" ca="1" si="161"/>
        <v>2.6364433130581327E-2</v>
      </c>
      <c r="T254" s="92">
        <f t="shared" ca="1" si="163"/>
        <v>-1.3550540123039071E-3</v>
      </c>
    </row>
    <row r="255" spans="3:20" s="45" customFormat="1" x14ac:dyDescent="0.2">
      <c r="C255" s="45">
        <v>30</v>
      </c>
      <c r="D255" s="45">
        <v>15.5</v>
      </c>
      <c r="E255" s="85">
        <f t="shared" ref="E255" ca="1" si="187">INDIRECT("a_" &amp; i) * t^3 + INDIRECT("b_" &amp; i) * t^2 + INDIRECT("c_" &amp; i) * t^1 + INDIRECT("d_" &amp; i)</f>
        <v>0.18172757019241637</v>
      </c>
      <c r="F255" s="88" t="s">
        <v>233</v>
      </c>
      <c r="R255" s="91">
        <f t="array" aca="1" ref="R255" ca="1">E255:E555</f>
        <v>0.18172757019241637</v>
      </c>
      <c r="S255" s="92">
        <f t="shared" ca="1" si="161"/>
        <v>2.6222514968460935E-2</v>
      </c>
      <c r="T255" s="92">
        <f t="shared" ca="1" si="163"/>
        <v>-1.4191816212039182E-3</v>
      </c>
    </row>
    <row r="256" spans="3:20" s="45" customFormat="1" x14ac:dyDescent="0.2">
      <c r="C256" s="45">
        <v>30</v>
      </c>
      <c r="D256" s="45">
        <v>15.6</v>
      </c>
      <c r="E256" s="85">
        <f t="shared" ref="E256" ca="1" si="188">INDIRECT("a_" &amp; i) * t^3 + INDIRECT("b_" &amp; i) * t^2 + INDIRECT("c_" &amp; i) * t^1 + INDIRECT("d_" &amp; i)</f>
        <v>0.18433498859696068</v>
      </c>
      <c r="F256" s="88" t="s">
        <v>233</v>
      </c>
      <c r="R256" s="91">
        <f t="array" aca="1" ref="R256" ca="1">E256:E556</f>
        <v>0.18433498859696068</v>
      </c>
      <c r="S256" s="92">
        <f t="shared" ca="1" si="161"/>
        <v>2.6074184045443243E-2</v>
      </c>
      <c r="T256" s="92">
        <f t="shared" ca="1" si="163"/>
        <v>-1.4833092301769265E-3</v>
      </c>
    </row>
    <row r="257" spans="3:20" s="45" customFormat="1" x14ac:dyDescent="0.2">
      <c r="C257" s="45">
        <v>30</v>
      </c>
      <c r="D257" s="45">
        <v>15.7</v>
      </c>
      <c r="E257" s="85">
        <f t="shared" ref="E257" ca="1" si="189">INDIRECT("a_" &amp; i) * t^3 + INDIRECT("b_" &amp; i) * t^2 + INDIRECT("c_" &amp; i) * t^1 + INDIRECT("d_" &amp; i)</f>
        <v>0.18692693263311422</v>
      </c>
      <c r="F257" s="88" t="s">
        <v>233</v>
      </c>
      <c r="R257" s="91">
        <f t="array" aca="1" ref="R257" ca="1">E257:E557</f>
        <v>0.18692693263311422</v>
      </c>
      <c r="S257" s="92">
        <f t="shared" ca="1" si="161"/>
        <v>2.5919440361535467E-2</v>
      </c>
      <c r="T257" s="92">
        <f t="shared" ca="1" si="163"/>
        <v>-1.5474368390777703E-3</v>
      </c>
    </row>
    <row r="258" spans="3:20" s="45" customFormat="1" x14ac:dyDescent="0.2">
      <c r="C258" s="45">
        <v>30</v>
      </c>
      <c r="D258" s="45">
        <v>15.8</v>
      </c>
      <c r="E258" s="85">
        <f t="shared" ref="E258" ca="1" si="190">INDIRECT("a_" &amp; i) * t^3 + INDIRECT("b_" &amp; i) * t^2 + INDIRECT("c_" &amp; i) * t^1 + INDIRECT("d_" &amp; i)</f>
        <v>0.18950276102478725</v>
      </c>
      <c r="F258" s="88" t="s">
        <v>233</v>
      </c>
      <c r="R258" s="91">
        <f t="array" aca="1" ref="R258" ca="1">E258:E558</f>
        <v>0.18950276102478725</v>
      </c>
      <c r="S258" s="92">
        <f t="shared" ca="1" si="161"/>
        <v>2.5758283916729928E-2</v>
      </c>
      <c r="T258" s="92">
        <f t="shared" ca="1" si="163"/>
        <v>-1.6115644480553643E-3</v>
      </c>
    </row>
    <row r="259" spans="3:20" s="45" customFormat="1" x14ac:dyDescent="0.2">
      <c r="C259" s="45">
        <v>30</v>
      </c>
      <c r="D259" s="45">
        <v>15.9</v>
      </c>
      <c r="E259" s="85">
        <f t="shared" ref="E259" ca="1" si="191">INDIRECT("a_" &amp; i) * t^3 + INDIRECT("b_" &amp; i) * t^2 + INDIRECT("c_" &amp; i) * t^1 + INDIRECT("d_" &amp; i)</f>
        <v>0.19206183249589076</v>
      </c>
      <c r="F259" s="88" t="s">
        <v>233</v>
      </c>
      <c r="R259" s="91">
        <f t="array" aca="1" ref="R259" ca="1">E259:E559</f>
        <v>0.19206183249589076</v>
      </c>
      <c r="S259" s="92">
        <f t="shared" ca="1" si="161"/>
        <v>2.5590714711035224E-2</v>
      </c>
      <c r="T259" s="92">
        <f t="shared" ca="1" si="163"/>
        <v>-1.6756920569470427E-3</v>
      </c>
    </row>
    <row r="260" spans="3:20" s="45" customFormat="1" x14ac:dyDescent="0.2">
      <c r="C260" s="45">
        <v>30</v>
      </c>
      <c r="D260" s="45">
        <v>16</v>
      </c>
      <c r="E260" s="85">
        <f t="shared" ref="E260" ca="1" si="192">INDIRECT("a_" &amp; i) * t^3 + INDIRECT("b_" &amp; i) * t^2 + INDIRECT("c_" &amp; i) * t^1 + INDIRECT("d_" &amp; i)</f>
        <v>0.19460350577033492</v>
      </c>
      <c r="F260" s="88" t="s">
        <v>233</v>
      </c>
      <c r="R260" s="91">
        <f t="array" aca="1" ref="R260" ca="1">E260:E560</f>
        <v>0.19460350577033492</v>
      </c>
      <c r="S260" s="92">
        <f t="shared" ca="1" si="161"/>
        <v>2.5416732744441652E-2</v>
      </c>
      <c r="T260" s="92">
        <f t="shared" ca="1" si="163"/>
        <v>-1.7398196659357331E-3</v>
      </c>
    </row>
    <row r="261" spans="3:20" s="45" customFormat="1" x14ac:dyDescent="0.2">
      <c r="C261" s="45">
        <v>30</v>
      </c>
      <c r="D261" s="45">
        <v>16.100000000000001</v>
      </c>
      <c r="E261" s="85">
        <f t="shared" ref="E261" ca="1" si="193">INDIRECT("a_" &amp; i) * t^3 + INDIRECT("b_" &amp; i) * t^2 + INDIRECT("c_" &amp; i) * t^1 + INDIRECT("d_" &amp; i)</f>
        <v>0.19712713957203076</v>
      </c>
      <c r="F261" s="88" t="s">
        <v>233</v>
      </c>
      <c r="R261" s="91">
        <f t="array" aca="1" ref="R261" ca="1">E261:E561</f>
        <v>0.19712713957203076</v>
      </c>
      <c r="S261" s="92">
        <f t="shared" ca="1" si="161"/>
        <v>2.5236338016958102E-2</v>
      </c>
      <c r="T261" s="92">
        <f t="shared" ca="1" si="163"/>
        <v>-1.8039472748354692E-3</v>
      </c>
    </row>
    <row r="262" spans="3:20" s="45" customFormat="1" x14ac:dyDescent="0.2">
      <c r="C262" s="45">
        <v>30</v>
      </c>
      <c r="D262" s="45">
        <v>16.2</v>
      </c>
      <c r="E262" s="85">
        <f t="shared" ref="E262" ca="1" si="194">INDIRECT("a_" &amp; i) * t^3 + INDIRECT("b_" &amp; i) * t^2 + INDIRECT("c_" &amp; i) * t^1 + INDIRECT("d_" &amp; i)</f>
        <v>0.19963209262488879</v>
      </c>
      <c r="F262" s="88" t="s">
        <v>233</v>
      </c>
      <c r="R262" s="91">
        <f t="array" aca="1" ref="R262" ca="1">E262:E562</f>
        <v>0.19963209262488879</v>
      </c>
      <c r="S262" s="92">
        <f t="shared" ca="1" si="161"/>
        <v>2.5049530528580811E-2</v>
      </c>
      <c r="T262" s="92">
        <f t="shared" ca="1" si="163"/>
        <v>-1.8680748837729463E-3</v>
      </c>
    </row>
    <row r="263" spans="3:20" s="45" customFormat="1" x14ac:dyDescent="0.2">
      <c r="C263" s="45">
        <v>30</v>
      </c>
      <c r="D263" s="45">
        <v>16.3</v>
      </c>
      <c r="E263" s="85">
        <f t="shared" ref="E263" ca="1" si="195">INDIRECT("a_" &amp; i) * t^3 + INDIRECT("b_" &amp; i) * t^2 + INDIRECT("c_" &amp; i) * t^1 + INDIRECT("d_" &amp; i)</f>
        <v>0.20211772365281933</v>
      </c>
      <c r="F263" s="88" t="s">
        <v>233</v>
      </c>
      <c r="R263" s="91">
        <f t="array" aca="1" ref="R263" ca="1">E263:E563</f>
        <v>0.20211772365281933</v>
      </c>
      <c r="S263" s="92">
        <f t="shared" ca="1" si="161"/>
        <v>2.4856310279304995E-2</v>
      </c>
      <c r="T263" s="92">
        <f t="shared" ca="1" si="163"/>
        <v>-1.932202492758134E-3</v>
      </c>
    </row>
    <row r="264" spans="3:20" s="45" customFormat="1" x14ac:dyDescent="0.2">
      <c r="C264" s="45">
        <v>30</v>
      </c>
      <c r="D264" s="45">
        <v>16.399999999999999</v>
      </c>
      <c r="E264" s="85">
        <f t="shared" ref="E264" ca="1" si="196">INDIRECT("a_" &amp; i) * t^3 + INDIRECT("b_" &amp; i) * t^2 + INDIRECT("c_" &amp; i) * t^1 + INDIRECT("d_" &amp; i)</f>
        <v>0.2045833913797338</v>
      </c>
      <c r="F264" s="88" t="s">
        <v>233</v>
      </c>
      <c r="R264" s="91">
        <f t="array" aca="1" ref="R264" ca="1">E264:E564</f>
        <v>0.2045833913797338</v>
      </c>
      <c r="S264" s="92">
        <f t="shared" ca="1" si="161"/>
        <v>2.4656677269145302E-2</v>
      </c>
      <c r="T264" s="92">
        <f t="shared" ca="1" si="163"/>
        <v>-1.9963301015969792E-3</v>
      </c>
    </row>
    <row r="265" spans="3:20" s="45" customFormat="1" x14ac:dyDescent="0.2">
      <c r="C265" s="45">
        <v>30</v>
      </c>
      <c r="D265" s="45">
        <v>16.5</v>
      </c>
      <c r="E265" s="85">
        <f t="shared" ref="E265" ca="1" si="197">INDIRECT("a_" &amp; i) * t^3 + INDIRECT("b_" &amp; i) * t^2 + INDIRECT("c_" &amp; i) * t^1 + INDIRECT("d_" &amp; i)</f>
        <v>0.20702845452954199</v>
      </c>
      <c r="F265" s="88" t="s">
        <v>233</v>
      </c>
      <c r="R265" s="91">
        <f t="array" aca="1" ref="R265" ca="1">E265:E565</f>
        <v>0.20702845452954199</v>
      </c>
      <c r="S265" s="92">
        <f t="shared" ca="1" si="161"/>
        <v>2.4450631498081563E-2</v>
      </c>
      <c r="T265" s="92">
        <f t="shared" ca="1" si="163"/>
        <v>-2.0604577106373614E-3</v>
      </c>
    </row>
    <row r="266" spans="3:20" s="45" customFormat="1" x14ac:dyDescent="0.2">
      <c r="C266" s="45">
        <v>30</v>
      </c>
      <c r="D266" s="45">
        <v>16.600000000000001</v>
      </c>
      <c r="E266" s="85">
        <f t="shared" ref="E266" ca="1" si="198">INDIRECT("a_" &amp; i) * t^3 + INDIRECT("b_" &amp; i) * t^2 + INDIRECT("c_" &amp; i) * t^1 + INDIRECT("d_" &amp; i)</f>
        <v>0.209452271826155</v>
      </c>
      <c r="F266" s="88" t="s">
        <v>233</v>
      </c>
      <c r="R266" s="91">
        <f t="array" aca="1" ref="R266" ca="1">E266:E566</f>
        <v>0.209452271826155</v>
      </c>
      <c r="S266" s="92">
        <f t="shared" ca="1" si="161"/>
        <v>2.4238172966129724E-2</v>
      </c>
      <c r="T266" s="92">
        <f t="shared" ca="1" si="163"/>
        <v>-2.1245853195183588E-3</v>
      </c>
    </row>
    <row r="267" spans="3:20" s="45" customFormat="1" x14ac:dyDescent="0.2">
      <c r="C267" s="45">
        <v>30</v>
      </c>
      <c r="D267" s="45">
        <v>16.7</v>
      </c>
      <c r="E267" s="85">
        <f t="shared" ref="E267" ca="1" si="199">INDIRECT("a_" &amp; i) * t^3 + INDIRECT("b_" &amp; i) * t^2 + INDIRECT("c_" &amp; i) * t^1 + INDIRECT("d_" &amp; i)</f>
        <v>0.2118542019934832</v>
      </c>
      <c r="F267" s="88" t="s">
        <v>233</v>
      </c>
      <c r="R267" s="91">
        <f t="array" aca="1" ref="R267" ca="1">E267:E567</f>
        <v>0.2118542019934832</v>
      </c>
      <c r="S267" s="92">
        <f t="shared" ca="1" si="161"/>
        <v>2.4019301673282548E-2</v>
      </c>
      <c r="T267" s="92">
        <f t="shared" ca="1" si="163"/>
        <v>-2.188712928471807E-3</v>
      </c>
    </row>
    <row r="268" spans="3:20" s="45" customFormat="1" x14ac:dyDescent="0.2">
      <c r="C268" s="45">
        <v>30</v>
      </c>
      <c r="D268" s="45">
        <v>16.8</v>
      </c>
      <c r="E268" s="85">
        <f t="shared" ref="E268" ca="1" si="200">INDIRECT("a_" &amp; i) * t^3 + INDIRECT("b_" &amp; i) * t^2 + INDIRECT("c_" &amp; i) * t^1 + INDIRECT("d_" &amp; i)</f>
        <v>0.21423360375543726</v>
      </c>
      <c r="F268" s="88" t="s">
        <v>233</v>
      </c>
      <c r="R268" s="91">
        <f t="array" aca="1" ref="R268" ca="1">E268:E568</f>
        <v>0.21423360375543726</v>
      </c>
      <c r="S268" s="92">
        <f t="shared" ca="1" si="161"/>
        <v>2.379401761954025E-2</v>
      </c>
      <c r="T268" s="92">
        <f t="shared" ca="1" si="163"/>
        <v>-2.252840537422948E-3</v>
      </c>
    </row>
    <row r="269" spans="3:20" s="45" customFormat="1" x14ac:dyDescent="0.2">
      <c r="C269" s="45">
        <v>30</v>
      </c>
      <c r="D269" s="45">
        <v>16.899999999999999</v>
      </c>
      <c r="E269" s="85">
        <f t="shared" ref="E269" ca="1" si="201">INDIRECT("a_" &amp; i) * t^3 + INDIRECT("b_" &amp; i) * t^2 + INDIRECT("c_" &amp; i) * t^1 + INDIRECT("d_" &amp; i)</f>
        <v>0.216589835835928</v>
      </c>
      <c r="F269" s="88" t="s">
        <v>233</v>
      </c>
      <c r="R269" s="91">
        <f t="array" aca="1" ref="R269" ca="1">E269:E569</f>
        <v>0.216589835835928</v>
      </c>
      <c r="S269" s="92">
        <f t="shared" ca="1" si="161"/>
        <v>2.3562320804907892E-2</v>
      </c>
      <c r="T269" s="92">
        <f t="shared" ca="1" si="163"/>
        <v>-2.3169681463236303E-3</v>
      </c>
    </row>
    <row r="270" spans="3:20" s="45" customFormat="1" x14ac:dyDescent="0.2">
      <c r="C270" s="45">
        <v>30</v>
      </c>
      <c r="D270" s="45">
        <v>17</v>
      </c>
      <c r="E270" s="85">
        <f t="shared" ref="E270" ca="1" si="202">INDIRECT("a_" &amp; i) * t^3 + INDIRECT("b_" &amp; i) * t^2 + INDIRECT("c_" &amp; i) * t^1 + INDIRECT("d_" &amp; i)</f>
        <v>0.21892225695886619</v>
      </c>
      <c r="F270" s="88" t="s">
        <v>233</v>
      </c>
      <c r="R270" s="91">
        <f t="array" aca="1" ref="R270" ca="1">E270:E570</f>
        <v>0.21892225695886619</v>
      </c>
      <c r="S270" s="92">
        <f t="shared" ca="1" si="161"/>
        <v>2.3324211229381553E-2</v>
      </c>
      <c r="T270" s="92">
        <f t="shared" ca="1" si="163"/>
        <v>-2.3810957552633525E-3</v>
      </c>
    </row>
    <row r="271" spans="3:20" s="45" customFormat="1" x14ac:dyDescent="0.2">
      <c r="C271" s="45">
        <v>30</v>
      </c>
      <c r="D271" s="45">
        <v>17.100000000000001</v>
      </c>
      <c r="E271" s="85">
        <f t="shared" ref="E271" ca="1" si="203">INDIRECT("a_" &amp; i) * t^3 + INDIRECT("b_" &amp; i) * t^2 + INDIRECT("c_" &amp; i) * t^1 + INDIRECT("d_" &amp; i)</f>
        <v>0.22123022584816182</v>
      </c>
      <c r="F271" s="88" t="s">
        <v>233</v>
      </c>
      <c r="R271" s="91">
        <f t="array" aca="1" ref="R271" ca="1">E271:E571</f>
        <v>0.22123022584816182</v>
      </c>
      <c r="S271" s="92">
        <f t="shared" ca="1" si="161"/>
        <v>2.3079688892955978E-2</v>
      </c>
      <c r="T271" s="92">
        <f t="shared" ca="1" si="163"/>
        <v>-2.4452233642557192E-3</v>
      </c>
    </row>
    <row r="272" spans="3:20" s="45" customFormat="1" x14ac:dyDescent="0.2">
      <c r="C272" s="45">
        <v>30</v>
      </c>
      <c r="D272" s="45">
        <v>17.2</v>
      </c>
      <c r="E272" s="85">
        <f t="shared" ref="E272" ca="1" si="204">INDIRECT("a_" &amp; i) * t^3 + INDIRECT("b_" &amp; i) * t^2 + INDIRECT("c_" &amp; i) * t^1 + INDIRECT("d_" &amp; i)</f>
        <v>0.22351310122772633</v>
      </c>
      <c r="F272" s="88" t="s">
        <v>233</v>
      </c>
      <c r="R272" s="91">
        <f t="array" aca="1" ref="R272" ca="1">E272:E572</f>
        <v>0.22351310122772633</v>
      </c>
      <c r="S272" s="92">
        <f t="shared" ca="1" si="161"/>
        <v>2.2828753795645571E-2</v>
      </c>
      <c r="T272" s="92">
        <f t="shared" ca="1" si="163"/>
        <v>-2.5093509731041234E-3</v>
      </c>
    </row>
    <row r="273" spans="3:20" s="45" customFormat="1" x14ac:dyDescent="0.2">
      <c r="C273" s="45">
        <v>30</v>
      </c>
      <c r="D273" s="45">
        <v>17.3</v>
      </c>
      <c r="E273" s="85">
        <f t="shared" ref="E273" ca="1" si="205">INDIRECT("a_" &amp; i) * t^3 + INDIRECT("b_" &amp; i) * t^2 + INDIRECT("c_" &amp; i) * t^1 + INDIRECT("d_" &amp; i)</f>
        <v>0.2257702418214696</v>
      </c>
      <c r="F273" s="88" t="s">
        <v>233</v>
      </c>
      <c r="R273" s="91">
        <f t="array" aca="1" ref="R273" ca="1">E273:E573</f>
        <v>0.2257702418214696</v>
      </c>
      <c r="S273" s="92">
        <f t="shared" ca="1" si="161"/>
        <v>2.2571405937432357E-2</v>
      </c>
      <c r="T273" s="92">
        <f t="shared" ca="1" si="163"/>
        <v>-2.5734785821321018E-3</v>
      </c>
    </row>
    <row r="274" spans="3:20" s="45" customFormat="1" x14ac:dyDescent="0.2">
      <c r="C274" s="45">
        <v>30</v>
      </c>
      <c r="D274" s="45">
        <v>17.399999999999999</v>
      </c>
      <c r="E274" s="85">
        <f t="shared" ref="E274" ca="1" si="206">INDIRECT("a_" &amp; i) * t^3 + INDIRECT("b_" &amp; i) * t^2 + INDIRECT("c_" &amp; i) * t^1 + INDIRECT("d_" &amp; i)</f>
        <v>0.22800100635330273</v>
      </c>
      <c r="F274" s="88" t="s">
        <v>233</v>
      </c>
      <c r="R274" s="91">
        <f t="array" aca="1" ref="R274" ca="1">E274:E574</f>
        <v>0.22800100635330273</v>
      </c>
      <c r="S274" s="92">
        <f t="shared" ca="1" si="161"/>
        <v>2.2307645318331768E-2</v>
      </c>
      <c r="T274" s="92">
        <f t="shared" ca="1" si="163"/>
        <v>-2.6376061910059418E-3</v>
      </c>
    </row>
    <row r="275" spans="3:20" s="45" customFormat="1" x14ac:dyDescent="0.2">
      <c r="C275" s="45">
        <v>30</v>
      </c>
      <c r="D275" s="45">
        <v>17.5</v>
      </c>
      <c r="E275" s="85">
        <f t="shared" ref="E275" ca="1" si="207">INDIRECT("a_" &amp; i) * t^3 + INDIRECT("b_" &amp; i) * t^2 + INDIRECT("c_" &amp; i) * t^1 + INDIRECT("d_" &amp; i)</f>
        <v>0.23020475354713638</v>
      </c>
      <c r="F275" s="88" t="s">
        <v>233</v>
      </c>
      <c r="R275" s="91">
        <f t="array" aca="1" ref="R275" ca="1">E275:E575</f>
        <v>0.23020475354713638</v>
      </c>
      <c r="S275" s="92">
        <f t="shared" ca="1" si="161"/>
        <v>2.2037471938336183E-2</v>
      </c>
      <c r="T275" s="92">
        <f t="shared" ca="1" si="163"/>
        <v>-2.7017337999558177E-3</v>
      </c>
    </row>
    <row r="276" spans="3:20" s="45" customFormat="1" x14ac:dyDescent="0.2">
      <c r="C276" s="45">
        <v>30</v>
      </c>
      <c r="D276" s="45">
        <v>17.600000000000001</v>
      </c>
      <c r="E276" s="85">
        <f t="shared" ref="E276" ca="1" si="208">INDIRECT("a_" &amp; i) * t^3 + INDIRECT("b_" &amp; i) * t^2 + INDIRECT("c_" &amp; i) * t^1 + INDIRECT("d_" &amp; i)</f>
        <v>0.23238084212688065</v>
      </c>
      <c r="F276" s="88" t="s">
        <v>233</v>
      </c>
      <c r="R276" s="91">
        <f t="array" aca="1" ref="R276" ca="1">E276:E576</f>
        <v>0.23238084212688065</v>
      </c>
      <c r="S276" s="92">
        <f t="shared" ca="1" si="161"/>
        <v>2.1760885797442422E-2</v>
      </c>
      <c r="T276" s="92">
        <f t="shared" ca="1" si="163"/>
        <v>-2.7658614089375679E-3</v>
      </c>
    </row>
    <row r="277" spans="3:20" s="45" customFormat="1" x14ac:dyDescent="0.2">
      <c r="C277" s="45">
        <v>30</v>
      </c>
      <c r="D277" s="45">
        <v>17.7</v>
      </c>
      <c r="E277" s="85">
        <f t="shared" ref="E277" ca="1" si="209">INDIRECT("a_" &amp; i) * t^3 + INDIRECT("b_" &amp; i) * t^2 + INDIRECT("c_" &amp; i) * t^1 + INDIRECT("d_" &amp; i)</f>
        <v>0.23452863081644687</v>
      </c>
      <c r="F277" s="88" t="s">
        <v>233</v>
      </c>
      <c r="R277" s="91">
        <f t="array" aca="1" ref="R277" ca="1">E277:E577</f>
        <v>0.23452863081644687</v>
      </c>
      <c r="S277" s="92">
        <f t="shared" ca="1" si="161"/>
        <v>2.1477886895662671E-2</v>
      </c>
      <c r="T277" s="92">
        <f t="shared" ca="1" si="163"/>
        <v>-2.8299890177975718E-3</v>
      </c>
    </row>
    <row r="278" spans="3:20" s="45" customFormat="1" x14ac:dyDescent="0.2">
      <c r="C278" s="45">
        <v>30</v>
      </c>
      <c r="D278" s="45">
        <v>17.8</v>
      </c>
      <c r="E278" s="85">
        <f t="shared" ref="E278" ca="1" si="210">INDIRECT("a_" &amp; i) * t^3 + INDIRECT("b_" &amp; i) * t^2 + INDIRECT("c_" &amp; i) * t^1 + INDIRECT("d_" &amp; i)</f>
        <v>0.23664747833974537</v>
      </c>
      <c r="F278" s="88" t="s">
        <v>233</v>
      </c>
      <c r="R278" s="91">
        <f t="array" aca="1" ref="R278" ca="1">E278:E578</f>
        <v>0.23664747833974537</v>
      </c>
      <c r="S278" s="92">
        <f t="shared" ca="1" si="161"/>
        <v>2.1188475232984647E-2</v>
      </c>
      <c r="T278" s="92">
        <f t="shared" ca="1" si="163"/>
        <v>-2.8941166267801928E-3</v>
      </c>
    </row>
    <row r="279" spans="3:20" s="45" customFormat="1" x14ac:dyDescent="0.2">
      <c r="C279" s="45">
        <v>30</v>
      </c>
      <c r="D279" s="45">
        <v>17.899999999999999</v>
      </c>
      <c r="E279" s="85">
        <f t="shared" ref="E279" ca="1" si="211">INDIRECT("a_" &amp; i) * t^3 + INDIRECT("b_" &amp; i) * t^2 + INDIRECT("c_" &amp; i) * t^1 + INDIRECT("d_" &amp; i)</f>
        <v>0.23873674342068646</v>
      </c>
      <c r="F279" s="88" t="s">
        <v>233</v>
      </c>
      <c r="R279" s="91">
        <f t="array" aca="1" ref="R279" ca="1">E279:E579</f>
        <v>0.23873674342068646</v>
      </c>
      <c r="S279" s="92">
        <f t="shared" ca="1" si="161"/>
        <v>2.0892650809411384E-2</v>
      </c>
      <c r="T279" s="92">
        <f t="shared" ca="1" si="163"/>
        <v>-2.9582442357326964E-3</v>
      </c>
    </row>
    <row r="280" spans="3:20" s="45" customFormat="1" x14ac:dyDescent="0.2">
      <c r="C280" s="45">
        <v>30</v>
      </c>
      <c r="D280" s="45">
        <v>18</v>
      </c>
      <c r="E280" s="85">
        <f t="shared" ref="E280" ca="1" si="212">INDIRECT("a_" &amp; i) * t^3 + INDIRECT("b_" &amp; i) * t^2 + INDIRECT("c_" &amp; i) * t^1 + INDIRECT("d_" &amp; i)</f>
        <v>0.24079578478318125</v>
      </c>
      <c r="F280" s="88" t="s">
        <v>233</v>
      </c>
      <c r="R280" s="91">
        <f t="array" aca="1" ref="R280" ca="1">E280:E580</f>
        <v>0.24079578478318125</v>
      </c>
      <c r="S280" s="92">
        <f t="shared" ca="1" si="161"/>
        <v>2.0590413624947665E-2</v>
      </c>
      <c r="T280" s="92">
        <f t="shared" ca="1" si="163"/>
        <v>-3.0223718446371465E-3</v>
      </c>
    </row>
    <row r="281" spans="3:20" s="45" customFormat="1" x14ac:dyDescent="0.2">
      <c r="C281" s="45">
        <v>30</v>
      </c>
      <c r="D281" s="45">
        <v>18.100000000000001</v>
      </c>
      <c r="E281" s="85">
        <f t="shared" ref="E281" ca="1" si="213">INDIRECT("a_" &amp; i) * t^3 + INDIRECT("b_" &amp; i) * t^2 + INDIRECT("c_" &amp; i) * t^1 + INDIRECT("d_" &amp; i)</f>
        <v>0.24282396115114019</v>
      </c>
      <c r="F281" s="88" t="s">
        <v>233</v>
      </c>
      <c r="R281" s="91">
        <f t="array" aca="1" ref="R281" ca="1">E281:E581</f>
        <v>0.24282396115114019</v>
      </c>
      <c r="S281" s="92">
        <f t="shared" ca="1" si="161"/>
        <v>2.0281763679589049E-2</v>
      </c>
      <c r="T281" s="92">
        <f t="shared" ca="1" si="163"/>
        <v>-3.0864994535861104E-3</v>
      </c>
    </row>
    <row r="282" spans="3:20" s="45" customFormat="1" x14ac:dyDescent="0.2">
      <c r="C282" s="45">
        <v>30</v>
      </c>
      <c r="D282" s="45">
        <v>18.2</v>
      </c>
      <c r="E282" s="85">
        <f t="shared" ref="E282" ca="1" si="214">INDIRECT("a_" &amp; i) * t^3 + INDIRECT("b_" &amp; i) * t^2 + INDIRECT("c_" &amp; i) * t^1 + INDIRECT("d_" &amp; i)</f>
        <v>0.2448206312484737</v>
      </c>
      <c r="F282" s="88" t="s">
        <v>233</v>
      </c>
      <c r="R282" s="91">
        <f t="array" aca="1" ref="R282" ca="1">E282:E582</f>
        <v>0.2448206312484737</v>
      </c>
      <c r="S282" s="92">
        <f t="shared" ca="1" si="161"/>
        <v>1.996670097333551E-2</v>
      </c>
      <c r="T282" s="92">
        <f t="shared" ca="1" si="163"/>
        <v>-3.1506270625354638E-3</v>
      </c>
    </row>
    <row r="283" spans="3:20" s="45" customFormat="1" x14ac:dyDescent="0.2">
      <c r="C283" s="45">
        <v>30</v>
      </c>
      <c r="D283" s="45">
        <v>18.3</v>
      </c>
      <c r="E283" s="85">
        <f t="shared" ref="E283" ca="1" si="215">INDIRECT("a_" &amp; i) * t^3 + INDIRECT("b_" &amp; i) * t^2 + INDIRECT("c_" &amp; i) * t^1 + INDIRECT("d_" &amp; i)</f>
        <v>0.24678515379909299</v>
      </c>
      <c r="F283" s="88" t="s">
        <v>233</v>
      </c>
      <c r="R283" s="91">
        <f t="array" aca="1" ref="R283" ca="1">E283:E583</f>
        <v>0.24678515379909299</v>
      </c>
      <c r="S283" s="92">
        <f t="shared" ca="1" si="161"/>
        <v>1.9645225506192687E-2</v>
      </c>
      <c r="T283" s="92">
        <f t="shared" ca="1" si="163"/>
        <v>-3.2147546714281802E-3</v>
      </c>
    </row>
    <row r="284" spans="3:20" s="45" customFormat="1" x14ac:dyDescent="0.2">
      <c r="C284" s="45">
        <v>30</v>
      </c>
      <c r="D284" s="45">
        <v>18.399999999999999</v>
      </c>
      <c r="E284" s="85">
        <f t="shared" ref="E284" ca="1" si="216">INDIRECT("a_" &amp; i) * t^3 + INDIRECT("b_" &amp; i) * t^2 + INDIRECT("c_" &amp; i) * t^1 + INDIRECT("d_" &amp; i)</f>
        <v>0.24871688752690807</v>
      </c>
      <c r="F284" s="88" t="s">
        <v>233</v>
      </c>
      <c r="R284" s="91">
        <f t="array" aca="1" ref="R284" ca="1">E284:E584</f>
        <v>0.24871688752690807</v>
      </c>
      <c r="S284" s="92">
        <f t="shared" ca="1" si="161"/>
        <v>1.9317337278151183E-2</v>
      </c>
      <c r="T284" s="92">
        <f t="shared" ca="1" si="163"/>
        <v>-3.278882280415112E-3</v>
      </c>
    </row>
    <row r="285" spans="3:20" s="45" customFormat="1" x14ac:dyDescent="0.2">
      <c r="C285" s="45">
        <v>30</v>
      </c>
      <c r="D285" s="45">
        <v>18.5</v>
      </c>
      <c r="E285" s="85">
        <f t="shared" ref="E285" ca="1" si="217">INDIRECT("a_" &amp; i) * t^3 + INDIRECT("b_" &amp; i) * t^2 + INDIRECT("c_" &amp; i) * t^1 + INDIRECT("d_" &amp; i)</f>
        <v>0.25061519115582981</v>
      </c>
      <c r="F285" s="88" t="s">
        <v>233</v>
      </c>
      <c r="R285" s="91">
        <f t="array" aca="1" ref="R285" ca="1">E285:E585</f>
        <v>0.25061519115582981</v>
      </c>
      <c r="S285" s="92">
        <f t="shared" ca="1" si="161"/>
        <v>1.898303628921711E-2</v>
      </c>
      <c r="T285" s="92">
        <f t="shared" ca="1" si="163"/>
        <v>-3.3430098893406793E-3</v>
      </c>
    </row>
    <row r="286" spans="3:20" s="45" customFormat="1" x14ac:dyDescent="0.2">
      <c r="C286" s="45">
        <v>30</v>
      </c>
      <c r="D286" s="45">
        <v>18.600000000000001</v>
      </c>
      <c r="E286" s="85">
        <f t="shared" ref="E286" ca="1" si="218">INDIRECT("a_" &amp; i) * t^3 + INDIRECT("b_" &amp; i) * t^2 + INDIRECT("c_" &amp; i) * t^1 + INDIRECT("d_" &amp; i)</f>
        <v>0.25247942340976887</v>
      </c>
      <c r="F286" s="88" t="s">
        <v>233</v>
      </c>
      <c r="R286" s="91">
        <f t="array" aca="1" ref="R286" ca="1">E286:E586</f>
        <v>0.25247942340976887</v>
      </c>
      <c r="S286" s="92">
        <f t="shared" ca="1" si="161"/>
        <v>1.8642322539390313E-2</v>
      </c>
      <c r="T286" s="92">
        <f t="shared" ca="1" si="163"/>
        <v>-3.4071374982679245E-3</v>
      </c>
    </row>
    <row r="287" spans="3:20" s="45" customFormat="1" x14ac:dyDescent="0.2">
      <c r="C287" s="45">
        <v>30</v>
      </c>
      <c r="D287" s="45">
        <v>18.7</v>
      </c>
      <c r="E287" s="85">
        <f t="shared" ref="E287" ca="1" si="219">INDIRECT("a_" &amp; i) * t^3 + INDIRECT("b_" &amp; i) * t^2 + INDIRECT("c_" &amp; i) * t^1 + INDIRECT("d_" &amp; i)</f>
        <v>0.2543089430126359</v>
      </c>
      <c r="F287" s="88" t="s">
        <v>233</v>
      </c>
      <c r="R287" s="91">
        <f t="array" aca="1" ref="R287" ca="1">E287:E587</f>
        <v>0.2543089430126359</v>
      </c>
      <c r="S287" s="92">
        <f t="shared" ca="1" si="161"/>
        <v>1.8295196028670746E-2</v>
      </c>
      <c r="T287" s="92">
        <f t="shared" ca="1" si="163"/>
        <v>-3.4712651071957443E-3</v>
      </c>
    </row>
    <row r="288" spans="3:20" s="45" customFormat="1" x14ac:dyDescent="0.2">
      <c r="C288" s="45">
        <v>30</v>
      </c>
      <c r="D288" s="45">
        <v>18.8</v>
      </c>
      <c r="E288" s="85">
        <f t="shared" ref="E288" ca="1" si="220">INDIRECT("a_" &amp; i) * t^3 + INDIRECT("b_" &amp; i) * t^2 + INDIRECT("c_" &amp; i) * t^1 + INDIRECT("d_" &amp; i)</f>
        <v>0.25610310868834146</v>
      </c>
      <c r="F288" s="88" t="s">
        <v>233</v>
      </c>
      <c r="R288" s="91">
        <f t="array" aca="1" ref="R288" ca="1">E288:E588</f>
        <v>0.25610310868834146</v>
      </c>
      <c r="S288" s="92">
        <f t="shared" ca="1" si="161"/>
        <v>1.794165675705536E-2</v>
      </c>
      <c r="T288" s="92">
        <f t="shared" ca="1" si="163"/>
        <v>-3.5353927161538134E-3</v>
      </c>
    </row>
    <row r="289" spans="3:20" s="45" customFormat="1" x14ac:dyDescent="0.2">
      <c r="C289" s="45">
        <v>30</v>
      </c>
      <c r="D289" s="45">
        <v>18.899999999999999</v>
      </c>
      <c r="E289" s="85">
        <f t="shared" ref="E289" ca="1" si="221">INDIRECT("a_" &amp; i) * t^3 + INDIRECT("b_" &amp; i) * t^2 + INDIRECT("c_" &amp; i) * t^1 + INDIRECT("d_" &amp; i)</f>
        <v>0.25786127916079588</v>
      </c>
      <c r="F289" s="88" t="s">
        <v>233</v>
      </c>
      <c r="R289" s="91">
        <f t="array" aca="1" ref="R289" ca="1">E289:E589</f>
        <v>0.25786127916079588</v>
      </c>
      <c r="S289" s="92">
        <f t="shared" ca="1" si="161"/>
        <v>1.7581704724544497E-2</v>
      </c>
      <c r="T289" s="92">
        <f t="shared" ca="1" si="163"/>
        <v>-3.5995203251086992E-3</v>
      </c>
    </row>
    <row r="290" spans="3:20" s="45" customFormat="1" x14ac:dyDescent="0.2">
      <c r="C290" s="45">
        <v>30</v>
      </c>
      <c r="D290" s="45">
        <v>19</v>
      </c>
      <c r="E290" s="85">
        <f t="shared" ref="E290" ca="1" si="222">INDIRECT("a_" &amp; i) * t^3 + INDIRECT("b_" &amp; i) * t^2 + INDIRECT("c_" &amp; i) * t^1 + INDIRECT("d_" &amp; i)</f>
        <v>0.25958281315391069</v>
      </c>
      <c r="F290" s="88" t="s">
        <v>233</v>
      </c>
      <c r="R290" s="91">
        <f t="array" aca="1" ref="R290" ca="1">E290:E590</f>
        <v>0.25958281315391069</v>
      </c>
      <c r="S290" s="92">
        <f t="shared" ca="1" si="161"/>
        <v>1.7215339931147853E-2</v>
      </c>
      <c r="T290" s="92">
        <f t="shared" ca="1" si="163"/>
        <v>-3.6636479339663929E-3</v>
      </c>
    </row>
    <row r="291" spans="3:20" s="45" customFormat="1" x14ac:dyDescent="0.2">
      <c r="C291" s="45">
        <v>30</v>
      </c>
      <c r="D291" s="45">
        <v>19.100000000000001</v>
      </c>
      <c r="E291" s="85">
        <f t="shared" ref="E291" ca="1" si="223">INDIRECT("a_" &amp; i) * t^3 + INDIRECT("b_" &amp; i) * t^2 + INDIRECT("c_" &amp; i) * t^1 + INDIRECT("d_" &amp; i)</f>
        <v>0.26126706939159566</v>
      </c>
      <c r="F291" s="88" t="s">
        <v>233</v>
      </c>
      <c r="R291" s="91">
        <f t="array" aca="1" ref="R291" ca="1">E291:E591</f>
        <v>0.26126706939159566</v>
      </c>
      <c r="S291" s="92">
        <f t="shared" ca="1" si="161"/>
        <v>1.684256237684954E-2</v>
      </c>
      <c r="T291" s="92">
        <f t="shared" ca="1" si="163"/>
        <v>-3.7277755429830804E-3</v>
      </c>
    </row>
    <row r="292" spans="3:20" s="45" customFormat="1" x14ac:dyDescent="0.2">
      <c r="C292" s="45">
        <v>30</v>
      </c>
      <c r="D292" s="45">
        <v>19.2</v>
      </c>
      <c r="E292" s="85">
        <f t="shared" ref="E292" ca="1" si="224">INDIRECT("a_" &amp; i) * t^3 + INDIRECT("b_" &amp; i) * t^2 + INDIRECT("c_" &amp; i) * t^1 + INDIRECT("d_" &amp; i)</f>
        <v>0.26291340659776169</v>
      </c>
      <c r="F292" s="88" t="s">
        <v>233</v>
      </c>
      <c r="R292" s="91">
        <f t="array" aca="1" ref="R292" ca="1">E292:E592</f>
        <v>0.26291340659776169</v>
      </c>
      <c r="S292" s="92">
        <f t="shared" ca="1" si="161"/>
        <v>1.6463372061660615E-2</v>
      </c>
      <c r="T292" s="92">
        <f t="shared" ca="1" si="163"/>
        <v>-3.7919031518893311E-3</v>
      </c>
    </row>
    <row r="293" spans="3:20" s="45" customFormat="1" x14ac:dyDescent="0.2">
      <c r="C293" s="45">
        <v>30</v>
      </c>
      <c r="D293" s="45">
        <v>19.3</v>
      </c>
      <c r="E293" s="85">
        <f t="shared" ref="E293" ca="1" si="225">INDIRECT("a_" &amp; i) * t^3 + INDIRECT("b_" &amp; i) * t^2 + INDIRECT("c_" &amp; i) * t^1 + INDIRECT("d_" &amp; i)</f>
        <v>0.26452118349631953</v>
      </c>
      <c r="F293" s="88" t="s">
        <v>233</v>
      </c>
      <c r="R293" s="91">
        <f t="array" aca="1" ref="R293" ca="1">E293:E593</f>
        <v>0.26452118349631953</v>
      </c>
      <c r="S293" s="92">
        <f t="shared" ca="1" si="161"/>
        <v>1.6077768985578215E-2</v>
      </c>
      <c r="T293" s="92">
        <f t="shared" ca="1" si="163"/>
        <v>-3.8560307608239358E-3</v>
      </c>
    </row>
    <row r="294" spans="3:20" s="45" customFormat="1" x14ac:dyDescent="0.2">
      <c r="C294" s="45">
        <v>30</v>
      </c>
      <c r="D294" s="45">
        <v>19.399999999999999</v>
      </c>
      <c r="E294" s="85">
        <f t="shared" ref="E294" ca="1" si="226">INDIRECT("a_" &amp; i) * t^3 + INDIRECT("b_" &amp; i) * t^2 + INDIRECT("c_" &amp; i) * t^1 + INDIRECT("d_" &amp; i)</f>
        <v>0.26608975881117974</v>
      </c>
      <c r="F294" s="88" t="s">
        <v>233</v>
      </c>
      <c r="R294" s="91">
        <f t="array" aca="1" ref="R294" ca="1">E294:E594</f>
        <v>0.26608975881117974</v>
      </c>
      <c r="S294" s="92">
        <f t="shared" ref="S294:S357" ca="1" si="227">(R294-R293)/(D294-D293)</f>
        <v>1.5685753148602433E-2</v>
      </c>
      <c r="T294" s="92">
        <f t="shared" ca="1" si="163"/>
        <v>-3.9201583697579118E-3</v>
      </c>
    </row>
    <row r="295" spans="3:20" s="45" customFormat="1" x14ac:dyDescent="0.2">
      <c r="C295" s="45">
        <v>30</v>
      </c>
      <c r="D295" s="45">
        <v>19.5</v>
      </c>
      <c r="E295" s="85">
        <f t="shared" ref="E295" ca="1" si="228">INDIRECT("a_" &amp; i) * t^3 + INDIRECT("b_" &amp; i) * t^2 + INDIRECT("c_" &amp; i) * t^1 + INDIRECT("d_" &amp; i)</f>
        <v>0.26761849126625264</v>
      </c>
      <c r="F295" s="88" t="s">
        <v>233</v>
      </c>
      <c r="R295" s="91">
        <f t="array" aca="1" ref="R295" ca="1">E295:E595</f>
        <v>0.26761849126625264</v>
      </c>
      <c r="S295" s="92">
        <f t="shared" ca="1" si="227"/>
        <v>1.5287324550728792E-2</v>
      </c>
      <c r="T295" s="92">
        <f t="shared" ref="T295:T358" ca="1" si="229">(S295-S294)/(D295-D294)</f>
        <v>-3.9842859787363486E-3</v>
      </c>
    </row>
    <row r="296" spans="3:20" s="45" customFormat="1" x14ac:dyDescent="0.2">
      <c r="C296" s="45">
        <v>30</v>
      </c>
      <c r="D296" s="45">
        <v>19.600000000000001</v>
      </c>
      <c r="E296" s="85">
        <f t="shared" ref="E296" ca="1" si="230">INDIRECT("a_" &amp; i) * t^3 + INDIRECT("b_" &amp; i) * t^2 + INDIRECT("c_" &amp; i) * t^1 + INDIRECT("d_" &amp; i)</f>
        <v>0.26910673958544956</v>
      </c>
      <c r="F296" s="88" t="s">
        <v>233</v>
      </c>
      <c r="R296" s="91">
        <f t="array" aca="1" ref="R296" ca="1">E296:E596</f>
        <v>0.26910673958544956</v>
      </c>
      <c r="S296" s="92">
        <f t="shared" ca="1" si="227"/>
        <v>1.4882483191968953E-2</v>
      </c>
      <c r="T296" s="92">
        <f t="shared" ca="1" si="229"/>
        <v>-4.0484135875983335E-3</v>
      </c>
    </row>
    <row r="297" spans="3:20" s="45" customFormat="1" x14ac:dyDescent="0.2">
      <c r="C297" s="45">
        <v>30</v>
      </c>
      <c r="D297" s="45">
        <v>19.7</v>
      </c>
      <c r="E297" s="85">
        <f t="shared" ref="E297" ca="1" si="231">INDIRECT("a_" &amp; i) * t^3 + INDIRECT("b_" &amp; i) * t^2 + INDIRECT("c_" &amp; i) * t^1 + INDIRECT("d_" &amp; i)</f>
        <v>0.27055386249268026</v>
      </c>
      <c r="F297" s="88" t="s">
        <v>233</v>
      </c>
      <c r="R297" s="91">
        <f t="array" aca="1" ref="R297" ca="1">E297:E597</f>
        <v>0.27055386249268026</v>
      </c>
      <c r="S297" s="92">
        <f t="shared" ca="1" si="227"/>
        <v>1.4471229072307332E-2</v>
      </c>
      <c r="T297" s="92">
        <f t="shared" ca="1" si="229"/>
        <v>-4.1125411966162944E-3</v>
      </c>
    </row>
    <row r="298" spans="3:20" s="45" customFormat="1" x14ac:dyDescent="0.2">
      <c r="C298" s="45">
        <v>30</v>
      </c>
      <c r="D298" s="45">
        <v>19.8</v>
      </c>
      <c r="E298" s="85">
        <f t="shared" ref="E298" ca="1" si="232">INDIRECT("a_" &amp; i) * t^3 + INDIRECT("b_" &amp; i) * t^2 + INDIRECT("c_" &amp; i) * t^1 + INDIRECT("d_" &amp; i)</f>
        <v>0.27195921871185619</v>
      </c>
      <c r="F298" s="88" t="s">
        <v>233</v>
      </c>
      <c r="R298" s="91">
        <f t="array" aca="1" ref="R298" ca="1">E298:E598</f>
        <v>0.27195921871185619</v>
      </c>
      <c r="S298" s="92">
        <f t="shared" ca="1" si="227"/>
        <v>1.405356219175904E-2</v>
      </c>
      <c r="T298" s="92">
        <f t="shared" ca="1" si="229"/>
        <v>-4.1766688054828693E-3</v>
      </c>
    </row>
    <row r="299" spans="3:20" s="45" customFormat="1" x14ac:dyDescent="0.2">
      <c r="C299" s="45">
        <v>30</v>
      </c>
      <c r="D299" s="45">
        <v>19.899999999999999</v>
      </c>
      <c r="E299" s="85">
        <f t="shared" ref="E299" ca="1" si="233">INDIRECT("a_" &amp; i) * t^3 + INDIRECT("b_" &amp; i) * t^2 + INDIRECT("c_" &amp; i) * t^1 + INDIRECT("d_" &amp; i)</f>
        <v>0.27332216696688733</v>
      </c>
      <c r="F299" s="88" t="s">
        <v>233</v>
      </c>
      <c r="R299" s="91">
        <f t="array" aca="1" ref="R299" ca="1">E299:E599</f>
        <v>0.27332216696688733</v>
      </c>
      <c r="S299" s="92">
        <f t="shared" ca="1" si="227"/>
        <v>1.3629482550311668E-2</v>
      </c>
      <c r="T299" s="92">
        <f t="shared" ca="1" si="229"/>
        <v>-4.2407964144738075E-3</v>
      </c>
    </row>
    <row r="300" spans="3:20" s="45" customFormat="1" x14ac:dyDescent="0.2">
      <c r="C300" s="45">
        <v>30</v>
      </c>
      <c r="D300" s="45">
        <v>20</v>
      </c>
      <c r="E300" s="85">
        <f t="shared" ref="E300" ca="1" si="234">INDIRECT("a_" &amp; i) * t^3 + INDIRECT("b_" &amp; i) * t^2 + INDIRECT("c_" &amp; i) * t^1 + INDIRECT("d_" &amp; i)</f>
        <v>0.27464206598168478</v>
      </c>
      <c r="F300" s="88" t="s">
        <v>233</v>
      </c>
      <c r="R300" s="91">
        <f t="array" aca="1" ref="R300" ca="1">E300:E600</f>
        <v>0.27464206598168478</v>
      </c>
      <c r="S300" s="92">
        <f t="shared" ca="1" si="227"/>
        <v>1.3198990147974356E-2</v>
      </c>
      <c r="T300" s="92">
        <f t="shared" ca="1" si="229"/>
        <v>-4.3049240233730595E-3</v>
      </c>
    </row>
    <row r="301" spans="3:20" s="45" customFormat="1" x14ac:dyDescent="0.2">
      <c r="C301" s="45">
        <v>30</v>
      </c>
      <c r="D301" s="45">
        <v>20.100000000000001</v>
      </c>
      <c r="E301" s="85">
        <f t="shared" ref="E301" ca="1" si="235">INDIRECT("a_" &amp; i) * t^3 + INDIRECT("b_" &amp; i) * t^2 + INDIRECT("c_" &amp; i) * t^1 + INDIRECT("d_" &amp; i)</f>
        <v>0.27591827448015899</v>
      </c>
      <c r="F301" s="88" t="s">
        <v>233</v>
      </c>
      <c r="R301" s="91">
        <f t="array" aca="1" ref="R301" ca="1">E301:E601</f>
        <v>0.27591827448015899</v>
      </c>
      <c r="S301" s="92">
        <f t="shared" ca="1" si="227"/>
        <v>1.276208498474189E-2</v>
      </c>
      <c r="T301" s="92">
        <f t="shared" ca="1" si="229"/>
        <v>-4.3690516323245908E-3</v>
      </c>
    </row>
    <row r="302" spans="3:20" s="45" customFormat="1" x14ac:dyDescent="0.2">
      <c r="C302" s="45">
        <v>30</v>
      </c>
      <c r="D302" s="45">
        <v>20.2</v>
      </c>
      <c r="E302" s="85">
        <f t="shared" ref="E302" ca="1" si="236">INDIRECT("a_" &amp; i) * t^3 + INDIRECT("b_" &amp; i) * t^2 + INDIRECT("c_" &amp; i) * t^1 + INDIRECT("d_" &amp; i)</f>
        <v>0.27715015118622038</v>
      </c>
      <c r="F302" s="88" t="s">
        <v>233</v>
      </c>
      <c r="R302" s="91">
        <f t="array" aca="1" ref="R302" ca="1">E302:E602</f>
        <v>0.27715015118622038</v>
      </c>
      <c r="S302" s="92">
        <f t="shared" ca="1" si="227"/>
        <v>1.2318767060614228E-2</v>
      </c>
      <c r="T302" s="92">
        <f t="shared" ca="1" si="229"/>
        <v>-4.4331792412767137E-3</v>
      </c>
    </row>
    <row r="303" spans="3:20" s="45" customFormat="1" x14ac:dyDescent="0.2">
      <c r="C303" s="45">
        <v>30</v>
      </c>
      <c r="D303" s="45">
        <v>20.3</v>
      </c>
      <c r="E303" s="85">
        <f t="shared" ref="E303" ca="1" si="237">INDIRECT("a_" &amp; i) * t^3 + INDIRECT("b_" &amp; i) * t^2 + INDIRECT("c_" &amp; i) * t^1 + INDIRECT("d_" &amp; i)</f>
        <v>0.27833705482377996</v>
      </c>
      <c r="F303" s="88" t="s">
        <v>233</v>
      </c>
      <c r="R303" s="91">
        <f t="array" aca="1" ref="R303" ca="1">E303:E603</f>
        <v>0.27833705482377996</v>
      </c>
      <c r="S303" s="92">
        <f t="shared" ca="1" si="227"/>
        <v>1.1869036375595608E-2</v>
      </c>
      <c r="T303" s="92">
        <f t="shared" ca="1" si="229"/>
        <v>-4.4973068501861415E-3</v>
      </c>
    </row>
    <row r="304" spans="3:20" s="45" customFormat="1" x14ac:dyDescent="0.2">
      <c r="C304" s="45">
        <v>30</v>
      </c>
      <c r="D304" s="45">
        <v>20.399999999999999</v>
      </c>
      <c r="E304" s="85">
        <f t="shared" ref="E304" ca="1" si="238">INDIRECT("a_" &amp; i) * t^3 + INDIRECT("b_" &amp; i) * t^2 + INDIRECT("c_" &amp; i) * t^1 + INDIRECT("d_" &amp; i)</f>
        <v>0.27947834411674827</v>
      </c>
      <c r="F304" s="88" t="s">
        <v>233</v>
      </c>
      <c r="R304" s="91">
        <f t="array" aca="1" ref="R304" ca="1">E304:E604</f>
        <v>0.27947834411674827</v>
      </c>
      <c r="S304" s="92">
        <f t="shared" ca="1" si="227"/>
        <v>1.1412892929683303E-2</v>
      </c>
      <c r="T304" s="92">
        <f t="shared" ca="1" si="229"/>
        <v>-4.5614344591231419E-3</v>
      </c>
    </row>
    <row r="305" spans="3:20" s="45" customFormat="1" x14ac:dyDescent="0.2">
      <c r="C305" s="45">
        <v>30</v>
      </c>
      <c r="D305" s="45">
        <v>20.5</v>
      </c>
      <c r="E305" s="85">
        <f t="shared" ref="E305" ca="1" si="239">INDIRECT("a_" &amp; i) * t^3 + INDIRECT("b_" &amp; i) * t^2 + INDIRECT("c_" &amp; i) * t^1 + INDIRECT("d_" &amp; i)</f>
        <v>0.28057337778903552</v>
      </c>
      <c r="F305" s="88" t="s">
        <v>233</v>
      </c>
      <c r="R305" s="91">
        <f t="array" aca="1" ref="R305" ca="1">E305:E605</f>
        <v>0.28057337778903552</v>
      </c>
      <c r="S305" s="92">
        <f t="shared" ca="1" si="227"/>
        <v>1.0950336722872333E-2</v>
      </c>
      <c r="T305" s="92">
        <f t="shared" ca="1" si="229"/>
        <v>-4.6255620681096392E-3</v>
      </c>
    </row>
    <row r="306" spans="3:20" s="45" customFormat="1" x14ac:dyDescent="0.2">
      <c r="C306" s="45">
        <v>30</v>
      </c>
      <c r="D306" s="45">
        <v>20.6</v>
      </c>
      <c r="E306" s="85">
        <f t="shared" ref="E306" ca="1" si="240">INDIRECT("a_" &amp; i) * t^3 + INDIRECT("b_" &amp; i) * t^2 + INDIRECT("c_" &amp; i) * t^1 + INDIRECT("d_" &amp; i)</f>
        <v>0.28162151456455281</v>
      </c>
      <c r="F306" s="88" t="s">
        <v>233</v>
      </c>
      <c r="R306" s="91">
        <f t="array" aca="1" ref="R306" ca="1">E306:E606</f>
        <v>0.28162151456455281</v>
      </c>
      <c r="S306" s="92">
        <f t="shared" ca="1" si="227"/>
        <v>1.0481367755172794E-2</v>
      </c>
      <c r="T306" s="92">
        <f t="shared" ca="1" si="229"/>
        <v>-4.6896896769953204E-3</v>
      </c>
    </row>
    <row r="307" spans="3:20" s="45" customFormat="1" x14ac:dyDescent="0.2">
      <c r="C307" s="45">
        <v>30</v>
      </c>
      <c r="D307" s="45">
        <v>20.7</v>
      </c>
      <c r="E307" s="85">
        <f t="shared" ref="E307" ca="1" si="241">INDIRECT("a_" &amp; i) * t^3 + INDIRECT("b_" &amp; i) * t^2 + INDIRECT("c_" &amp; i) * t^1 + INDIRECT("d_" &amp; i)</f>
        <v>0.2826221131672107</v>
      </c>
      <c r="F307" s="88" t="s">
        <v>233</v>
      </c>
      <c r="R307" s="91">
        <f t="array" aca="1" ref="R307" ca="1">E307:E607</f>
        <v>0.2826221131672107</v>
      </c>
      <c r="S307" s="92">
        <f t="shared" ca="1" si="227"/>
        <v>1.0005986026579086E-2</v>
      </c>
      <c r="T307" s="92">
        <f t="shared" ca="1" si="229"/>
        <v>-4.753817285937185E-3</v>
      </c>
    </row>
    <row r="308" spans="3:20" s="45" customFormat="1" x14ac:dyDescent="0.2">
      <c r="C308" s="45">
        <v>30</v>
      </c>
      <c r="D308" s="45">
        <v>20.8</v>
      </c>
      <c r="E308" s="85">
        <f t="shared" ref="E308" ca="1" si="242">INDIRECT("a_" &amp; i) * t^3 + INDIRECT("b_" &amp; i) * t^2 + INDIRECT("c_" &amp; i) * t^1 + INDIRECT("d_" &amp; i)</f>
        <v>0.28357453232091973</v>
      </c>
      <c r="F308" s="88" t="s">
        <v>233</v>
      </c>
      <c r="R308" s="91">
        <f t="array" aca="1" ref="R308" ca="1">E308:E608</f>
        <v>0.28357453232091973</v>
      </c>
      <c r="S308" s="92">
        <f t="shared" ca="1" si="227"/>
        <v>9.524191537090141E-3</v>
      </c>
      <c r="T308" s="92">
        <f t="shared" ca="1" si="229"/>
        <v>-4.8179448948893798E-3</v>
      </c>
    </row>
    <row r="309" spans="3:20" s="45" customFormat="1" x14ac:dyDescent="0.2">
      <c r="C309" s="45">
        <v>30</v>
      </c>
      <c r="D309" s="45">
        <v>20.9</v>
      </c>
      <c r="E309" s="85">
        <f t="shared" ref="E309" ca="1" si="243">INDIRECT("a_" &amp; i) * t^3 + INDIRECT("b_" &amp; i) * t^2 + INDIRECT("c_" &amp; i) * t^1 + INDIRECT("d_" &amp; i)</f>
        <v>0.28447813074959066</v>
      </c>
      <c r="F309" s="88" t="s">
        <v>233</v>
      </c>
      <c r="R309" s="91">
        <f t="array" aca="1" ref="R309" ca="1">E309:E609</f>
        <v>0.28447813074959066</v>
      </c>
      <c r="S309" s="92">
        <f t="shared" ca="1" si="227"/>
        <v>9.0359842867095679E-3</v>
      </c>
      <c r="T309" s="92">
        <f t="shared" ca="1" si="229"/>
        <v>-4.882072503805835E-3</v>
      </c>
    </row>
    <row r="310" spans="3:20" s="45" customFormat="1" x14ac:dyDescent="0.2">
      <c r="C310" s="45">
        <v>30</v>
      </c>
      <c r="D310" s="45">
        <v>21</v>
      </c>
      <c r="E310" s="85">
        <f t="shared" ref="E310" ca="1" si="244">INDIRECT("a_" &amp; i) * t^3 + INDIRECT("b_" &amp; i) * t^2 + INDIRECT("c_" &amp; i) * t^1 + INDIRECT("d_" &amp; i)</f>
        <v>0.28533226717713395</v>
      </c>
      <c r="F310" s="88" t="s">
        <v>233</v>
      </c>
      <c r="R310" s="91">
        <f t="array" aca="1" ref="R310" ca="1">E310:E610</f>
        <v>0.28533226717713395</v>
      </c>
      <c r="S310" s="92">
        <f t="shared" ca="1" si="227"/>
        <v>8.5413642754327175E-3</v>
      </c>
      <c r="T310" s="92">
        <f t="shared" ca="1" si="229"/>
        <v>-4.9462001127684339E-3</v>
      </c>
    </row>
    <row r="311" spans="3:20" s="45" customFormat="1" x14ac:dyDescent="0.2">
      <c r="C311" s="45">
        <v>30</v>
      </c>
      <c r="D311" s="45">
        <v>21.1</v>
      </c>
      <c r="E311" s="85">
        <f t="shared" ref="E311" ca="1" si="245">INDIRECT("a_" &amp; i) * t^3 + INDIRECT("b_" &amp; i) * t^2 + INDIRECT("c_" &amp; i) * t^1 + INDIRECT("d_" &amp; i)</f>
        <v>0.28613630032746035</v>
      </c>
      <c r="F311" s="88" t="s">
        <v>233</v>
      </c>
      <c r="R311" s="91">
        <f t="array" aca="1" ref="R311" ca="1">E311:E611</f>
        <v>0.28613630032746035</v>
      </c>
      <c r="S311" s="92">
        <f t="shared" ca="1" si="227"/>
        <v>8.0403315032638832E-3</v>
      </c>
      <c r="T311" s="92">
        <f t="shared" ca="1" si="229"/>
        <v>-5.0103277216882718E-3</v>
      </c>
    </row>
    <row r="312" spans="3:20" s="45" customFormat="1" x14ac:dyDescent="0.2">
      <c r="C312" s="45">
        <v>30</v>
      </c>
      <c r="D312" s="45">
        <v>21.2</v>
      </c>
      <c r="E312" s="85">
        <f t="shared" ref="E312" ca="1" si="246">INDIRECT("a_" &amp; i) * t^3 + INDIRECT("b_" &amp; i) * t^2 + INDIRECT("c_" &amp; i) * t^1 + INDIRECT("d_" &amp; i)</f>
        <v>0.2868895889244803</v>
      </c>
      <c r="F312" s="88" t="s">
        <v>233</v>
      </c>
      <c r="R312" s="91">
        <f t="array" aca="1" ref="R312" ca="1">E312:E612</f>
        <v>0.2868895889244803</v>
      </c>
      <c r="S312" s="92">
        <f t="shared" ca="1" si="227"/>
        <v>7.5328859701996815E-3</v>
      </c>
      <c r="T312" s="92">
        <f t="shared" ca="1" si="229"/>
        <v>-5.0744553306421259E-3</v>
      </c>
    </row>
    <row r="313" spans="3:20" s="45" customFormat="1" x14ac:dyDescent="0.2">
      <c r="C313" s="45">
        <v>30</v>
      </c>
      <c r="D313" s="45">
        <v>21.3</v>
      </c>
      <c r="E313" s="85">
        <f t="shared" ref="E313" ca="1" si="247">INDIRECT("a_" &amp; i) * t^3 + INDIRECT("b_" &amp; i) * t^2 + INDIRECT("c_" &amp; i) * t^1 + INDIRECT("d_" &amp; i)</f>
        <v>0.28759149169210457</v>
      </c>
      <c r="F313" s="88" t="s">
        <v>233</v>
      </c>
      <c r="R313" s="91">
        <f t="array" aca="1" ref="R313" ca="1">E313:E613</f>
        <v>0.28759149169210457</v>
      </c>
      <c r="S313" s="92">
        <f t="shared" ca="1" si="227"/>
        <v>7.0190276762426397E-3</v>
      </c>
      <c r="T313" s="92">
        <f t="shared" ca="1" si="229"/>
        <v>-5.1385829395703443E-3</v>
      </c>
    </row>
    <row r="314" spans="3:20" s="45" customFormat="1" x14ac:dyDescent="0.2">
      <c r="C314" s="45">
        <v>30</v>
      </c>
      <c r="D314" s="45">
        <v>21.4</v>
      </c>
      <c r="E314" s="85">
        <f t="shared" ref="E314" ca="1" si="248">INDIRECT("a_" &amp; i) * t^3 + INDIRECT("b_" &amp; i) * t^2 + INDIRECT("c_" &amp; i) * t^1 + INDIRECT("d_" &amp; i)</f>
        <v>0.28824136735424361</v>
      </c>
      <c r="F314" s="88" t="s">
        <v>233</v>
      </c>
      <c r="R314" s="91">
        <f t="array" aca="1" ref="R314" ca="1">E314:E614</f>
        <v>0.28824136735424361</v>
      </c>
      <c r="S314" s="92">
        <f t="shared" ca="1" si="227"/>
        <v>6.4987566213904613E-3</v>
      </c>
      <c r="T314" s="92">
        <f t="shared" ca="1" si="229"/>
        <v>-5.2027105485218956E-3</v>
      </c>
    </row>
    <row r="315" spans="3:20" s="45" customFormat="1" x14ac:dyDescent="0.2">
      <c r="C315" s="45">
        <v>30</v>
      </c>
      <c r="D315" s="45">
        <v>21.5</v>
      </c>
      <c r="E315" s="85">
        <f t="shared" ref="E315" ca="1" si="249">INDIRECT("a_" &amp; i) * t^3 + INDIRECT("b_" &amp; i) * t^2 + INDIRECT("c_" &amp; i) * t^1 + INDIRECT("d_" &amp; i)</f>
        <v>0.2888385746348085</v>
      </c>
      <c r="F315" s="88" t="s">
        <v>233</v>
      </c>
      <c r="R315" s="91">
        <f t="array" aca="1" ref="R315" ca="1">E315:E615</f>
        <v>0.2888385746348085</v>
      </c>
      <c r="S315" s="92">
        <f t="shared" ca="1" si="227"/>
        <v>5.9720728056488464E-3</v>
      </c>
      <c r="T315" s="92">
        <f t="shared" ca="1" si="229"/>
        <v>-5.2668381574160743E-3</v>
      </c>
    </row>
    <row r="316" spans="3:20" s="45" customFormat="1" x14ac:dyDescent="0.2">
      <c r="C316" s="45">
        <v>30</v>
      </c>
      <c r="D316" s="45">
        <v>21.6</v>
      </c>
      <c r="E316" s="85">
        <f t="shared" ref="E316" ca="1" si="250">INDIRECT("a_" &amp; i) * t^3 + INDIRECT("b_" &amp; i) * t^2 + INDIRECT("c_" &amp; i) * t^1 + INDIRECT("d_" &amp; i)</f>
        <v>0.28938247225770958</v>
      </c>
      <c r="F316" s="88" t="s">
        <v>233</v>
      </c>
      <c r="R316" s="91">
        <f t="array" aca="1" ref="R316" ca="1">E316:E616</f>
        <v>0.28938247225770958</v>
      </c>
      <c r="S316" s="92">
        <f t="shared" ca="1" si="227"/>
        <v>5.4389762290107174E-3</v>
      </c>
      <c r="T316" s="92">
        <f t="shared" ca="1" si="229"/>
        <v>-5.3309657663812146E-3</v>
      </c>
    </row>
    <row r="317" spans="3:20" s="45" customFormat="1" x14ac:dyDescent="0.2">
      <c r="C317" s="45">
        <v>30</v>
      </c>
      <c r="D317" s="45">
        <v>21.7</v>
      </c>
      <c r="E317" s="85">
        <f t="shared" ref="E317" ca="1" si="251">INDIRECT("a_" &amp; i) * t^3 + INDIRECT("b_" &amp; i) * t^2 + INDIRECT("c_" &amp; i) * t^1 + INDIRECT("d_" &amp; i)</f>
        <v>0.28987241894685739</v>
      </c>
      <c r="F317" s="88" t="s">
        <v>233</v>
      </c>
      <c r="R317" s="91">
        <f t="array" aca="1" ref="R317" ca="1">E317:E617</f>
        <v>0.28987241894685739</v>
      </c>
      <c r="S317" s="92">
        <f t="shared" ca="1" si="227"/>
        <v>4.8994668914782366E-3</v>
      </c>
      <c r="T317" s="92">
        <f t="shared" ca="1" si="229"/>
        <v>-5.3950933753249232E-3</v>
      </c>
    </row>
    <row r="318" spans="3:20" s="45" customFormat="1" x14ac:dyDescent="0.2">
      <c r="C318" s="45">
        <v>30</v>
      </c>
      <c r="D318" s="45">
        <v>21.8</v>
      </c>
      <c r="E318" s="85">
        <f t="shared" ref="E318" ca="1" si="252">INDIRECT("a_" &amp; i) * t^3 + INDIRECT("b_" &amp; i) * t^2 + INDIRECT("c_" &amp; i) * t^1 + INDIRECT("d_" &amp; i)</f>
        <v>0.29030777342616282</v>
      </c>
      <c r="F318" s="88" t="s">
        <v>233</v>
      </c>
      <c r="R318" s="91">
        <f t="array" aca="1" ref="R318" ca="1">E318:E618</f>
        <v>0.29030777342616282</v>
      </c>
      <c r="S318" s="92">
        <f t="shared" ca="1" si="227"/>
        <v>4.3535447930542143E-3</v>
      </c>
      <c r="T318" s="92">
        <f t="shared" ca="1" si="229"/>
        <v>-5.4592209842401459E-3</v>
      </c>
    </row>
    <row r="319" spans="3:20" s="45" customFormat="1" x14ac:dyDescent="0.2">
      <c r="C319" s="45">
        <v>30</v>
      </c>
      <c r="D319" s="45">
        <v>21.9</v>
      </c>
      <c r="E319" s="85">
        <f t="shared" ref="E319" ca="1" si="253">INDIRECT("a_" &amp; i) * t^3 + INDIRECT("b_" &amp; i) * t^2 + INDIRECT("c_" &amp; i) * t^1 + INDIRECT("d_" &amp; i)</f>
        <v>0.29068789441953619</v>
      </c>
      <c r="F319" s="88" t="s">
        <v>233</v>
      </c>
      <c r="R319" s="91">
        <f t="array" aca="1" ref="R319" ca="1">E319:E619</f>
        <v>0.29068789441953619</v>
      </c>
      <c r="S319" s="92">
        <f t="shared" ca="1" si="227"/>
        <v>3.8012099337337546E-3</v>
      </c>
      <c r="T319" s="92">
        <f t="shared" ca="1" si="229"/>
        <v>-5.5233485932047145E-3</v>
      </c>
    </row>
    <row r="320" spans="3:20" s="45" customFormat="1" x14ac:dyDescent="0.2">
      <c r="C320" s="45">
        <v>30</v>
      </c>
      <c r="D320" s="45">
        <v>22</v>
      </c>
      <c r="E320" s="85">
        <f t="shared" ref="E320" ca="1" si="254">INDIRECT("a_" &amp; i) * t^3 + INDIRECT("b_" &amp; i) * t^2 + INDIRECT("c_" &amp; i) * t^1 + INDIRECT("d_" &amp; i)</f>
        <v>0.29101214065088793</v>
      </c>
      <c r="F320" s="88" t="s">
        <v>233</v>
      </c>
      <c r="R320" s="91">
        <f t="array" aca="1" ref="R320" ca="1">E320:E620</f>
        <v>0.29101214065088793</v>
      </c>
      <c r="S320" s="92">
        <f t="shared" ca="1" si="227"/>
        <v>3.2424623135173898E-3</v>
      </c>
      <c r="T320" s="92">
        <f t="shared" ca="1" si="229"/>
        <v>-5.5874762021635689E-3</v>
      </c>
    </row>
    <row r="321" spans="3:20" s="45" customFormat="1" x14ac:dyDescent="0.2">
      <c r="C321" s="45">
        <v>30</v>
      </c>
      <c r="D321" s="45">
        <v>22.1</v>
      </c>
      <c r="E321" s="85">
        <f t="shared" ref="E321" ca="1" si="255">INDIRECT("a_" &amp; i) * t^3 + INDIRECT("b_" &amp; i) * t^2 + INDIRECT("c_" &amp; i) * t^1 + INDIRECT("d_" &amp; i)</f>
        <v>0.29127987084412982</v>
      </c>
      <c r="F321" s="88" t="s">
        <v>233</v>
      </c>
      <c r="R321" s="91">
        <f t="array" aca="1" ref="R321" ca="1">E321:E621</f>
        <v>0.29127987084412982</v>
      </c>
      <c r="S321" s="92">
        <f t="shared" ca="1" si="227"/>
        <v>2.677301932418847E-3</v>
      </c>
      <c r="T321" s="92">
        <f t="shared" ca="1" si="229"/>
        <v>-5.6516038109853473E-3</v>
      </c>
    </row>
    <row r="322" spans="3:20" s="45" customFormat="1" x14ac:dyDescent="0.2">
      <c r="C322" s="45">
        <v>30</v>
      </c>
      <c r="D322" s="45">
        <v>22.2</v>
      </c>
      <c r="E322" s="85">
        <f t="shared" ref="E322" ca="1" si="256">INDIRECT("a_" &amp; i) * t^3 + INDIRECT("b_" &amp; i) * t^2 + INDIRECT("c_" &amp; i) * t^1 + INDIRECT("d_" &amp; i)</f>
        <v>0.29149044372317107</v>
      </c>
      <c r="F322" s="88" t="s">
        <v>233</v>
      </c>
      <c r="R322" s="91">
        <f t="array" aca="1" ref="R322" ca="1">E322:E622</f>
        <v>0.29149044372317107</v>
      </c>
      <c r="S322" s="92">
        <f t="shared" ca="1" si="227"/>
        <v>2.1057287904125317E-3</v>
      </c>
      <c r="T322" s="92">
        <f t="shared" ca="1" si="229"/>
        <v>-5.715731420063274E-3</v>
      </c>
    </row>
    <row r="323" spans="3:20" s="45" customFormat="1" x14ac:dyDescent="0.2">
      <c r="C323" s="45">
        <v>30</v>
      </c>
      <c r="D323" s="45">
        <v>22.3</v>
      </c>
      <c r="E323" s="85">
        <f t="shared" ref="E323" ca="1" si="257">INDIRECT("a_" &amp; i) * t^3 + INDIRECT("b_" &amp; i) * t^2 + INDIRECT("c_" &amp; i) * t^1 + INDIRECT("d_" &amp; i)</f>
        <v>0.29164321801192344</v>
      </c>
      <c r="F323" s="88" t="s">
        <v>233</v>
      </c>
      <c r="R323" s="91">
        <f t="array" aca="1" ref="R323" ca="1">E323:E623</f>
        <v>0.29164321801192344</v>
      </c>
      <c r="S323" s="92">
        <f t="shared" ca="1" si="227"/>
        <v>1.5277428875237536E-3</v>
      </c>
      <c r="T323" s="92">
        <f t="shared" ca="1" si="229"/>
        <v>-5.7798590288876987E-3</v>
      </c>
    </row>
    <row r="324" spans="3:20" s="45" customFormat="1" x14ac:dyDescent="0.2">
      <c r="C324" s="45">
        <v>30</v>
      </c>
      <c r="D324" s="45">
        <v>22.4</v>
      </c>
      <c r="E324" s="85">
        <f t="shared" ref="E324" ca="1" si="258">INDIRECT("a_" &amp; i) * t^3 + INDIRECT("b_" &amp; i) * t^2 + INDIRECT("c_" &amp; i) * t^1 + INDIRECT("d_" &amp; i)</f>
        <v>0.29173755243429672</v>
      </c>
      <c r="F324" s="88" t="s">
        <v>233</v>
      </c>
      <c r="R324" s="91">
        <f t="array" aca="1" ref="R324" ca="1">E324:E624</f>
        <v>0.29173755243429672</v>
      </c>
      <c r="S324" s="92">
        <f t="shared" ca="1" si="227"/>
        <v>9.4334422373278722E-4</v>
      </c>
      <c r="T324" s="92">
        <f t="shared" ca="1" si="229"/>
        <v>-5.8439866379097882E-3</v>
      </c>
    </row>
    <row r="325" spans="3:20" s="45" customFormat="1" x14ac:dyDescent="0.2">
      <c r="C325" s="45">
        <v>30</v>
      </c>
      <c r="D325" s="45">
        <v>22.5</v>
      </c>
      <c r="E325" s="85">
        <f t="shared" ref="E325" ca="1" si="259">INDIRECT("a_" &amp; i) * t^3 + INDIRECT("b_" &amp; i) * t^2 + INDIRECT("c_" &amp; i) * t^1 + INDIRECT("d_" &amp; i)</f>
        <v>0.291772805714202</v>
      </c>
      <c r="F325" s="88" t="s">
        <v>233</v>
      </c>
      <c r="R325" s="91">
        <f t="array" aca="1" ref="R325" ca="1">E325:E625</f>
        <v>0.291772805714202</v>
      </c>
      <c r="S325" s="92">
        <f t="shared" ca="1" si="227"/>
        <v>3.5253279905277991E-4</v>
      </c>
      <c r="T325" s="92">
        <f t="shared" ca="1" si="229"/>
        <v>-5.9081142467999892E-3</v>
      </c>
    </row>
    <row r="326" spans="3:20" s="45" customFormat="1" x14ac:dyDescent="0.2">
      <c r="C326" s="45">
        <v>30</v>
      </c>
      <c r="D326" s="45">
        <v>22.6</v>
      </c>
      <c r="E326" s="85">
        <f t="shared" ref="E326" ca="1" si="260">INDIRECT("a_" &amp; i) * t^3 + INDIRECT("b_" &amp; i) * t^2 + INDIRECT("c_" &amp; i) * t^1 + INDIRECT("d_" &amp; i)</f>
        <v>0.29174833657554938</v>
      </c>
      <c r="F326" s="88" t="s">
        <v>233</v>
      </c>
      <c r="R326" s="91">
        <f t="array" aca="1" ref="R326" ca="1">E326:E626</f>
        <v>0.29174833657554938</v>
      </c>
      <c r="S326" s="92">
        <f t="shared" ca="1" si="227"/>
        <v>-2.4469138652616004E-4</v>
      </c>
      <c r="T326" s="92">
        <f t="shared" ca="1" si="229"/>
        <v>-5.9722418557893149E-3</v>
      </c>
    </row>
    <row r="327" spans="3:20" s="45" customFormat="1" x14ac:dyDescent="0.2">
      <c r="C327" s="45">
        <v>30</v>
      </c>
      <c r="D327" s="45">
        <v>22.7</v>
      </c>
      <c r="E327" s="85">
        <f t="shared" ref="E327" ca="1" si="261">INDIRECT("a_" &amp; i) * t^3 + INDIRECT("b_" &amp; i) * t^2 + INDIRECT("c_" &amp; i) * t^1 + INDIRECT("d_" &amp; i)</f>
        <v>0.29166350374225031</v>
      </c>
      <c r="F327" s="88" t="s">
        <v>233</v>
      </c>
      <c r="R327" s="91">
        <f t="array" aca="1" ref="R327" ca="1">E327:E627</f>
        <v>0.29166350374225031</v>
      </c>
      <c r="S327" s="92">
        <f t="shared" ca="1" si="227"/>
        <v>-8.4832833299077349E-4</v>
      </c>
      <c r="T327" s="92">
        <f t="shared" ca="1" si="229"/>
        <v>-6.0363694646462631E-3</v>
      </c>
    </row>
    <row r="328" spans="3:20" s="45" customFormat="1" x14ac:dyDescent="0.2">
      <c r="C328" s="45">
        <v>30</v>
      </c>
      <c r="D328" s="45">
        <v>22.8</v>
      </c>
      <c r="E328" s="85">
        <f t="shared" ref="E328" ca="1" si="262">INDIRECT("a_" &amp; i) * t^3 + INDIRECT("b_" &amp; i) * t^2 + INDIRECT("c_" &amp; i) * t^1 + INDIRECT("d_" &amp; i)</f>
        <v>0.29151766593821499</v>
      </c>
      <c r="F328" s="88" t="s">
        <v>233</v>
      </c>
      <c r="R328" s="91">
        <f t="array" aca="1" ref="R328" ca="1">E328:E628</f>
        <v>0.29151766593821499</v>
      </c>
      <c r="S328" s="92">
        <f t="shared" ca="1" si="227"/>
        <v>-1.4583780403531824E-3</v>
      </c>
      <c r="T328" s="92">
        <f t="shared" ca="1" si="229"/>
        <v>-6.1004970736240017E-3</v>
      </c>
    </row>
    <row r="329" spans="3:20" s="45" customFormat="1" x14ac:dyDescent="0.2">
      <c r="C329" s="45">
        <v>30</v>
      </c>
      <c r="D329" s="45">
        <v>22.9</v>
      </c>
      <c r="E329" s="85">
        <f t="shared" ref="E329" ca="1" si="263">INDIRECT("a_" &amp; i) * t^3 + INDIRECT("b_" &amp; i) * t^2 + INDIRECT("c_" &amp; i) * t^1 + INDIRECT("d_" &amp; i)</f>
        <v>0.2913101818873543</v>
      </c>
      <c r="F329" s="88" t="s">
        <v>233</v>
      </c>
      <c r="R329" s="91">
        <f t="array" aca="1" ref="R329" ca="1">E329:E629</f>
        <v>0.2913101818873543</v>
      </c>
      <c r="S329" s="92">
        <f t="shared" ca="1" si="227"/>
        <v>-2.0748405086068898E-3</v>
      </c>
      <c r="T329" s="92">
        <f t="shared" ca="1" si="229"/>
        <v>-6.1646246825372061E-3</v>
      </c>
    </row>
    <row r="330" spans="3:20" s="45" customFormat="1" x14ac:dyDescent="0.2">
      <c r="C330" s="45">
        <v>30</v>
      </c>
      <c r="D330" s="45">
        <v>23</v>
      </c>
      <c r="E330" s="85">
        <f t="shared" ref="E330" ca="1" si="264">INDIRECT("a_" &amp; i) * t^3 + INDIRECT("b_" &amp; i) * t^2 + INDIRECT("c_" &amp; i) * t^1 + INDIRECT("d_" &amp; i)</f>
        <v>0.29104041031357802</v>
      </c>
      <c r="F330" s="88" t="s">
        <v>233</v>
      </c>
      <c r="R330" s="91">
        <f t="array" aca="1" ref="R330" ca="1">E330:E630</f>
        <v>0.29104041031357802</v>
      </c>
      <c r="S330" s="92">
        <f t="shared" ca="1" si="227"/>
        <v>-2.6977157377627466E-3</v>
      </c>
      <c r="T330" s="92">
        <f t="shared" ca="1" si="229"/>
        <v>-6.2287522915584793E-3</v>
      </c>
    </row>
    <row r="331" spans="3:20" s="45" customFormat="1" x14ac:dyDescent="0.2">
      <c r="C331" s="45">
        <v>30</v>
      </c>
      <c r="D331" s="45">
        <v>23.1</v>
      </c>
      <c r="E331" s="85">
        <f t="shared" ref="E331" ca="1" si="265">INDIRECT("a_" &amp; i) * t^3 + INDIRECT("b_" &amp; i) * t^2 + INDIRECT("c_" &amp; i) * t^1 + INDIRECT("d_" &amp; i)</f>
        <v>0.29070770994079803</v>
      </c>
      <c r="F331" s="88" t="s">
        <v>233</v>
      </c>
      <c r="R331" s="91">
        <f t="array" aca="1" ref="R331" ca="1">E331:E631</f>
        <v>0.29070770994079803</v>
      </c>
      <c r="S331" s="92">
        <f t="shared" ca="1" si="227"/>
        <v>-3.3270037277998792E-3</v>
      </c>
      <c r="T331" s="92">
        <f t="shared" ca="1" si="229"/>
        <v>-6.2928799003712371E-3</v>
      </c>
    </row>
    <row r="332" spans="3:20" s="45" customFormat="1" x14ac:dyDescent="0.2">
      <c r="C332" s="45">
        <v>30</v>
      </c>
      <c r="D332" s="45">
        <v>23.2</v>
      </c>
      <c r="E332" s="85">
        <f t="shared" ref="E332" ca="1" si="266">INDIRECT("a_" &amp; i) * t^3 + INDIRECT("b_" &amp; i) * t^2 + INDIRECT("c_" &amp; i) * t^1 + INDIRECT("d_" &amp; i)</f>
        <v>0.29031143949292398</v>
      </c>
      <c r="F332" s="88" t="s">
        <v>233</v>
      </c>
      <c r="R332" s="91">
        <f t="array" aca="1" ref="R332" ca="1">E332:E632</f>
        <v>0.29031143949292398</v>
      </c>
      <c r="S332" s="92">
        <f t="shared" ca="1" si="227"/>
        <v>-3.9627044787405594E-3</v>
      </c>
      <c r="T332" s="92">
        <f t="shared" ca="1" si="229"/>
        <v>-6.3570075094069372E-3</v>
      </c>
    </row>
    <row r="333" spans="3:20" s="45" customFormat="1" x14ac:dyDescent="0.2">
      <c r="C333" s="45">
        <v>30</v>
      </c>
      <c r="D333" s="45">
        <v>23.3</v>
      </c>
      <c r="E333" s="85">
        <f t="shared" ref="E333" ca="1" si="267">INDIRECT("a_" &amp; i) * t^3 + INDIRECT("b_" &amp; i) * t^2 + INDIRECT("c_" &amp; i) * t^1 + INDIRECT("d_" &amp; i)</f>
        <v>0.28985095769386676</v>
      </c>
      <c r="F333" s="88" t="s">
        <v>233</v>
      </c>
      <c r="R333" s="91">
        <f t="array" aca="1" ref="R333" ca="1">E333:E633</f>
        <v>0.28985095769386676</v>
      </c>
      <c r="S333" s="92">
        <f t="shared" ca="1" si="227"/>
        <v>-4.6048179905721536E-3</v>
      </c>
      <c r="T333" s="92">
        <f t="shared" ca="1" si="229"/>
        <v>-6.4211351183158507E-3</v>
      </c>
    </row>
    <row r="334" spans="3:20" s="45" customFormat="1" x14ac:dyDescent="0.2">
      <c r="C334" s="45">
        <v>30</v>
      </c>
      <c r="D334" s="45">
        <v>23.4</v>
      </c>
      <c r="E334" s="85">
        <f t="shared" ref="E334" ca="1" si="268">INDIRECT("a_" &amp; i) * t^3 + INDIRECT("b_" &amp; i) * t^2 + INDIRECT("c_" &amp; i) * t^1 + INDIRECT("d_" &amp; i)</f>
        <v>0.28932562326753747</v>
      </c>
      <c r="F334" s="88" t="s">
        <v>233</v>
      </c>
      <c r="R334" s="91">
        <f t="array" aca="1" ref="R334" ca="1">E334:E634</f>
        <v>0.28932562326753747</v>
      </c>
      <c r="S334" s="92">
        <f t="shared" ca="1" si="227"/>
        <v>-5.253344263293048E-3</v>
      </c>
      <c r="T334" s="92">
        <f t="shared" ca="1" si="229"/>
        <v>-6.4852627272090823E-3</v>
      </c>
    </row>
    <row r="335" spans="3:20" s="45" customFormat="1" x14ac:dyDescent="0.2">
      <c r="C335" s="45">
        <v>30</v>
      </c>
      <c r="D335" s="45">
        <v>23.5</v>
      </c>
      <c r="E335" s="85">
        <f t="shared" ref="E335" ca="1" si="269">INDIRECT("a_" &amp; i) * t^3 + INDIRECT("b_" &amp; i) * t^2 + INDIRECT("c_" &amp; i) * t^1 + INDIRECT("d_" &amp; i)</f>
        <v>0.28873479493784587</v>
      </c>
      <c r="F335" s="88" t="s">
        <v>233</v>
      </c>
      <c r="R335" s="91">
        <f t="array" aca="1" ref="R335" ca="1">E335:E635</f>
        <v>0.28873479493784587</v>
      </c>
      <c r="S335" s="92">
        <f t="shared" ca="1" si="227"/>
        <v>-5.9082832969158663E-3</v>
      </c>
      <c r="T335" s="92">
        <f t="shared" ca="1" si="229"/>
        <v>-6.5493903362280901E-3</v>
      </c>
    </row>
    <row r="336" spans="3:20" s="45" customFormat="1" x14ac:dyDescent="0.2">
      <c r="C336" s="45">
        <v>30</v>
      </c>
      <c r="D336" s="45">
        <v>23.6</v>
      </c>
      <c r="E336" s="85">
        <f t="shared" ref="E336" ca="1" si="270">INDIRECT("a_" &amp; i) * t^3 + INDIRECT("b_" &amp; i) * t^2 + INDIRECT("c_" &amp; i) * t^1 + INDIRECT("d_" &amp; i)</f>
        <v>0.28807783142870363</v>
      </c>
      <c r="F336" s="88" t="s">
        <v>233</v>
      </c>
      <c r="R336" s="91">
        <f t="array" aca="1" ref="R336" ca="1">E336:E636</f>
        <v>0.28807783142870363</v>
      </c>
      <c r="S336" s="92">
        <f t="shared" ca="1" si="227"/>
        <v>-6.5696350914222941E-3</v>
      </c>
      <c r="T336" s="92">
        <f t="shared" ca="1" si="229"/>
        <v>-6.6135179450641842E-3</v>
      </c>
    </row>
    <row r="337" spans="3:20" s="45" customFormat="1" x14ac:dyDescent="0.2">
      <c r="C337" s="45">
        <v>30</v>
      </c>
      <c r="D337" s="45">
        <v>23.7</v>
      </c>
      <c r="E337" s="85">
        <f t="shared" ref="E337" ca="1" si="271">INDIRECT("a_" &amp; i) * t^3 + INDIRECT("b_" &amp; i) * t^2 + INDIRECT("c_" &amp; i) * t^1 + INDIRECT("d_" &amp; i)</f>
        <v>0.28735409146402041</v>
      </c>
      <c r="F337" s="88" t="s">
        <v>233</v>
      </c>
      <c r="R337" s="91">
        <f t="array" aca="1" ref="R337" ca="1">E337:E637</f>
        <v>0.28735409146402041</v>
      </c>
      <c r="S337" s="92">
        <f t="shared" ca="1" si="227"/>
        <v>-7.2373996468323865E-3</v>
      </c>
      <c r="T337" s="92">
        <f t="shared" ca="1" si="229"/>
        <v>-6.6776455541010665E-3</v>
      </c>
    </row>
    <row r="338" spans="3:20" s="45" customFormat="1" x14ac:dyDescent="0.2">
      <c r="C338" s="45">
        <v>30</v>
      </c>
      <c r="D338" s="45">
        <v>23.8</v>
      </c>
      <c r="E338" s="85">
        <f t="shared" ref="E338" ca="1" si="272">INDIRECT("a_" &amp; i) * t^3 + INDIRECT("b_" &amp; i) * t^2 + INDIRECT("c_" &amp; i) * t^1 + INDIRECT("d_" &amp; i)</f>
        <v>0.28656293376770775</v>
      </c>
      <c r="F338" s="88" t="s">
        <v>233</v>
      </c>
      <c r="R338" s="91">
        <f t="array" aca="1" ref="R338" ca="1">E338:E638</f>
        <v>0.28656293376770775</v>
      </c>
      <c r="S338" s="92">
        <f t="shared" ca="1" si="227"/>
        <v>-7.911576963126497E-3</v>
      </c>
      <c r="T338" s="92">
        <f t="shared" ca="1" si="229"/>
        <v>-6.7417731629410092E-3</v>
      </c>
    </row>
    <row r="339" spans="3:20" s="45" customFormat="1" x14ac:dyDescent="0.2">
      <c r="C339" s="45">
        <v>30</v>
      </c>
      <c r="D339" s="45">
        <v>23.9</v>
      </c>
      <c r="E339" s="85">
        <f t="shared" ref="E339" ca="1" si="273">INDIRECT("a_" &amp; i) * t^3 + INDIRECT("b_" &amp; i) * t^2 + INDIRECT("c_" &amp; i) * t^1 + INDIRECT("d_" &amp; i)</f>
        <v>0.28570371706367498</v>
      </c>
      <c r="F339" s="88" t="s">
        <v>233</v>
      </c>
      <c r="R339" s="91">
        <f t="array" aca="1" ref="R339" ca="1">E339:E639</f>
        <v>0.28570371706367498</v>
      </c>
      <c r="S339" s="92">
        <f t="shared" ca="1" si="227"/>
        <v>-8.5921670403279089E-3</v>
      </c>
      <c r="T339" s="92">
        <f t="shared" ca="1" si="229"/>
        <v>-6.8059007720142643E-3</v>
      </c>
    </row>
    <row r="340" spans="3:20" s="45" customFormat="1" x14ac:dyDescent="0.2">
      <c r="C340" s="45">
        <v>30</v>
      </c>
      <c r="D340" s="45">
        <v>24</v>
      </c>
      <c r="E340" s="85">
        <f t="shared" ref="E340" ca="1" si="274">INDIRECT("a_" &amp; i) * t^3 + INDIRECT("b_" &amp; i) * t^2 + INDIRECT("c_" &amp; i) * t^1 + INDIRECT("d_" &amp; i)</f>
        <v>0.28477580007583431</v>
      </c>
      <c r="F340" s="88" t="s">
        <v>233</v>
      </c>
      <c r="R340" s="91">
        <f t="array" aca="1" ref="R340" ca="1">E340:E640</f>
        <v>0.28477580007583431</v>
      </c>
      <c r="S340" s="92">
        <f t="shared" ca="1" si="227"/>
        <v>-9.2791698784065804E-3</v>
      </c>
      <c r="T340" s="92">
        <f t="shared" ca="1" si="229"/>
        <v>-6.8700283807866169E-3</v>
      </c>
    </row>
    <row r="341" spans="3:20" s="45" customFormat="1" x14ac:dyDescent="0.2">
      <c r="C341" s="45">
        <v>30</v>
      </c>
      <c r="D341" s="45">
        <v>24.1</v>
      </c>
      <c r="E341" s="85">
        <f t="shared" ref="E341" ca="1" si="275">INDIRECT("a_" &amp; i) * t^3 + INDIRECT("b_" &amp; i) * t^2 + INDIRECT("c_" &amp; i) * t^1 + INDIRECT("d_" &amp; i)</f>
        <v>0.28377854152809495</v>
      </c>
      <c r="F341" s="88" t="s">
        <v>233</v>
      </c>
      <c r="R341" s="91">
        <f t="array" aca="1" ref="R341" ca="1">E341:E641</f>
        <v>0.28377854152809495</v>
      </c>
      <c r="S341" s="92">
        <f t="shared" ca="1" si="227"/>
        <v>-9.9725854773934051E-3</v>
      </c>
      <c r="T341" s="92">
        <f t="shared" ca="1" si="229"/>
        <v>-6.9341559898681484E-3</v>
      </c>
    </row>
    <row r="342" spans="3:20" s="45" customFormat="1" x14ac:dyDescent="0.2">
      <c r="C342" s="45">
        <v>30</v>
      </c>
      <c r="D342" s="45">
        <v>24.2</v>
      </c>
      <c r="E342" s="85">
        <f t="shared" ref="E342" ca="1" si="276">INDIRECT("a_" &amp; i) * t^3 + INDIRECT("b_" &amp; i) * t^2 + INDIRECT("c_" &amp; i) * t^1 + INDIRECT("d_" &amp; i)</f>
        <v>0.28271130014436879</v>
      </c>
      <c r="F342" s="88" t="s">
        <v>233</v>
      </c>
      <c r="R342" s="91">
        <f t="array" aca="1" ref="R342" ca="1">E342:E642</f>
        <v>0.28271130014436879</v>
      </c>
      <c r="S342" s="92">
        <f t="shared" ca="1" si="227"/>
        <v>-1.0672413837261812E-2</v>
      </c>
      <c r="T342" s="92">
        <f t="shared" ca="1" si="229"/>
        <v>-6.9982835986842212E-3</v>
      </c>
    </row>
    <row r="343" spans="3:20" s="45" customFormat="1" x14ac:dyDescent="0.2">
      <c r="C343" s="45">
        <v>30</v>
      </c>
      <c r="D343" s="45">
        <v>24.3</v>
      </c>
      <c r="E343" s="85">
        <f t="shared" ref="E343" ca="1" si="277">INDIRECT("a_" &amp; i) * t^3 + INDIRECT("b_" &amp; i) * t^2 + INDIRECT("c_" &amp; i) * t^1 + INDIRECT("d_" &amp; i)</f>
        <v>0.2815734346485656</v>
      </c>
      <c r="F343" s="88" t="s">
        <v>233</v>
      </c>
      <c r="R343" s="91">
        <f t="array" aca="1" ref="R343" ca="1">E343:E643</f>
        <v>0.2815734346485656</v>
      </c>
      <c r="S343" s="92">
        <f t="shared" ca="1" si="227"/>
        <v>-1.1378654958031758E-2</v>
      </c>
      <c r="T343" s="92">
        <f t="shared" ca="1" si="229"/>
        <v>-7.0624112076993588E-3</v>
      </c>
    </row>
    <row r="344" spans="3:20" s="45" customFormat="1" x14ac:dyDescent="0.2">
      <c r="C344" s="45">
        <v>30</v>
      </c>
      <c r="D344" s="45">
        <v>24.4</v>
      </c>
      <c r="E344" s="85">
        <f t="shared" ref="E344" ca="1" si="278">INDIRECT("a_" &amp; i) * t^3 + INDIRECT("b_" &amp; i) * t^2 + INDIRECT("c_" &amp; i) * t^1 + INDIRECT("d_" &amp; i)</f>
        <v>0.28036430376459626</v>
      </c>
      <c r="F344" s="88" t="s">
        <v>233</v>
      </c>
      <c r="R344" s="91">
        <f t="array" aca="1" ref="R344" ca="1">E344:E644</f>
        <v>0.28036430376459626</v>
      </c>
      <c r="S344" s="92">
        <f t="shared" ca="1" si="227"/>
        <v>-1.2091308839693707E-2</v>
      </c>
      <c r="T344" s="92">
        <f t="shared" ca="1" si="229"/>
        <v>-7.1265388166196408E-3</v>
      </c>
    </row>
    <row r="345" spans="3:20" s="45" customFormat="1" x14ac:dyDescent="0.2">
      <c r="C345" s="45">
        <v>30</v>
      </c>
      <c r="D345" s="45">
        <v>24.5</v>
      </c>
      <c r="E345" s="85">
        <f t="shared" ref="E345" ca="1" si="279">INDIRECT("a_" &amp; i) * t^3 + INDIRECT("b_" &amp; i) * t^2 + INDIRECT("c_" &amp; i) * t^1 + INDIRECT("d_" &amp; i)</f>
        <v>0.27908326621637142</v>
      </c>
      <c r="F345" s="88" t="s">
        <v>233</v>
      </c>
      <c r="R345" s="91">
        <f t="array" aca="1" ref="R345" ca="1">E345:E645</f>
        <v>0.27908326621637142</v>
      </c>
      <c r="S345" s="92">
        <f t="shared" ca="1" si="227"/>
        <v>-1.2810375482248211E-2</v>
      </c>
      <c r="T345" s="92">
        <f t="shared" ca="1" si="229"/>
        <v>-7.1906664255449327E-3</v>
      </c>
    </row>
    <row r="346" spans="3:20" s="45" customFormat="1" x14ac:dyDescent="0.2">
      <c r="C346" s="45">
        <v>30</v>
      </c>
      <c r="D346" s="45">
        <v>24.6</v>
      </c>
      <c r="E346" s="85">
        <f t="shared" ref="E346" ca="1" si="280">INDIRECT("a_" &amp; i) * t^3 + INDIRECT("b_" &amp; i) * t^2 + INDIRECT("c_" &amp; i) * t^1 + INDIRECT("d_" &amp; i)</f>
        <v>0.27772968072780185</v>
      </c>
      <c r="F346" s="88" t="s">
        <v>233</v>
      </c>
      <c r="R346" s="91">
        <f t="array" aca="1" ref="R346" ca="1">E346:E646</f>
        <v>0.27772968072780185</v>
      </c>
      <c r="S346" s="92">
        <f t="shared" ca="1" si="227"/>
        <v>-1.3535854885695449E-2</v>
      </c>
      <c r="T346" s="92">
        <f t="shared" ca="1" si="229"/>
        <v>-7.254794034472282E-3</v>
      </c>
    </row>
    <row r="347" spans="3:20" s="45" customFormat="1" x14ac:dyDescent="0.2">
      <c r="C347" s="45">
        <v>30</v>
      </c>
      <c r="D347" s="45">
        <v>24.7</v>
      </c>
      <c r="E347" s="85">
        <f t="shared" ref="E347" ca="1" si="281">INDIRECT("a_" &amp; i) * t^3 + INDIRECT("b_" &amp; i) * t^2 + INDIRECT("c_" &amp; i) * t^1 + INDIRECT("d_" &amp; i)</f>
        <v>0.27630290602279733</v>
      </c>
      <c r="F347" s="88" t="s">
        <v>233</v>
      </c>
      <c r="R347" s="91">
        <f t="array" aca="1" ref="R347" ca="1">E347:E647</f>
        <v>0.27630290602279733</v>
      </c>
      <c r="S347" s="92">
        <f t="shared" ca="1" si="227"/>
        <v>-1.4267747050045491E-2</v>
      </c>
      <c r="T347" s="92">
        <f t="shared" ca="1" si="229"/>
        <v>-7.3189216435005748E-3</v>
      </c>
    </row>
    <row r="348" spans="3:20" s="45" customFormat="1" x14ac:dyDescent="0.2">
      <c r="C348" s="45">
        <v>30</v>
      </c>
      <c r="D348" s="45">
        <v>24.8</v>
      </c>
      <c r="E348" s="85">
        <f t="shared" ref="E348" ca="1" si="282">INDIRECT("a_" &amp; i) * t^3 + INDIRECT("b_" &amp; i) * t^2 + INDIRECT("c_" &amp; i) * t^1 + INDIRECT("d_" &amp; i)</f>
        <v>0.27480230082527007</v>
      </c>
      <c r="F348" s="88" t="s">
        <v>233</v>
      </c>
      <c r="R348" s="91">
        <f t="array" aca="1" ref="R348" ca="1">E348:E648</f>
        <v>0.27480230082527007</v>
      </c>
      <c r="S348" s="92">
        <f t="shared" ca="1" si="227"/>
        <v>-1.5006051975272392E-2</v>
      </c>
      <c r="T348" s="92">
        <f t="shared" ca="1" si="229"/>
        <v>-7.383049252268902E-3</v>
      </c>
    </row>
    <row r="349" spans="3:20" s="45" customFormat="1" x14ac:dyDescent="0.2">
      <c r="C349" s="45">
        <v>30</v>
      </c>
      <c r="D349" s="45">
        <v>24.9</v>
      </c>
      <c r="E349" s="85">
        <f t="shared" ref="E349" ca="1" si="283">INDIRECT("a_" &amp; i) * t^3 + INDIRECT("b_" &amp; i) * t^2 + INDIRECT("c_" &amp; i) * t^1 + INDIRECT("d_" &amp; i)</f>
        <v>0.27322722385912951</v>
      </c>
      <c r="F349" s="88" t="s">
        <v>233</v>
      </c>
      <c r="R349" s="91">
        <f t="array" aca="1" ref="R349" ca="1">E349:E649</f>
        <v>0.27322722385912951</v>
      </c>
      <c r="S349" s="92">
        <f t="shared" ca="1" si="227"/>
        <v>-1.5750769661405987E-2</v>
      </c>
      <c r="T349" s="92">
        <f t="shared" ca="1" si="229"/>
        <v>-7.447176861336109E-3</v>
      </c>
    </row>
    <row r="350" spans="3:20" s="45" customFormat="1" x14ac:dyDescent="0.2">
      <c r="C350" s="45">
        <v>30</v>
      </c>
      <c r="D350" s="45">
        <v>25</v>
      </c>
      <c r="E350" s="85">
        <f t="shared" ref="E350" ca="1" si="284">INDIRECT("a_" &amp; i) * t^3 + INDIRECT("b_" &amp; i) * t^2 + INDIRECT("c_" &amp; i) * t^1 + INDIRECT("d_" &amp; i)</f>
        <v>0.27157703384828608</v>
      </c>
      <c r="F350" s="88" t="s">
        <v>233</v>
      </c>
      <c r="R350" s="91">
        <f t="array" aca="1" ref="R350" ca="1">E350:E650</f>
        <v>0.27157703384828608</v>
      </c>
      <c r="S350" s="92">
        <f t="shared" ca="1" si="227"/>
        <v>-1.6501900108434095E-2</v>
      </c>
      <c r="T350" s="92">
        <f t="shared" ca="1" si="229"/>
        <v>-7.5113044702809747E-3</v>
      </c>
    </row>
    <row r="351" spans="3:20" s="45" customFormat="1" x14ac:dyDescent="0.2">
      <c r="C351" s="45">
        <v>30</v>
      </c>
      <c r="D351" s="45">
        <v>25.1</v>
      </c>
      <c r="E351" s="85">
        <f t="shared" ref="E351" ca="1" si="285">INDIRECT("a_" &amp; i) * t^3 + INDIRECT("b_" &amp; i) * t^2 + INDIRECT("c_" &amp; i) * t^1 + INDIRECT("d_" &amp; i)</f>
        <v>0.26985108951665143</v>
      </c>
      <c r="F351" s="88" t="s">
        <v>233</v>
      </c>
      <c r="R351" s="91">
        <f t="array" aca="1" ref="R351" ca="1">E351:E651</f>
        <v>0.26985108951665143</v>
      </c>
      <c r="S351" s="92">
        <f t="shared" ca="1" si="227"/>
        <v>-1.7259443316346188E-2</v>
      </c>
      <c r="T351" s="92">
        <f t="shared" ca="1" si="229"/>
        <v>-7.5754320791208245E-3</v>
      </c>
    </row>
    <row r="352" spans="3:20" s="45" customFormat="1" x14ac:dyDescent="0.2">
      <c r="C352" s="45">
        <v>30</v>
      </c>
      <c r="D352" s="45">
        <v>25.2</v>
      </c>
      <c r="E352" s="85">
        <f t="shared" ref="E352" ca="1" si="286">INDIRECT("a_" &amp; i) * t^3 + INDIRECT("b_" &amp; i) * t^2 + INDIRECT("c_" &amp; i) * t^1 + INDIRECT("d_" &amp; i)</f>
        <v>0.2680487495881359</v>
      </c>
      <c r="F352" s="88" t="s">
        <v>233</v>
      </c>
      <c r="R352" s="91">
        <f t="array" aca="1" ref="R352" ca="1">E352:E652</f>
        <v>0.2680487495881359</v>
      </c>
      <c r="S352" s="92">
        <f t="shared" ca="1" si="227"/>
        <v>-1.8023399285155669E-2</v>
      </c>
      <c r="T352" s="92">
        <f t="shared" ca="1" si="229"/>
        <v>-7.6395596880949705E-3</v>
      </c>
    </row>
    <row r="353" spans="3:20" s="45" customFormat="1" x14ac:dyDescent="0.2">
      <c r="C353" s="45">
        <v>30</v>
      </c>
      <c r="D353" s="45">
        <v>25.3</v>
      </c>
      <c r="E353" s="85">
        <f t="shared" ref="E353" ca="1" si="287">INDIRECT("a_" &amp; i) * t^3 + INDIRECT("b_" &amp; i) * t^2 + INDIRECT("c_" &amp; i) * t^1 + INDIRECT("d_" &amp; i)</f>
        <v>0.26616937278664948</v>
      </c>
      <c r="F353" s="88" t="s">
        <v>233</v>
      </c>
      <c r="R353" s="91">
        <f t="array" aca="1" ref="R353" ca="1">E353:E653</f>
        <v>0.26616937278664948</v>
      </c>
      <c r="S353" s="92">
        <f t="shared" ca="1" si="227"/>
        <v>-1.8793768014863942E-2</v>
      </c>
      <c r="T353" s="92">
        <f t="shared" ca="1" si="229"/>
        <v>-7.7036872970826249E-3</v>
      </c>
    </row>
    <row r="354" spans="3:20" s="45" customFormat="1" x14ac:dyDescent="0.2">
      <c r="C354" s="45">
        <v>30</v>
      </c>
      <c r="D354" s="45">
        <v>25.4</v>
      </c>
      <c r="E354" s="85">
        <f t="shared" ref="E354" ca="1" si="288">INDIRECT("a_" &amp; i) * t^3 + INDIRECT("b_" &amp; i) * t^2 + INDIRECT("c_" &amp; i) * t^1 + INDIRECT("d_" &amp; i)</f>
        <v>0.26421231783610372</v>
      </c>
      <c r="F354" s="88" t="s">
        <v>233</v>
      </c>
      <c r="R354" s="91">
        <f t="array" aca="1" ref="R354" ca="1">E354:E654</f>
        <v>0.26421231783610372</v>
      </c>
      <c r="S354" s="92">
        <f t="shared" ca="1" si="227"/>
        <v>-1.9570549505458085E-2</v>
      </c>
      <c r="T354" s="92">
        <f t="shared" ca="1" si="229"/>
        <v>-7.7678149059415896E-3</v>
      </c>
    </row>
    <row r="355" spans="3:20" s="45" customFormat="1" x14ac:dyDescent="0.2">
      <c r="C355" s="45">
        <v>30</v>
      </c>
      <c r="D355" s="45">
        <v>25.5</v>
      </c>
      <c r="E355" s="85">
        <f t="shared" ref="E355" ca="1" si="289">INDIRECT("a_" &amp; i) * t^3 + INDIRECT("b_" &amp; i) * t^2 + INDIRECT("c_" &amp; i) * t^1 + INDIRECT("d_" &amp; i)</f>
        <v>0.26217694346040793</v>
      </c>
      <c r="F355" s="88" t="s">
        <v>233</v>
      </c>
      <c r="R355" s="91">
        <f t="array" aca="1" ref="R355" ca="1">E355:E655</f>
        <v>0.26217694346040793</v>
      </c>
      <c r="S355" s="92">
        <f t="shared" ca="1" si="227"/>
        <v>-2.0353743756957577E-2</v>
      </c>
      <c r="T355" s="92">
        <f t="shared" ca="1" si="229"/>
        <v>-7.8319425149948121E-3</v>
      </c>
    </row>
    <row r="356" spans="3:20" s="45" customFormat="1" x14ac:dyDescent="0.2">
      <c r="C356" s="45">
        <v>30</v>
      </c>
      <c r="D356" s="45">
        <v>25.6</v>
      </c>
      <c r="E356" s="85">
        <f t="shared" ref="E356" ca="1" si="290">INDIRECT("a_" &amp; i) * t^3 + INDIRECT("b_" &amp; i) * t^2 + INDIRECT("c_" &amp; i) * t^1 + INDIRECT("d_" &amp; i)</f>
        <v>0.260062608383474</v>
      </c>
      <c r="F356" s="88" t="s">
        <v>233</v>
      </c>
      <c r="R356" s="91">
        <f t="array" aca="1" ref="R356" ca="1">E356:E656</f>
        <v>0.260062608383474</v>
      </c>
      <c r="S356" s="92">
        <f t="shared" ca="1" si="227"/>
        <v>-2.1143350769338962E-2</v>
      </c>
      <c r="T356" s="92">
        <f t="shared" ca="1" si="229"/>
        <v>-7.8960701238137403E-3</v>
      </c>
    </row>
    <row r="357" spans="3:20" s="45" customFormat="1" x14ac:dyDescent="0.2">
      <c r="C357" s="45">
        <v>30</v>
      </c>
      <c r="D357" s="45">
        <v>25.7</v>
      </c>
      <c r="E357" s="85">
        <f t="shared" ref="E357" ca="1" si="291">INDIRECT("a_" &amp; i) * t^3 + INDIRECT("b_" &amp; i) * t^2 + INDIRECT("c_" &amp; i) * t^1 + INDIRECT("d_" &amp; i)</f>
        <v>0.25786867132921204</v>
      </c>
      <c r="F357" s="88" t="s">
        <v>233</v>
      </c>
      <c r="R357" s="91">
        <f t="array" aca="1" ref="R357" ca="1">E357:E657</f>
        <v>0.25786867132921204</v>
      </c>
      <c r="S357" s="92">
        <f t="shared" ca="1" si="227"/>
        <v>-2.1939370542620098E-2</v>
      </c>
      <c r="T357" s="92">
        <f t="shared" ca="1" si="229"/>
        <v>-7.9601977328115255E-3</v>
      </c>
    </row>
    <row r="358" spans="3:20" s="45" customFormat="1" x14ac:dyDescent="0.2">
      <c r="C358" s="45">
        <v>30</v>
      </c>
      <c r="D358" s="45">
        <v>25.8</v>
      </c>
      <c r="E358" s="85">
        <f t="shared" ref="E358" ca="1" si="292">INDIRECT("a_" &amp; i) * t^3 + INDIRECT("b_" &amp; i) * t^2 + INDIRECT("c_" &amp; i) * t^1 + INDIRECT("d_" &amp; i)</f>
        <v>0.25559449102153314</v>
      </c>
      <c r="F358" s="88" t="s">
        <v>233</v>
      </c>
      <c r="R358" s="91">
        <f t="array" aca="1" ref="R358" ca="1">E358:E658</f>
        <v>0.25559449102153314</v>
      </c>
      <c r="S358" s="92">
        <f t="shared" ref="S358:S400" ca="1" si="293">(R358-R357)/(D358-D357)</f>
        <v>-2.2741803076788646E-2</v>
      </c>
      <c r="T358" s="92">
        <f t="shared" ca="1" si="229"/>
        <v>-8.0243253416853698E-3</v>
      </c>
    </row>
    <row r="359" spans="3:20" s="45" customFormat="1" x14ac:dyDescent="0.2">
      <c r="C359" s="45">
        <v>30</v>
      </c>
      <c r="D359" s="45">
        <v>25.9</v>
      </c>
      <c r="E359" s="85">
        <f t="shared" ref="E359" ca="1" si="294">INDIRECT("a_" &amp; i) * t^3 + INDIRECT("b_" &amp; i) * t^2 + INDIRECT("c_" &amp; i) * t^1 + INDIRECT("d_" &amp; i)</f>
        <v>0.25323942618434708</v>
      </c>
      <c r="F359" s="88" t="s">
        <v>233</v>
      </c>
      <c r="R359" s="91">
        <f t="array" aca="1" ref="R359" ca="1">E359:E659</f>
        <v>0.25323942618434708</v>
      </c>
      <c r="S359" s="92">
        <f t="shared" ca="1" si="293"/>
        <v>-2.3550648371861108E-2</v>
      </c>
      <c r="T359" s="92">
        <f t="shared" ref="T359:T400" ca="1" si="295">(S359-S358)/(D359-D358)</f>
        <v>-8.0884529507247917E-3</v>
      </c>
    </row>
    <row r="360" spans="3:20" s="45" customFormat="1" x14ac:dyDescent="0.2">
      <c r="C360" s="45">
        <v>30</v>
      </c>
      <c r="D360" s="45">
        <v>26</v>
      </c>
      <c r="E360" s="85">
        <f t="shared" ref="E360" ca="1" si="296">INDIRECT("a_" &amp; i) * t^3 + INDIRECT("b_" &amp; i) * t^2 + INDIRECT("c_" &amp; i) * t^1 + INDIRECT("d_" &amp; i)</f>
        <v>0.25080283554156518</v>
      </c>
      <c r="F360" s="88" t="s">
        <v>233</v>
      </c>
      <c r="R360" s="91">
        <f t="array" aca="1" ref="R360" ca="1">E360:E660</f>
        <v>0.25080283554156518</v>
      </c>
      <c r="S360" s="92">
        <f t="shared" ca="1" si="293"/>
        <v>-2.4365906427818648E-2</v>
      </c>
      <c r="T360" s="92">
        <f t="shared" ca="1" si="295"/>
        <v>-8.1525805595752832E-3</v>
      </c>
    </row>
    <row r="361" spans="3:20" s="45" customFormat="1" x14ac:dyDescent="0.2">
      <c r="C361" s="45">
        <v>30</v>
      </c>
      <c r="D361" s="45">
        <v>26.1</v>
      </c>
      <c r="E361" s="85">
        <f t="shared" ref="E361" ca="1" si="297">INDIRECT("a_" &amp; i) * t^3 + INDIRECT("b_" &amp; i) * t^2 + INDIRECT("c_" &amp; i) * t^1 + INDIRECT("d_" &amp; i)</f>
        <v>0.24828407781709777</v>
      </c>
      <c r="F361" s="88" t="s">
        <v>233</v>
      </c>
      <c r="R361" s="91">
        <f t="array" aca="1" ref="R361" ca="1">E361:E661</f>
        <v>0.24828407781709777</v>
      </c>
      <c r="S361" s="92">
        <f t="shared" ca="1" si="293"/>
        <v>-2.5187577244673773E-2</v>
      </c>
      <c r="T361" s="92">
        <f t="shared" ca="1" si="295"/>
        <v>-8.2167081685511362E-3</v>
      </c>
    </row>
    <row r="362" spans="3:20" s="45" customFormat="1" x14ac:dyDescent="0.2">
      <c r="C362" s="45">
        <v>30</v>
      </c>
      <c r="D362" s="45">
        <v>26.2</v>
      </c>
      <c r="E362" s="85">
        <f t="shared" ref="E362" ca="1" si="298">INDIRECT("a_" &amp; i) * t^3 + INDIRECT("b_" &amp; i) * t^2 + INDIRECT("c_" &amp; i) * t^1 + INDIRECT("d_" &amp; i)</f>
        <v>0.24568251173485561</v>
      </c>
      <c r="F362" s="88" t="s">
        <v>233</v>
      </c>
      <c r="R362" s="91">
        <f t="array" aca="1" ref="R362" ca="1">E362:E662</f>
        <v>0.24568251173485561</v>
      </c>
      <c r="S362" s="92">
        <f t="shared" ca="1" si="293"/>
        <v>-2.6015660822422126E-2</v>
      </c>
      <c r="T362" s="92">
        <f t="shared" ca="1" si="295"/>
        <v>-8.2808357774837062E-3</v>
      </c>
    </row>
    <row r="363" spans="3:20" s="45" customFormat="1" x14ac:dyDescent="0.2">
      <c r="C363" s="45">
        <v>30</v>
      </c>
      <c r="D363" s="45">
        <v>26.3</v>
      </c>
      <c r="E363" s="85">
        <f t="shared" ref="E363" ca="1" si="299">INDIRECT("a_" &amp; i) * t^3 + INDIRECT("b_" &amp; i) * t^2 + INDIRECT("c_" &amp; i) * t^1 + INDIRECT("d_" &amp; i)</f>
        <v>0.24299749601874959</v>
      </c>
      <c r="F363" s="88" t="s">
        <v>233</v>
      </c>
      <c r="R363" s="91">
        <f t="array" aca="1" ref="R363" ca="1">E363:E663</f>
        <v>0.24299749601874959</v>
      </c>
      <c r="S363" s="92">
        <f t="shared" ca="1" si="293"/>
        <v>-2.6850157161059825E-2</v>
      </c>
      <c r="T363" s="92">
        <f t="shared" ca="1" si="295"/>
        <v>-8.3449633863768649E-3</v>
      </c>
    </row>
    <row r="364" spans="3:20" s="45" customFormat="1" x14ac:dyDescent="0.2">
      <c r="C364" s="45">
        <v>30</v>
      </c>
      <c r="D364" s="45">
        <v>26.4</v>
      </c>
      <c r="E364" s="85">
        <f t="shared" ref="E364" ca="1" si="300">INDIRECT("a_" &amp; i) * t^3 + INDIRECT("b_" &amp; i) * t^2 + INDIRECT("c_" &amp; i) * t^1 + INDIRECT("d_" &amp; i)</f>
        <v>0.24022838939268926</v>
      </c>
      <c r="F364" s="88" t="s">
        <v>233</v>
      </c>
      <c r="R364" s="91">
        <f t="array" aca="1" ref="R364" ca="1">E364:E664</f>
        <v>0.24022838939268926</v>
      </c>
      <c r="S364" s="92">
        <f t="shared" ca="1" si="293"/>
        <v>-2.7691066260603948E-2</v>
      </c>
      <c r="T364" s="92">
        <f t="shared" ca="1" si="295"/>
        <v>-8.4090909954414161E-3</v>
      </c>
    </row>
    <row r="365" spans="3:20" s="45" customFormat="1" x14ac:dyDescent="0.2">
      <c r="C365" s="45">
        <v>30</v>
      </c>
      <c r="D365" s="45">
        <v>26.5</v>
      </c>
      <c r="E365" s="85">
        <f t="shared" ref="E365" ca="1" si="301">INDIRECT("a_" &amp; i) * t^3 + INDIRECT("b_" &amp; i) * t^2 + INDIRECT("c_" &amp; i) * t^1 + INDIRECT("d_" &amp; i)</f>
        <v>0.2373745505805866</v>
      </c>
      <c r="F365" s="88" t="s">
        <v>233</v>
      </c>
      <c r="R365" s="91">
        <f t="array" aca="1" ref="R365" ca="1">E365:E665</f>
        <v>0.2373745505805866</v>
      </c>
      <c r="S365" s="92">
        <f t="shared" ca="1" si="293"/>
        <v>-2.8538388121026197E-2</v>
      </c>
      <c r="T365" s="92">
        <f t="shared" ca="1" si="295"/>
        <v>-8.4732186042223694E-3</v>
      </c>
    </row>
    <row r="366" spans="3:20" s="45" customFormat="1" x14ac:dyDescent="0.2">
      <c r="C366" s="45">
        <v>30</v>
      </c>
      <c r="D366" s="45">
        <v>26.6</v>
      </c>
      <c r="E366" s="85">
        <f t="shared" ref="E366" ca="1" si="302">INDIRECT("a_" &amp; i) * t^3 + INDIRECT("b_" &amp; i) * t^2 + INDIRECT("c_" &amp; i) * t^1 + INDIRECT("d_" &amp; i)</f>
        <v>0.23443533830635171</v>
      </c>
      <c r="F366" s="88" t="s">
        <v>233</v>
      </c>
      <c r="R366" s="91">
        <f t="array" aca="1" ref="R366" ca="1">E366:E666</f>
        <v>0.23443533830635171</v>
      </c>
      <c r="S366" s="92">
        <f t="shared" ca="1" si="293"/>
        <v>-2.9392122742348398E-2</v>
      </c>
      <c r="T366" s="92">
        <f t="shared" ca="1" si="295"/>
        <v>-8.5373462132218823E-3</v>
      </c>
    </row>
    <row r="367" spans="3:20" s="45" customFormat="1" x14ac:dyDescent="0.2">
      <c r="C367" s="45">
        <v>30</v>
      </c>
      <c r="D367" s="45">
        <v>26.7</v>
      </c>
      <c r="E367" s="85">
        <f t="shared" ref="E367" ca="1" si="303">INDIRECT("a_" &amp; i) * t^3 + INDIRECT("b_" &amp; i) * t^2 + INDIRECT("c_" &amp; i) * t^1 + INDIRECT("d_" &amp; i)</f>
        <v>0.23141011129389449</v>
      </c>
      <c r="F367" s="88" t="s">
        <v>233</v>
      </c>
      <c r="R367" s="91">
        <f t="array" aca="1" ref="R367" ca="1">E367:E667</f>
        <v>0.23141011129389449</v>
      </c>
      <c r="S367" s="92">
        <f t="shared" ca="1" si="293"/>
        <v>-3.0252270124572857E-2</v>
      </c>
      <c r="T367" s="92">
        <f t="shared" ca="1" si="295"/>
        <v>-8.6014738222447741E-3</v>
      </c>
    </row>
    <row r="368" spans="3:20" s="45" customFormat="1" x14ac:dyDescent="0.2">
      <c r="C368" s="45">
        <v>30</v>
      </c>
      <c r="D368" s="45">
        <v>26.8</v>
      </c>
      <c r="E368" s="85">
        <f t="shared" ref="E368" ca="1" si="304">INDIRECT("a_" &amp; i) * t^3 + INDIRECT("b_" &amp; i) * t^2 + INDIRECT("c_" &amp; i) * t^1 + INDIRECT("d_" &amp; i)</f>
        <v>0.2282982282671267</v>
      </c>
      <c r="F368" s="88" t="s">
        <v>233</v>
      </c>
      <c r="R368" s="91">
        <f t="array" aca="1" ref="R368" ca="1">E368:E668</f>
        <v>0.2282982282671267</v>
      </c>
      <c r="S368" s="92">
        <f t="shared" ca="1" si="293"/>
        <v>-3.1118830267677481E-2</v>
      </c>
      <c r="T368" s="92">
        <f t="shared" ca="1" si="295"/>
        <v>-8.6656014310461191E-3</v>
      </c>
    </row>
    <row r="369" spans="3:20" s="45" customFormat="1" x14ac:dyDescent="0.2">
      <c r="C369" s="45">
        <v>30</v>
      </c>
      <c r="D369" s="45">
        <v>26.9</v>
      </c>
      <c r="E369" s="85">
        <f t="shared" ref="E369" ca="1" si="305">INDIRECT("a_" &amp; i) * t^3 + INDIRECT("b_" &amp; i) * t^2 + INDIRECT("c_" &amp; i) * t^1 + INDIRECT("d_" &amp; i)</f>
        <v>0.225099047949959</v>
      </c>
      <c r="F369" s="88" t="s">
        <v>233</v>
      </c>
      <c r="R369" s="91">
        <f t="array" aca="1" ref="R369" ca="1">E369:E669</f>
        <v>0.225099047949959</v>
      </c>
      <c r="S369" s="92">
        <f t="shared" ca="1" si="293"/>
        <v>-3.1991803171677727E-2</v>
      </c>
      <c r="T369" s="92">
        <f t="shared" ca="1" si="295"/>
        <v>-8.7297290400026439E-3</v>
      </c>
    </row>
    <row r="370" spans="3:20" s="45" customFormat="1" x14ac:dyDescent="0.2">
      <c r="C370" s="45">
        <v>30</v>
      </c>
      <c r="D370" s="45">
        <v>27</v>
      </c>
      <c r="E370" s="85">
        <f t="shared" ref="E370" ca="1" si="306">INDIRECT("a_" &amp; i) * t^3 + INDIRECT("b_" &amp; i) * t^2 + INDIRECT("c_" &amp; i) * t^1 + INDIRECT("d_" &amp; i)</f>
        <v>0.22181192906630071</v>
      </c>
      <c r="F370" s="88" t="s">
        <v>233</v>
      </c>
      <c r="R370" s="91">
        <f t="array" aca="1" ref="R370" ca="1">E370:E670</f>
        <v>0.22181192906630071</v>
      </c>
      <c r="S370" s="92">
        <f t="shared" ca="1" si="293"/>
        <v>-3.2871188836582445E-2</v>
      </c>
      <c r="T370" s="92">
        <f t="shared" ca="1" si="295"/>
        <v>-8.7938566490470549E-3</v>
      </c>
    </row>
    <row r="371" spans="3:20" s="45" customFormat="1" x14ac:dyDescent="0.2">
      <c r="C371" s="45">
        <v>30</v>
      </c>
      <c r="D371" s="45">
        <v>27.1</v>
      </c>
      <c r="E371" s="85">
        <f t="shared" ref="E371" ca="1" si="307">INDIRECT("a_" &amp; i) * t^3 + INDIRECT("b_" &amp; i) * t^2 + INDIRECT("c_" &amp; i) * t^1 + INDIRECT("d_" &amp; i)</f>
        <v>0.21843623034006415</v>
      </c>
      <c r="F371" s="88" t="s">
        <v>233</v>
      </c>
      <c r="R371" s="91">
        <f t="array" aca="1" ref="R371" ca="1">E371:E671</f>
        <v>0.21843623034006415</v>
      </c>
      <c r="S371" s="92">
        <f t="shared" ca="1" si="293"/>
        <v>-3.3756987262365055E-2</v>
      </c>
      <c r="T371" s="92">
        <f t="shared" ca="1" si="295"/>
        <v>-8.8579842578259804E-3</v>
      </c>
    </row>
    <row r="372" spans="3:20" s="45" customFormat="1" x14ac:dyDescent="0.2">
      <c r="C372" s="45">
        <v>30</v>
      </c>
      <c r="D372" s="45">
        <v>27.2</v>
      </c>
      <c r="E372" s="85">
        <f t="shared" ref="E372" ca="1" si="308">INDIRECT("a_" &amp; i) * t^3 + INDIRECT("b_" &amp; i) * t^2 + INDIRECT("c_" &amp; i) * t^1 + INDIRECT("d_" &amp; i)</f>
        <v>0.21497131049515855</v>
      </c>
      <c r="F372" s="88" t="s">
        <v>233</v>
      </c>
      <c r="R372" s="91">
        <f t="array" aca="1" ref="R372" ca="1">E372:E672</f>
        <v>0.21497131049515855</v>
      </c>
      <c r="S372" s="92">
        <f t="shared" ca="1" si="293"/>
        <v>-3.4649198449056742E-2</v>
      </c>
      <c r="T372" s="92">
        <f t="shared" ca="1" si="295"/>
        <v>-8.9221118669170589E-3</v>
      </c>
    </row>
    <row r="373" spans="3:20" s="45" customFormat="1" x14ac:dyDescent="0.2">
      <c r="C373" s="45">
        <v>30</v>
      </c>
      <c r="D373" s="45">
        <v>27.3</v>
      </c>
      <c r="E373" s="85">
        <f t="shared" ref="E373" ca="1" si="309">INDIRECT("a_" &amp; i) * t^3 + INDIRECT("b_" &amp; i) * t^2 + INDIRECT("c_" &amp; i) * t^1 + INDIRECT("d_" &amp; i)</f>
        <v>0.21141652825549545</v>
      </c>
      <c r="F373" s="88" t="s">
        <v>233</v>
      </c>
      <c r="R373" s="91">
        <f t="array" aca="1" ref="R373" ca="1">E373:E673</f>
        <v>0.21141652825549545</v>
      </c>
      <c r="S373" s="92">
        <f t="shared" ca="1" si="293"/>
        <v>-3.5547822396630506E-2</v>
      </c>
      <c r="T373" s="92">
        <f t="shared" ca="1" si="295"/>
        <v>-8.9862394757375084E-3</v>
      </c>
    </row>
    <row r="374" spans="3:20" s="45" customFormat="1" x14ac:dyDescent="0.2">
      <c r="C374" s="45">
        <v>30</v>
      </c>
      <c r="D374" s="45">
        <v>27.4</v>
      </c>
      <c r="E374" s="85">
        <f t="shared" ref="E374" ca="1" si="310">INDIRECT("a_" &amp; i) * t^3 + INDIRECT("b_" &amp; i) * t^2 + INDIRECT("c_" &amp; i) * t^1 + INDIRECT("d_" &amp; i)</f>
        <v>0.20777124234498417</v>
      </c>
      <c r="F374" s="88" t="s">
        <v>233</v>
      </c>
      <c r="R374" s="91">
        <f t="array" aca="1" ref="R374" ca="1">E374:E674</f>
        <v>0.20777124234498417</v>
      </c>
      <c r="S374" s="92">
        <f t="shared" ca="1" si="293"/>
        <v>-3.6452859105113533E-2</v>
      </c>
      <c r="T374" s="92">
        <f t="shared" ca="1" si="295"/>
        <v>-9.050367084830464E-3</v>
      </c>
    </row>
    <row r="375" spans="3:20" s="45" customFormat="1" x14ac:dyDescent="0.2">
      <c r="C375" s="45">
        <v>30</v>
      </c>
      <c r="D375" s="45">
        <v>27.5</v>
      </c>
      <c r="E375" s="85">
        <f t="shared" ref="E375" ca="1" si="311">INDIRECT("a_" &amp; i) * t^3 + INDIRECT("b_" &amp; i) * t^2 + INDIRECT("c_" &amp; i) * t^1 + INDIRECT("d_" &amp; i)</f>
        <v>0.20403481148753716</v>
      </c>
      <c r="F375" s="88" t="s">
        <v>233</v>
      </c>
      <c r="R375" s="91">
        <f t="array" aca="1" ref="R375" ca="1">E375:E675</f>
        <v>0.20403481148753716</v>
      </c>
      <c r="S375" s="92">
        <f t="shared" ca="1" si="293"/>
        <v>-3.7364308574469617E-2</v>
      </c>
      <c r="T375" s="92">
        <f t="shared" ca="1" si="295"/>
        <v>-9.1144946935607044E-3</v>
      </c>
    </row>
    <row r="376" spans="3:20" s="45" customFormat="1" x14ac:dyDescent="0.2">
      <c r="C376" s="45">
        <v>30</v>
      </c>
      <c r="D376" s="45">
        <v>27.6</v>
      </c>
      <c r="E376" s="85">
        <f t="shared" ref="E376" ca="1" si="312">INDIRECT("a_" &amp; i) * t^3 + INDIRECT("b_" &amp; i) * t^2 + INDIRECT("c_" &amp; i) * t^1 + INDIRECT("d_" &amp; i)</f>
        <v>0.20020659440706406</v>
      </c>
      <c r="F376" s="88" t="s">
        <v>233</v>
      </c>
      <c r="R376" s="91">
        <f t="array" aca="1" ref="R376" ca="1">E376:E676</f>
        <v>0.20020659440706406</v>
      </c>
      <c r="S376" s="92">
        <f t="shared" ca="1" si="293"/>
        <v>-3.8282170804730412E-2</v>
      </c>
      <c r="T376" s="92">
        <f t="shared" ca="1" si="295"/>
        <v>-9.1786223026078199E-3</v>
      </c>
    </row>
    <row r="377" spans="3:20" s="45" customFormat="1" x14ac:dyDescent="0.2">
      <c r="C377" s="45">
        <v>30</v>
      </c>
      <c r="D377" s="45">
        <v>27.7</v>
      </c>
      <c r="E377" s="85">
        <f t="shared" ref="E377" ca="1" si="313">INDIRECT("a_" &amp; i) * t^3 + INDIRECT("b_" &amp; i) * t^2 + INDIRECT("c_" &amp; i) * t^1 + INDIRECT("d_" &amp; i)</f>
        <v>0.19628594982747577</v>
      </c>
      <c r="F377" s="88" t="s">
        <v>233</v>
      </c>
      <c r="R377" s="91">
        <f t="array" aca="1" ref="R377" ca="1">E377:E677</f>
        <v>0.19628594982747577</v>
      </c>
      <c r="S377" s="92">
        <f t="shared" ca="1" si="293"/>
        <v>-3.9206445795883782E-2</v>
      </c>
      <c r="T377" s="92">
        <f t="shared" ca="1" si="295"/>
        <v>-9.2427499115339019E-3</v>
      </c>
    </row>
    <row r="378" spans="3:20" s="45" customFormat="1" x14ac:dyDescent="0.2">
      <c r="C378" s="45">
        <v>30</v>
      </c>
      <c r="D378" s="45">
        <v>27.8</v>
      </c>
      <c r="E378" s="85">
        <f t="shared" ref="E378" ca="1" si="314">INDIRECT("a_" &amp; i) * t^3 + INDIRECT("b_" &amp; i) * t^2 + INDIRECT("c_" &amp; i) * t^1 + INDIRECT("d_" &amp; i)</f>
        <v>0.19227223647268227</v>
      </c>
      <c r="F378" s="88" t="s">
        <v>233</v>
      </c>
      <c r="R378" s="91">
        <f t="array" aca="1" ref="R378" ca="1">E378:E678</f>
        <v>0.19227223647268227</v>
      </c>
      <c r="S378" s="92">
        <f t="shared" ca="1" si="293"/>
        <v>-4.0137133547934453E-2</v>
      </c>
      <c r="T378" s="92">
        <f t="shared" ca="1" si="295"/>
        <v>-9.3068775205065804E-3</v>
      </c>
    </row>
    <row r="379" spans="3:20" s="45" customFormat="1" x14ac:dyDescent="0.2">
      <c r="C379" s="45">
        <v>30</v>
      </c>
      <c r="D379" s="45">
        <v>27.9</v>
      </c>
      <c r="E379" s="85">
        <f t="shared" ref="E379" ca="1" si="315">INDIRECT("a_" &amp; i) * t^3 + INDIRECT("b_" &amp; i) * t^2 + INDIRECT("c_" &amp; i) * t^1 + INDIRECT("d_" &amp; i)</f>
        <v>0.18816481306659455</v>
      </c>
      <c r="F379" s="88" t="s">
        <v>233</v>
      </c>
      <c r="R379" s="91">
        <f t="array" aca="1" ref="R379" ca="1">E379:E679</f>
        <v>0.18816481306659455</v>
      </c>
      <c r="S379" s="92">
        <f t="shared" ca="1" si="293"/>
        <v>-4.1074234060878054E-2</v>
      </c>
      <c r="T379" s="92">
        <f t="shared" ca="1" si="295"/>
        <v>-9.3710051294362048E-3</v>
      </c>
    </row>
    <row r="380" spans="3:20" s="45" customFormat="1" x14ac:dyDescent="0.2">
      <c r="C380" s="45">
        <v>30</v>
      </c>
      <c r="D380" s="45">
        <v>28</v>
      </c>
      <c r="E380" s="85">
        <f t="shared" ref="E380" ca="1" si="316">INDIRECT("a_" &amp; i) * t^3 + INDIRECT("b_" &amp; i) * t^2 + INDIRECT("c_" &amp; i) * t^1 + INDIRECT("d_" &amp; i)</f>
        <v>0.18396303833312416</v>
      </c>
      <c r="F380" s="88" t="s">
        <v>233</v>
      </c>
      <c r="R380" s="91">
        <f t="array" aca="1" ref="R380" ca="1">E380:E680</f>
        <v>0.18396303833312416</v>
      </c>
      <c r="S380" s="92">
        <f t="shared" ca="1" si="293"/>
        <v>-4.2017747334703273E-2</v>
      </c>
      <c r="T380" s="92">
        <f t="shared" ca="1" si="295"/>
        <v>-9.4351327382520608E-3</v>
      </c>
    </row>
    <row r="381" spans="3:20" s="45" customFormat="1" x14ac:dyDescent="0.2">
      <c r="C381" s="45">
        <v>30</v>
      </c>
      <c r="D381" s="45">
        <v>28.1</v>
      </c>
      <c r="E381" s="85">
        <f t="shared" ref="E381" ca="1" si="317">INDIRECT("a_" &amp; i) * t^3 + INDIRECT("b_" &amp; i) * t^2 + INDIRECT("c_" &amp; i) * t^1 + INDIRECT("d_" &amp; i)</f>
        <v>0.17966627099618032</v>
      </c>
      <c r="F381" s="88" t="s">
        <v>233</v>
      </c>
      <c r="R381" s="91">
        <f t="array" aca="1" ref="R381" ca="1">E381:E681</f>
        <v>0.17966627099618032</v>
      </c>
      <c r="S381" s="92">
        <f t="shared" ca="1" si="293"/>
        <v>-4.2967673369437798E-2</v>
      </c>
      <c r="T381" s="92">
        <f t="shared" ca="1" si="295"/>
        <v>-9.49926034734511E-3</v>
      </c>
    </row>
    <row r="382" spans="3:20" s="45" customFormat="1" x14ac:dyDescent="0.2">
      <c r="C382" s="45">
        <v>30</v>
      </c>
      <c r="D382" s="45">
        <v>28.2</v>
      </c>
      <c r="E382" s="85">
        <f t="shared" ref="E382" ca="1" si="318">INDIRECT("a_" &amp; i) * t^3 + INDIRECT("b_" &amp; i) * t^2 + INDIRECT("c_" &amp; i) * t^1 + INDIRECT("d_" &amp; i)</f>
        <v>0.17527386977967446</v>
      </c>
      <c r="F382" s="88" t="s">
        <v>233</v>
      </c>
      <c r="R382" s="91">
        <f t="array" aca="1" ref="R382" ca="1">E382:E682</f>
        <v>0.17527386977967446</v>
      </c>
      <c r="S382" s="92">
        <f t="shared" ca="1" si="293"/>
        <v>-4.3924012165059527E-2</v>
      </c>
      <c r="T382" s="92">
        <f t="shared" ca="1" si="295"/>
        <v>-9.5633879562174971E-3</v>
      </c>
    </row>
    <row r="383" spans="3:20" s="45" customFormat="1" x14ac:dyDescent="0.2">
      <c r="C383" s="45">
        <v>30</v>
      </c>
      <c r="D383" s="45">
        <v>28.3</v>
      </c>
      <c r="E383" s="85">
        <f t="shared" ref="E383" ca="1" si="319">INDIRECT("a_" &amp; i) * t^3 + INDIRECT("b_" &amp; i) * t^2 + INDIRECT("c_" &amp; i) * t^1 + INDIRECT("d_" &amp; i)</f>
        <v>0.1707851934075168</v>
      </c>
      <c r="F383" s="88" t="s">
        <v>233</v>
      </c>
      <c r="R383" s="91">
        <f t="array" aca="1" ref="R383" ca="1">E383:E683</f>
        <v>0.1707851934075168</v>
      </c>
      <c r="S383" s="92">
        <f t="shared" ca="1" si="293"/>
        <v>-4.488676372157599E-2</v>
      </c>
      <c r="T383" s="92">
        <f t="shared" ca="1" si="295"/>
        <v>-9.6275155651644895E-3</v>
      </c>
    </row>
    <row r="384" spans="3:20" s="45" customFormat="1" x14ac:dyDescent="0.2">
      <c r="C384" s="45">
        <v>30</v>
      </c>
      <c r="D384" s="45">
        <v>28.4</v>
      </c>
      <c r="E384" s="85">
        <f t="shared" ref="E384" ca="1" si="320">INDIRECT("a_" &amp; i) * t^3 + INDIRECT("b_" &amp; i) * t^2 + INDIRECT("c_" &amp; i) * t^1 + INDIRECT("d_" &amp; i)</f>
        <v>0.16619960060361888</v>
      </c>
      <c r="F384" s="88" t="s">
        <v>233</v>
      </c>
      <c r="R384" s="91">
        <f t="array" aca="1" ref="R384" ca="1">E384:E684</f>
        <v>0.16619960060361888</v>
      </c>
      <c r="S384" s="92">
        <f t="shared" ca="1" si="293"/>
        <v>-4.5855928038980177E-2</v>
      </c>
      <c r="T384" s="92">
        <f t="shared" ca="1" si="295"/>
        <v>-9.6916431740420843E-3</v>
      </c>
    </row>
    <row r="385" spans="3:20" s="45" customFormat="1" x14ac:dyDescent="0.2">
      <c r="C385" s="45">
        <v>30</v>
      </c>
      <c r="D385" s="45">
        <v>28.5</v>
      </c>
      <c r="E385" s="85">
        <f t="shared" ref="E385" ca="1" si="321">INDIRECT("a_" &amp; i) * t^3 + INDIRECT("b_" &amp; i) * t^2 + INDIRECT("c_" &amp; i) * t^1 + INDIRECT("d_" &amp; i)</f>
        <v>0.16151645009189047</v>
      </c>
      <c r="F385" s="88" t="s">
        <v>233</v>
      </c>
      <c r="R385" s="91">
        <f t="array" aca="1" ref="R385" ca="1">E385:E685</f>
        <v>0.16151645009189047</v>
      </c>
      <c r="S385" s="92">
        <f t="shared" ca="1" si="293"/>
        <v>-4.6831505117283401E-2</v>
      </c>
      <c r="T385" s="92">
        <f t="shared" ca="1" si="295"/>
        <v>-9.7557707830320944E-3</v>
      </c>
    </row>
    <row r="386" spans="3:20" s="45" customFormat="1" x14ac:dyDescent="0.2">
      <c r="C386" s="45">
        <v>30</v>
      </c>
      <c r="D386" s="45">
        <v>28.6</v>
      </c>
      <c r="E386" s="85">
        <f t="shared" ref="E386" ca="1" si="322">INDIRECT("a_" &amp; i) * t^3 + INDIRECT("b_" &amp; i) * t^2 + INDIRECT("c_" &amp; i) * t^1 + INDIRECT("d_" &amp; i)</f>
        <v>0.15673510059624168</v>
      </c>
      <c r="F386" s="88" t="s">
        <v>233</v>
      </c>
      <c r="R386" s="91">
        <f t="array" aca="1" ref="R386" ca="1">E386:E686</f>
        <v>0.15673510059624168</v>
      </c>
      <c r="S386" s="92">
        <f t="shared" ca="1" si="293"/>
        <v>-4.7813494956487221E-2</v>
      </c>
      <c r="T386" s="92">
        <f t="shared" ca="1" si="295"/>
        <v>-9.8198983920380623E-3</v>
      </c>
    </row>
    <row r="387" spans="3:20" s="45" customFormat="1" x14ac:dyDescent="0.2">
      <c r="C387" s="45">
        <v>30</v>
      </c>
      <c r="D387" s="45">
        <v>28.7</v>
      </c>
      <c r="E387" s="85">
        <f t="shared" ref="E387" ca="1" si="323">INDIRECT("a_" &amp; i) * t^3 + INDIRECT("b_" &amp; i) * t^2 + INDIRECT("c_" &amp; i) * t^1 + INDIRECT("d_" &amp; i)</f>
        <v>0.15185491084058439</v>
      </c>
      <c r="F387" s="88" t="s">
        <v>233</v>
      </c>
      <c r="R387" s="91">
        <f t="array" aca="1" ref="R387" ca="1">E387:E687</f>
        <v>0.15185491084058439</v>
      </c>
      <c r="S387" s="92">
        <f t="shared" ca="1" si="293"/>
        <v>-4.8801897556573978E-2</v>
      </c>
      <c r="T387" s="92">
        <f t="shared" ca="1" si="295"/>
        <v>-9.8840260008677839E-3</v>
      </c>
    </row>
    <row r="388" spans="3:20" s="45" customFormat="1" x14ac:dyDescent="0.2">
      <c r="C388" s="45">
        <v>30</v>
      </c>
      <c r="D388" s="45">
        <v>28.8</v>
      </c>
      <c r="E388" s="85">
        <f t="shared" ref="E388" ca="1" si="324">INDIRECT("a_" &amp; i) * t^3 + INDIRECT("b_" &amp; i) * t^2 + INDIRECT("c_" &amp; i) * t^1 + INDIRECT("d_" &amp; i)</f>
        <v>0.14687523954882881</v>
      </c>
      <c r="F388" s="88" t="s">
        <v>233</v>
      </c>
      <c r="R388" s="91">
        <f t="array" aca="1" ref="R388" ca="1">E388:E688</f>
        <v>0.14687523954882881</v>
      </c>
      <c r="S388" s="92">
        <f t="shared" ca="1" si="293"/>
        <v>-4.9796712917555122E-2</v>
      </c>
      <c r="T388" s="92">
        <f t="shared" ca="1" si="295"/>
        <v>-9.9481536098112982E-3</v>
      </c>
    </row>
    <row r="389" spans="3:20" s="45" customFormat="1" x14ac:dyDescent="0.2">
      <c r="C389" s="45">
        <v>30</v>
      </c>
      <c r="D389" s="45">
        <v>28.9</v>
      </c>
      <c r="E389" s="85">
        <f t="shared" ref="E389" ca="1" si="325">INDIRECT("a_" &amp; i) * t^3 + INDIRECT("b_" &amp; i) * t^2 + INDIRECT("c_" &amp; i) * t^1 + INDIRECT("d_" &amp; i)</f>
        <v>0.14179544544488515</v>
      </c>
      <c r="F389" s="88" t="s">
        <v>233</v>
      </c>
      <c r="R389" s="91">
        <f t="array" aca="1" ref="R389" ca="1">E389:E689</f>
        <v>0.14179544544488515</v>
      </c>
      <c r="S389" s="92">
        <f t="shared" ca="1" si="293"/>
        <v>-5.0797941039437661E-2</v>
      </c>
      <c r="T389" s="92">
        <f t="shared" ca="1" si="295"/>
        <v>-1.00122812188256E-2</v>
      </c>
    </row>
    <row r="390" spans="3:20" s="45" customFormat="1" x14ac:dyDescent="0.2">
      <c r="C390" s="45">
        <v>30</v>
      </c>
      <c r="D390" s="45">
        <v>29</v>
      </c>
      <c r="E390" s="85">
        <f t="shared" ref="E390" ca="1" si="326">INDIRECT("a_" &amp; i) * t^3 + INDIRECT("b_" &amp; i) * t^2 + INDIRECT("c_" &amp; i) * t^1 + INDIRECT("d_" &amp; i)</f>
        <v>0.13661488725266452</v>
      </c>
      <c r="F390" s="88" t="s">
        <v>233</v>
      </c>
      <c r="R390" s="91">
        <f t="array" aca="1" ref="R390" ca="1">E390:E690</f>
        <v>0.13661488725266452</v>
      </c>
      <c r="S390" s="92">
        <f t="shared" ca="1" si="293"/>
        <v>-5.1805581922205565E-2</v>
      </c>
      <c r="T390" s="92">
        <f t="shared" ca="1" si="295"/>
        <v>-1.0076408827678901E-2</v>
      </c>
    </row>
    <row r="391" spans="3:20" s="45" customFormat="1" x14ac:dyDescent="0.2">
      <c r="C391" s="45">
        <v>30</v>
      </c>
      <c r="D391" s="45">
        <v>29.1</v>
      </c>
      <c r="E391" s="85">
        <f t="shared" ref="E391" ca="1" si="327">INDIRECT("a_" &amp; i) * t^3 + INDIRECT("b_" &amp; i) * t^2 + INDIRECT("c_" &amp; i) * t^1 + INDIRECT("d_" &amp; i)</f>
        <v>0.13133292369607746</v>
      </c>
      <c r="F391" s="88" t="s">
        <v>233</v>
      </c>
      <c r="R391" s="91">
        <f t="array" aca="1" ref="R391" ca="1">E391:E691</f>
        <v>0.13133292369607746</v>
      </c>
      <c r="S391" s="92">
        <f t="shared" ca="1" si="293"/>
        <v>-5.2819635565869799E-2</v>
      </c>
      <c r="T391" s="92">
        <f t="shared" ca="1" si="295"/>
        <v>-1.0140536436642195E-2</v>
      </c>
    </row>
    <row r="392" spans="3:20" s="45" customFormat="1" x14ac:dyDescent="0.2">
      <c r="C392" s="45">
        <v>30</v>
      </c>
      <c r="D392" s="45">
        <v>29.2</v>
      </c>
      <c r="E392" s="85">
        <f t="shared" ref="E392" ca="1" si="328">INDIRECT("a_" &amp; i) * t^3 + INDIRECT("b_" &amp; i) * t^2 + INDIRECT("c_" &amp; i) * t^1 + INDIRECT("d_" &amp; i)</f>
        <v>0.12594891349903453</v>
      </c>
      <c r="F392" s="88" t="s">
        <v>233</v>
      </c>
      <c r="R392" s="91">
        <f t="array" aca="1" ref="R392" ca="1">E392:E692</f>
        <v>0.12594891349903453</v>
      </c>
      <c r="S392" s="92">
        <f t="shared" ca="1" si="293"/>
        <v>-5.3840101970430466E-2</v>
      </c>
      <c r="T392" s="92">
        <f t="shared" ca="1" si="295"/>
        <v>-1.020466404560689E-2</v>
      </c>
    </row>
    <row r="393" spans="3:20" s="45" customFormat="1" x14ac:dyDescent="0.2">
      <c r="C393" s="45">
        <v>30</v>
      </c>
      <c r="D393" s="45">
        <v>29.3</v>
      </c>
      <c r="E393" s="85">
        <f t="shared" ref="E393" ca="1" si="329">INDIRECT("a_" &amp; i) * t^3 + INDIRECT("b_" &amp; i) * t^2 + INDIRECT("c_" &amp; i) * t^1 + INDIRECT("d_" &amp; i)</f>
        <v>0.12046221538544594</v>
      </c>
      <c r="F393" s="88" t="s">
        <v>233</v>
      </c>
      <c r="R393" s="91">
        <f t="array" aca="1" ref="R393" ca="1">E393:E693</f>
        <v>0.12046221538544594</v>
      </c>
      <c r="S393" s="92">
        <f t="shared" ca="1" si="293"/>
        <v>-5.4866981135885173E-2</v>
      </c>
      <c r="T393" s="92">
        <f t="shared" ca="1" si="295"/>
        <v>-1.0268791654546923E-2</v>
      </c>
    </row>
    <row r="394" spans="3:20" s="45" customFormat="1" x14ac:dyDescent="0.2">
      <c r="C394" s="45">
        <v>30</v>
      </c>
      <c r="D394" s="45">
        <v>29.4</v>
      </c>
      <c r="E394" s="85">
        <f t="shared" ref="E394" ca="1" si="330">INDIRECT("a_" &amp; i) * t^3 + INDIRECT("b_" &amp; i) * t^2 + INDIRECT("c_" &amp; i) * t^1 + INDIRECT("d_" &amp; i)</f>
        <v>0.11487218807922278</v>
      </c>
      <c r="F394" s="88" t="s">
        <v>233</v>
      </c>
      <c r="R394" s="91">
        <f t="array" aca="1" ref="R394" ca="1">E394:E694</f>
        <v>0.11487218807922278</v>
      </c>
      <c r="S394" s="92">
        <f t="shared" ca="1" si="293"/>
        <v>-5.5900273062232747E-2</v>
      </c>
      <c r="T394" s="92">
        <f t="shared" ca="1" si="295"/>
        <v>-1.0332919263475958E-2</v>
      </c>
    </row>
    <row r="395" spans="3:20" s="45" customFormat="1" x14ac:dyDescent="0.2">
      <c r="C395" s="45">
        <v>30</v>
      </c>
      <c r="D395" s="45">
        <v>29.5</v>
      </c>
      <c r="E395" s="85">
        <f t="shared" ref="E395" ca="1" si="331">INDIRECT("a_" &amp; i) * t^3 + INDIRECT("b_" &amp; i) * t^2 + INDIRECT("c_" &amp; i) * t^1 + INDIRECT("d_" &amp; i)</f>
        <v>0.10917819030427617</v>
      </c>
      <c r="F395" s="88" t="s">
        <v>233</v>
      </c>
      <c r="R395" s="91">
        <f t="array" aca="1" ref="R395" ca="1">E395:E695</f>
        <v>0.10917819030427617</v>
      </c>
      <c r="S395" s="92">
        <f t="shared" ca="1" si="293"/>
        <v>-5.6939977749465319E-2</v>
      </c>
      <c r="T395" s="92">
        <f t="shared" ca="1" si="295"/>
        <v>-1.0397046872325571E-2</v>
      </c>
    </row>
    <row r="396" spans="3:20" s="45" customFormat="1" x14ac:dyDescent="0.2">
      <c r="C396" s="45">
        <v>30</v>
      </c>
      <c r="D396" s="45">
        <v>29.6</v>
      </c>
      <c r="E396" s="85">
        <f t="shared" ref="E396" ca="1" si="332">INDIRECT("a_" &amp; i) * t^3 + INDIRECT("b_" &amp; i) * t^2 + INDIRECT("c_" &amp; i) * t^1 + INDIRECT("d_" &amp; i)</f>
        <v>0.10337958078451531</v>
      </c>
      <c r="F396" s="88" t="s">
        <v>233</v>
      </c>
      <c r="R396" s="91">
        <f t="array" aca="1" ref="R396" ca="1">E396:E696</f>
        <v>0.10337958078451531</v>
      </c>
      <c r="S396" s="92">
        <f t="shared" ca="1" si="293"/>
        <v>-5.798609519760773E-2</v>
      </c>
      <c r="T396" s="92">
        <f t="shared" ca="1" si="295"/>
        <v>-1.0461174481423963E-2</v>
      </c>
    </row>
    <row r="397" spans="3:20" s="45" customFormat="1" x14ac:dyDescent="0.2">
      <c r="C397" s="45">
        <v>30</v>
      </c>
      <c r="D397" s="45">
        <v>29.7</v>
      </c>
      <c r="E397" s="85">
        <f t="shared" ref="E397" ca="1" si="333">INDIRECT("a_" &amp; i) * t^3 + INDIRECT("b_" &amp; i) * t^2 + INDIRECT("c_" &amp; i) * t^1 + INDIRECT("d_" &amp; i)</f>
        <v>9.7475718243852538E-2</v>
      </c>
      <c r="F397" s="88" t="s">
        <v>233</v>
      </c>
      <c r="R397" s="91">
        <f t="array" aca="1" ref="R397" ca="1">E397:E697</f>
        <v>9.7475718243852538E-2</v>
      </c>
      <c r="S397" s="92">
        <f t="shared" ca="1" si="293"/>
        <v>-5.9038625406628999E-2</v>
      </c>
      <c r="T397" s="92">
        <f t="shared" ca="1" si="295"/>
        <v>-1.0525302090212909E-2</v>
      </c>
    </row>
    <row r="398" spans="3:20" s="45" customFormat="1" x14ac:dyDescent="0.2">
      <c r="C398" s="45">
        <v>30</v>
      </c>
      <c r="D398" s="45">
        <v>29.8</v>
      </c>
      <c r="E398" s="85">
        <f t="shared" ref="E398" ca="1" si="334">INDIRECT("a_" &amp; i) * t^3 + INDIRECT("b_" &amp; i) * t^2 + INDIRECT("c_" &amp; i) * t^1 + INDIRECT("d_" &amp; i)</f>
        <v>9.1465961406197616E-2</v>
      </c>
      <c r="F398" s="88" t="s">
        <v>233</v>
      </c>
      <c r="R398" s="91">
        <f t="array" aca="1" ref="R398" ca="1">E398:E698</f>
        <v>9.1465961406197616E-2</v>
      </c>
      <c r="S398" s="92">
        <f t="shared" ca="1" si="293"/>
        <v>-6.0097568376548373E-2</v>
      </c>
      <c r="T398" s="92">
        <f t="shared" ca="1" si="295"/>
        <v>-1.0589429699193591E-2</v>
      </c>
    </row>
    <row r="399" spans="3:20" s="45" customFormat="1" x14ac:dyDescent="0.2">
      <c r="C399" s="45">
        <v>30</v>
      </c>
      <c r="D399" s="45">
        <v>29.9</v>
      </c>
      <c r="E399" s="85">
        <f t="shared" ref="E399" ca="1" si="335">INDIRECT("a_" &amp; i) * t^3 + INDIRECT("b_" &amp; i) * t^2 + INDIRECT("c_" &amp; i) * t^1 + INDIRECT("d_" &amp; i)</f>
        <v>8.5349668995460759E-2</v>
      </c>
      <c r="F399" s="88" t="s">
        <v>233</v>
      </c>
      <c r="R399" s="91">
        <f t="array" aca="1" ref="R399" ca="1">E399:E699</f>
        <v>8.5349668995460759E-2</v>
      </c>
      <c r="S399" s="92">
        <f t="shared" ca="1" si="293"/>
        <v>-6.116292410736987E-2</v>
      </c>
      <c r="T399" s="92">
        <f t="shared" ca="1" si="295"/>
        <v>-1.0653557308215203E-2</v>
      </c>
    </row>
    <row r="400" spans="3:20" s="45" customFormat="1" x14ac:dyDescent="0.2">
      <c r="C400" s="45">
        <v>30</v>
      </c>
      <c r="D400" s="45">
        <v>30</v>
      </c>
      <c r="E400" s="85">
        <f t="shared" ref="E400" ca="1" si="336">INDIRECT("a_" &amp; i) * t^3 + INDIRECT("b_" &amp; i) * t^2 + INDIRECT("c_" &amp; i) * t^1 + INDIRECT("d_" &amp; i)</f>
        <v>7.9126199735553071E-2</v>
      </c>
      <c r="F400" s="88">
        <v>0.08</v>
      </c>
      <c r="G400" s="94">
        <f ca="1">F400-E400</f>
        <v>8.738002644469306E-4</v>
      </c>
      <c r="H400" s="88"/>
      <c r="I400" s="88"/>
      <c r="R400" s="91">
        <f t="array" aca="1" ref="R400" ca="1">E400:E700</f>
        <v>7.9126199735553071E-2</v>
      </c>
      <c r="S400" s="92">
        <f t="shared" ca="1" si="293"/>
        <v>-6.2234692599075998E-2</v>
      </c>
      <c r="T400" s="92">
        <f t="shared" ca="1" si="295"/>
        <v>-1.0717684917061127E-2</v>
      </c>
    </row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9C8BC-64BC-1449-8429-AF9592CBDBAC}">
  <sheetPr codeName="Sheet49">
    <tabColor rgb="FF002060"/>
  </sheetPr>
  <dimension ref="A1:A14"/>
  <sheetViews>
    <sheetView workbookViewId="0"/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293</v>
      </c>
    </row>
    <row r="2" spans="1:1" x14ac:dyDescent="0.3">
      <c r="A2" s="95" t="s">
        <v>294</v>
      </c>
    </row>
    <row r="3" spans="1:1" x14ac:dyDescent="0.3">
      <c r="A3" s="95" t="s">
        <v>295</v>
      </c>
    </row>
    <row r="4" spans="1:1" x14ac:dyDescent="0.3">
      <c r="A4" s="95" t="s">
        <v>296</v>
      </c>
    </row>
    <row r="5" spans="1:1" x14ac:dyDescent="0.3">
      <c r="A5" s="95" t="s">
        <v>297</v>
      </c>
    </row>
    <row r="6" spans="1:1" x14ac:dyDescent="0.3">
      <c r="A6" s="95" t="s">
        <v>551</v>
      </c>
    </row>
    <row r="7" spans="1:1" x14ac:dyDescent="0.3">
      <c r="A7" s="95" t="s">
        <v>552</v>
      </c>
    </row>
    <row r="8" spans="1:1" x14ac:dyDescent="0.3">
      <c r="A8" s="95" t="s">
        <v>553</v>
      </c>
    </row>
    <row r="9" spans="1:1" x14ac:dyDescent="0.3">
      <c r="A9" s="95" t="s">
        <v>554</v>
      </c>
    </row>
    <row r="10" spans="1:1" x14ac:dyDescent="0.3">
      <c r="A10" s="95" t="s">
        <v>555</v>
      </c>
    </row>
    <row r="11" spans="1:1" x14ac:dyDescent="0.3">
      <c r="A11" s="95" t="s">
        <v>556</v>
      </c>
    </row>
    <row r="12" spans="1:1" x14ac:dyDescent="0.3">
      <c r="A12" s="95" t="s">
        <v>557</v>
      </c>
    </row>
    <row r="13" spans="1:1" x14ac:dyDescent="0.3">
      <c r="A13" s="95" t="s">
        <v>558</v>
      </c>
    </row>
    <row r="14" spans="1:1" x14ac:dyDescent="0.3">
      <c r="A14" s="95" t="s">
        <v>559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94655-4A74-BE41-9B27-F619F9C1AEFB}">
  <sheetPr codeName="Sheet41">
    <tabColor rgb="FFC00000"/>
  </sheetPr>
  <dimension ref="B2:I9"/>
  <sheetViews>
    <sheetView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3" width="6.5" style="1" bestFit="1" customWidth="1"/>
    <col min="4" max="4" width="10.83203125" style="1"/>
    <col min="5" max="5" width="9.33203125" style="1" bestFit="1" customWidth="1"/>
    <col min="6" max="6" width="6.5" style="1" bestFit="1" customWidth="1"/>
    <col min="7" max="16384" width="10.83203125" style="1"/>
  </cols>
  <sheetData>
    <row r="2" spans="2:9" x14ac:dyDescent="0.3">
      <c r="B2" s="1" t="s">
        <v>269</v>
      </c>
      <c r="C2" s="97">
        <v>20</v>
      </c>
    </row>
    <row r="3" spans="2:9" x14ac:dyDescent="0.3">
      <c r="B3" s="1" t="s">
        <v>268</v>
      </c>
      <c r="C3" s="97">
        <v>30</v>
      </c>
    </row>
    <row r="4" spans="2:9" x14ac:dyDescent="0.3">
      <c r="B4" s="1" t="s">
        <v>267</v>
      </c>
      <c r="C4" s="97">
        <v>50</v>
      </c>
    </row>
    <row r="6" spans="2:9" x14ac:dyDescent="0.3">
      <c r="B6" s="96" t="s">
        <v>266</v>
      </c>
      <c r="C6" s="1">
        <f>C2</f>
        <v>20</v>
      </c>
      <c r="E6" s="96" t="s">
        <v>265</v>
      </c>
      <c r="F6" s="1">
        <f>C3</f>
        <v>30</v>
      </c>
    </row>
    <row r="7" spans="2:9" x14ac:dyDescent="0.3">
      <c r="B7" s="1" t="s">
        <v>264</v>
      </c>
      <c r="C7" s="1">
        <f>C4-C3</f>
        <v>20</v>
      </c>
      <c r="E7" s="1" t="s">
        <v>263</v>
      </c>
      <c r="F7" s="1">
        <f>C4-C2</f>
        <v>30</v>
      </c>
    </row>
    <row r="9" spans="2:9" x14ac:dyDescent="0.3">
      <c r="B9" s="1" t="s">
        <v>262</v>
      </c>
      <c r="C9" s="1">
        <f>AVERAGE(C6:C7)</f>
        <v>20</v>
      </c>
      <c r="E9" s="1" t="s">
        <v>262</v>
      </c>
      <c r="F9" s="1">
        <f>AVERAGE(F6:F7)</f>
        <v>30</v>
      </c>
      <c r="H9" s="1" t="s">
        <v>261</v>
      </c>
      <c r="I9" s="1">
        <f>C9+F9</f>
        <v>50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DD899-24E0-2940-B79F-CDD075A8D054}">
  <sheetPr codeName="Sheet42">
    <tabColor rgb="FFC00000"/>
  </sheetPr>
  <dimension ref="B2:I29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3" width="6.5" style="1" bestFit="1" customWidth="1"/>
    <col min="4" max="4" width="10.83203125" style="1"/>
    <col min="5" max="5" width="9.33203125" style="1" bestFit="1" customWidth="1"/>
    <col min="6" max="6" width="4.83203125" style="1" bestFit="1" customWidth="1"/>
    <col min="7" max="16384" width="10.83203125" style="1"/>
  </cols>
  <sheetData>
    <row r="2" spans="2:9" x14ac:dyDescent="0.3">
      <c r="B2" s="1" t="s">
        <v>269</v>
      </c>
      <c r="C2" s="97">
        <v>20</v>
      </c>
    </row>
    <row r="3" spans="2:9" x14ac:dyDescent="0.3">
      <c r="B3" s="1" t="s">
        <v>268</v>
      </c>
      <c r="C3" s="97">
        <v>30</v>
      </c>
    </row>
    <row r="4" spans="2:9" x14ac:dyDescent="0.3">
      <c r="B4" s="1" t="s">
        <v>267</v>
      </c>
      <c r="C4" s="97">
        <v>50</v>
      </c>
    </row>
    <row r="6" spans="2:9" x14ac:dyDescent="0.3">
      <c r="B6" s="96">
        <v>1</v>
      </c>
      <c r="C6" s="1">
        <f>C2</f>
        <v>20</v>
      </c>
      <c r="E6" s="96">
        <v>2</v>
      </c>
      <c r="F6" s="1">
        <f>C3</f>
        <v>30</v>
      </c>
    </row>
    <row r="7" spans="2:9" x14ac:dyDescent="0.3">
      <c r="B7" s="1" t="s">
        <v>264</v>
      </c>
      <c r="C7" s="1">
        <f>C4-C3</f>
        <v>20</v>
      </c>
      <c r="E7" s="1" t="s">
        <v>263</v>
      </c>
      <c r="F7" s="1">
        <f>C4-C2</f>
        <v>30</v>
      </c>
    </row>
    <row r="9" spans="2:9" x14ac:dyDescent="0.3">
      <c r="B9" s="1" t="s">
        <v>262</v>
      </c>
      <c r="C9" s="1">
        <f>AVERAGE(C6:C7)</f>
        <v>20</v>
      </c>
      <c r="E9" s="1" t="s">
        <v>262</v>
      </c>
      <c r="F9" s="1">
        <f>AVERAGE(F6:F7)</f>
        <v>30</v>
      </c>
      <c r="H9" s="1" t="s">
        <v>261</v>
      </c>
      <c r="I9" s="1">
        <f>C9+F9</f>
        <v>50</v>
      </c>
    </row>
    <row r="12" spans="2:9" x14ac:dyDescent="0.3">
      <c r="B12" s="1" t="s">
        <v>269</v>
      </c>
      <c r="C12" s="97">
        <v>20</v>
      </c>
    </row>
    <row r="13" spans="2:9" x14ac:dyDescent="0.3">
      <c r="B13" s="1" t="s">
        <v>268</v>
      </c>
      <c r="C13" s="97">
        <v>30</v>
      </c>
    </row>
    <row r="14" spans="2:9" x14ac:dyDescent="0.3">
      <c r="B14" s="1" t="s">
        <v>267</v>
      </c>
      <c r="C14" s="97">
        <v>80</v>
      </c>
    </row>
    <row r="16" spans="2:9" x14ac:dyDescent="0.3">
      <c r="B16" s="96">
        <v>1</v>
      </c>
      <c r="C16" s="1">
        <f>C12</f>
        <v>20</v>
      </c>
      <c r="E16" s="96">
        <v>2</v>
      </c>
      <c r="F16" s="1">
        <f>C13</f>
        <v>30</v>
      </c>
    </row>
    <row r="17" spans="2:9" x14ac:dyDescent="0.3">
      <c r="B17" s="1" t="s">
        <v>264</v>
      </c>
      <c r="C17" s="1">
        <f>C14-C13</f>
        <v>50</v>
      </c>
      <c r="E17" s="1" t="s">
        <v>263</v>
      </c>
      <c r="F17" s="1">
        <f>C14-C12</f>
        <v>60</v>
      </c>
    </row>
    <row r="19" spans="2:9" x14ac:dyDescent="0.3">
      <c r="B19" s="1" t="s">
        <v>262</v>
      </c>
      <c r="C19" s="1">
        <f>AVERAGE(C16:C17)</f>
        <v>35</v>
      </c>
      <c r="E19" s="1" t="s">
        <v>262</v>
      </c>
      <c r="F19" s="1">
        <f>AVERAGE(F16:F17)</f>
        <v>45</v>
      </c>
      <c r="H19" s="1" t="s">
        <v>261</v>
      </c>
      <c r="I19" s="1">
        <f>C19+F19</f>
        <v>80</v>
      </c>
    </row>
    <row r="22" spans="2:9" x14ac:dyDescent="0.3">
      <c r="B22" s="1" t="s">
        <v>269</v>
      </c>
      <c r="C22" s="97">
        <v>20</v>
      </c>
    </row>
    <row r="23" spans="2:9" x14ac:dyDescent="0.3">
      <c r="B23" s="1" t="s">
        <v>268</v>
      </c>
      <c r="C23" s="97">
        <v>30</v>
      </c>
    </row>
    <row r="24" spans="2:9" x14ac:dyDescent="0.3">
      <c r="B24" s="1" t="s">
        <v>267</v>
      </c>
      <c r="C24" s="97">
        <v>40</v>
      </c>
    </row>
    <row r="26" spans="2:9" x14ac:dyDescent="0.3">
      <c r="B26" s="96">
        <v>1</v>
      </c>
      <c r="C26" s="1">
        <f>C22</f>
        <v>20</v>
      </c>
      <c r="E26" s="96">
        <v>2</v>
      </c>
      <c r="F26" s="1">
        <f>C23</f>
        <v>30</v>
      </c>
    </row>
    <row r="27" spans="2:9" x14ac:dyDescent="0.3">
      <c r="B27" s="1" t="s">
        <v>264</v>
      </c>
      <c r="C27" s="1">
        <f>C24-C23</f>
        <v>10</v>
      </c>
      <c r="E27" s="1" t="s">
        <v>263</v>
      </c>
      <c r="F27" s="1">
        <f>C24-C22</f>
        <v>20</v>
      </c>
    </row>
    <row r="29" spans="2:9" x14ac:dyDescent="0.3">
      <c r="B29" s="1" t="s">
        <v>262</v>
      </c>
      <c r="C29" s="1">
        <f>AVERAGE(C26:C27)</f>
        <v>15</v>
      </c>
      <c r="E29" s="1" t="s">
        <v>262</v>
      </c>
      <c r="F29" s="1">
        <f>AVERAGE(F26:F27)</f>
        <v>25</v>
      </c>
      <c r="H29" s="1" t="s">
        <v>261</v>
      </c>
      <c r="I29" s="1">
        <f>C29+F29</f>
        <v>40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0A90C-9975-724E-8298-0419296A781C}">
  <sheetPr codeName="Sheet44">
    <tabColor rgb="FFC00000"/>
  </sheetPr>
  <dimension ref="B2:I12"/>
  <sheetViews>
    <sheetView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16384" width="10.83203125" style="1"/>
  </cols>
  <sheetData>
    <row r="2" spans="2:9" x14ac:dyDescent="0.3">
      <c r="B2" s="1" t="s">
        <v>269</v>
      </c>
      <c r="C2" s="97">
        <v>20</v>
      </c>
    </row>
    <row r="3" spans="2:9" x14ac:dyDescent="0.3">
      <c r="B3" s="1" t="s">
        <v>268</v>
      </c>
      <c r="C3" s="97">
        <v>30</v>
      </c>
    </row>
    <row r="4" spans="2:9" x14ac:dyDescent="0.3">
      <c r="B4" s="1" t="s">
        <v>267</v>
      </c>
      <c r="C4" s="97">
        <v>40</v>
      </c>
    </row>
    <row r="5" spans="2:9" x14ac:dyDescent="0.3">
      <c r="B5" s="1" t="s">
        <v>270</v>
      </c>
      <c r="C5" s="97">
        <v>10</v>
      </c>
    </row>
    <row r="9" spans="2:9" x14ac:dyDescent="0.3">
      <c r="B9" s="96">
        <v>1</v>
      </c>
      <c r="C9" s="1">
        <f>C2-C5</f>
        <v>10</v>
      </c>
      <c r="E9" s="96">
        <v>2</v>
      </c>
      <c r="F9" s="1">
        <f>C3-C5</f>
        <v>20</v>
      </c>
    </row>
    <row r="10" spans="2:9" x14ac:dyDescent="0.3">
      <c r="B10" s="1" t="s">
        <v>264</v>
      </c>
      <c r="C10" s="1">
        <f>C4-C3</f>
        <v>10</v>
      </c>
      <c r="E10" s="1" t="s">
        <v>263</v>
      </c>
      <c r="F10" s="1">
        <f>C4-C2</f>
        <v>20</v>
      </c>
    </row>
    <row r="12" spans="2:9" x14ac:dyDescent="0.3">
      <c r="B12" s="1" t="s">
        <v>262</v>
      </c>
      <c r="C12" s="1">
        <f>AVERAGE(C9:C10)</f>
        <v>10</v>
      </c>
      <c r="E12" s="1" t="s">
        <v>262</v>
      </c>
      <c r="F12" s="1">
        <f>AVERAGE(F9:F10)</f>
        <v>20</v>
      </c>
      <c r="H12" s="1" t="s">
        <v>261</v>
      </c>
      <c r="I12" s="1">
        <f>C12+F12</f>
        <v>30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62EA-C5B5-E941-8E4A-BE32D4D1AC01}">
  <sheetPr codeName="Sheet57">
    <tabColor rgb="FFC0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3" t="s">
        <v>271</v>
      </c>
    </row>
  </sheetData>
  <hyperlinks>
    <hyperlink ref="B2" r:id="rId1" xr:uid="{69FD6D5F-92E2-FF4A-9DF1-5619E6A4D8F1}"/>
  </hyperlink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5D569-A3D3-814D-BF49-426A41F85180}">
  <sheetPr codeName="Sheet58">
    <tabColor rgb="FFC00000"/>
  </sheetPr>
  <dimension ref="A2:N17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1:10" x14ac:dyDescent="0.3">
      <c r="C2" s="1" t="s">
        <v>283</v>
      </c>
      <c r="D2" s="97">
        <v>1</v>
      </c>
    </row>
    <row r="3" spans="1:10" x14ac:dyDescent="0.3">
      <c r="C3" s="1" t="s">
        <v>269</v>
      </c>
      <c r="D3" s="97">
        <v>3</v>
      </c>
    </row>
    <row r="4" spans="1:10" x14ac:dyDescent="0.3">
      <c r="C4" s="1" t="s">
        <v>268</v>
      </c>
      <c r="D4" s="97">
        <v>9</v>
      </c>
    </row>
    <row r="5" spans="1:10" x14ac:dyDescent="0.3">
      <c r="C5" s="1" t="s">
        <v>282</v>
      </c>
      <c r="D5" s="97">
        <v>17</v>
      </c>
    </row>
    <row r="6" spans="1:10" x14ac:dyDescent="0.3">
      <c r="C6" s="1" t="s">
        <v>281</v>
      </c>
      <c r="D6" s="97">
        <v>45</v>
      </c>
    </row>
    <row r="7" spans="1:10" x14ac:dyDescent="0.3">
      <c r="C7" s="1" t="s">
        <v>280</v>
      </c>
      <c r="D7" s="97">
        <v>55</v>
      </c>
    </row>
    <row r="8" spans="1:10" x14ac:dyDescent="0.3">
      <c r="C8" s="1" t="s">
        <v>279</v>
      </c>
      <c r="D8" s="97">
        <v>77</v>
      </c>
    </row>
    <row r="9" spans="1:10" x14ac:dyDescent="0.3">
      <c r="C9" s="1" t="s">
        <v>278</v>
      </c>
      <c r="D9" s="97">
        <v>100</v>
      </c>
    </row>
    <row r="11" spans="1:10" x14ac:dyDescent="0.3">
      <c r="A11" s="99" t="s">
        <v>277</v>
      </c>
      <c r="C11" s="18" t="s">
        <v>276</v>
      </c>
      <c r="D11" s="18" t="s">
        <v>275</v>
      </c>
      <c r="F11" s="18" t="s">
        <v>276</v>
      </c>
      <c r="G11" s="18" t="s">
        <v>275</v>
      </c>
      <c r="I11" s="18" t="s">
        <v>276</v>
      </c>
      <c r="J11" s="18" t="s">
        <v>275</v>
      </c>
    </row>
    <row r="12" spans="1:10" x14ac:dyDescent="0.3">
      <c r="A12" s="1">
        <v>1</v>
      </c>
      <c r="C12" s="98" t="s">
        <v>266</v>
      </c>
      <c r="D12" s="95">
        <f>D3-D2</f>
        <v>2</v>
      </c>
      <c r="F12" s="98">
        <v>2</v>
      </c>
      <c r="G12" s="95">
        <f>D4-D2</f>
        <v>8</v>
      </c>
      <c r="I12" s="95">
        <v>3</v>
      </c>
      <c r="J12" s="95">
        <f>D5-D2</f>
        <v>16</v>
      </c>
    </row>
    <row r="13" spans="1:10" x14ac:dyDescent="0.3">
      <c r="A13" s="1">
        <f>1/2</f>
        <v>0.5</v>
      </c>
      <c r="C13" s="98" t="s">
        <v>274</v>
      </c>
      <c r="D13" s="95">
        <f>D6-D4</f>
        <v>36</v>
      </c>
      <c r="F13" s="98">
        <v>21</v>
      </c>
      <c r="G13" s="95">
        <f>D6-D3</f>
        <v>42</v>
      </c>
      <c r="I13" s="95">
        <v>31</v>
      </c>
      <c r="J13" s="95">
        <f>D7-D3</f>
        <v>52</v>
      </c>
    </row>
    <row r="14" spans="1:10" x14ac:dyDescent="0.3">
      <c r="A14" s="1">
        <f>1/2</f>
        <v>0.5</v>
      </c>
      <c r="C14" s="98" t="s">
        <v>273</v>
      </c>
      <c r="D14" s="95">
        <f>D7-D5</f>
        <v>38</v>
      </c>
      <c r="F14" s="98">
        <v>23</v>
      </c>
      <c r="G14" s="95">
        <f>D8-D5</f>
        <v>60</v>
      </c>
      <c r="I14" s="95">
        <v>32</v>
      </c>
      <c r="J14" s="95">
        <f>D8-D4</f>
        <v>68</v>
      </c>
    </row>
    <row r="15" spans="1:10" x14ac:dyDescent="0.3">
      <c r="A15" s="1">
        <v>1</v>
      </c>
      <c r="C15" s="98" t="s">
        <v>272</v>
      </c>
      <c r="D15" s="95">
        <f>D9-D8</f>
        <v>23</v>
      </c>
      <c r="F15" s="98">
        <v>213</v>
      </c>
      <c r="G15" s="95">
        <f>D9-D7</f>
        <v>45</v>
      </c>
      <c r="I15" s="95">
        <v>312</v>
      </c>
      <c r="J15" s="95">
        <f>D9-D6</f>
        <v>55</v>
      </c>
    </row>
    <row r="17" spans="3:14" x14ac:dyDescent="0.3">
      <c r="C17" s="1" t="s">
        <v>262</v>
      </c>
      <c r="D17" s="1">
        <f>SUMPRODUCT(D12:D15,$A$12:$A$15)/SUM($A$12:$A$15)</f>
        <v>20.666666666666668</v>
      </c>
      <c r="F17" s="1" t="s">
        <v>262</v>
      </c>
      <c r="G17" s="1">
        <f>SUMPRODUCT(G12:G15,$A$12:$A$15)/SUM($A$12:$A$15)</f>
        <v>34.666666666666664</v>
      </c>
      <c r="I17" s="1" t="s">
        <v>262</v>
      </c>
      <c r="J17" s="1">
        <f>SUMPRODUCT(J12:J15,$A$12:$A$15)/SUM($A$12:$A$15)</f>
        <v>43.666666666666664</v>
      </c>
      <c r="M17" s="1" t="s">
        <v>261</v>
      </c>
      <c r="N17" s="1">
        <f>D17+G17+J17</f>
        <v>99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E6DBA-86BA-0246-A3B9-C54473199A10}">
  <sheetPr codeName="Sheet81">
    <tabColor rgb="FFFF0000"/>
  </sheetPr>
  <dimension ref="C2:E9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3:5" x14ac:dyDescent="0.3">
      <c r="C2" s="1" t="s">
        <v>283</v>
      </c>
      <c r="E2" s="1" t="s">
        <v>286</v>
      </c>
    </row>
    <row r="3" spans="3:5" x14ac:dyDescent="0.3">
      <c r="C3" s="1" t="s">
        <v>269</v>
      </c>
      <c r="E3" s="1" t="s">
        <v>291</v>
      </c>
    </row>
    <row r="4" spans="3:5" x14ac:dyDescent="0.3">
      <c r="C4" s="1" t="s">
        <v>268</v>
      </c>
      <c r="E4" s="1" t="s">
        <v>290</v>
      </c>
    </row>
    <row r="5" spans="3:5" x14ac:dyDescent="0.3">
      <c r="C5" s="1" t="s">
        <v>282</v>
      </c>
      <c r="E5" s="1" t="s">
        <v>289</v>
      </c>
    </row>
    <row r="6" spans="3:5" x14ac:dyDescent="0.3">
      <c r="C6" s="1" t="s">
        <v>281</v>
      </c>
      <c r="E6" s="1" t="s">
        <v>288</v>
      </c>
    </row>
    <row r="7" spans="3:5" x14ac:dyDescent="0.3">
      <c r="C7" s="1" t="s">
        <v>280</v>
      </c>
      <c r="E7" s="1" t="s">
        <v>287</v>
      </c>
    </row>
    <row r="8" spans="3:5" x14ac:dyDescent="0.3">
      <c r="C8" s="1" t="s">
        <v>279</v>
      </c>
      <c r="E8" s="1" t="s">
        <v>285</v>
      </c>
    </row>
    <row r="9" spans="3:5" x14ac:dyDescent="0.3">
      <c r="C9" s="1" t="s">
        <v>278</v>
      </c>
      <c r="E9" s="1" t="s">
        <v>284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B6DC6-9A9A-B14B-91E1-6D4B1A18A41A}">
  <sheetPr codeName="Sheet82">
    <tabColor rgb="FFFF0000"/>
  </sheetPr>
  <dimension ref="C2:G9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3:7" x14ac:dyDescent="0.3">
      <c r="C2" s="1" t="s">
        <v>283</v>
      </c>
      <c r="E2" s="1" t="s">
        <v>286</v>
      </c>
      <c r="G2" s="1" t="s">
        <v>546</v>
      </c>
    </row>
    <row r="3" spans="3:7" x14ac:dyDescent="0.3">
      <c r="C3" s="1" t="s">
        <v>269</v>
      </c>
      <c r="E3" s="1" t="s">
        <v>291</v>
      </c>
      <c r="G3" s="1" t="s">
        <v>539</v>
      </c>
    </row>
    <row r="4" spans="3:7" x14ac:dyDescent="0.3">
      <c r="C4" s="1" t="s">
        <v>268</v>
      </c>
      <c r="E4" s="1" t="s">
        <v>290</v>
      </c>
      <c r="G4" s="1" t="s">
        <v>540</v>
      </c>
    </row>
    <row r="5" spans="3:7" x14ac:dyDescent="0.3">
      <c r="C5" s="1" t="s">
        <v>282</v>
      </c>
      <c r="E5" s="1" t="s">
        <v>289</v>
      </c>
      <c r="G5" s="1" t="s">
        <v>541</v>
      </c>
    </row>
    <row r="6" spans="3:7" x14ac:dyDescent="0.3">
      <c r="C6" s="1" t="s">
        <v>281</v>
      </c>
      <c r="E6" s="1" t="s">
        <v>288</v>
      </c>
      <c r="G6" s="1" t="s">
        <v>542</v>
      </c>
    </row>
    <row r="7" spans="3:7" x14ac:dyDescent="0.3">
      <c r="C7" s="1" t="s">
        <v>280</v>
      </c>
      <c r="E7" s="1" t="s">
        <v>287</v>
      </c>
      <c r="G7" s="1" t="s">
        <v>543</v>
      </c>
    </row>
    <row r="8" spans="3:7" x14ac:dyDescent="0.3">
      <c r="C8" s="1" t="s">
        <v>279</v>
      </c>
      <c r="E8" s="1" t="s">
        <v>285</v>
      </c>
      <c r="G8" s="1" t="s">
        <v>544</v>
      </c>
    </row>
    <row r="9" spans="3:7" x14ac:dyDescent="0.3">
      <c r="C9" s="1" t="s">
        <v>278</v>
      </c>
      <c r="E9" s="1" t="s">
        <v>284</v>
      </c>
      <c r="G9" s="1" t="s">
        <v>545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7ED5B-2893-2A42-B7BD-81A1A4A0C4AF}">
  <sheetPr codeName="Sheet84">
    <tabColor rgb="FFFF0000"/>
  </sheetPr>
  <dimension ref="C2:K9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6" width="10.83203125" style="1"/>
    <col min="7" max="7" width="25.33203125" style="1" bestFit="1" customWidth="1"/>
    <col min="8" max="8" width="10.83203125" style="1"/>
    <col min="9" max="11" width="3.1640625" style="1" bestFit="1" customWidth="1"/>
    <col min="12" max="16384" width="10.83203125" style="1"/>
  </cols>
  <sheetData>
    <row r="2" spans="3:11" x14ac:dyDescent="0.3">
      <c r="C2" s="1" t="s">
        <v>283</v>
      </c>
      <c r="E2" s="1" t="s">
        <v>286</v>
      </c>
      <c r="G2" s="1" t="s">
        <v>546</v>
      </c>
      <c r="I2" s="1">
        <v>0</v>
      </c>
      <c r="J2" s="1">
        <v>0</v>
      </c>
      <c r="K2" s="1">
        <v>0</v>
      </c>
    </row>
    <row r="3" spans="3:11" x14ac:dyDescent="0.3">
      <c r="C3" s="1" t="s">
        <v>269</v>
      </c>
      <c r="E3" s="1" t="s">
        <v>291</v>
      </c>
      <c r="G3" s="1" t="s">
        <v>539</v>
      </c>
      <c r="I3" s="1">
        <v>1</v>
      </c>
      <c r="J3" s="1">
        <v>0</v>
      </c>
      <c r="K3" s="1">
        <v>0</v>
      </c>
    </row>
    <row r="4" spans="3:11" x14ac:dyDescent="0.3">
      <c r="C4" s="1" t="s">
        <v>268</v>
      </c>
      <c r="E4" s="1" t="s">
        <v>290</v>
      </c>
      <c r="G4" s="1" t="s">
        <v>540</v>
      </c>
      <c r="I4" s="1">
        <v>0</v>
      </c>
      <c r="J4" s="1">
        <v>1</v>
      </c>
      <c r="K4" s="1">
        <v>0</v>
      </c>
    </row>
    <row r="5" spans="3:11" x14ac:dyDescent="0.3">
      <c r="C5" s="1" t="s">
        <v>282</v>
      </c>
      <c r="E5" s="1" t="s">
        <v>289</v>
      </c>
      <c r="G5" s="1" t="s">
        <v>541</v>
      </c>
      <c r="I5" s="1">
        <v>0</v>
      </c>
      <c r="J5" s="1">
        <v>0</v>
      </c>
      <c r="K5" s="1">
        <v>1</v>
      </c>
    </row>
    <row r="6" spans="3:11" x14ac:dyDescent="0.3">
      <c r="C6" s="1" t="s">
        <v>281</v>
      </c>
      <c r="E6" s="1" t="s">
        <v>288</v>
      </c>
      <c r="G6" s="1" t="s">
        <v>542</v>
      </c>
      <c r="I6" s="1">
        <v>1</v>
      </c>
      <c r="J6" s="1">
        <v>1</v>
      </c>
      <c r="K6" s="1">
        <v>0</v>
      </c>
    </row>
    <row r="7" spans="3:11" x14ac:dyDescent="0.3">
      <c r="C7" s="1" t="s">
        <v>280</v>
      </c>
      <c r="E7" s="1" t="s">
        <v>287</v>
      </c>
      <c r="G7" s="1" t="s">
        <v>543</v>
      </c>
      <c r="I7" s="1">
        <v>1</v>
      </c>
      <c r="J7" s="1">
        <v>0</v>
      </c>
      <c r="K7" s="1">
        <v>1</v>
      </c>
    </row>
    <row r="8" spans="3:11" x14ac:dyDescent="0.3">
      <c r="C8" s="1" t="s">
        <v>279</v>
      </c>
      <c r="E8" s="1" t="s">
        <v>285</v>
      </c>
      <c r="G8" s="1" t="s">
        <v>544</v>
      </c>
      <c r="I8" s="1">
        <v>0</v>
      </c>
      <c r="J8" s="1">
        <v>1</v>
      </c>
      <c r="K8" s="1">
        <v>1</v>
      </c>
    </row>
    <row r="9" spans="3:11" x14ac:dyDescent="0.3">
      <c r="C9" s="1" t="s">
        <v>278</v>
      </c>
      <c r="E9" s="1" t="s">
        <v>284</v>
      </c>
      <c r="G9" s="1" t="s">
        <v>545</v>
      </c>
      <c r="I9" s="1">
        <v>1</v>
      </c>
      <c r="J9" s="1">
        <v>1</v>
      </c>
      <c r="K9" s="1">
        <v>1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48D7C-22E2-874B-A014-EBDCF9875A86}">
  <sheetPr codeName="Sheet17">
    <tabColor rgb="FFFF0000"/>
  </sheetPr>
  <dimension ref="B3:O26"/>
  <sheetViews>
    <sheetView zoomScale="80" zoomScaleNormal="80" workbookViewId="0"/>
  </sheetViews>
  <sheetFormatPr baseColWidth="10" defaultRowHeight="26" x14ac:dyDescent="0.3"/>
  <cols>
    <col min="1" max="14" width="10.83203125" style="1"/>
    <col min="15" max="15" width="23.5" style="1" bestFit="1" customWidth="1"/>
    <col min="16" max="16384" width="10.83203125" style="1"/>
  </cols>
  <sheetData>
    <row r="3" spans="2:15" x14ac:dyDescent="0.3">
      <c r="C3" s="13" t="s">
        <v>20</v>
      </c>
      <c r="D3" s="13" t="s">
        <v>1</v>
      </c>
      <c r="E3" s="13" t="s">
        <v>3</v>
      </c>
      <c r="F3" s="13" t="s">
        <v>30</v>
      </c>
      <c r="G3" s="13" t="s">
        <v>2</v>
      </c>
      <c r="H3" s="13" t="s">
        <v>547</v>
      </c>
      <c r="K3" s="13" t="s">
        <v>20</v>
      </c>
      <c r="L3" s="13" t="s">
        <v>1</v>
      </c>
      <c r="M3" s="13" t="s">
        <v>3</v>
      </c>
      <c r="N3" s="11"/>
      <c r="O3" s="163" t="s">
        <v>0</v>
      </c>
    </row>
    <row r="4" spans="2:15" x14ac:dyDescent="0.3">
      <c r="B4" s="1">
        <v>1</v>
      </c>
      <c r="C4" s="1">
        <v>0.31134091440407508</v>
      </c>
      <c r="D4" s="1">
        <v>0.26570542114219797</v>
      </c>
      <c r="E4" s="1">
        <v>0.64143177432796994</v>
      </c>
      <c r="F4" s="1">
        <v>10</v>
      </c>
      <c r="G4" s="1" cm="1">
        <f t="array" ref="G4:G23">MMULT(C4:E23,F4:F6)</f>
        <v>27.670470796723809</v>
      </c>
      <c r="H4" s="1">
        <v>10</v>
      </c>
      <c r="K4" s="13" t="s">
        <v>550</v>
      </c>
      <c r="L4" s="13" t="s">
        <v>548</v>
      </c>
      <c r="M4" s="13" t="s">
        <v>549</v>
      </c>
      <c r="O4" s="1" t="s">
        <v>546</v>
      </c>
    </row>
    <row r="5" spans="2:15" x14ac:dyDescent="0.3">
      <c r="B5" s="1">
        <v>2</v>
      </c>
      <c r="C5" s="1">
        <v>0.21730832144270829</v>
      </c>
      <c r="D5" s="1">
        <v>6.5018477512873707E-2</v>
      </c>
      <c r="E5" s="1">
        <v>0.73741374829610384</v>
      </c>
      <c r="F5" s="1">
        <v>20</v>
      </c>
      <c r="G5" s="1">
        <v>25.59586521356767</v>
      </c>
      <c r="H5" s="1">
        <v>20</v>
      </c>
      <c r="K5" s="13" t="s">
        <v>20</v>
      </c>
      <c r="L5" s="13" t="s">
        <v>548</v>
      </c>
      <c r="M5" s="13" t="s">
        <v>549</v>
      </c>
      <c r="O5" s="1" t="s">
        <v>539</v>
      </c>
    </row>
    <row r="6" spans="2:15" x14ac:dyDescent="0.3">
      <c r="B6" s="1">
        <v>3</v>
      </c>
      <c r="C6" s="1">
        <v>3.3958179287493562E-2</v>
      </c>
      <c r="D6" s="1">
        <v>0.65792105599076678</v>
      </c>
      <c r="E6" s="1">
        <v>0.74412168004169388</v>
      </c>
      <c r="F6" s="1">
        <v>30</v>
      </c>
      <c r="G6" s="1">
        <v>35.821653313941084</v>
      </c>
      <c r="H6" s="1">
        <v>30</v>
      </c>
      <c r="K6" s="13" t="s">
        <v>550</v>
      </c>
      <c r="L6" s="13" t="s">
        <v>1</v>
      </c>
      <c r="M6" s="13" t="s">
        <v>549</v>
      </c>
      <c r="O6" s="1" t="s">
        <v>540</v>
      </c>
    </row>
    <row r="7" spans="2:15" x14ac:dyDescent="0.3">
      <c r="B7" s="1">
        <v>4</v>
      </c>
      <c r="C7" s="1">
        <v>0.74179307821460716</v>
      </c>
      <c r="D7" s="1">
        <v>0.26401854570725591</v>
      </c>
      <c r="E7" s="1">
        <v>0.49477070549113344</v>
      </c>
      <c r="G7" s="1">
        <v>27.541422861025193</v>
      </c>
      <c r="K7" s="13" t="s">
        <v>550</v>
      </c>
      <c r="L7" s="13" t="s">
        <v>548</v>
      </c>
      <c r="M7" s="13" t="s">
        <v>3</v>
      </c>
      <c r="O7" s="1" t="s">
        <v>541</v>
      </c>
    </row>
    <row r="8" spans="2:15" x14ac:dyDescent="0.3">
      <c r="B8" s="1">
        <v>5</v>
      </c>
      <c r="C8" s="1">
        <v>0.57533116168814069</v>
      </c>
      <c r="D8" s="1">
        <v>0.88642897323297964</v>
      </c>
      <c r="E8" s="1">
        <v>0.78665890703476493</v>
      </c>
      <c r="G8" s="1">
        <v>47.081658292583953</v>
      </c>
      <c r="K8" s="13" t="s">
        <v>20</v>
      </c>
      <c r="L8" s="13" t="s">
        <v>1</v>
      </c>
      <c r="M8" s="13" t="s">
        <v>549</v>
      </c>
      <c r="O8" s="1" t="s">
        <v>542</v>
      </c>
    </row>
    <row r="9" spans="2:15" x14ac:dyDescent="0.3">
      <c r="B9" s="1">
        <v>6</v>
      </c>
      <c r="C9" s="1">
        <v>0.25770431879621214</v>
      </c>
      <c r="D9" s="1">
        <v>0.99831669381369081</v>
      </c>
      <c r="E9" s="1">
        <v>0.50279548651279182</v>
      </c>
      <c r="G9" s="1">
        <v>37.627241659619692</v>
      </c>
      <c r="K9" s="13" t="s">
        <v>20</v>
      </c>
      <c r="L9" s="13" t="s">
        <v>548</v>
      </c>
      <c r="M9" s="13" t="s">
        <v>3</v>
      </c>
      <c r="O9" s="1" t="s">
        <v>543</v>
      </c>
    </row>
    <row r="10" spans="2:15" x14ac:dyDescent="0.3">
      <c r="B10" s="1">
        <v>7</v>
      </c>
      <c r="C10" s="1">
        <v>0.65745977152057966</v>
      </c>
      <c r="D10" s="1">
        <v>0.36724695234591476</v>
      </c>
      <c r="E10" s="1">
        <v>0.81681845910845552</v>
      </c>
      <c r="G10" s="1">
        <v>38.424090535377758</v>
      </c>
      <c r="K10" s="13" t="s">
        <v>550</v>
      </c>
      <c r="L10" s="13" t="s">
        <v>1</v>
      </c>
      <c r="M10" s="13" t="s">
        <v>3</v>
      </c>
      <c r="O10" s="1" t="s">
        <v>544</v>
      </c>
    </row>
    <row r="11" spans="2:15" x14ac:dyDescent="0.3">
      <c r="B11" s="1">
        <v>8</v>
      </c>
      <c r="C11" s="1">
        <v>0.78946558070589257</v>
      </c>
      <c r="D11" s="1">
        <v>0.10665148544999148</v>
      </c>
      <c r="E11" s="1">
        <v>0.45145474437502642</v>
      </c>
      <c r="G11" s="1">
        <v>23.571327847309547</v>
      </c>
      <c r="K11" s="13" t="s">
        <v>20</v>
      </c>
      <c r="L11" s="13" t="s">
        <v>1</v>
      </c>
      <c r="M11" s="13" t="s">
        <v>3</v>
      </c>
      <c r="O11" s="1" t="s">
        <v>545</v>
      </c>
    </row>
    <row r="12" spans="2:15" x14ac:dyDescent="0.3">
      <c r="B12" s="1">
        <v>9</v>
      </c>
      <c r="C12" s="1">
        <v>0.35575601469610141</v>
      </c>
      <c r="D12" s="1">
        <v>0.43587270749781104</v>
      </c>
      <c r="E12" s="1">
        <v>0.88587704126521716</v>
      </c>
      <c r="G12" s="1">
        <v>38.851325534873752</v>
      </c>
    </row>
    <row r="13" spans="2:15" x14ac:dyDescent="0.3">
      <c r="B13" s="1">
        <v>10</v>
      </c>
      <c r="C13" s="1">
        <v>0.96461164202769156</v>
      </c>
      <c r="D13" s="1">
        <v>0.95693356456206935</v>
      </c>
      <c r="E13" s="1">
        <v>0.10066745212755679</v>
      </c>
      <c r="G13" s="1">
        <v>31.804811275345006</v>
      </c>
    </row>
    <row r="14" spans="2:15" x14ac:dyDescent="0.3">
      <c r="B14" s="1">
        <v>11</v>
      </c>
      <c r="C14" s="1">
        <v>0.38360676307339192</v>
      </c>
      <c r="D14" s="1">
        <v>0.85187791211180608</v>
      </c>
      <c r="E14" s="1">
        <v>0.65234361986940381</v>
      </c>
      <c r="G14" s="1">
        <v>40.443934469052152</v>
      </c>
    </row>
    <row r="15" spans="2:15" x14ac:dyDescent="0.3">
      <c r="B15" s="1">
        <v>12</v>
      </c>
      <c r="C15" s="1">
        <v>0.69444764978372131</v>
      </c>
      <c r="D15" s="1">
        <v>0.59832123493727751</v>
      </c>
      <c r="E15" s="1">
        <v>0.6914900954928308</v>
      </c>
      <c r="G15" s="1">
        <v>39.655604061367683</v>
      </c>
    </row>
    <row r="16" spans="2:15" x14ac:dyDescent="0.3">
      <c r="B16" s="1">
        <v>13</v>
      </c>
      <c r="C16" s="1">
        <v>0.37317636041366276</v>
      </c>
      <c r="D16" s="1">
        <v>0.90976865733306223</v>
      </c>
      <c r="E16" s="1">
        <v>0.21187726816612384</v>
      </c>
      <c r="G16" s="1">
        <v>28.283454795781587</v>
      </c>
    </row>
    <row r="17" spans="2:7" x14ac:dyDescent="0.3">
      <c r="B17" s="1">
        <v>14</v>
      </c>
      <c r="C17" s="1">
        <v>0.59798342291103634</v>
      </c>
      <c r="D17" s="1">
        <v>0.73378367991227489</v>
      </c>
      <c r="E17" s="1">
        <v>0.1678842275992789</v>
      </c>
      <c r="G17" s="1">
        <v>25.692034655334229</v>
      </c>
    </row>
    <row r="18" spans="2:7" x14ac:dyDescent="0.3">
      <c r="B18" s="1">
        <v>15</v>
      </c>
      <c r="C18" s="1">
        <v>4.1806147527501114E-3</v>
      </c>
      <c r="D18" s="1">
        <v>0.40944140197997292</v>
      </c>
      <c r="E18" s="1">
        <v>0.92570539972017019</v>
      </c>
      <c r="G18" s="1">
        <v>36.001796178732064</v>
      </c>
    </row>
    <row r="19" spans="2:7" x14ac:dyDescent="0.3">
      <c r="B19" s="1">
        <v>16</v>
      </c>
      <c r="C19" s="1">
        <v>0.87565173767107196</v>
      </c>
      <c r="D19" s="1">
        <v>0.46612391698972777</v>
      </c>
      <c r="E19" s="1">
        <v>0.61898540410631764</v>
      </c>
      <c r="G19" s="1">
        <v>36.648557839694803</v>
      </c>
    </row>
    <row r="20" spans="2:7" x14ac:dyDescent="0.3">
      <c r="B20" s="1">
        <v>17</v>
      </c>
      <c r="C20" s="1">
        <v>0.17483152248164258</v>
      </c>
      <c r="D20" s="1">
        <v>0.32546389067855708</v>
      </c>
      <c r="E20" s="1">
        <v>0.87348173306610477</v>
      </c>
      <c r="G20" s="1">
        <v>34.46204503037071</v>
      </c>
    </row>
    <row r="21" spans="2:7" x14ac:dyDescent="0.3">
      <c r="B21" s="1">
        <v>18</v>
      </c>
      <c r="C21" s="1">
        <v>0.21476724519250989</v>
      </c>
      <c r="D21" s="1">
        <v>0.58886029985045107</v>
      </c>
      <c r="E21" s="1">
        <v>0.42624592976600018</v>
      </c>
      <c r="G21" s="1">
        <v>26.712256341914127</v>
      </c>
    </row>
    <row r="22" spans="2:7" x14ac:dyDescent="0.3">
      <c r="B22" s="1">
        <v>19</v>
      </c>
      <c r="C22" s="1">
        <v>0.11055409474807798</v>
      </c>
      <c r="D22" s="1">
        <v>0.69247887496915528</v>
      </c>
      <c r="E22" s="1">
        <v>6.6171514717111912E-2</v>
      </c>
      <c r="G22" s="1">
        <v>16.940263888377242</v>
      </c>
    </row>
    <row r="23" spans="2:7" x14ac:dyDescent="0.3">
      <c r="B23" s="1">
        <v>20</v>
      </c>
      <c r="C23" s="1">
        <v>0.70908153939376617</v>
      </c>
      <c r="D23" s="1">
        <v>0.38653610189788667</v>
      </c>
      <c r="E23" s="1">
        <v>0.15866789216251576</v>
      </c>
      <c r="G23" s="1">
        <v>19.581574196770866</v>
      </c>
    </row>
    <row r="25" spans="2:7" x14ac:dyDescent="0.3">
      <c r="C25" s="13" t="s">
        <v>550</v>
      </c>
      <c r="D25" s="13" t="s">
        <v>548</v>
      </c>
      <c r="E25" s="13" t="s">
        <v>549</v>
      </c>
      <c r="F25" s="13"/>
    </row>
    <row r="26" spans="2:7" x14ac:dyDescent="0.3">
      <c r="C26" s="1">
        <f>AVERAGE(C4:C23)</f>
        <v>0.4521504966602567</v>
      </c>
      <c r="D26" s="1">
        <f t="shared" ref="D26:E26" si="0">AVERAGE(D4:D23)</f>
        <v>0.54833849239578614</v>
      </c>
      <c r="E26" s="1">
        <f t="shared" si="0"/>
        <v>0.54774315416232866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6B7D7-6606-A54A-8A11-9AA4EFDCBB74}">
  <sheetPr codeName="Sheet28">
    <tabColor rgb="FFFF0000"/>
  </sheetPr>
  <dimension ref="B3:O26"/>
  <sheetViews>
    <sheetView zoomScale="80" zoomScaleNormal="80" workbookViewId="0"/>
  </sheetViews>
  <sheetFormatPr baseColWidth="10" defaultRowHeight="26" x14ac:dyDescent="0.3"/>
  <cols>
    <col min="1" max="14" width="10.83203125" style="1"/>
    <col min="15" max="15" width="23.5" style="1" bestFit="1" customWidth="1"/>
    <col min="16" max="16384" width="10.83203125" style="1"/>
  </cols>
  <sheetData>
    <row r="3" spans="2:15" x14ac:dyDescent="0.3">
      <c r="C3" s="13" t="s">
        <v>20</v>
      </c>
      <c r="D3" s="13" t="s">
        <v>1</v>
      </c>
      <c r="E3" s="13" t="s">
        <v>3</v>
      </c>
      <c r="F3" s="13" t="s">
        <v>30</v>
      </c>
      <c r="G3" s="13" t="s">
        <v>2</v>
      </c>
      <c r="H3" s="13" t="s">
        <v>547</v>
      </c>
      <c r="K3" s="13" t="s">
        <v>20</v>
      </c>
      <c r="L3" s="13" t="s">
        <v>1</v>
      </c>
      <c r="M3" s="13" t="s">
        <v>3</v>
      </c>
      <c r="N3" s="11"/>
      <c r="O3" s="163" t="s">
        <v>0</v>
      </c>
    </row>
    <row r="4" spans="2:15" x14ac:dyDescent="0.3">
      <c r="B4" s="1">
        <v>1</v>
      </c>
      <c r="C4" s="1">
        <f t="array" ref="C4:E23">Example1_Notation!C4:E23</f>
        <v>0.31134091440407508</v>
      </c>
      <c r="D4" s="1">
        <v>0.26570542114219797</v>
      </c>
      <c r="E4" s="1">
        <v>0.64143177432796994</v>
      </c>
      <c r="F4" s="1">
        <v>10</v>
      </c>
      <c r="G4" s="1" cm="1">
        <f t="array" ref="G4:G23">MMULT(C4:E23,F4:F6)</f>
        <v>27.670470796723809</v>
      </c>
      <c r="H4" s="1">
        <v>10</v>
      </c>
      <c r="K4" s="13" t="s">
        <v>550</v>
      </c>
      <c r="L4" s="13" t="s">
        <v>548</v>
      </c>
      <c r="M4" s="13" t="s">
        <v>549</v>
      </c>
      <c r="O4" s="1" t="s">
        <v>546</v>
      </c>
    </row>
    <row r="5" spans="2:15" x14ac:dyDescent="0.3">
      <c r="B5" s="1">
        <v>2</v>
      </c>
      <c r="C5" s="1">
        <v>0.21730832144270829</v>
      </c>
      <c r="D5" s="1">
        <v>6.5018477512873707E-2</v>
      </c>
      <c r="E5" s="1">
        <v>0.73741374829610384</v>
      </c>
      <c r="F5" s="1">
        <v>20</v>
      </c>
      <c r="G5" s="1">
        <v>25.59586521356767</v>
      </c>
      <c r="H5" s="1">
        <v>20</v>
      </c>
      <c r="K5" s="13" t="s">
        <v>20</v>
      </c>
      <c r="L5" s="13" t="s">
        <v>548</v>
      </c>
      <c r="M5" s="13" t="s">
        <v>549</v>
      </c>
      <c r="O5" s="1" t="s">
        <v>539</v>
      </c>
    </row>
    <row r="6" spans="2:15" x14ac:dyDescent="0.3">
      <c r="B6" s="1">
        <v>3</v>
      </c>
      <c r="C6" s="1">
        <v>3.3958179287493562E-2</v>
      </c>
      <c r="D6" s="1">
        <v>0.65792105599076678</v>
      </c>
      <c r="E6" s="1">
        <v>0.74412168004169388</v>
      </c>
      <c r="F6" s="1">
        <v>30</v>
      </c>
      <c r="G6" s="1">
        <v>35.821653313941084</v>
      </c>
      <c r="H6" s="1">
        <v>30</v>
      </c>
      <c r="K6" s="13" t="s">
        <v>550</v>
      </c>
      <c r="L6" s="13" t="s">
        <v>1</v>
      </c>
      <c r="M6" s="13" t="s">
        <v>549</v>
      </c>
      <c r="O6" s="1" t="s">
        <v>540</v>
      </c>
    </row>
    <row r="7" spans="2:15" x14ac:dyDescent="0.3">
      <c r="B7" s="1">
        <v>4</v>
      </c>
      <c r="C7" s="1">
        <v>0.74179307821460716</v>
      </c>
      <c r="D7" s="1">
        <v>0.26401854570725591</v>
      </c>
      <c r="E7" s="1">
        <v>0.49477070549113344</v>
      </c>
      <c r="G7" s="1">
        <v>27.541422861025193</v>
      </c>
      <c r="K7" s="13" t="s">
        <v>550</v>
      </c>
      <c r="L7" s="13" t="s">
        <v>548</v>
      </c>
      <c r="M7" s="13" t="s">
        <v>3</v>
      </c>
      <c r="O7" s="1" t="s">
        <v>541</v>
      </c>
    </row>
    <row r="8" spans="2:15" x14ac:dyDescent="0.3">
      <c r="B8" s="1">
        <v>5</v>
      </c>
      <c r="C8" s="1">
        <v>0.57533116168814069</v>
      </c>
      <c r="D8" s="1">
        <v>0.88642897323297964</v>
      </c>
      <c r="E8" s="1">
        <v>0.78665890703476493</v>
      </c>
      <c r="G8" s="1">
        <v>47.081658292583953</v>
      </c>
      <c r="K8" s="13" t="s">
        <v>20</v>
      </c>
      <c r="L8" s="13" t="s">
        <v>1</v>
      </c>
      <c r="M8" s="13" t="s">
        <v>549</v>
      </c>
      <c r="O8" s="1" t="s">
        <v>542</v>
      </c>
    </row>
    <row r="9" spans="2:15" x14ac:dyDescent="0.3">
      <c r="B9" s="1">
        <v>6</v>
      </c>
      <c r="C9" s="1">
        <v>0.25770431879621214</v>
      </c>
      <c r="D9" s="1">
        <v>0.99831669381369081</v>
      </c>
      <c r="E9" s="1">
        <v>0.50279548651279182</v>
      </c>
      <c r="G9" s="1">
        <v>37.627241659619692</v>
      </c>
      <c r="K9" s="13" t="s">
        <v>20</v>
      </c>
      <c r="L9" s="13" t="s">
        <v>548</v>
      </c>
      <c r="M9" s="13" t="s">
        <v>3</v>
      </c>
      <c r="O9" s="1" t="s">
        <v>543</v>
      </c>
    </row>
    <row r="10" spans="2:15" x14ac:dyDescent="0.3">
      <c r="B10" s="1">
        <v>7</v>
      </c>
      <c r="C10" s="1">
        <v>0.65745977152057966</v>
      </c>
      <c r="D10" s="1">
        <v>0.36724695234591476</v>
      </c>
      <c r="E10" s="1">
        <v>0.81681845910845552</v>
      </c>
      <c r="G10" s="1">
        <v>38.424090535377758</v>
      </c>
      <c r="K10" s="13" t="s">
        <v>550</v>
      </c>
      <c r="L10" s="13" t="s">
        <v>1</v>
      </c>
      <c r="M10" s="13" t="s">
        <v>3</v>
      </c>
      <c r="O10" s="1" t="s">
        <v>544</v>
      </c>
    </row>
    <row r="11" spans="2:15" x14ac:dyDescent="0.3">
      <c r="B11" s="1">
        <v>8</v>
      </c>
      <c r="C11" s="1">
        <v>0.78946558070589257</v>
      </c>
      <c r="D11" s="1">
        <v>0.10665148544999148</v>
      </c>
      <c r="E11" s="1">
        <v>0.45145474437502642</v>
      </c>
      <c r="G11" s="1">
        <v>23.571327847309547</v>
      </c>
      <c r="K11" s="13" t="s">
        <v>20</v>
      </c>
      <c r="L11" s="13" t="s">
        <v>1</v>
      </c>
      <c r="M11" s="13" t="s">
        <v>3</v>
      </c>
      <c r="O11" s="1" t="s">
        <v>545</v>
      </c>
    </row>
    <row r="12" spans="2:15" x14ac:dyDescent="0.3">
      <c r="B12" s="1">
        <v>9</v>
      </c>
      <c r="C12" s="1">
        <v>0.35575601469610141</v>
      </c>
      <c r="D12" s="1">
        <v>0.43587270749781104</v>
      </c>
      <c r="E12" s="1">
        <v>0.88587704126521716</v>
      </c>
      <c r="G12" s="1">
        <v>38.851325534873752</v>
      </c>
    </row>
    <row r="13" spans="2:15" x14ac:dyDescent="0.3">
      <c r="B13" s="1">
        <v>10</v>
      </c>
      <c r="C13" s="1">
        <v>0.96461164202769156</v>
      </c>
      <c r="D13" s="1">
        <v>0.95693356456206935</v>
      </c>
      <c r="E13" s="1">
        <v>0.10066745212755679</v>
      </c>
      <c r="G13" s="1">
        <v>31.804811275345006</v>
      </c>
      <c r="K13" s="13" t="s">
        <v>20</v>
      </c>
      <c r="L13" s="13" t="s">
        <v>1</v>
      </c>
      <c r="M13" s="13" t="s">
        <v>3</v>
      </c>
      <c r="N13" s="11"/>
      <c r="O13" s="163" t="s">
        <v>0</v>
      </c>
    </row>
    <row r="14" spans="2:15" x14ac:dyDescent="0.3">
      <c r="B14" s="1">
        <v>11</v>
      </c>
      <c r="C14" s="1">
        <v>0.38360676307339192</v>
      </c>
      <c r="D14" s="1">
        <v>0.85187791211180608</v>
      </c>
      <c r="E14" s="1">
        <v>0.65234361986940381</v>
      </c>
      <c r="G14" s="1">
        <v>40.443934469052152</v>
      </c>
      <c r="K14" s="13">
        <v>0</v>
      </c>
      <c r="L14" s="13">
        <v>0</v>
      </c>
      <c r="M14" s="13">
        <v>0</v>
      </c>
      <c r="O14" s="1" t="s">
        <v>546</v>
      </c>
    </row>
    <row r="15" spans="2:15" x14ac:dyDescent="0.3">
      <c r="B15" s="1">
        <v>12</v>
      </c>
      <c r="C15" s="1">
        <v>0.69444764978372131</v>
      </c>
      <c r="D15" s="1">
        <v>0.59832123493727751</v>
      </c>
      <c r="E15" s="1">
        <v>0.6914900954928308</v>
      </c>
      <c r="G15" s="1">
        <v>39.655604061367683</v>
      </c>
      <c r="K15" s="1">
        <v>1</v>
      </c>
      <c r="L15" s="1">
        <v>0</v>
      </c>
      <c r="M15" s="1">
        <v>0</v>
      </c>
      <c r="O15" s="1" t="s">
        <v>539</v>
      </c>
    </row>
    <row r="16" spans="2:15" x14ac:dyDescent="0.3">
      <c r="B16" s="1">
        <v>13</v>
      </c>
      <c r="C16" s="1">
        <v>0.37317636041366276</v>
      </c>
      <c r="D16" s="1">
        <v>0.90976865733306223</v>
      </c>
      <c r="E16" s="1">
        <v>0.21187726816612384</v>
      </c>
      <c r="G16" s="1">
        <v>28.283454795781587</v>
      </c>
      <c r="K16" s="1">
        <v>0</v>
      </c>
      <c r="L16" s="1">
        <v>1</v>
      </c>
      <c r="M16" s="1">
        <v>0</v>
      </c>
      <c r="O16" s="1" t="s">
        <v>540</v>
      </c>
    </row>
    <row r="17" spans="2:15" x14ac:dyDescent="0.3">
      <c r="B17" s="1">
        <v>14</v>
      </c>
      <c r="C17" s="1">
        <v>0.59798342291103634</v>
      </c>
      <c r="D17" s="1">
        <v>0.73378367991227489</v>
      </c>
      <c r="E17" s="1">
        <v>0.1678842275992789</v>
      </c>
      <c r="G17" s="1">
        <v>25.692034655334229</v>
      </c>
      <c r="K17" s="1">
        <v>0</v>
      </c>
      <c r="L17" s="1">
        <v>0</v>
      </c>
      <c r="M17" s="1">
        <v>1</v>
      </c>
      <c r="O17" s="1" t="s">
        <v>541</v>
      </c>
    </row>
    <row r="18" spans="2:15" x14ac:dyDescent="0.3">
      <c r="B18" s="1">
        <v>15</v>
      </c>
      <c r="C18" s="1">
        <v>4.1806147527501114E-3</v>
      </c>
      <c r="D18" s="1">
        <v>0.40944140197997292</v>
      </c>
      <c r="E18" s="1">
        <v>0.92570539972017019</v>
      </c>
      <c r="G18" s="1">
        <v>36.001796178732064</v>
      </c>
      <c r="K18" s="1">
        <v>1</v>
      </c>
      <c r="L18" s="1">
        <v>1</v>
      </c>
      <c r="M18" s="1">
        <v>0</v>
      </c>
      <c r="O18" s="1" t="s">
        <v>542</v>
      </c>
    </row>
    <row r="19" spans="2:15" x14ac:dyDescent="0.3">
      <c r="B19" s="1">
        <v>16</v>
      </c>
      <c r="C19" s="1">
        <v>0.87565173767107196</v>
      </c>
      <c r="D19" s="1">
        <v>0.46612391698972777</v>
      </c>
      <c r="E19" s="1">
        <v>0.61898540410631764</v>
      </c>
      <c r="G19" s="1">
        <v>36.648557839694803</v>
      </c>
      <c r="K19" s="1">
        <v>1</v>
      </c>
      <c r="L19" s="1">
        <v>0</v>
      </c>
      <c r="M19" s="1">
        <v>1</v>
      </c>
      <c r="O19" s="1" t="s">
        <v>543</v>
      </c>
    </row>
    <row r="20" spans="2:15" x14ac:dyDescent="0.3">
      <c r="B20" s="1">
        <v>17</v>
      </c>
      <c r="C20" s="1">
        <v>0.17483152248164258</v>
      </c>
      <c r="D20" s="1">
        <v>0.32546389067855708</v>
      </c>
      <c r="E20" s="1">
        <v>0.87348173306610477</v>
      </c>
      <c r="G20" s="1">
        <v>34.46204503037071</v>
      </c>
      <c r="K20" s="1">
        <v>0</v>
      </c>
      <c r="L20" s="1">
        <v>1</v>
      </c>
      <c r="M20" s="1">
        <v>1</v>
      </c>
      <c r="O20" s="1" t="s">
        <v>544</v>
      </c>
    </row>
    <row r="21" spans="2:15" x14ac:dyDescent="0.3">
      <c r="B21" s="1">
        <v>18</v>
      </c>
      <c r="C21" s="1">
        <v>0.21476724519250989</v>
      </c>
      <c r="D21" s="1">
        <v>0.58886029985045107</v>
      </c>
      <c r="E21" s="1">
        <v>0.42624592976600018</v>
      </c>
      <c r="G21" s="1">
        <v>26.712256341914127</v>
      </c>
      <c r="K21" s="1">
        <v>1</v>
      </c>
      <c r="L21" s="1">
        <v>1</v>
      </c>
      <c r="M21" s="1">
        <v>1</v>
      </c>
      <c r="O21" s="1" t="s">
        <v>545</v>
      </c>
    </row>
    <row r="22" spans="2:15" x14ac:dyDescent="0.3">
      <c r="B22" s="1">
        <v>19</v>
      </c>
      <c r="C22" s="1">
        <v>0.11055409474807798</v>
      </c>
      <c r="D22" s="1">
        <v>0.69247887496915528</v>
      </c>
      <c r="E22" s="1">
        <v>6.6171514717111912E-2</v>
      </c>
      <c r="G22" s="1">
        <v>16.940263888377242</v>
      </c>
    </row>
    <row r="23" spans="2:15" x14ac:dyDescent="0.3">
      <c r="B23" s="1">
        <v>20</v>
      </c>
      <c r="C23" s="1">
        <v>0.70908153939376617</v>
      </c>
      <c r="D23" s="1">
        <v>0.38653610189788667</v>
      </c>
      <c r="E23" s="1">
        <v>0.15866789216251576</v>
      </c>
      <c r="G23" s="1">
        <v>19.581574196770866</v>
      </c>
    </row>
    <row r="25" spans="2:15" x14ac:dyDescent="0.3">
      <c r="C25" s="13" t="s">
        <v>550</v>
      </c>
      <c r="D25" s="13" t="s">
        <v>548</v>
      </c>
      <c r="E25" s="13" t="s">
        <v>549</v>
      </c>
      <c r="F25" s="13"/>
    </row>
    <row r="26" spans="2:15" x14ac:dyDescent="0.3">
      <c r="C26" s="1">
        <f>AVERAGE(C4:C23)</f>
        <v>0.4521504966602567</v>
      </c>
      <c r="D26" s="1">
        <f t="shared" ref="D26:E26" si="0">AVERAGE(D4:D23)</f>
        <v>0.54833849239578614</v>
      </c>
      <c r="E26" s="1">
        <f t="shared" si="0"/>
        <v>0.54774315416232866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5D1B7-897B-D74D-AFB5-18B94D388B68}">
  <sheetPr codeName="Sheet30">
    <tabColor rgb="FFFF0000"/>
  </sheetPr>
  <dimension ref="B3:O31"/>
  <sheetViews>
    <sheetView zoomScale="80" zoomScaleNormal="80" workbookViewId="0"/>
  </sheetViews>
  <sheetFormatPr baseColWidth="10" defaultRowHeight="26" x14ac:dyDescent="0.3"/>
  <cols>
    <col min="1" max="14" width="10.83203125" style="1"/>
    <col min="15" max="15" width="23.5" style="1" bestFit="1" customWidth="1"/>
    <col min="16" max="16384" width="10.83203125" style="1"/>
  </cols>
  <sheetData>
    <row r="3" spans="2:15" x14ac:dyDescent="0.3">
      <c r="C3" s="13" t="s">
        <v>20</v>
      </c>
      <c r="D3" s="13" t="s">
        <v>1</v>
      </c>
      <c r="E3" s="13" t="s">
        <v>3</v>
      </c>
      <c r="F3" s="13" t="s">
        <v>30</v>
      </c>
      <c r="G3" s="13" t="s">
        <v>2</v>
      </c>
      <c r="H3" s="13" t="s">
        <v>547</v>
      </c>
      <c r="K3" s="13" t="s">
        <v>20</v>
      </c>
      <c r="L3" s="13" t="s">
        <v>1</v>
      </c>
      <c r="M3" s="13" t="s">
        <v>3</v>
      </c>
      <c r="N3" s="11"/>
      <c r="O3" s="163" t="s">
        <v>0</v>
      </c>
    </row>
    <row r="4" spans="2:15" x14ac:dyDescent="0.3">
      <c r="B4" s="1">
        <v>1</v>
      </c>
      <c r="C4" s="1">
        <f t="array" ref="C4:E23">Example1_Notation!C4:E23</f>
        <v>0.31134091440407508</v>
      </c>
      <c r="D4" s="1">
        <v>0.26570542114219797</v>
      </c>
      <c r="E4" s="1">
        <v>0.64143177432796994</v>
      </c>
      <c r="F4" s="1">
        <v>10</v>
      </c>
      <c r="G4" s="1" cm="1">
        <f t="array" ref="G4:G23">MMULT(C4:E23,F4:F6)</f>
        <v>27.670470796723809</v>
      </c>
      <c r="H4" s="1">
        <v>10</v>
      </c>
      <c r="K4" s="13" t="s">
        <v>550</v>
      </c>
      <c r="L4" s="13" t="s">
        <v>548</v>
      </c>
      <c r="M4" s="13" t="s">
        <v>549</v>
      </c>
      <c r="O4" s="1" t="s">
        <v>546</v>
      </c>
    </row>
    <row r="5" spans="2:15" x14ac:dyDescent="0.3">
      <c r="B5" s="1">
        <v>2</v>
      </c>
      <c r="C5" s="1">
        <v>0.21730832144270829</v>
      </c>
      <c r="D5" s="1">
        <v>6.5018477512873707E-2</v>
      </c>
      <c r="E5" s="1">
        <v>0.73741374829610384</v>
      </c>
      <c r="F5" s="1">
        <v>20</v>
      </c>
      <c r="G5" s="1">
        <v>25.59586521356767</v>
      </c>
      <c r="H5" s="1">
        <v>20</v>
      </c>
      <c r="K5" s="13" t="s">
        <v>20</v>
      </c>
      <c r="L5" s="13" t="s">
        <v>548</v>
      </c>
      <c r="M5" s="13" t="s">
        <v>549</v>
      </c>
      <c r="O5" s="1" t="s">
        <v>539</v>
      </c>
    </row>
    <row r="6" spans="2:15" x14ac:dyDescent="0.3">
      <c r="B6" s="1">
        <v>3</v>
      </c>
      <c r="C6" s="1">
        <v>3.3958179287493562E-2</v>
      </c>
      <c r="D6" s="1">
        <v>0.65792105599076678</v>
      </c>
      <c r="E6" s="1">
        <v>0.74412168004169388</v>
      </c>
      <c r="F6" s="1">
        <v>30</v>
      </c>
      <c r="G6" s="1">
        <v>35.821653313941084</v>
      </c>
      <c r="H6" s="1">
        <v>30</v>
      </c>
      <c r="K6" s="13" t="s">
        <v>550</v>
      </c>
      <c r="L6" s="13" t="s">
        <v>1</v>
      </c>
      <c r="M6" s="13" t="s">
        <v>549</v>
      </c>
      <c r="O6" s="1" t="s">
        <v>540</v>
      </c>
    </row>
    <row r="7" spans="2:15" x14ac:dyDescent="0.3">
      <c r="B7" s="1">
        <v>4</v>
      </c>
      <c r="C7" s="1">
        <v>0.74179307821460716</v>
      </c>
      <c r="D7" s="1">
        <v>0.26401854570725591</v>
      </c>
      <c r="E7" s="1">
        <v>0.49477070549113344</v>
      </c>
      <c r="G7" s="1">
        <v>27.541422861025193</v>
      </c>
      <c r="K7" s="13" t="s">
        <v>550</v>
      </c>
      <c r="L7" s="13" t="s">
        <v>548</v>
      </c>
      <c r="M7" s="13" t="s">
        <v>3</v>
      </c>
      <c r="O7" s="1" t="s">
        <v>541</v>
      </c>
    </row>
    <row r="8" spans="2:15" x14ac:dyDescent="0.3">
      <c r="B8" s="1">
        <v>5</v>
      </c>
      <c r="C8" s="1">
        <v>0.57533116168814069</v>
      </c>
      <c r="D8" s="1">
        <v>0.88642897323297964</v>
      </c>
      <c r="E8" s="1">
        <v>0.78665890703476493</v>
      </c>
      <c r="G8" s="1">
        <v>47.081658292583953</v>
      </c>
      <c r="K8" s="13" t="s">
        <v>20</v>
      </c>
      <c r="L8" s="13" t="s">
        <v>1</v>
      </c>
      <c r="M8" s="13" t="s">
        <v>549</v>
      </c>
      <c r="O8" s="1" t="s">
        <v>542</v>
      </c>
    </row>
    <row r="9" spans="2:15" x14ac:dyDescent="0.3">
      <c r="B9" s="1">
        <v>6</v>
      </c>
      <c r="C9" s="1">
        <v>0.25770431879621214</v>
      </c>
      <c r="D9" s="1">
        <v>0.99831669381369081</v>
      </c>
      <c r="E9" s="1">
        <v>0.50279548651279182</v>
      </c>
      <c r="G9" s="1">
        <v>37.627241659619692</v>
      </c>
      <c r="K9" s="13" t="s">
        <v>20</v>
      </c>
      <c r="L9" s="13" t="s">
        <v>548</v>
      </c>
      <c r="M9" s="13" t="s">
        <v>3</v>
      </c>
      <c r="O9" s="1" t="s">
        <v>543</v>
      </c>
    </row>
    <row r="10" spans="2:15" x14ac:dyDescent="0.3">
      <c r="B10" s="1">
        <v>7</v>
      </c>
      <c r="C10" s="1">
        <v>0.65745977152057966</v>
      </c>
      <c r="D10" s="1">
        <v>0.36724695234591476</v>
      </c>
      <c r="E10" s="1">
        <v>0.81681845910845552</v>
      </c>
      <c r="G10" s="1">
        <v>38.424090535377758</v>
      </c>
      <c r="K10" s="13" t="s">
        <v>550</v>
      </c>
      <c r="L10" s="13" t="s">
        <v>1</v>
      </c>
      <c r="M10" s="13" t="s">
        <v>3</v>
      </c>
      <c r="O10" s="1" t="s">
        <v>544</v>
      </c>
    </row>
    <row r="11" spans="2:15" x14ac:dyDescent="0.3">
      <c r="B11" s="1">
        <v>8</v>
      </c>
      <c r="C11" s="1">
        <v>0.78946558070589257</v>
      </c>
      <c r="D11" s="1">
        <v>0.10665148544999148</v>
      </c>
      <c r="E11" s="1">
        <v>0.45145474437502642</v>
      </c>
      <c r="G11" s="1">
        <v>23.571327847309547</v>
      </c>
      <c r="K11" s="13" t="s">
        <v>20</v>
      </c>
      <c r="L11" s="13" t="s">
        <v>1</v>
      </c>
      <c r="M11" s="13" t="s">
        <v>3</v>
      </c>
      <c r="O11" s="1" t="s">
        <v>545</v>
      </c>
    </row>
    <row r="12" spans="2:15" x14ac:dyDescent="0.3">
      <c r="B12" s="1">
        <v>9</v>
      </c>
      <c r="C12" s="1">
        <v>0.35575601469610141</v>
      </c>
      <c r="D12" s="1">
        <v>0.43587270749781104</v>
      </c>
      <c r="E12" s="1">
        <v>0.88587704126521716</v>
      </c>
      <c r="G12" s="1">
        <v>38.851325534873752</v>
      </c>
    </row>
    <row r="13" spans="2:15" x14ac:dyDescent="0.3">
      <c r="B13" s="1">
        <v>10</v>
      </c>
      <c r="C13" s="1">
        <v>0.96461164202769156</v>
      </c>
      <c r="D13" s="1">
        <v>0.95693356456206935</v>
      </c>
      <c r="E13" s="1">
        <v>0.10066745212755679</v>
      </c>
      <c r="G13" s="1">
        <v>31.804811275345006</v>
      </c>
      <c r="K13" s="13" t="s">
        <v>20</v>
      </c>
      <c r="L13" s="13" t="s">
        <v>1</v>
      </c>
      <c r="M13" s="13" t="s">
        <v>3</v>
      </c>
      <c r="N13" s="11"/>
      <c r="O13" s="163" t="s">
        <v>0</v>
      </c>
    </row>
    <row r="14" spans="2:15" x14ac:dyDescent="0.3">
      <c r="B14" s="1">
        <v>11</v>
      </c>
      <c r="C14" s="1">
        <v>0.38360676307339192</v>
      </c>
      <c r="D14" s="1">
        <v>0.85187791211180608</v>
      </c>
      <c r="E14" s="1">
        <v>0.65234361986940381</v>
      </c>
      <c r="G14" s="1">
        <v>40.443934469052152</v>
      </c>
      <c r="K14" s="13">
        <v>0</v>
      </c>
      <c r="L14" s="13">
        <v>0</v>
      </c>
      <c r="M14" s="13">
        <v>0</v>
      </c>
      <c r="O14" s="1" t="s">
        <v>546</v>
      </c>
    </row>
    <row r="15" spans="2:15" x14ac:dyDescent="0.3">
      <c r="B15" s="1">
        <v>12</v>
      </c>
      <c r="C15" s="1">
        <v>0.69444764978372131</v>
      </c>
      <c r="D15" s="1">
        <v>0.59832123493727751</v>
      </c>
      <c r="E15" s="1">
        <v>0.6914900954928308</v>
      </c>
      <c r="G15" s="1">
        <v>39.655604061367683</v>
      </c>
      <c r="K15" s="1">
        <v>1</v>
      </c>
      <c r="L15" s="1">
        <v>0</v>
      </c>
      <c r="M15" s="1">
        <v>0</v>
      </c>
      <c r="O15" s="1" t="s">
        <v>539</v>
      </c>
    </row>
    <row r="16" spans="2:15" x14ac:dyDescent="0.3">
      <c r="B16" s="1">
        <v>13</v>
      </c>
      <c r="C16" s="97">
        <v>0.37317636041366276</v>
      </c>
      <c r="D16" s="97">
        <v>0.90976865733306223</v>
      </c>
      <c r="E16" s="97">
        <v>0.21187726816612384</v>
      </c>
      <c r="G16" s="1">
        <v>28.283454795781587</v>
      </c>
      <c r="K16" s="1">
        <v>0</v>
      </c>
      <c r="L16" s="1">
        <v>1</v>
      </c>
      <c r="M16" s="1">
        <v>0</v>
      </c>
      <c r="O16" s="1" t="s">
        <v>540</v>
      </c>
    </row>
    <row r="17" spans="2:15" x14ac:dyDescent="0.3">
      <c r="B17" s="1">
        <v>14</v>
      </c>
      <c r="C17" s="1">
        <v>0.59798342291103634</v>
      </c>
      <c r="D17" s="1">
        <v>0.73378367991227489</v>
      </c>
      <c r="E17" s="1">
        <v>0.1678842275992789</v>
      </c>
      <c r="G17" s="1">
        <v>25.692034655334229</v>
      </c>
      <c r="K17" s="1">
        <v>0</v>
      </c>
      <c r="L17" s="1">
        <v>0</v>
      </c>
      <c r="M17" s="1">
        <v>1</v>
      </c>
      <c r="O17" s="1" t="s">
        <v>541</v>
      </c>
    </row>
    <row r="18" spans="2:15" x14ac:dyDescent="0.3">
      <c r="B18" s="1">
        <v>15</v>
      </c>
      <c r="C18" s="1">
        <v>4.1806147527501114E-3</v>
      </c>
      <c r="D18" s="1">
        <v>0.40944140197997292</v>
      </c>
      <c r="E18" s="1">
        <v>0.92570539972017019</v>
      </c>
      <c r="G18" s="1">
        <v>36.001796178732064</v>
      </c>
      <c r="K18" s="1">
        <v>1</v>
      </c>
      <c r="L18" s="1">
        <v>1</v>
      </c>
      <c r="M18" s="1">
        <v>0</v>
      </c>
      <c r="O18" s="1" t="s">
        <v>542</v>
      </c>
    </row>
    <row r="19" spans="2:15" x14ac:dyDescent="0.3">
      <c r="B19" s="1">
        <v>16</v>
      </c>
      <c r="C19" s="1">
        <v>0.87565173767107196</v>
      </c>
      <c r="D19" s="1">
        <v>0.46612391698972777</v>
      </c>
      <c r="E19" s="1">
        <v>0.61898540410631764</v>
      </c>
      <c r="G19" s="1">
        <v>36.648557839694803</v>
      </c>
      <c r="K19" s="1">
        <v>1</v>
      </c>
      <c r="L19" s="1">
        <v>0</v>
      </c>
      <c r="M19" s="1">
        <v>1</v>
      </c>
      <c r="O19" s="1" t="s">
        <v>543</v>
      </c>
    </row>
    <row r="20" spans="2:15" x14ac:dyDescent="0.3">
      <c r="B20" s="1">
        <v>17</v>
      </c>
      <c r="C20" s="1">
        <v>0.17483152248164258</v>
      </c>
      <c r="D20" s="1">
        <v>0.32546389067855708</v>
      </c>
      <c r="E20" s="1">
        <v>0.87348173306610477</v>
      </c>
      <c r="G20" s="1">
        <v>34.46204503037071</v>
      </c>
      <c r="K20" s="1">
        <v>0</v>
      </c>
      <c r="L20" s="1">
        <v>1</v>
      </c>
      <c r="M20" s="1">
        <v>1</v>
      </c>
      <c r="O20" s="1" t="s">
        <v>544</v>
      </c>
    </row>
    <row r="21" spans="2:15" x14ac:dyDescent="0.3">
      <c r="B21" s="1">
        <v>18</v>
      </c>
      <c r="C21" s="1">
        <v>0.21476724519250989</v>
      </c>
      <c r="D21" s="1">
        <v>0.58886029985045107</v>
      </c>
      <c r="E21" s="1">
        <v>0.42624592976600018</v>
      </c>
      <c r="G21" s="1">
        <v>26.712256341914127</v>
      </c>
      <c r="K21" s="1">
        <v>1</v>
      </c>
      <c r="L21" s="1">
        <v>1</v>
      </c>
      <c r="M21" s="1">
        <v>1</v>
      </c>
      <c r="O21" s="1" t="s">
        <v>545</v>
      </c>
    </row>
    <row r="22" spans="2:15" x14ac:dyDescent="0.3">
      <c r="B22" s="1">
        <v>19</v>
      </c>
      <c r="C22" s="1">
        <v>0.11055409474807798</v>
      </c>
      <c r="D22" s="1">
        <v>0.69247887496915528</v>
      </c>
      <c r="E22" s="1">
        <v>6.6171514717111912E-2</v>
      </c>
      <c r="G22" s="1">
        <v>16.940263888377242</v>
      </c>
    </row>
    <row r="23" spans="2:15" x14ac:dyDescent="0.3">
      <c r="B23" s="1">
        <v>20</v>
      </c>
      <c r="C23" s="1">
        <v>0.70908153939376617</v>
      </c>
      <c r="D23" s="1">
        <v>0.38653610189788667</v>
      </c>
      <c r="E23" s="1">
        <v>0.15866789216251576</v>
      </c>
      <c r="G23" s="1">
        <v>19.581574196770866</v>
      </c>
      <c r="K23" s="13" t="s">
        <v>20</v>
      </c>
      <c r="L23" s="13" t="s">
        <v>1</v>
      </c>
      <c r="M23" s="13" t="s">
        <v>3</v>
      </c>
      <c r="N23" s="11"/>
      <c r="O23" s="163" t="s">
        <v>0</v>
      </c>
    </row>
    <row r="24" spans="2:15" x14ac:dyDescent="0.3">
      <c r="K24" s="13" cm="1">
        <f t="array" ref="K24:M24">IF(K14:M14,C$16:E$16,C$26:E$26)</f>
        <v>0.4521504966602567</v>
      </c>
      <c r="L24" s="13">
        <v>0.54833849239578614</v>
      </c>
      <c r="M24" s="13">
        <v>0.54774315416232866</v>
      </c>
      <c r="O24" s="1" cm="1">
        <f t="array" ref="O24">MMULT(_xlfn.ANCHORARRAY(K24),$H$4:$H$6)</f>
        <v>31.920569439388153</v>
      </c>
    </row>
    <row r="25" spans="2:15" x14ac:dyDescent="0.3">
      <c r="C25" s="13" t="s">
        <v>550</v>
      </c>
      <c r="D25" s="13" t="s">
        <v>548</v>
      </c>
      <c r="E25" s="13" t="s">
        <v>549</v>
      </c>
      <c r="F25" s="13"/>
      <c r="K25" s="13" cm="1">
        <f t="array" ref="K25:M25">IF(K15:M15,C$16:E$16,C$26:E$26)</f>
        <v>0.37317636041366276</v>
      </c>
      <c r="L25" s="13">
        <v>0.54833849239578614</v>
      </c>
      <c r="M25" s="13">
        <v>0.54774315416232866</v>
      </c>
      <c r="O25" s="1" cm="1">
        <f t="array" ref="O25">MMULT(_xlfn.ANCHORARRAY(K25),$H$4:$H$6)</f>
        <v>31.130828076922214</v>
      </c>
    </row>
    <row r="26" spans="2:15" x14ac:dyDescent="0.3">
      <c r="C26" s="97">
        <f>AVERAGE(C4:C23)</f>
        <v>0.4521504966602567</v>
      </c>
      <c r="D26" s="97">
        <f t="shared" ref="D26:E26" si="0">AVERAGE(D4:D23)</f>
        <v>0.54833849239578614</v>
      </c>
      <c r="E26" s="97">
        <f t="shared" si="0"/>
        <v>0.54774315416232866</v>
      </c>
      <c r="K26" s="13" cm="1">
        <f t="array" ref="K26:M26">IF(K16:M16,C$16:E$16,C$26:E$26)</f>
        <v>0.4521504966602567</v>
      </c>
      <c r="L26" s="13">
        <v>0.90976865733306223</v>
      </c>
      <c r="M26" s="13">
        <v>0.54774315416232866</v>
      </c>
      <c r="O26" s="1" cm="1">
        <f t="array" ref="O26">MMULT(_xlfn.ANCHORARRAY(K26),$H$4:$H$6)</f>
        <v>39.149172738133672</v>
      </c>
    </row>
    <row r="27" spans="2:15" x14ac:dyDescent="0.3">
      <c r="K27" s="13" cm="1">
        <f t="array" ref="K27:M27">IF(K17:M17,C$16:E$16,C$26:E$26)</f>
        <v>0.4521504966602567</v>
      </c>
      <c r="L27" s="13">
        <v>0.54833849239578614</v>
      </c>
      <c r="M27" s="13">
        <v>0.21187726816612384</v>
      </c>
      <c r="O27" s="1" cm="1">
        <f t="array" ref="O27">MMULT(_xlfn.ANCHORARRAY(K27),$H$4:$H$6)</f>
        <v>21.844592859502004</v>
      </c>
    </row>
    <row r="28" spans="2:15" x14ac:dyDescent="0.3">
      <c r="K28" s="13" cm="1">
        <f t="array" ref="K28:M28">IF(K18:M18,C$16:E$16,C$26:E$26)</f>
        <v>0.37317636041366276</v>
      </c>
      <c r="L28" s="13">
        <v>0.90976865733306223</v>
      </c>
      <c r="M28" s="13">
        <v>0.54774315416232866</v>
      </c>
      <c r="O28" s="1" cm="1">
        <f t="array" ref="O28">MMULT(_xlfn.ANCHORARRAY(K28),$H$4:$H$6)</f>
        <v>38.359431375667732</v>
      </c>
    </row>
    <row r="29" spans="2:15" x14ac:dyDescent="0.3">
      <c r="K29" s="13" cm="1">
        <f t="array" ref="K29:M29">IF(K19:M19,C$16:E$16,C$26:E$26)</f>
        <v>0.37317636041366276</v>
      </c>
      <c r="L29" s="13">
        <v>0.54833849239578614</v>
      </c>
      <c r="M29" s="13">
        <v>0.21187726816612384</v>
      </c>
      <c r="O29" s="1" cm="1">
        <f t="array" ref="O29">MMULT(_xlfn.ANCHORARRAY(K29),$H$4:$H$6)</f>
        <v>21.054851497036065</v>
      </c>
    </row>
    <row r="30" spans="2:15" x14ac:dyDescent="0.3">
      <c r="K30" s="13" cm="1">
        <f t="array" ref="K30:M30">IF(K20:M20,C$16:E$16,C$26:E$26)</f>
        <v>0.4521504966602567</v>
      </c>
      <c r="L30" s="13">
        <v>0.90976865733306223</v>
      </c>
      <c r="M30" s="13">
        <v>0.21187726816612384</v>
      </c>
      <c r="O30" s="1" cm="1">
        <f t="array" ref="O30">MMULT(_xlfn.ANCHORARRAY(K30),$H$4:$H$6)</f>
        <v>29.073196158247526</v>
      </c>
    </row>
    <row r="31" spans="2:15" x14ac:dyDescent="0.3">
      <c r="K31" s="13" cm="1">
        <f t="array" ref="K31:M31">IF(K21:M21,C$16:E$16,C$26:E$26)</f>
        <v>0.37317636041366276</v>
      </c>
      <c r="L31" s="13">
        <v>0.90976865733306223</v>
      </c>
      <c r="M31" s="13">
        <v>0.21187726816612384</v>
      </c>
      <c r="O31" s="1" cm="1">
        <f t="array" ref="O31">MMULT(_xlfn.ANCHORARRAY(K31),$H$4:$H$6)</f>
        <v>28.283454795781587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3723-C081-4A4F-9284-D6DC8C1DCEFA}">
  <sheetPr codeName="Sheet83">
    <tabColor rgb="FFFF0000"/>
  </sheetPr>
  <dimension ref="A2:N17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1:10" x14ac:dyDescent="0.3">
      <c r="C2" s="1" t="s">
        <v>283</v>
      </c>
      <c r="D2" s="97" cm="1">
        <f t="array" ref="D2:D9">Example1_Values!O24:O31</f>
        <v>31.920569439388153</v>
      </c>
    </row>
    <row r="3" spans="1:10" x14ac:dyDescent="0.3">
      <c r="C3" s="1" t="s">
        <v>269</v>
      </c>
      <c r="D3" s="97">
        <v>31.130828076922214</v>
      </c>
    </row>
    <row r="4" spans="1:10" x14ac:dyDescent="0.3">
      <c r="C4" s="1" t="s">
        <v>268</v>
      </c>
      <c r="D4" s="97">
        <v>39.149172738133672</v>
      </c>
    </row>
    <row r="5" spans="1:10" x14ac:dyDescent="0.3">
      <c r="C5" s="1" t="s">
        <v>282</v>
      </c>
      <c r="D5" s="97">
        <v>21.844592859502004</v>
      </c>
    </row>
    <row r="6" spans="1:10" x14ac:dyDescent="0.3">
      <c r="C6" s="1" t="s">
        <v>281</v>
      </c>
      <c r="D6" s="97">
        <v>38.359431375667732</v>
      </c>
    </row>
    <row r="7" spans="1:10" x14ac:dyDescent="0.3">
      <c r="C7" s="1" t="s">
        <v>280</v>
      </c>
      <c r="D7" s="97">
        <v>21.054851497036065</v>
      </c>
    </row>
    <row r="8" spans="1:10" x14ac:dyDescent="0.3">
      <c r="C8" s="1" t="s">
        <v>279</v>
      </c>
      <c r="D8" s="97">
        <v>29.073196158247526</v>
      </c>
    </row>
    <row r="9" spans="1:10" x14ac:dyDescent="0.3">
      <c r="C9" s="1" t="s">
        <v>278</v>
      </c>
      <c r="D9" s="97">
        <v>28.283454795781587</v>
      </c>
    </row>
    <row r="11" spans="1:10" x14ac:dyDescent="0.3">
      <c r="A11" s="99" t="s">
        <v>277</v>
      </c>
      <c r="C11" s="18" t="s">
        <v>276</v>
      </c>
      <c r="D11" s="18" t="s">
        <v>275</v>
      </c>
      <c r="F11" s="18" t="s">
        <v>276</v>
      </c>
      <c r="G11" s="18" t="s">
        <v>275</v>
      </c>
      <c r="I11" s="18" t="s">
        <v>276</v>
      </c>
      <c r="J11" s="18" t="s">
        <v>275</v>
      </c>
    </row>
    <row r="12" spans="1:10" x14ac:dyDescent="0.3">
      <c r="A12" s="1">
        <v>1</v>
      </c>
      <c r="C12" s="98" t="s">
        <v>266</v>
      </c>
      <c r="D12" s="95">
        <f>D3-D2</f>
        <v>-0.78974136246593929</v>
      </c>
      <c r="F12" s="98">
        <v>2</v>
      </c>
      <c r="G12" s="95">
        <f>D4-D2</f>
        <v>7.2286032987455187</v>
      </c>
      <c r="I12" s="95">
        <v>3</v>
      </c>
      <c r="J12" s="95">
        <f>D5-D2</f>
        <v>-10.075976579886149</v>
      </c>
    </row>
    <row r="13" spans="1:10" x14ac:dyDescent="0.3">
      <c r="A13" s="1">
        <f>1/2</f>
        <v>0.5</v>
      </c>
      <c r="C13" s="98" t="s">
        <v>274</v>
      </c>
      <c r="D13" s="95">
        <f>D6-D4</f>
        <v>-0.78974136246593929</v>
      </c>
      <c r="F13" s="98">
        <v>21</v>
      </c>
      <c r="G13" s="95">
        <f>D6-D3</f>
        <v>7.2286032987455187</v>
      </c>
      <c r="I13" s="95">
        <v>31</v>
      </c>
      <c r="J13" s="95">
        <f>D7-D3</f>
        <v>-10.075976579886149</v>
      </c>
    </row>
    <row r="14" spans="1:10" x14ac:dyDescent="0.3">
      <c r="A14" s="1">
        <f>1/2</f>
        <v>0.5</v>
      </c>
      <c r="C14" s="98" t="s">
        <v>273</v>
      </c>
      <c r="D14" s="95">
        <f>D7-D5</f>
        <v>-0.78974136246593929</v>
      </c>
      <c r="F14" s="98">
        <v>23</v>
      </c>
      <c r="G14" s="95">
        <f>D8-D5</f>
        <v>7.2286032987455222</v>
      </c>
      <c r="I14" s="95">
        <v>32</v>
      </c>
      <c r="J14" s="95">
        <f>D8-D4</f>
        <v>-10.075976579886145</v>
      </c>
    </row>
    <row r="15" spans="1:10" x14ac:dyDescent="0.3">
      <c r="A15" s="1">
        <v>1</v>
      </c>
      <c r="C15" s="98" t="s">
        <v>272</v>
      </c>
      <c r="D15" s="95">
        <f>D9-D8</f>
        <v>-0.78974136246593929</v>
      </c>
      <c r="F15" s="98">
        <v>213</v>
      </c>
      <c r="G15" s="95">
        <f>D9-D7</f>
        <v>7.2286032987455222</v>
      </c>
      <c r="I15" s="95">
        <v>312</v>
      </c>
      <c r="J15" s="95">
        <f>D9-D6</f>
        <v>-10.075976579886145</v>
      </c>
    </row>
    <row r="17" spans="3:14" x14ac:dyDescent="0.3">
      <c r="C17" s="1" t="s">
        <v>262</v>
      </c>
      <c r="D17" s="1">
        <f>SUMPRODUCT(D12:D15,$A$12:$A$15)/SUM($A$12:$A$15)</f>
        <v>-0.78974136246593929</v>
      </c>
      <c r="F17" s="1" t="s">
        <v>262</v>
      </c>
      <c r="G17" s="1">
        <f>SUMPRODUCT(G12:G15,$A$12:$A$15)/SUM($A$12:$A$15)</f>
        <v>7.2286032987455213</v>
      </c>
      <c r="I17" s="1" t="s">
        <v>262</v>
      </c>
      <c r="J17" s="1">
        <f>SUMPRODUCT(J12:J15,$A$12:$A$15)/SUM($A$12:$A$15)</f>
        <v>-10.075976579886147</v>
      </c>
      <c r="M17" s="1" t="s">
        <v>261</v>
      </c>
      <c r="N17" s="1">
        <f>D17+G17+J17</f>
        <v>-3.6371146436065649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6B0A2-5659-4A48-8AA7-1E20BAF3248B}">
  <sheetPr codeName="Sheet85">
    <tabColor rgb="FFFF0000"/>
  </sheetPr>
  <dimension ref="A2:Q17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1:17" x14ac:dyDescent="0.3">
      <c r="C2" s="1" t="s">
        <v>283</v>
      </c>
      <c r="D2" s="97" cm="1">
        <f t="array" ref="D2:D9">Example1_Values!O24:O31</f>
        <v>31.920569439388153</v>
      </c>
    </row>
    <row r="3" spans="1:17" x14ac:dyDescent="0.3">
      <c r="C3" s="1" t="s">
        <v>269</v>
      </c>
      <c r="D3" s="97">
        <v>31.130828076922214</v>
      </c>
    </row>
    <row r="4" spans="1:17" x14ac:dyDescent="0.3">
      <c r="C4" s="1" t="s">
        <v>268</v>
      </c>
      <c r="D4" s="97">
        <v>39.149172738133672</v>
      </c>
    </row>
    <row r="5" spans="1:17" x14ac:dyDescent="0.3">
      <c r="C5" s="1" t="s">
        <v>282</v>
      </c>
      <c r="D5" s="97">
        <v>21.844592859502004</v>
      </c>
    </row>
    <row r="6" spans="1:17" x14ac:dyDescent="0.3">
      <c r="C6" s="1" t="s">
        <v>281</v>
      </c>
      <c r="D6" s="97">
        <v>38.359431375667732</v>
      </c>
    </row>
    <row r="7" spans="1:17" x14ac:dyDescent="0.3">
      <c r="C7" s="1" t="s">
        <v>280</v>
      </c>
      <c r="D7" s="97">
        <v>21.054851497036065</v>
      </c>
    </row>
    <row r="8" spans="1:17" x14ac:dyDescent="0.3">
      <c r="C8" s="1" t="s">
        <v>279</v>
      </c>
      <c r="D8" s="97">
        <v>29.073196158247526</v>
      </c>
    </row>
    <row r="9" spans="1:17" x14ac:dyDescent="0.3">
      <c r="C9" s="1" t="s">
        <v>278</v>
      </c>
      <c r="D9" s="97">
        <v>28.283454795781587</v>
      </c>
    </row>
    <row r="11" spans="1:17" x14ac:dyDescent="0.3">
      <c r="A11" s="99" t="s">
        <v>277</v>
      </c>
      <c r="C11" s="18" t="s">
        <v>276</v>
      </c>
      <c r="D11" s="18" t="s">
        <v>275</v>
      </c>
      <c r="F11" s="18" t="s">
        <v>276</v>
      </c>
      <c r="G11" s="18" t="s">
        <v>275</v>
      </c>
      <c r="I11" s="18" t="s">
        <v>276</v>
      </c>
      <c r="J11" s="18" t="s">
        <v>275</v>
      </c>
    </row>
    <row r="12" spans="1:17" x14ac:dyDescent="0.3">
      <c r="A12" s="1">
        <v>1</v>
      </c>
      <c r="C12" s="98" t="s">
        <v>266</v>
      </c>
      <c r="D12" s="95">
        <f>D3-D2</f>
        <v>-0.78974136246593929</v>
      </c>
      <c r="F12" s="98">
        <v>2</v>
      </c>
      <c r="G12" s="95">
        <f>D4-D2</f>
        <v>7.2286032987455187</v>
      </c>
      <c r="I12" s="95">
        <v>3</v>
      </c>
      <c r="J12" s="95">
        <f>D5-D2</f>
        <v>-10.075976579886149</v>
      </c>
      <c r="N12" s="164" t="s">
        <v>286</v>
      </c>
      <c r="O12" s="165" t="s">
        <v>20</v>
      </c>
      <c r="P12" s="165" t="s">
        <v>1</v>
      </c>
      <c r="Q12" s="166" t="s">
        <v>3</v>
      </c>
    </row>
    <row r="13" spans="1:17" x14ac:dyDescent="0.3">
      <c r="A13" s="1">
        <f>1/2</f>
        <v>0.5</v>
      </c>
      <c r="C13" s="98" t="s">
        <v>274</v>
      </c>
      <c r="D13" s="95">
        <f>D6-D4</f>
        <v>-0.78974136246593929</v>
      </c>
      <c r="F13" s="98">
        <v>21</v>
      </c>
      <c r="G13" s="95">
        <f>D6-D3</f>
        <v>7.2286032987455187</v>
      </c>
      <c r="I13" s="95">
        <v>31</v>
      </c>
      <c r="J13" s="95">
        <f>D7-D3</f>
        <v>-10.075976579886149</v>
      </c>
      <c r="N13" s="167">
        <f>D2</f>
        <v>31.920569439388153</v>
      </c>
      <c r="O13" s="168">
        <f>D17</f>
        <v>-0.78974136246593929</v>
      </c>
      <c r="P13" s="168">
        <f>G17</f>
        <v>7.2286032987455213</v>
      </c>
      <c r="Q13" s="169">
        <f>J17</f>
        <v>-10.075976579886147</v>
      </c>
    </row>
    <row r="14" spans="1:17" x14ac:dyDescent="0.3">
      <c r="A14" s="1">
        <f>1/2</f>
        <v>0.5</v>
      </c>
      <c r="C14" s="98" t="s">
        <v>273</v>
      </c>
      <c r="D14" s="95">
        <f>D7-D5</f>
        <v>-0.78974136246593929</v>
      </c>
      <c r="F14" s="98">
        <v>23</v>
      </c>
      <c r="G14" s="95">
        <f>D8-D5</f>
        <v>7.2286032987455222</v>
      </c>
      <c r="I14" s="95">
        <v>32</v>
      </c>
      <c r="J14" s="95">
        <f>D8-D4</f>
        <v>-10.075976579886145</v>
      </c>
    </row>
    <row r="15" spans="1:17" x14ac:dyDescent="0.3">
      <c r="A15" s="1">
        <v>1</v>
      </c>
      <c r="C15" s="98" t="s">
        <v>272</v>
      </c>
      <c r="D15" s="95">
        <f>D9-D8</f>
        <v>-0.78974136246593929</v>
      </c>
      <c r="F15" s="98">
        <v>213</v>
      </c>
      <c r="G15" s="95">
        <f>D9-D7</f>
        <v>7.2286032987455222</v>
      </c>
      <c r="I15" s="95">
        <v>312</v>
      </c>
      <c r="J15" s="95">
        <f>D9-D6</f>
        <v>-10.075976579886145</v>
      </c>
    </row>
    <row r="17" spans="3:14" x14ac:dyDescent="0.3">
      <c r="C17" s="1" t="s">
        <v>262</v>
      </c>
      <c r="D17" s="1">
        <f>SUMPRODUCT(D12:D15,$A$12:$A$15)/SUM($A$12:$A$15)</f>
        <v>-0.78974136246593929</v>
      </c>
      <c r="F17" s="1" t="s">
        <v>262</v>
      </c>
      <c r="G17" s="1">
        <f>SUMPRODUCT(G12:G15,$A$12:$A$15)/SUM($A$12:$A$15)</f>
        <v>7.2286032987455213</v>
      </c>
      <c r="I17" s="1" t="s">
        <v>262</v>
      </c>
      <c r="J17" s="1">
        <f>SUMPRODUCT(J12:J15,$A$12:$A$15)/SUM($A$12:$A$15)</f>
        <v>-10.075976579886147</v>
      </c>
      <c r="M17" s="1" t="s">
        <v>261</v>
      </c>
      <c r="N17" s="1">
        <f>D17+G17+J17</f>
        <v>-3.6371146436065649</v>
      </c>
    </row>
  </sheetData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55AEA-E24D-7C47-B397-2F9176B28E07}">
  <sheetPr codeName="Sheet8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31FE2-6AE5-F441-8402-B1AC0609F18F}">
  <sheetPr codeName="Sheet56">
    <tabColor rgb="FF002060"/>
  </sheetPr>
  <dimension ref="A1:A8"/>
  <sheetViews>
    <sheetView workbookViewId="0">
      <selection activeCell="A9" sqref="A9"/>
    </sheetView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332</v>
      </c>
    </row>
    <row r="2" spans="1:1" x14ac:dyDescent="0.3">
      <c r="A2" s="95" t="s">
        <v>333</v>
      </c>
    </row>
    <row r="3" spans="1:1" x14ac:dyDescent="0.3">
      <c r="A3" s="95" t="s">
        <v>334</v>
      </c>
    </row>
    <row r="4" spans="1:1" x14ac:dyDescent="0.3">
      <c r="A4" s="95" t="s">
        <v>335</v>
      </c>
    </row>
    <row r="5" spans="1:1" x14ac:dyDescent="0.3">
      <c r="A5" s="95" t="s">
        <v>451</v>
      </c>
    </row>
    <row r="6" spans="1:1" x14ac:dyDescent="0.3">
      <c r="A6" s="95" t="s">
        <v>452</v>
      </c>
    </row>
    <row r="7" spans="1:1" x14ac:dyDescent="0.3">
      <c r="A7" s="95" t="s">
        <v>453</v>
      </c>
    </row>
    <row r="8" spans="1:1" x14ac:dyDescent="0.3">
      <c r="A8" s="95" t="s">
        <v>454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F3D00-7ECC-7F42-B629-A56B9470F73B}">
  <sheetPr codeName="Sheet61">
    <tabColor rgb="FFFF0000"/>
  </sheetPr>
  <dimension ref="A1:C11"/>
  <sheetViews>
    <sheetView zoomScale="80" zoomScaleNormal="80" workbookViewId="0"/>
  </sheetViews>
  <sheetFormatPr baseColWidth="10" defaultRowHeight="26" x14ac:dyDescent="0.3"/>
  <cols>
    <col min="1" max="1" width="16.6640625" style="128" bestFit="1" customWidth="1"/>
    <col min="2" max="2" width="14.33203125" style="128" bestFit="1" customWidth="1"/>
    <col min="3" max="3" width="21.5" style="128" bestFit="1" customWidth="1"/>
    <col min="4" max="16384" width="10.83203125" style="128"/>
  </cols>
  <sheetData>
    <row r="1" spans="1:3" x14ac:dyDescent="0.3">
      <c r="A1" s="128" t="s">
        <v>313</v>
      </c>
      <c r="B1" s="128" t="s">
        <v>314</v>
      </c>
      <c r="C1" s="128" t="s">
        <v>315</v>
      </c>
    </row>
    <row r="2" spans="1:3" x14ac:dyDescent="0.3">
      <c r="A2" s="129" t="s">
        <v>316</v>
      </c>
      <c r="B2" s="130" t="s">
        <v>317</v>
      </c>
      <c r="C2" s="130" t="s">
        <v>318</v>
      </c>
    </row>
    <row r="3" spans="1:3" x14ac:dyDescent="0.3">
      <c r="A3" s="129" t="s">
        <v>316</v>
      </c>
      <c r="B3" s="130" t="s">
        <v>317</v>
      </c>
      <c r="C3" s="130" t="s">
        <v>318</v>
      </c>
    </row>
    <row r="4" spans="1:3" x14ac:dyDescent="0.3">
      <c r="A4" s="129" t="s">
        <v>316</v>
      </c>
      <c r="B4" s="130" t="s">
        <v>317</v>
      </c>
      <c r="C4" s="130" t="s">
        <v>318</v>
      </c>
    </row>
    <row r="5" spans="1:3" x14ac:dyDescent="0.3">
      <c r="A5" s="129" t="s">
        <v>316</v>
      </c>
      <c r="B5" s="130" t="s">
        <v>317</v>
      </c>
      <c r="C5" s="130" t="s">
        <v>319</v>
      </c>
    </row>
    <row r="6" spans="1:3" x14ac:dyDescent="0.3">
      <c r="A6" s="129" t="s">
        <v>316</v>
      </c>
      <c r="B6" s="130" t="s">
        <v>320</v>
      </c>
      <c r="C6" s="130" t="s">
        <v>319</v>
      </c>
    </row>
    <row r="7" spans="1:3" x14ac:dyDescent="0.3">
      <c r="A7" s="129" t="s">
        <v>321</v>
      </c>
      <c r="B7" s="130" t="s">
        <v>320</v>
      </c>
      <c r="C7" s="130" t="s">
        <v>318</v>
      </c>
    </row>
    <row r="8" spans="1:3" x14ac:dyDescent="0.3">
      <c r="A8" s="129" t="s">
        <v>321</v>
      </c>
      <c r="B8" s="130" t="s">
        <v>320</v>
      </c>
      <c r="C8" s="130" t="s">
        <v>319</v>
      </c>
    </row>
    <row r="9" spans="1:3" x14ac:dyDescent="0.3">
      <c r="A9" s="129" t="s">
        <v>321</v>
      </c>
      <c r="B9" s="130" t="s">
        <v>320</v>
      </c>
      <c r="C9" s="130" t="s">
        <v>319</v>
      </c>
    </row>
    <row r="10" spans="1:3" x14ac:dyDescent="0.3">
      <c r="A10" s="129" t="s">
        <v>321</v>
      </c>
      <c r="B10" s="130" t="s">
        <v>317</v>
      </c>
      <c r="C10" s="130" t="s">
        <v>319</v>
      </c>
    </row>
    <row r="11" spans="1:3" x14ac:dyDescent="0.3">
      <c r="A11" s="129" t="s">
        <v>321</v>
      </c>
      <c r="B11" s="130" t="s">
        <v>317</v>
      </c>
      <c r="C11" s="130" t="s">
        <v>319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23CE3-0D2A-F341-BA4E-9E09ABD9CEBF}">
  <sheetPr codeName="Sheet62">
    <tabColor rgb="FFFF0000"/>
  </sheetPr>
  <dimension ref="A1:B11"/>
  <sheetViews>
    <sheetView zoomScale="80" zoomScaleNormal="80" workbookViewId="0"/>
  </sheetViews>
  <sheetFormatPr baseColWidth="10" defaultRowHeight="26" x14ac:dyDescent="0.3"/>
  <cols>
    <col min="1" max="1" width="14.33203125" style="131" bestFit="1" customWidth="1"/>
    <col min="2" max="2" width="21.5" style="131" bestFit="1" customWidth="1"/>
    <col min="3" max="16384" width="10.83203125" style="131"/>
  </cols>
  <sheetData>
    <row r="1" spans="1:2" x14ac:dyDescent="0.3">
      <c r="A1" s="128" t="s">
        <v>314</v>
      </c>
      <c r="B1" s="128" t="s">
        <v>315</v>
      </c>
    </row>
    <row r="2" spans="1:2" x14ac:dyDescent="0.3">
      <c r="A2" s="132" t="s">
        <v>317</v>
      </c>
      <c r="B2" s="132" t="s">
        <v>318</v>
      </c>
    </row>
    <row r="3" spans="1:2" x14ac:dyDescent="0.3">
      <c r="A3" s="132" t="s">
        <v>317</v>
      </c>
      <c r="B3" s="132" t="s">
        <v>319</v>
      </c>
    </row>
    <row r="4" spans="1:2" x14ac:dyDescent="0.3">
      <c r="A4" s="132" t="s">
        <v>320</v>
      </c>
      <c r="B4" s="132" t="s">
        <v>318</v>
      </c>
    </row>
    <row r="5" spans="1:2" x14ac:dyDescent="0.3">
      <c r="A5" s="132" t="s">
        <v>320</v>
      </c>
      <c r="B5" s="132" t="s">
        <v>319</v>
      </c>
    </row>
    <row r="6" spans="1:2" x14ac:dyDescent="0.3">
      <c r="A6" s="128"/>
      <c r="B6" s="128"/>
    </row>
    <row r="7" spans="1:2" x14ac:dyDescent="0.3">
      <c r="A7" s="128"/>
      <c r="B7" s="128"/>
    </row>
    <row r="8" spans="1:2" x14ac:dyDescent="0.3">
      <c r="A8" s="128"/>
      <c r="B8" s="128"/>
    </row>
    <row r="9" spans="1:2" x14ac:dyDescent="0.3">
      <c r="A9" s="128"/>
      <c r="B9" s="128"/>
    </row>
    <row r="10" spans="1:2" x14ac:dyDescent="0.3">
      <c r="A10" s="128"/>
      <c r="B10" s="128"/>
    </row>
    <row r="11" spans="1:2" x14ac:dyDescent="0.3">
      <c r="A11" s="128"/>
      <c r="B11" s="128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0032F-7776-2343-8599-C0D631CD7A59}">
  <sheetPr codeName="Sheet63">
    <tabColor rgb="FFFF0000"/>
  </sheetPr>
  <dimension ref="A1:P29"/>
  <sheetViews>
    <sheetView zoomScale="80" zoomScaleNormal="80" workbookViewId="0">
      <selection activeCell="P20" sqref="P20"/>
    </sheetView>
  </sheetViews>
  <sheetFormatPr baseColWidth="10" defaultRowHeight="26" x14ac:dyDescent="0.3"/>
  <cols>
    <col min="1" max="1" width="14.33203125" style="1" bestFit="1" customWidth="1"/>
    <col min="2" max="2" width="20.33203125" style="1" bestFit="1" customWidth="1"/>
    <col min="3" max="3" width="2.6640625" style="1" customWidth="1"/>
    <col min="4" max="4" width="14.33203125" style="1" bestFit="1" customWidth="1"/>
    <col min="5" max="5" width="21.5" style="1" bestFit="1" customWidth="1"/>
    <col min="6" max="6" width="13.5" style="1" customWidth="1"/>
    <col min="7" max="7" width="19.83203125" style="1" bestFit="1" customWidth="1"/>
    <col min="8" max="8" width="14.33203125" style="1" bestFit="1" customWidth="1"/>
    <col min="9" max="9" width="21.33203125" style="1" bestFit="1" customWidth="1"/>
    <col min="10" max="10" width="10.83203125" style="1"/>
    <col min="11" max="11" width="15.1640625" style="1" bestFit="1" customWidth="1"/>
    <col min="12" max="12" width="19" style="1" bestFit="1" customWidth="1"/>
    <col min="13" max="13" width="9" style="1" bestFit="1" customWidth="1"/>
    <col min="14" max="14" width="9" style="1" customWidth="1"/>
    <col min="15" max="15" width="13.1640625" style="1" bestFit="1" customWidth="1"/>
    <col min="16" max="16" width="17" style="1" bestFit="1" customWidth="1"/>
    <col min="17" max="16384" width="10.83203125" style="1"/>
  </cols>
  <sheetData>
    <row r="1" spans="1:9" x14ac:dyDescent="0.3">
      <c r="H1" s="15" t="s">
        <v>322</v>
      </c>
      <c r="I1" s="15" t="s">
        <v>323</v>
      </c>
    </row>
    <row r="2" spans="1:9" x14ac:dyDescent="0.3">
      <c r="A2" s="101" t="s">
        <v>316</v>
      </c>
      <c r="B2" s="102"/>
      <c r="D2" s="103" t="s">
        <v>317</v>
      </c>
      <c r="E2" s="104" t="s">
        <v>318</v>
      </c>
      <c r="F2" s="104"/>
      <c r="G2" s="105"/>
      <c r="H2" s="1">
        <v>1</v>
      </c>
      <c r="I2" s="1">
        <v>1</v>
      </c>
    </row>
    <row r="3" spans="1:9" x14ac:dyDescent="0.3">
      <c r="A3" s="101" t="s">
        <v>316</v>
      </c>
      <c r="B3" s="102"/>
      <c r="D3" s="106" t="s">
        <v>317</v>
      </c>
      <c r="E3" s="102" t="s">
        <v>318</v>
      </c>
      <c r="F3" s="102"/>
      <c r="G3" s="107"/>
      <c r="H3" s="1">
        <v>1</v>
      </c>
      <c r="I3" s="1">
        <v>1</v>
      </c>
    </row>
    <row r="4" spans="1:9" x14ac:dyDescent="0.3">
      <c r="A4" s="101" t="s">
        <v>316</v>
      </c>
      <c r="B4" s="102"/>
      <c r="D4" s="106" t="s">
        <v>317</v>
      </c>
      <c r="E4" s="102" t="s">
        <v>318</v>
      </c>
      <c r="F4" s="102"/>
      <c r="G4" s="107"/>
      <c r="H4" s="1">
        <v>1</v>
      </c>
      <c r="I4" s="1">
        <v>1</v>
      </c>
    </row>
    <row r="5" spans="1:9" x14ac:dyDescent="0.3">
      <c r="A5" s="101" t="s">
        <v>316</v>
      </c>
      <c r="B5" s="102"/>
      <c r="D5" s="106" t="s">
        <v>317</v>
      </c>
      <c r="E5" s="102" t="s">
        <v>319</v>
      </c>
      <c r="F5" s="102"/>
      <c r="G5" s="107"/>
      <c r="H5" s="1">
        <v>1</v>
      </c>
      <c r="I5" s="1">
        <f t="shared" ref="I5:I11" si="0">COUNTIF($D5:$G5,I$1)</f>
        <v>0</v>
      </c>
    </row>
    <row r="6" spans="1:9" x14ac:dyDescent="0.3">
      <c r="A6" s="101" t="s">
        <v>316</v>
      </c>
      <c r="B6" s="102"/>
      <c r="D6" s="106" t="s">
        <v>320</v>
      </c>
      <c r="E6" s="102" t="s">
        <v>319</v>
      </c>
      <c r="F6" s="102"/>
      <c r="G6" s="107"/>
      <c r="H6" s="1">
        <f t="shared" ref="H6:H9" si="1">COUNTIF($D6:$G6,H$1)</f>
        <v>0</v>
      </c>
      <c r="I6" s="1">
        <f t="shared" si="0"/>
        <v>0</v>
      </c>
    </row>
    <row r="7" spans="1:9" x14ac:dyDescent="0.3">
      <c r="A7" s="101" t="s">
        <v>321</v>
      </c>
      <c r="B7" s="102"/>
      <c r="D7" s="106" t="s">
        <v>320</v>
      </c>
      <c r="E7" s="102" t="s">
        <v>318</v>
      </c>
      <c r="F7" s="102"/>
      <c r="G7" s="107"/>
      <c r="H7" s="1">
        <f t="shared" si="1"/>
        <v>0</v>
      </c>
      <c r="I7" s="1">
        <v>1</v>
      </c>
    </row>
    <row r="8" spans="1:9" x14ac:dyDescent="0.3">
      <c r="A8" s="101" t="s">
        <v>321</v>
      </c>
      <c r="B8" s="102"/>
      <c r="D8" s="106" t="s">
        <v>320</v>
      </c>
      <c r="E8" s="102" t="s">
        <v>319</v>
      </c>
      <c r="F8" s="102"/>
      <c r="G8" s="107"/>
      <c r="H8" s="1">
        <f t="shared" si="1"/>
        <v>0</v>
      </c>
      <c r="I8" s="1">
        <f t="shared" si="0"/>
        <v>0</v>
      </c>
    </row>
    <row r="9" spans="1:9" x14ac:dyDescent="0.3">
      <c r="A9" s="101" t="s">
        <v>321</v>
      </c>
      <c r="B9" s="102"/>
      <c r="D9" s="106" t="s">
        <v>320</v>
      </c>
      <c r="E9" s="102" t="s">
        <v>319</v>
      </c>
      <c r="F9" s="102"/>
      <c r="G9" s="107"/>
      <c r="H9" s="1">
        <f t="shared" si="1"/>
        <v>0</v>
      </c>
      <c r="I9" s="1">
        <f t="shared" si="0"/>
        <v>0</v>
      </c>
    </row>
    <row r="10" spans="1:9" x14ac:dyDescent="0.3">
      <c r="A10" s="101" t="s">
        <v>321</v>
      </c>
      <c r="B10" s="102"/>
      <c r="D10" s="106" t="s">
        <v>317</v>
      </c>
      <c r="E10" s="102" t="s">
        <v>319</v>
      </c>
      <c r="F10" s="102"/>
      <c r="G10" s="107"/>
      <c r="H10" s="1">
        <v>1</v>
      </c>
      <c r="I10" s="1">
        <f t="shared" si="0"/>
        <v>0</v>
      </c>
    </row>
    <row r="11" spans="1:9" x14ac:dyDescent="0.3">
      <c r="A11" s="101" t="s">
        <v>321</v>
      </c>
      <c r="B11" s="102"/>
      <c r="D11" s="108" t="s">
        <v>317</v>
      </c>
      <c r="E11" s="109" t="s">
        <v>319</v>
      </c>
      <c r="F11" s="109"/>
      <c r="G11" s="110"/>
      <c r="H11" s="1">
        <v>1</v>
      </c>
      <c r="I11" s="1">
        <f t="shared" si="0"/>
        <v>0</v>
      </c>
    </row>
    <row r="13" spans="1:9" ht="30" x14ac:dyDescent="0.4">
      <c r="G13" s="100" t="s">
        <v>324</v>
      </c>
      <c r="H13" s="1">
        <f>SUM(H2:H11)/COUNT(H2:H11)</f>
        <v>0.6</v>
      </c>
      <c r="I13" s="1">
        <f>SUM(I2:I11)/COUNT(I2:I11)</f>
        <v>0.4</v>
      </c>
    </row>
    <row r="14" spans="1:9" x14ac:dyDescent="0.3">
      <c r="G14" s="100" t="s">
        <v>325</v>
      </c>
      <c r="H14" s="1">
        <f>COUNTIF($A$2:$A$11,A2)/COUNTA($A$2:$A$11)</f>
        <v>0.5</v>
      </c>
      <c r="I14" s="1">
        <f>COUNTIF($A$2:$A$11,A2)/COUNTA($A$2:$A$11)</f>
        <v>0.5</v>
      </c>
    </row>
    <row r="15" spans="1:9" x14ac:dyDescent="0.3">
      <c r="G15" s="100" t="s">
        <v>326</v>
      </c>
      <c r="H15" s="1">
        <f>COUNTIF($A$2:$A$11,A7)/COUNTA($A$2:$A$11)</f>
        <v>0.5</v>
      </c>
      <c r="I15" s="1">
        <f>COUNTIF($A$2:$A$11,A7)/COUNTA($A$2:$A$11)</f>
        <v>0.5</v>
      </c>
    </row>
    <row r="16" spans="1:9" x14ac:dyDescent="0.3">
      <c r="G16" s="100" t="s">
        <v>327</v>
      </c>
      <c r="H16" s="1">
        <f>COUNTIFS(H2:H11,1,$A$2:$A$11,A2)/COUNTIFS($A$2:$A$11,A2)</f>
        <v>0.8</v>
      </c>
      <c r="I16" s="1">
        <f>COUNTIFS(I2:I11,1,$A$2:$A$11,A2)/COUNTIFS($A$2:$A$11,A2)</f>
        <v>0.6</v>
      </c>
    </row>
    <row r="17" spans="1:16" x14ac:dyDescent="0.3">
      <c r="G17" s="100" t="s">
        <v>328</v>
      </c>
      <c r="H17" s="1">
        <f>COUNTIFS(H2:H11,1,$A$2:$A$11,A7)/COUNTIFS($A$2:$A$11,A7)</f>
        <v>0.4</v>
      </c>
      <c r="I17" s="1">
        <f>COUNTIFS(I2:I11,1,$A$2:$A$11,A7)/COUNTIFS($A$2:$A$11,A7)</f>
        <v>0.2</v>
      </c>
    </row>
    <row r="18" spans="1:16" x14ac:dyDescent="0.3">
      <c r="G18" s="100"/>
      <c r="H18" s="111"/>
      <c r="I18" s="111"/>
    </row>
    <row r="19" spans="1:16" x14ac:dyDescent="0.3">
      <c r="H19" s="15" t="s">
        <v>322</v>
      </c>
      <c r="I19" s="15" t="s">
        <v>323</v>
      </c>
      <c r="K19" s="15" t="s">
        <v>329</v>
      </c>
      <c r="L19" s="15" t="s">
        <v>330</v>
      </c>
      <c r="M19" s="15" t="s">
        <v>331</v>
      </c>
      <c r="N19" s="15"/>
      <c r="O19" s="15" t="s">
        <v>325</v>
      </c>
      <c r="P19" s="15" t="s">
        <v>326</v>
      </c>
    </row>
    <row r="20" spans="1:16" x14ac:dyDescent="0.3">
      <c r="A20" s="112"/>
      <c r="B20" s="113"/>
      <c r="D20" s="114" t="s">
        <v>317</v>
      </c>
      <c r="E20" s="115" t="s">
        <v>318</v>
      </c>
      <c r="F20" s="115"/>
      <c r="G20" s="116"/>
      <c r="H20" s="1">
        <v>1</v>
      </c>
      <c r="I20" s="1">
        <v>1</v>
      </c>
      <c r="K20" s="117" cm="1">
        <f t="array" ref="K20">PRODUCT(IF(H20:I20,$H$16:$I$16,1-$H$16:$I$16))</f>
        <v>0.48</v>
      </c>
      <c r="L20" s="117" cm="1">
        <f t="array" ref="L20">PRODUCT(IF(H20:I20,$H$17:$I$17,1-$H$17:$I$17))</f>
        <v>8.0000000000000016E-2</v>
      </c>
      <c r="M20" s="117">
        <f>K20*$H$14+L20*$H$15</f>
        <v>0.28000000000000003</v>
      </c>
      <c r="N20" s="117"/>
      <c r="O20" s="118">
        <f>K20*$H$14/M20</f>
        <v>0.85714285714285698</v>
      </c>
      <c r="P20" s="118">
        <f>L20*$H$14/M20</f>
        <v>0.14285714285714288</v>
      </c>
    </row>
    <row r="21" spans="1:16" x14ac:dyDescent="0.3">
      <c r="A21" s="112"/>
      <c r="B21" s="113"/>
      <c r="D21" s="119" t="s">
        <v>317</v>
      </c>
      <c r="E21" s="113" t="s">
        <v>319</v>
      </c>
      <c r="F21" s="113"/>
      <c r="G21" s="120"/>
      <c r="H21" s="1">
        <v>1</v>
      </c>
      <c r="I21" s="1">
        <v>0</v>
      </c>
      <c r="K21" s="117" cm="1">
        <f t="array" ref="K21">PRODUCT(IF(H21:I21,$H$16:$I$16,1-$H$16:$I$16))</f>
        <v>0.32000000000000006</v>
      </c>
      <c r="L21" s="117" cm="1">
        <f t="array" ref="L21">PRODUCT(IF(H21:I21,$H$17:$I$17,1-$H$17:$I$17))</f>
        <v>0.32000000000000006</v>
      </c>
      <c r="M21" s="117">
        <f t="shared" ref="M21:M23" si="2">K21*$H$14+L21*$H$15</f>
        <v>0.32000000000000006</v>
      </c>
      <c r="N21" s="117"/>
      <c r="O21" s="118">
        <f t="shared" ref="O21:O23" si="3">K21*$H$14/M21</f>
        <v>0.5</v>
      </c>
      <c r="P21" s="118">
        <f>L21*$H$14/M21</f>
        <v>0.5</v>
      </c>
    </row>
    <row r="22" spans="1:16" x14ac:dyDescent="0.3">
      <c r="A22" s="112"/>
      <c r="B22" s="113"/>
      <c r="D22" s="119" t="s">
        <v>320</v>
      </c>
      <c r="E22" s="113" t="s">
        <v>318</v>
      </c>
      <c r="F22" s="113"/>
      <c r="G22" s="120"/>
      <c r="H22" s="1">
        <v>0</v>
      </c>
      <c r="I22" s="1">
        <v>1</v>
      </c>
      <c r="K22" s="117" cm="1">
        <f t="array" ref="K22">PRODUCT(IF(H22:I22,$H$16:$I$16,1-$H$16:$I$16))</f>
        <v>0.11999999999999997</v>
      </c>
      <c r="L22" s="117" cm="1">
        <f t="array" ref="L22">PRODUCT(IF(H22:I22,$H$17:$I$17,1-$H$17:$I$17))</f>
        <v>0.12</v>
      </c>
      <c r="M22" s="117">
        <f t="shared" si="2"/>
        <v>0.11999999999999998</v>
      </c>
      <c r="N22" s="117"/>
      <c r="O22" s="118">
        <f t="shared" si="3"/>
        <v>0.49999999999999994</v>
      </c>
      <c r="P22" s="118">
        <f>L22*$H$14/M22</f>
        <v>0.50000000000000011</v>
      </c>
    </row>
    <row r="23" spans="1:16" x14ac:dyDescent="0.3">
      <c r="A23" s="112"/>
      <c r="B23" s="113"/>
      <c r="D23" s="119" t="s">
        <v>320</v>
      </c>
      <c r="E23" s="113" t="s">
        <v>319</v>
      </c>
      <c r="F23" s="113"/>
      <c r="G23" s="120"/>
      <c r="H23" s="1">
        <v>0</v>
      </c>
      <c r="I23" s="1">
        <v>0</v>
      </c>
      <c r="K23" s="117" cm="1">
        <f t="array" ref="K23">PRODUCT(IF(H23:I23,$H$16:$I$16,1-$H$16:$I$16))</f>
        <v>7.9999999999999988E-2</v>
      </c>
      <c r="L23" s="117" cm="1">
        <f t="array" ref="L23">PRODUCT(IF(H23:I23,$H$17:$I$17,1-$H$17:$I$17))</f>
        <v>0.48</v>
      </c>
      <c r="M23" s="117">
        <f t="shared" si="2"/>
        <v>0.27999999999999997</v>
      </c>
      <c r="N23" s="117"/>
      <c r="O23" s="118">
        <f t="shared" si="3"/>
        <v>0.14285714285714285</v>
      </c>
      <c r="P23" s="118">
        <f>L23*$H$14/M23</f>
        <v>0.85714285714285721</v>
      </c>
    </row>
    <row r="24" spans="1:16" x14ac:dyDescent="0.3">
      <c r="A24" s="112"/>
      <c r="B24" s="113"/>
      <c r="D24" s="119"/>
      <c r="E24" s="113"/>
      <c r="F24" s="113"/>
      <c r="G24" s="120"/>
      <c r="K24" s="117"/>
      <c r="L24" s="117"/>
      <c r="M24" s="117"/>
      <c r="N24" s="117"/>
      <c r="O24" s="118"/>
      <c r="P24" s="118"/>
    </row>
    <row r="25" spans="1:16" x14ac:dyDescent="0.3">
      <c r="A25" s="112"/>
      <c r="B25" s="113"/>
      <c r="D25" s="119"/>
      <c r="E25" s="113"/>
      <c r="F25" s="113"/>
      <c r="G25" s="120"/>
      <c r="K25" s="117"/>
      <c r="L25" s="117"/>
      <c r="M25" s="117"/>
      <c r="N25" s="117"/>
      <c r="O25" s="118"/>
      <c r="P25" s="118"/>
    </row>
    <row r="26" spans="1:16" x14ac:dyDescent="0.3">
      <c r="A26" s="112"/>
      <c r="B26" s="113"/>
      <c r="D26" s="119"/>
      <c r="E26" s="113"/>
      <c r="F26" s="113"/>
      <c r="G26" s="120"/>
      <c r="K26" s="117"/>
      <c r="L26" s="117"/>
      <c r="M26" s="117"/>
      <c r="N26" s="117"/>
      <c r="O26" s="118"/>
      <c r="P26" s="118"/>
    </row>
    <row r="27" spans="1:16" x14ac:dyDescent="0.3">
      <c r="A27" s="112"/>
      <c r="B27" s="113"/>
      <c r="D27" s="119"/>
      <c r="E27" s="113"/>
      <c r="F27" s="113"/>
      <c r="G27" s="120"/>
      <c r="K27" s="117"/>
      <c r="L27" s="117"/>
      <c r="M27" s="117"/>
      <c r="N27" s="117"/>
      <c r="O27" s="118"/>
      <c r="P27" s="118"/>
    </row>
    <row r="28" spans="1:16" x14ac:dyDescent="0.3">
      <c r="A28" s="112"/>
      <c r="B28" s="113"/>
      <c r="D28" s="119"/>
      <c r="E28" s="113"/>
      <c r="F28" s="113"/>
      <c r="G28" s="120"/>
      <c r="K28" s="117"/>
      <c r="L28" s="117"/>
      <c r="M28" s="117"/>
      <c r="N28" s="117"/>
      <c r="O28" s="118"/>
      <c r="P28" s="118"/>
    </row>
    <row r="29" spans="1:16" x14ac:dyDescent="0.3">
      <c r="A29" s="112"/>
      <c r="B29" s="113"/>
      <c r="D29" s="121"/>
      <c r="E29" s="122"/>
      <c r="F29" s="122"/>
      <c r="G29" s="123"/>
      <c r="K29" s="117"/>
      <c r="L29" s="117"/>
      <c r="M29" s="117"/>
      <c r="N29" s="117"/>
      <c r="O29" s="118"/>
      <c r="P29" s="118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D4A07-9A20-C84F-BD09-8E890A0A0861}">
  <sheetPr codeName="Sheet64">
    <tabColor rgb="FFFF0000"/>
  </sheetPr>
  <dimension ref="A1"/>
  <sheetViews>
    <sheetView zoomScale="80" zoomScaleNormal="80" workbookViewId="0"/>
  </sheetViews>
  <sheetFormatPr baseColWidth="10" defaultRowHeight="26" x14ac:dyDescent="0.3"/>
  <cols>
    <col min="1" max="1" width="16.6640625" style="15" bestFit="1" customWidth="1"/>
    <col min="2" max="2" width="14.33203125" style="15" bestFit="1" customWidth="1"/>
    <col min="3" max="3" width="21.5" style="15" bestFit="1" customWidth="1"/>
    <col min="4" max="16384" width="10.83203125" style="15"/>
  </cols>
  <sheetData/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84657-140C-4241-B0AD-4D978DAF3737}">
  <sheetPr codeName="Sheet65">
    <tabColor rgb="FF92D050"/>
  </sheetPr>
  <dimension ref="A1:B11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20.33203125" style="1" bestFit="1" customWidth="1"/>
    <col min="3" max="16384" width="10.83203125" style="1"/>
  </cols>
  <sheetData>
    <row r="1" spans="1:2" x14ac:dyDescent="0.3">
      <c r="A1" s="1" t="s">
        <v>369</v>
      </c>
      <c r="B1" s="1" t="s">
        <v>370</v>
      </c>
    </row>
    <row r="2" spans="1:2" x14ac:dyDescent="0.3">
      <c r="A2" s="101" t="s">
        <v>371</v>
      </c>
      <c r="B2" s="102" t="s">
        <v>372</v>
      </c>
    </row>
    <row r="3" spans="1:2" x14ac:dyDescent="0.3">
      <c r="A3" s="101" t="s">
        <v>371</v>
      </c>
      <c r="B3" s="102" t="s">
        <v>373</v>
      </c>
    </row>
    <row r="4" spans="1:2" x14ac:dyDescent="0.3">
      <c r="A4" s="101" t="s">
        <v>371</v>
      </c>
      <c r="B4" s="102" t="s">
        <v>374</v>
      </c>
    </row>
    <row r="5" spans="1:2" x14ac:dyDescent="0.3">
      <c r="A5" s="101" t="s">
        <v>371</v>
      </c>
      <c r="B5" s="102" t="s">
        <v>375</v>
      </c>
    </row>
    <row r="6" spans="1:2" x14ac:dyDescent="0.3">
      <c r="A6" s="101" t="s">
        <v>371</v>
      </c>
      <c r="B6" s="102" t="s">
        <v>376</v>
      </c>
    </row>
    <row r="7" spans="1:2" x14ac:dyDescent="0.3">
      <c r="A7" s="101" t="s">
        <v>377</v>
      </c>
      <c r="B7" s="102" t="s">
        <v>378</v>
      </c>
    </row>
    <row r="8" spans="1:2" x14ac:dyDescent="0.3">
      <c r="A8" s="101" t="s">
        <v>377</v>
      </c>
      <c r="B8" s="102" t="s">
        <v>379</v>
      </c>
    </row>
    <row r="9" spans="1:2" x14ac:dyDescent="0.3">
      <c r="A9" s="101" t="s">
        <v>377</v>
      </c>
      <c r="B9" s="102" t="s">
        <v>380</v>
      </c>
    </row>
    <row r="10" spans="1:2" x14ac:dyDescent="0.3">
      <c r="A10" s="101" t="s">
        <v>377</v>
      </c>
      <c r="B10" s="102" t="s">
        <v>374</v>
      </c>
    </row>
    <row r="11" spans="1:2" x14ac:dyDescent="0.3">
      <c r="A11" s="101" t="s">
        <v>377</v>
      </c>
      <c r="B11" s="102" t="s">
        <v>381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2BB5E-1763-6E4A-8E5D-5FB88F036C40}">
  <sheetPr codeName="Sheet66">
    <tabColor rgb="FF92D050"/>
  </sheetPr>
  <dimension ref="A1:B11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20.33203125" style="1" bestFit="1" customWidth="1"/>
    <col min="3" max="16384" width="10.83203125" style="1"/>
  </cols>
  <sheetData>
    <row r="1" spans="1:2" x14ac:dyDescent="0.3">
      <c r="A1" s="1" t="s">
        <v>369</v>
      </c>
      <c r="B1" s="1" t="s">
        <v>370</v>
      </c>
    </row>
    <row r="2" spans="1:2" x14ac:dyDescent="0.3">
      <c r="A2" s="112" t="s">
        <v>377</v>
      </c>
      <c r="B2" s="113" t="s">
        <v>382</v>
      </c>
    </row>
    <row r="3" spans="1:2" x14ac:dyDescent="0.3">
      <c r="A3" s="112" t="s">
        <v>377</v>
      </c>
      <c r="B3" s="113" t="s">
        <v>375</v>
      </c>
    </row>
    <row r="4" spans="1:2" x14ac:dyDescent="0.3">
      <c r="A4" s="112" t="s">
        <v>377</v>
      </c>
      <c r="B4" s="113" t="s">
        <v>383</v>
      </c>
    </row>
    <row r="5" spans="1:2" x14ac:dyDescent="0.3">
      <c r="A5" s="112" t="s">
        <v>377</v>
      </c>
      <c r="B5" s="113" t="s">
        <v>384</v>
      </c>
    </row>
    <row r="6" spans="1:2" x14ac:dyDescent="0.3">
      <c r="A6" s="112" t="s">
        <v>377</v>
      </c>
      <c r="B6" s="113" t="s">
        <v>385</v>
      </c>
    </row>
    <row r="7" spans="1:2" x14ac:dyDescent="0.3">
      <c r="A7" s="112" t="s">
        <v>377</v>
      </c>
      <c r="B7" s="113" t="s">
        <v>383</v>
      </c>
    </row>
    <row r="8" spans="1:2" x14ac:dyDescent="0.3">
      <c r="A8" s="112" t="s">
        <v>377</v>
      </c>
      <c r="B8" s="113" t="s">
        <v>376</v>
      </c>
    </row>
    <row r="9" spans="1:2" x14ac:dyDescent="0.3">
      <c r="A9" s="112" t="s">
        <v>386</v>
      </c>
      <c r="B9" s="113" t="s">
        <v>387</v>
      </c>
    </row>
    <row r="10" spans="1:2" x14ac:dyDescent="0.3">
      <c r="A10" s="112" t="s">
        <v>386</v>
      </c>
      <c r="B10" s="113" t="s">
        <v>388</v>
      </c>
    </row>
    <row r="11" spans="1:2" x14ac:dyDescent="0.3">
      <c r="A11" s="112" t="s">
        <v>386</v>
      </c>
      <c r="B11" s="113" t="s">
        <v>389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C3FB7-F84E-2747-AA6D-D298EEA3F0AD}">
  <sheetPr codeName="Sheet67">
    <tabColor rgb="FF92D050"/>
  </sheetPr>
  <dimension ref="A1:T29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20.33203125" style="1" bestFit="1" customWidth="1"/>
    <col min="3" max="3" width="2.6640625" style="1" customWidth="1"/>
    <col min="4" max="6" width="13.5" style="1" customWidth="1"/>
    <col min="7" max="7" width="15.6640625" style="1" bestFit="1" customWidth="1"/>
    <col min="8" max="8" width="10.83203125" style="1" customWidth="1"/>
    <col min="9" max="14" width="10.83203125" style="1"/>
    <col min="15" max="15" width="14.5" style="1" customWidth="1"/>
    <col min="16" max="16" width="15.6640625" style="1" bestFit="1" customWidth="1"/>
    <col min="17" max="17" width="9" style="1" bestFit="1" customWidth="1"/>
    <col min="18" max="18" width="9" style="1" customWidth="1"/>
    <col min="19" max="19" width="14" style="1" bestFit="1" customWidth="1"/>
    <col min="20" max="20" width="13.33203125" style="1" bestFit="1" customWidth="1"/>
    <col min="21" max="16384" width="10.83203125" style="1"/>
  </cols>
  <sheetData>
    <row r="1" spans="1:13" x14ac:dyDescent="0.3">
      <c r="A1" s="1" t="s">
        <v>369</v>
      </c>
      <c r="B1" s="1" t="s">
        <v>370</v>
      </c>
      <c r="D1" s="1" t="s">
        <v>370</v>
      </c>
      <c r="H1" s="13" t="s">
        <v>383</v>
      </c>
      <c r="I1" s="13" t="s">
        <v>390</v>
      </c>
      <c r="J1" s="13" t="s">
        <v>391</v>
      </c>
      <c r="K1" s="13" t="s">
        <v>392</v>
      </c>
      <c r="L1" s="13" t="s">
        <v>385</v>
      </c>
      <c r="M1" s="13" t="s">
        <v>384</v>
      </c>
    </row>
    <row r="2" spans="1:13" x14ac:dyDescent="0.3">
      <c r="A2" s="101" t="s">
        <v>371</v>
      </c>
      <c r="B2" s="102" t="s">
        <v>372</v>
      </c>
      <c r="D2" s="103" t="s">
        <v>385</v>
      </c>
      <c r="E2" s="104" t="s">
        <v>393</v>
      </c>
      <c r="F2" s="104"/>
      <c r="G2" s="105"/>
      <c r="H2" s="1">
        <f>COUNTIF($D2:$G2,H$1)</f>
        <v>0</v>
      </c>
      <c r="I2" s="1">
        <f t="shared" ref="I2:M11" si="0">COUNTIF($D2:$G2,I$1)</f>
        <v>0</v>
      </c>
      <c r="J2" s="1">
        <f t="shared" si="0"/>
        <v>0</v>
      </c>
      <c r="K2" s="1">
        <f t="shared" si="0"/>
        <v>0</v>
      </c>
      <c r="L2" s="1">
        <f t="shared" si="0"/>
        <v>1</v>
      </c>
      <c r="M2" s="1">
        <f t="shared" si="0"/>
        <v>0</v>
      </c>
    </row>
    <row r="3" spans="1:13" x14ac:dyDescent="0.3">
      <c r="A3" s="101" t="s">
        <v>371</v>
      </c>
      <c r="B3" s="102" t="s">
        <v>373</v>
      </c>
      <c r="D3" s="106" t="s">
        <v>385</v>
      </c>
      <c r="E3" s="102" t="s">
        <v>394</v>
      </c>
      <c r="F3" s="102"/>
      <c r="G3" s="107"/>
      <c r="H3" s="1">
        <f t="shared" ref="H3:H11" si="1">COUNTIF($D3:$G3,H$1)</f>
        <v>0</v>
      </c>
      <c r="I3" s="1">
        <f t="shared" si="0"/>
        <v>0</v>
      </c>
      <c r="J3" s="1">
        <f t="shared" si="0"/>
        <v>0</v>
      </c>
      <c r="K3" s="1">
        <f t="shared" si="0"/>
        <v>0</v>
      </c>
      <c r="L3" s="1">
        <f t="shared" si="0"/>
        <v>1</v>
      </c>
      <c r="M3" s="1">
        <f t="shared" si="0"/>
        <v>0</v>
      </c>
    </row>
    <row r="4" spans="1:13" x14ac:dyDescent="0.3">
      <c r="A4" s="101" t="s">
        <v>371</v>
      </c>
      <c r="B4" s="102" t="s">
        <v>374</v>
      </c>
      <c r="D4" s="106" t="s">
        <v>383</v>
      </c>
      <c r="E4" s="102" t="s">
        <v>395</v>
      </c>
      <c r="F4" s="102" t="s">
        <v>292</v>
      </c>
      <c r="G4" s="107" t="s">
        <v>392</v>
      </c>
      <c r="H4" s="1">
        <f t="shared" si="1"/>
        <v>1</v>
      </c>
      <c r="I4" s="1">
        <f t="shared" si="0"/>
        <v>0</v>
      </c>
      <c r="J4" s="1">
        <f t="shared" si="0"/>
        <v>0</v>
      </c>
      <c r="K4" s="1">
        <f t="shared" si="0"/>
        <v>1</v>
      </c>
      <c r="L4" s="1">
        <f t="shared" si="0"/>
        <v>0</v>
      </c>
      <c r="M4" s="1">
        <f t="shared" si="0"/>
        <v>0</v>
      </c>
    </row>
    <row r="5" spans="1:13" x14ac:dyDescent="0.3">
      <c r="A5" s="101" t="s">
        <v>371</v>
      </c>
      <c r="B5" s="102" t="s">
        <v>375</v>
      </c>
      <c r="D5" s="106" t="s">
        <v>390</v>
      </c>
      <c r="E5" s="102" t="s">
        <v>396</v>
      </c>
      <c r="F5" s="102" t="s">
        <v>397</v>
      </c>
      <c r="G5" s="107" t="s">
        <v>392</v>
      </c>
      <c r="H5" s="1">
        <f t="shared" si="1"/>
        <v>0</v>
      </c>
      <c r="I5" s="1">
        <f t="shared" si="0"/>
        <v>1</v>
      </c>
      <c r="J5" s="1">
        <f t="shared" si="0"/>
        <v>0</v>
      </c>
      <c r="K5" s="1">
        <f t="shared" si="0"/>
        <v>1</v>
      </c>
      <c r="L5" s="1">
        <f t="shared" si="0"/>
        <v>0</v>
      </c>
      <c r="M5" s="1">
        <f t="shared" si="0"/>
        <v>0</v>
      </c>
    </row>
    <row r="6" spans="1:13" x14ac:dyDescent="0.3">
      <c r="A6" s="101" t="s">
        <v>371</v>
      </c>
      <c r="B6" s="102" t="s">
        <v>376</v>
      </c>
      <c r="D6" s="106" t="s">
        <v>391</v>
      </c>
      <c r="E6" s="102" t="s">
        <v>390</v>
      </c>
      <c r="F6" s="102"/>
      <c r="G6" s="107"/>
      <c r="H6" s="1">
        <f t="shared" si="1"/>
        <v>0</v>
      </c>
      <c r="I6" s="1">
        <f t="shared" si="0"/>
        <v>1</v>
      </c>
      <c r="J6" s="1">
        <f t="shared" si="0"/>
        <v>1</v>
      </c>
      <c r="K6" s="1">
        <f t="shared" si="0"/>
        <v>0</v>
      </c>
      <c r="L6" s="1">
        <f t="shared" si="0"/>
        <v>0</v>
      </c>
      <c r="M6" s="1">
        <f t="shared" si="0"/>
        <v>0</v>
      </c>
    </row>
    <row r="7" spans="1:13" x14ac:dyDescent="0.3">
      <c r="A7" s="101" t="s">
        <v>377</v>
      </c>
      <c r="B7" s="102" t="s">
        <v>378</v>
      </c>
      <c r="D7" s="106" t="s">
        <v>383</v>
      </c>
      <c r="E7" s="102" t="s">
        <v>393</v>
      </c>
      <c r="F7" s="102"/>
      <c r="G7" s="107"/>
      <c r="H7" s="1">
        <f t="shared" si="1"/>
        <v>1</v>
      </c>
      <c r="I7" s="1">
        <f t="shared" si="0"/>
        <v>0</v>
      </c>
      <c r="J7" s="1">
        <f t="shared" si="0"/>
        <v>0</v>
      </c>
      <c r="K7" s="1">
        <f t="shared" si="0"/>
        <v>0</v>
      </c>
      <c r="L7" s="1">
        <f t="shared" si="0"/>
        <v>0</v>
      </c>
      <c r="M7" s="1">
        <f t="shared" si="0"/>
        <v>0</v>
      </c>
    </row>
    <row r="8" spans="1:13" x14ac:dyDescent="0.3">
      <c r="A8" s="101" t="s">
        <v>377</v>
      </c>
      <c r="B8" s="102" t="s">
        <v>379</v>
      </c>
      <c r="D8" s="106" t="s">
        <v>385</v>
      </c>
      <c r="E8" s="102" t="s">
        <v>393</v>
      </c>
      <c r="F8" s="102" t="s">
        <v>383</v>
      </c>
      <c r="G8" s="107"/>
      <c r="H8" s="1">
        <f t="shared" si="1"/>
        <v>1</v>
      </c>
      <c r="I8" s="1">
        <f t="shared" si="0"/>
        <v>0</v>
      </c>
      <c r="J8" s="1">
        <f t="shared" si="0"/>
        <v>0</v>
      </c>
      <c r="K8" s="1">
        <f t="shared" si="0"/>
        <v>0</v>
      </c>
      <c r="L8" s="1">
        <f t="shared" si="0"/>
        <v>1</v>
      </c>
      <c r="M8" s="1">
        <f t="shared" si="0"/>
        <v>0</v>
      </c>
    </row>
    <row r="9" spans="1:13" x14ac:dyDescent="0.3">
      <c r="A9" s="101" t="s">
        <v>377</v>
      </c>
      <c r="B9" s="102" t="s">
        <v>380</v>
      </c>
      <c r="D9" s="106" t="s">
        <v>383</v>
      </c>
      <c r="E9" s="102" t="s">
        <v>398</v>
      </c>
      <c r="F9" s="102"/>
      <c r="G9" s="107"/>
      <c r="H9" s="1">
        <f t="shared" si="1"/>
        <v>1</v>
      </c>
      <c r="I9" s="1">
        <f t="shared" si="0"/>
        <v>0</v>
      </c>
      <c r="J9" s="1">
        <f t="shared" si="0"/>
        <v>0</v>
      </c>
      <c r="K9" s="1">
        <f t="shared" si="0"/>
        <v>0</v>
      </c>
      <c r="L9" s="1">
        <f t="shared" si="0"/>
        <v>0</v>
      </c>
      <c r="M9" s="1">
        <f t="shared" si="0"/>
        <v>0</v>
      </c>
    </row>
    <row r="10" spans="1:13" x14ac:dyDescent="0.3">
      <c r="A10" s="101" t="s">
        <v>377</v>
      </c>
      <c r="B10" s="102" t="s">
        <v>374</v>
      </c>
      <c r="D10" s="106" t="s">
        <v>383</v>
      </c>
      <c r="E10" s="102" t="s">
        <v>395</v>
      </c>
      <c r="F10" s="102" t="s">
        <v>292</v>
      </c>
      <c r="G10" s="107" t="s">
        <v>392</v>
      </c>
      <c r="H10" s="1">
        <f t="shared" si="1"/>
        <v>1</v>
      </c>
      <c r="I10" s="1">
        <f t="shared" si="0"/>
        <v>0</v>
      </c>
      <c r="J10" s="1">
        <f t="shared" si="0"/>
        <v>0</v>
      </c>
      <c r="K10" s="1">
        <f t="shared" si="0"/>
        <v>1</v>
      </c>
      <c r="L10" s="1">
        <f t="shared" si="0"/>
        <v>0</v>
      </c>
      <c r="M10" s="1">
        <f t="shared" si="0"/>
        <v>0</v>
      </c>
    </row>
    <row r="11" spans="1:13" x14ac:dyDescent="0.3">
      <c r="A11" s="101" t="s">
        <v>377</v>
      </c>
      <c r="B11" s="102" t="s">
        <v>381</v>
      </c>
      <c r="D11" s="108" t="s">
        <v>384</v>
      </c>
      <c r="E11" s="109" t="s">
        <v>399</v>
      </c>
      <c r="F11" s="109" t="s">
        <v>390</v>
      </c>
      <c r="G11" s="110"/>
      <c r="H11" s="1">
        <f t="shared" si="1"/>
        <v>0</v>
      </c>
      <c r="I11" s="1">
        <f t="shared" si="0"/>
        <v>1</v>
      </c>
      <c r="J11" s="1">
        <f t="shared" si="0"/>
        <v>0</v>
      </c>
      <c r="K11" s="1">
        <f t="shared" si="0"/>
        <v>0</v>
      </c>
      <c r="L11" s="1">
        <f t="shared" si="0"/>
        <v>0</v>
      </c>
      <c r="M11" s="1">
        <f t="shared" si="0"/>
        <v>1</v>
      </c>
    </row>
    <row r="13" spans="1:13" ht="30" x14ac:dyDescent="0.4">
      <c r="G13" s="100" t="s">
        <v>324</v>
      </c>
      <c r="H13" s="1">
        <f t="shared" ref="H13:M13" si="2">SUM(H2:H11)/COUNT(H2:H11)</f>
        <v>0.5</v>
      </c>
      <c r="I13" s="1">
        <f t="shared" si="2"/>
        <v>0.3</v>
      </c>
      <c r="J13" s="1">
        <f t="shared" si="2"/>
        <v>0.1</v>
      </c>
      <c r="K13" s="1">
        <f t="shared" si="2"/>
        <v>0.3</v>
      </c>
      <c r="L13" s="1">
        <f t="shared" si="2"/>
        <v>0.3</v>
      </c>
      <c r="M13" s="1">
        <f t="shared" si="2"/>
        <v>0.1</v>
      </c>
    </row>
    <row r="14" spans="1:13" x14ac:dyDescent="0.3">
      <c r="G14" s="100" t="s">
        <v>400</v>
      </c>
      <c r="H14" s="1">
        <f>COUNTIF($A$2:$A$11,"Ham")/COUNTA($A$2:$A$11)</f>
        <v>0.5</v>
      </c>
      <c r="I14" s="1">
        <f t="shared" ref="I14:M14" si="3">COUNTIF($A$2:$A$11,"Ham")/COUNTA($A$2:$A$11)</f>
        <v>0.5</v>
      </c>
      <c r="J14" s="1">
        <f t="shared" si="3"/>
        <v>0.5</v>
      </c>
      <c r="K14" s="1">
        <f t="shared" si="3"/>
        <v>0.5</v>
      </c>
      <c r="L14" s="1">
        <f t="shared" si="3"/>
        <v>0.5</v>
      </c>
      <c r="M14" s="1">
        <f t="shared" si="3"/>
        <v>0.5</v>
      </c>
    </row>
    <row r="15" spans="1:13" x14ac:dyDescent="0.3">
      <c r="G15" s="100" t="s">
        <v>401</v>
      </c>
      <c r="H15" s="1">
        <f>COUNTIF($A$2:$A$11,"Spam")/COUNTA($A$2:$A$11)</f>
        <v>0.5</v>
      </c>
      <c r="I15" s="1">
        <f t="shared" ref="I15:M15" si="4">COUNTIF($A$2:$A$11,"Spam")/COUNTA($A$2:$A$11)</f>
        <v>0.5</v>
      </c>
      <c r="J15" s="1">
        <f t="shared" si="4"/>
        <v>0.5</v>
      </c>
      <c r="K15" s="1">
        <f t="shared" si="4"/>
        <v>0.5</v>
      </c>
      <c r="L15" s="1">
        <f t="shared" si="4"/>
        <v>0.5</v>
      </c>
      <c r="M15" s="1">
        <f t="shared" si="4"/>
        <v>0.5</v>
      </c>
    </row>
    <row r="16" spans="1:13" ht="30" x14ac:dyDescent="0.4">
      <c r="G16" s="100" t="s">
        <v>402</v>
      </c>
      <c r="H16" s="1">
        <f t="shared" ref="H16:M16" si="5">COUNTIFS(H2:H11,1,$A$2:$A$11,"Ham")/COUNTIFS($A$2:$A$11,"Ham")</f>
        <v>0.2</v>
      </c>
      <c r="I16" s="1">
        <f t="shared" si="5"/>
        <v>0.4</v>
      </c>
      <c r="J16" s="1">
        <f t="shared" si="5"/>
        <v>0.2</v>
      </c>
      <c r="K16" s="1">
        <f t="shared" si="5"/>
        <v>0.4</v>
      </c>
      <c r="L16" s="1">
        <f t="shared" si="5"/>
        <v>0.4</v>
      </c>
      <c r="M16" s="1">
        <f t="shared" si="5"/>
        <v>0</v>
      </c>
    </row>
    <row r="17" spans="1:20" ht="30" x14ac:dyDescent="0.4">
      <c r="G17" s="100" t="s">
        <v>403</v>
      </c>
      <c r="H17" s="1">
        <f t="shared" ref="H17:M17" si="6">COUNTIFS(H2:H11,1,$A$2:$A$11,"Spam")/COUNTIFS($A$2:$A$11,"Spam")</f>
        <v>0.8</v>
      </c>
      <c r="I17" s="1">
        <f t="shared" si="6"/>
        <v>0.2</v>
      </c>
      <c r="J17" s="1">
        <f t="shared" si="6"/>
        <v>0</v>
      </c>
      <c r="K17" s="1">
        <f t="shared" si="6"/>
        <v>0.2</v>
      </c>
      <c r="L17" s="1">
        <f t="shared" si="6"/>
        <v>0.2</v>
      </c>
      <c r="M17" s="1">
        <f t="shared" si="6"/>
        <v>0.2</v>
      </c>
    </row>
    <row r="18" spans="1:20" x14ac:dyDescent="0.3">
      <c r="G18" s="100"/>
      <c r="H18" s="111"/>
      <c r="I18" s="111"/>
      <c r="J18" s="111"/>
      <c r="K18" s="111"/>
      <c r="L18" s="111"/>
      <c r="M18" s="111"/>
    </row>
    <row r="19" spans="1:20" ht="30" x14ac:dyDescent="0.4">
      <c r="A19" s="1" t="s">
        <v>369</v>
      </c>
      <c r="B19" s="1" t="s">
        <v>370</v>
      </c>
      <c r="D19" s="1" t="s">
        <v>370</v>
      </c>
      <c r="H19" s="13" t="s">
        <v>383</v>
      </c>
      <c r="I19" s="13" t="s">
        <v>390</v>
      </c>
      <c r="J19" s="13" t="s">
        <v>391</v>
      </c>
      <c r="K19" s="13" t="s">
        <v>392</v>
      </c>
      <c r="L19" s="13" t="s">
        <v>385</v>
      </c>
      <c r="M19" s="13" t="s">
        <v>384</v>
      </c>
      <c r="O19" s="135" t="s">
        <v>404</v>
      </c>
      <c r="P19" s="135" t="s">
        <v>405</v>
      </c>
      <c r="Q19" s="135" t="s">
        <v>331</v>
      </c>
      <c r="R19" s="135"/>
      <c r="S19" s="135" t="s">
        <v>406</v>
      </c>
      <c r="T19" s="135" t="s">
        <v>407</v>
      </c>
    </row>
    <row r="20" spans="1:20" x14ac:dyDescent="0.3">
      <c r="A20" s="112" t="s">
        <v>377</v>
      </c>
      <c r="B20" s="113" t="s">
        <v>382</v>
      </c>
      <c r="D20" s="114" t="s">
        <v>383</v>
      </c>
      <c r="E20" s="115" t="s">
        <v>395</v>
      </c>
      <c r="F20" s="115" t="s">
        <v>292</v>
      </c>
      <c r="G20" s="116" t="s">
        <v>390</v>
      </c>
      <c r="H20" s="1">
        <f>COUNTIF($D20:$G20,H$1)</f>
        <v>1</v>
      </c>
      <c r="I20" s="1">
        <f t="shared" ref="I20:M29" si="7">COUNTIF($D20:$G20,I$1)</f>
        <v>1</v>
      </c>
      <c r="J20" s="1">
        <f t="shared" si="7"/>
        <v>0</v>
      </c>
      <c r="K20" s="1">
        <f t="shared" si="7"/>
        <v>0</v>
      </c>
      <c r="L20" s="1">
        <f t="shared" si="7"/>
        <v>0</v>
      </c>
      <c r="M20" s="1">
        <f t="shared" si="7"/>
        <v>0</v>
      </c>
      <c r="O20" s="117" cm="1">
        <f t="array" ref="O20">PRODUCT(IF(H20:M20,$H$16:$M$16,1-$H$16:$M$16))</f>
        <v>2.3040000000000005E-2</v>
      </c>
      <c r="P20" s="117" cm="1">
        <f t="array" ref="P20">PRODUCT(IF(H20:M20,$H$17:$M$17,1-$H$17:$M$17))</f>
        <v>8.1920000000000034E-2</v>
      </c>
      <c r="Q20" s="117">
        <f>O20*$H$14+P20*$H$15</f>
        <v>5.248000000000002E-2</v>
      </c>
      <c r="R20" s="117"/>
      <c r="S20" s="136">
        <f t="shared" ref="S20:S29" si="8">O20*$H$14/Q20</f>
        <v>0.21951219512195119</v>
      </c>
      <c r="T20" s="118">
        <f t="shared" ref="T20:T29" si="9">P20*$H$14/Q20</f>
        <v>0.78048780487804881</v>
      </c>
    </row>
    <row r="21" spans="1:20" x14ac:dyDescent="0.3">
      <c r="A21" s="112" t="s">
        <v>377</v>
      </c>
      <c r="B21" s="113" t="s">
        <v>375</v>
      </c>
      <c r="D21" s="119" t="s">
        <v>390</v>
      </c>
      <c r="E21" s="113" t="s">
        <v>396</v>
      </c>
      <c r="F21" s="113" t="s">
        <v>397</v>
      </c>
      <c r="G21" s="120" t="s">
        <v>392</v>
      </c>
      <c r="H21" s="1">
        <f t="shared" ref="H21:H29" si="10">COUNTIF($D21:$G21,H$1)</f>
        <v>0</v>
      </c>
      <c r="I21" s="1">
        <f t="shared" si="7"/>
        <v>1</v>
      </c>
      <c r="J21" s="1">
        <f t="shared" si="7"/>
        <v>0</v>
      </c>
      <c r="K21" s="1">
        <f t="shared" si="7"/>
        <v>1</v>
      </c>
      <c r="L21" s="1">
        <f t="shared" si="7"/>
        <v>0</v>
      </c>
      <c r="M21" s="1">
        <f t="shared" si="7"/>
        <v>0</v>
      </c>
      <c r="O21" s="117" cm="1">
        <f t="array" ref="O21">PRODUCT(IF(H21:M21,$H$16:$M$16,1-$H$16:$M$16))</f>
        <v>6.1440000000000015E-2</v>
      </c>
      <c r="P21" s="117" cm="1">
        <f t="array" ref="P21">PRODUCT(IF(H21:M21,$H$17:$M$17,1-$H$17:$M$17))</f>
        <v>5.1199999999999996E-3</v>
      </c>
      <c r="Q21" s="117">
        <f t="shared" ref="Q21:Q29" si="11">O21*$H$14+P21*$H$15</f>
        <v>3.3280000000000004E-2</v>
      </c>
      <c r="R21" s="117"/>
      <c r="S21" s="136">
        <f t="shared" si="8"/>
        <v>0.92307692307692324</v>
      </c>
      <c r="T21" s="118">
        <f t="shared" si="9"/>
        <v>7.6923076923076913E-2</v>
      </c>
    </row>
    <row r="22" spans="1:20" x14ac:dyDescent="0.3">
      <c r="A22" s="112" t="s">
        <v>377</v>
      </c>
      <c r="B22" s="113" t="s">
        <v>383</v>
      </c>
      <c r="D22" s="119" t="s">
        <v>383</v>
      </c>
      <c r="E22" s="113"/>
      <c r="F22" s="113"/>
      <c r="G22" s="120"/>
      <c r="H22" s="1">
        <f t="shared" si="10"/>
        <v>1</v>
      </c>
      <c r="I22" s="1">
        <f t="shared" si="7"/>
        <v>0</v>
      </c>
      <c r="J22" s="1">
        <f t="shared" si="7"/>
        <v>0</v>
      </c>
      <c r="K22" s="1">
        <f t="shared" si="7"/>
        <v>0</v>
      </c>
      <c r="L22" s="1">
        <f t="shared" si="7"/>
        <v>0</v>
      </c>
      <c r="M22" s="1">
        <f t="shared" si="7"/>
        <v>0</v>
      </c>
      <c r="O22" s="117" cm="1">
        <f t="array" ref="O22">PRODUCT(IF(H22:M22,$H$16:$M$16,1-$H$16:$M$16))</f>
        <v>3.456E-2</v>
      </c>
      <c r="P22" s="117" cm="1">
        <f t="array" ref="P22">PRODUCT(IF(H22:M22,$H$17:$M$17,1-$H$17:$M$17))</f>
        <v>0.32768000000000014</v>
      </c>
      <c r="Q22" s="117">
        <f t="shared" si="11"/>
        <v>0.18112000000000006</v>
      </c>
      <c r="R22" s="117"/>
      <c r="S22" s="136">
        <f t="shared" si="8"/>
        <v>9.5406360424028239E-2</v>
      </c>
      <c r="T22" s="118">
        <f t="shared" si="9"/>
        <v>0.90459363957597183</v>
      </c>
    </row>
    <row r="23" spans="1:20" x14ac:dyDescent="0.3">
      <c r="A23" s="112" t="s">
        <v>377</v>
      </c>
      <c r="B23" s="113" t="s">
        <v>384</v>
      </c>
      <c r="D23" s="119" t="s">
        <v>384</v>
      </c>
      <c r="E23" s="113"/>
      <c r="F23" s="113"/>
      <c r="G23" s="120"/>
      <c r="H23" s="1">
        <f t="shared" si="10"/>
        <v>0</v>
      </c>
      <c r="I23" s="1">
        <f t="shared" si="7"/>
        <v>0</v>
      </c>
      <c r="J23" s="1">
        <f t="shared" si="7"/>
        <v>0</v>
      </c>
      <c r="K23" s="1">
        <f t="shared" si="7"/>
        <v>0</v>
      </c>
      <c r="L23" s="1">
        <f t="shared" si="7"/>
        <v>0</v>
      </c>
      <c r="M23" s="1">
        <f t="shared" si="7"/>
        <v>1</v>
      </c>
      <c r="O23" s="117" cm="1">
        <f t="array" ref="O23">PRODUCT(IF(H23:M23,$H$16:$M$16,1-$H$16:$M$16))</f>
        <v>0</v>
      </c>
      <c r="P23" s="117" cm="1">
        <f t="array" ref="P23">PRODUCT(IF(H23:M23,$H$17:$M$17,1-$H$17:$M$17))</f>
        <v>2.0479999999999998E-2</v>
      </c>
      <c r="Q23" s="117">
        <f t="shared" si="11"/>
        <v>1.0239999999999999E-2</v>
      </c>
      <c r="R23" s="117"/>
      <c r="S23" s="136">
        <f t="shared" si="8"/>
        <v>0</v>
      </c>
      <c r="T23" s="118">
        <f t="shared" si="9"/>
        <v>1</v>
      </c>
    </row>
    <row r="24" spans="1:20" x14ac:dyDescent="0.3">
      <c r="A24" s="112" t="s">
        <v>377</v>
      </c>
      <c r="B24" s="113" t="s">
        <v>385</v>
      </c>
      <c r="D24" s="119" t="s">
        <v>385</v>
      </c>
      <c r="E24" s="113"/>
      <c r="F24" s="113"/>
      <c r="G24" s="120"/>
      <c r="H24" s="1">
        <f t="shared" si="10"/>
        <v>0</v>
      </c>
      <c r="I24" s="1">
        <f t="shared" si="7"/>
        <v>0</v>
      </c>
      <c r="J24" s="1">
        <f t="shared" si="7"/>
        <v>0</v>
      </c>
      <c r="K24" s="1">
        <f t="shared" si="7"/>
        <v>0</v>
      </c>
      <c r="L24" s="1">
        <f t="shared" si="7"/>
        <v>1</v>
      </c>
      <c r="M24" s="1">
        <f t="shared" si="7"/>
        <v>0</v>
      </c>
      <c r="O24" s="117" cm="1">
        <f t="array" ref="O24">PRODUCT(IF(H24:M24,$H$16:$M$16,1-$H$16:$M$16))</f>
        <v>9.2160000000000006E-2</v>
      </c>
      <c r="P24" s="117" cm="1">
        <f t="array" ref="P24">PRODUCT(IF(H24:M24,$H$17:$M$17,1-$H$17:$M$17))</f>
        <v>2.0479999999999998E-2</v>
      </c>
      <c r="Q24" s="117">
        <f t="shared" si="11"/>
        <v>5.6320000000000002E-2</v>
      </c>
      <c r="R24" s="117"/>
      <c r="S24" s="136">
        <f t="shared" si="8"/>
        <v>0.81818181818181823</v>
      </c>
      <c r="T24" s="118">
        <f t="shared" si="9"/>
        <v>0.1818181818181818</v>
      </c>
    </row>
    <row r="25" spans="1:20" x14ac:dyDescent="0.3">
      <c r="A25" s="112" t="s">
        <v>377</v>
      </c>
      <c r="B25" s="113" t="s">
        <v>383</v>
      </c>
      <c r="D25" s="119" t="s">
        <v>383</v>
      </c>
      <c r="E25" s="113"/>
      <c r="F25" s="113"/>
      <c r="G25" s="120"/>
      <c r="H25" s="1">
        <f t="shared" si="10"/>
        <v>1</v>
      </c>
      <c r="I25" s="1">
        <f t="shared" si="7"/>
        <v>0</v>
      </c>
      <c r="J25" s="1">
        <f t="shared" si="7"/>
        <v>0</v>
      </c>
      <c r="K25" s="1">
        <f t="shared" si="7"/>
        <v>0</v>
      </c>
      <c r="L25" s="1">
        <f t="shared" si="7"/>
        <v>0</v>
      </c>
      <c r="M25" s="1">
        <f t="shared" si="7"/>
        <v>0</v>
      </c>
      <c r="O25" s="117" cm="1">
        <f t="array" ref="O25">PRODUCT(IF(H25:M25,$H$16:$M$16,1-$H$16:$M$16))</f>
        <v>3.456E-2</v>
      </c>
      <c r="P25" s="117" cm="1">
        <f t="array" ref="P25">PRODUCT(IF(H25:M25,$H$17:$M$17,1-$H$17:$M$17))</f>
        <v>0.32768000000000014</v>
      </c>
      <c r="Q25" s="117">
        <f t="shared" si="11"/>
        <v>0.18112000000000006</v>
      </c>
      <c r="R25" s="117"/>
      <c r="S25" s="136">
        <f t="shared" si="8"/>
        <v>9.5406360424028239E-2</v>
      </c>
      <c r="T25" s="118">
        <f t="shared" si="9"/>
        <v>0.90459363957597183</v>
      </c>
    </row>
    <row r="26" spans="1:20" x14ac:dyDescent="0.3">
      <c r="A26" s="112" t="s">
        <v>377</v>
      </c>
      <c r="B26" s="113" t="s">
        <v>376</v>
      </c>
      <c r="D26" s="119" t="s">
        <v>391</v>
      </c>
      <c r="E26" s="113" t="s">
        <v>390</v>
      </c>
      <c r="F26" s="113"/>
      <c r="G26" s="120"/>
      <c r="H26" s="1">
        <f t="shared" si="10"/>
        <v>0</v>
      </c>
      <c r="I26" s="1">
        <f t="shared" si="7"/>
        <v>1</v>
      </c>
      <c r="J26" s="1">
        <f t="shared" si="7"/>
        <v>1</v>
      </c>
      <c r="K26" s="1">
        <f t="shared" si="7"/>
        <v>0</v>
      </c>
      <c r="L26" s="1">
        <f t="shared" si="7"/>
        <v>0</v>
      </c>
      <c r="M26" s="1">
        <f t="shared" si="7"/>
        <v>0</v>
      </c>
      <c r="O26" s="117" cm="1">
        <f t="array" ref="O26">PRODUCT(IF(H26:M26,$H$16:$M$16,1-$H$16:$M$16))</f>
        <v>2.3040000000000005E-2</v>
      </c>
      <c r="P26" s="117" cm="1">
        <f t="array" ref="P26">PRODUCT(IF(H26:M26,$H$17:$M$17,1-$H$17:$M$17))</f>
        <v>0</v>
      </c>
      <c r="Q26" s="117">
        <f t="shared" si="11"/>
        <v>1.1520000000000002E-2</v>
      </c>
      <c r="R26" s="117"/>
      <c r="S26" s="136">
        <f t="shared" si="8"/>
        <v>1</v>
      </c>
      <c r="T26" s="118">
        <f t="shared" si="9"/>
        <v>0</v>
      </c>
    </row>
    <row r="27" spans="1:20" x14ac:dyDescent="0.3">
      <c r="A27" s="112" t="s">
        <v>386</v>
      </c>
      <c r="B27" s="113" t="s">
        <v>387</v>
      </c>
      <c r="D27" s="119" t="s">
        <v>383</v>
      </c>
      <c r="E27" s="113" t="s">
        <v>292</v>
      </c>
      <c r="F27" s="113" t="s">
        <v>392</v>
      </c>
      <c r="G27" s="120"/>
      <c r="H27" s="1">
        <f t="shared" si="10"/>
        <v>1</v>
      </c>
      <c r="I27" s="1">
        <f t="shared" si="7"/>
        <v>0</v>
      </c>
      <c r="J27" s="1">
        <f t="shared" si="7"/>
        <v>0</v>
      </c>
      <c r="K27" s="1">
        <f t="shared" si="7"/>
        <v>1</v>
      </c>
      <c r="L27" s="1">
        <f t="shared" si="7"/>
        <v>0</v>
      </c>
      <c r="M27" s="1">
        <f t="shared" si="7"/>
        <v>0</v>
      </c>
      <c r="O27" s="117" cm="1">
        <f t="array" ref="O27">PRODUCT(IF(H27:M27,$H$16:$M$16,1-$H$16:$M$16))</f>
        <v>2.3040000000000001E-2</v>
      </c>
      <c r="P27" s="117" cm="1">
        <f t="array" ref="P27">PRODUCT(IF(H27:M27,$H$17:$M$17,1-$H$17:$M$17))</f>
        <v>8.1920000000000034E-2</v>
      </c>
      <c r="Q27" s="117">
        <f t="shared" si="11"/>
        <v>5.248000000000002E-2</v>
      </c>
      <c r="R27" s="117"/>
      <c r="S27" s="136">
        <f t="shared" si="8"/>
        <v>0.21951219512195116</v>
      </c>
      <c r="T27" s="118">
        <f t="shared" si="9"/>
        <v>0.78048780487804881</v>
      </c>
    </row>
    <row r="28" spans="1:20" x14ac:dyDescent="0.3">
      <c r="A28" s="112" t="s">
        <v>386</v>
      </c>
      <c r="B28" s="113" t="s">
        <v>388</v>
      </c>
      <c r="D28" s="119" t="s">
        <v>385</v>
      </c>
      <c r="E28" s="113" t="s">
        <v>397</v>
      </c>
      <c r="F28" s="113" t="s">
        <v>390</v>
      </c>
      <c r="G28" s="120"/>
      <c r="H28" s="1">
        <f t="shared" si="10"/>
        <v>0</v>
      </c>
      <c r="I28" s="1">
        <f t="shared" si="7"/>
        <v>1</v>
      </c>
      <c r="J28" s="1">
        <f t="shared" si="7"/>
        <v>0</v>
      </c>
      <c r="K28" s="1">
        <f t="shared" si="7"/>
        <v>0</v>
      </c>
      <c r="L28" s="1">
        <f t="shared" si="7"/>
        <v>1</v>
      </c>
      <c r="M28" s="1">
        <f t="shared" si="7"/>
        <v>0</v>
      </c>
      <c r="O28" s="117" cm="1">
        <f t="array" ref="O28">PRODUCT(IF(H28:M28,$H$16:$M$16,1-$H$16:$M$16))</f>
        <v>6.1440000000000022E-2</v>
      </c>
      <c r="P28" s="117" cm="1">
        <f t="array" ref="P28">PRODUCT(IF(H28:M28,$H$17:$M$17,1-$H$17:$M$17))</f>
        <v>5.1199999999999996E-3</v>
      </c>
      <c r="Q28" s="117">
        <f t="shared" si="11"/>
        <v>3.3280000000000011E-2</v>
      </c>
      <c r="R28" s="117"/>
      <c r="S28" s="136">
        <f t="shared" si="8"/>
        <v>0.92307692307692313</v>
      </c>
      <c r="T28" s="118">
        <f t="shared" si="9"/>
        <v>7.6923076923076886E-2</v>
      </c>
    </row>
    <row r="29" spans="1:20" x14ac:dyDescent="0.3">
      <c r="A29" s="112" t="s">
        <v>386</v>
      </c>
      <c r="B29" s="113" t="s">
        <v>389</v>
      </c>
      <c r="D29" s="121" t="s">
        <v>385</v>
      </c>
      <c r="E29" s="122" t="s">
        <v>397</v>
      </c>
      <c r="F29" s="122" t="s">
        <v>392</v>
      </c>
      <c r="G29" s="123"/>
      <c r="H29" s="1">
        <f t="shared" si="10"/>
        <v>0</v>
      </c>
      <c r="I29" s="1">
        <f t="shared" si="7"/>
        <v>0</v>
      </c>
      <c r="J29" s="1">
        <f t="shared" si="7"/>
        <v>0</v>
      </c>
      <c r="K29" s="1">
        <f t="shared" si="7"/>
        <v>1</v>
      </c>
      <c r="L29" s="1">
        <f t="shared" si="7"/>
        <v>1</v>
      </c>
      <c r="M29" s="1">
        <f t="shared" si="7"/>
        <v>0</v>
      </c>
      <c r="O29" s="117" cm="1">
        <f t="array" ref="O29">PRODUCT(IF(H29:M29,$H$16:$M$16,1-$H$16:$M$16))</f>
        <v>6.1440000000000008E-2</v>
      </c>
      <c r="P29" s="117" cm="1">
        <f t="array" ref="P29">PRODUCT(IF(H29:M29,$H$17:$M$17,1-$H$17:$M$17))</f>
        <v>5.1199999999999996E-3</v>
      </c>
      <c r="Q29" s="117">
        <f t="shared" si="11"/>
        <v>3.3280000000000004E-2</v>
      </c>
      <c r="R29" s="117"/>
      <c r="S29" s="136">
        <f t="shared" si="8"/>
        <v>0.92307692307692313</v>
      </c>
      <c r="T29" s="118">
        <f t="shared" si="9"/>
        <v>7.6923076923076913E-2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9FA7C-B1A1-3942-87A3-95C4BA764408}">
  <sheetPr codeName="Sheet68">
    <tabColor rgb="FF92D050"/>
  </sheetPr>
  <dimension ref="A1"/>
  <sheetViews>
    <sheetView zoomScale="80" zoomScaleNormal="80" workbookViewId="0"/>
  </sheetViews>
  <sheetFormatPr baseColWidth="10" defaultColWidth="10.83203125" defaultRowHeight="26" x14ac:dyDescent="0.3"/>
  <cols>
    <col min="1" max="16384" width="10.83203125" style="135"/>
  </cols>
  <sheetData/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5C723-85BE-7246-8979-29DE651A5E86}">
  <sheetPr codeName="Sheet29">
    <tabColor rgb="FF002060"/>
  </sheetPr>
  <dimension ref="A1:A12"/>
  <sheetViews>
    <sheetView workbookViewId="0">
      <selection sqref="A1:A12"/>
    </sheetView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ht="26" x14ac:dyDescent="0.3">
      <c r="A1" s="1" t="s">
        <v>419</v>
      </c>
    </row>
    <row r="2" spans="1:1" ht="26" x14ac:dyDescent="0.3">
      <c r="A2" s="1" t="s">
        <v>418</v>
      </c>
    </row>
    <row r="3" spans="1:1" ht="26" x14ac:dyDescent="0.3">
      <c r="A3" s="1" t="s">
        <v>417</v>
      </c>
    </row>
    <row r="4" spans="1:1" ht="26" x14ac:dyDescent="0.3">
      <c r="A4" s="1" t="s">
        <v>416</v>
      </c>
    </row>
    <row r="5" spans="1:1" ht="26" x14ac:dyDescent="0.3">
      <c r="A5" s="1" t="s">
        <v>415</v>
      </c>
    </row>
    <row r="6" spans="1:1" ht="26" x14ac:dyDescent="0.3">
      <c r="A6" s="1" t="s">
        <v>414</v>
      </c>
    </row>
    <row r="7" spans="1:1" ht="26" x14ac:dyDescent="0.3">
      <c r="A7" s="1" t="s">
        <v>413</v>
      </c>
    </row>
    <row r="8" spans="1:1" ht="26" x14ac:dyDescent="0.3">
      <c r="A8" s="1" t="s">
        <v>412</v>
      </c>
    </row>
    <row r="9" spans="1:1" ht="26" x14ac:dyDescent="0.3">
      <c r="A9" s="1" t="s">
        <v>411</v>
      </c>
    </row>
    <row r="10" spans="1:1" ht="26" x14ac:dyDescent="0.3">
      <c r="A10" s="1" t="s">
        <v>410</v>
      </c>
    </row>
    <row r="11" spans="1:1" ht="26" x14ac:dyDescent="0.3">
      <c r="A11" s="1" t="s">
        <v>409</v>
      </c>
    </row>
    <row r="12" spans="1:1" ht="26" x14ac:dyDescent="0.3">
      <c r="A12" s="1" t="s">
        <v>408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210C9-1BBA-EE45-A2A8-7A1FCE91D860}">
  <sheetPr codeName="Sheet69">
    <tabColor rgb="FFFF0000"/>
  </sheetPr>
  <dimension ref="B2:D6"/>
  <sheetViews>
    <sheetView workbookViewId="0">
      <selection activeCell="E8" sqref="E8"/>
    </sheetView>
  </sheetViews>
  <sheetFormatPr baseColWidth="10" defaultRowHeight="29" x14ac:dyDescent="0.35"/>
  <cols>
    <col min="1" max="16384" width="10.83203125" style="137"/>
  </cols>
  <sheetData>
    <row r="2" spans="2:4" x14ac:dyDescent="0.35">
      <c r="B2" s="137" t="s">
        <v>422</v>
      </c>
    </row>
    <row r="4" spans="2:4" x14ac:dyDescent="0.35">
      <c r="C4" s="137" t="s">
        <v>421</v>
      </c>
    </row>
    <row r="6" spans="2:4" x14ac:dyDescent="0.35">
      <c r="D6" s="137" t="s">
        <v>420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0D434-59BA-A14D-AEED-96D4B6ED0161}">
  <sheetPr codeName="Sheet70">
    <tabColor rgb="FFFF0000"/>
  </sheetPr>
  <dimension ref="B3:I27"/>
  <sheetViews>
    <sheetView workbookViewId="0">
      <selection activeCell="E8" sqref="E8"/>
    </sheetView>
  </sheetViews>
  <sheetFormatPr baseColWidth="10" defaultRowHeight="26" x14ac:dyDescent="0.3"/>
  <cols>
    <col min="1" max="1" width="10.83203125" style="135"/>
    <col min="2" max="2" width="10.33203125" style="135" bestFit="1" customWidth="1"/>
    <col min="3" max="3" width="7" style="135" bestFit="1" customWidth="1"/>
    <col min="4" max="4" width="6.1640625" style="135" bestFit="1" customWidth="1"/>
    <col min="5" max="5" width="9.6640625" style="135" bestFit="1" customWidth="1"/>
    <col min="6" max="6" width="12.6640625" style="135" bestFit="1" customWidth="1"/>
    <col min="7" max="7" width="7.83203125" style="135" bestFit="1" customWidth="1"/>
    <col min="8" max="8" width="7.6640625" style="135" bestFit="1" customWidth="1"/>
    <col min="9" max="9" width="13.6640625" style="135" bestFit="1" customWidth="1"/>
    <col min="10" max="10" width="15" style="135" bestFit="1" customWidth="1"/>
    <col min="11" max="11" width="10.83203125" style="135"/>
    <col min="12" max="12" width="15" style="135" bestFit="1" customWidth="1"/>
    <col min="13" max="16384" width="10.83203125" style="135"/>
  </cols>
  <sheetData>
    <row r="3" spans="2:9" x14ac:dyDescent="0.3">
      <c r="B3" s="135" t="s">
        <v>430</v>
      </c>
      <c r="C3" s="135" t="s">
        <v>429</v>
      </c>
      <c r="D3" s="135" t="s">
        <v>428</v>
      </c>
      <c r="E3" s="135" t="s">
        <v>427</v>
      </c>
      <c r="F3" s="135" t="s">
        <v>426</v>
      </c>
      <c r="G3" s="135" t="s">
        <v>425</v>
      </c>
      <c r="H3" s="135" t="s">
        <v>424</v>
      </c>
      <c r="I3" s="135" t="s">
        <v>423</v>
      </c>
    </row>
    <row r="4" spans="2:9" x14ac:dyDescent="0.3">
      <c r="B4" s="135">
        <v>1</v>
      </c>
      <c r="C4" s="135">
        <v>1</v>
      </c>
      <c r="D4" s="135">
        <v>1</v>
      </c>
      <c r="E4" s="135">
        <v>1</v>
      </c>
      <c r="F4" s="135">
        <v>1</v>
      </c>
      <c r="G4" s="135">
        <v>0</v>
      </c>
      <c r="H4" s="135">
        <v>0</v>
      </c>
      <c r="I4" s="135">
        <v>0</v>
      </c>
    </row>
    <row r="5" spans="2:9" x14ac:dyDescent="0.3">
      <c r="B5" s="135">
        <v>1</v>
      </c>
      <c r="C5" s="135">
        <v>0</v>
      </c>
      <c r="D5" s="135">
        <v>1</v>
      </c>
      <c r="E5" s="135">
        <v>1</v>
      </c>
      <c r="F5" s="135">
        <v>0</v>
      </c>
      <c r="G5" s="135">
        <v>0</v>
      </c>
      <c r="H5" s="135">
        <v>0</v>
      </c>
      <c r="I5" s="135">
        <v>1</v>
      </c>
    </row>
    <row r="6" spans="2:9" x14ac:dyDescent="0.3">
      <c r="B6" s="135">
        <v>0</v>
      </c>
      <c r="C6" s="135">
        <v>1</v>
      </c>
      <c r="D6" s="135">
        <v>1</v>
      </c>
      <c r="E6" s="135">
        <v>1</v>
      </c>
      <c r="F6" s="135">
        <v>0</v>
      </c>
      <c r="G6" s="135">
        <v>1</v>
      </c>
      <c r="H6" s="135">
        <v>1</v>
      </c>
      <c r="I6" s="135">
        <v>1</v>
      </c>
    </row>
    <row r="7" spans="2:9" x14ac:dyDescent="0.3">
      <c r="B7" s="135">
        <v>1</v>
      </c>
      <c r="C7" s="135">
        <v>0</v>
      </c>
      <c r="D7" s="135">
        <v>1</v>
      </c>
      <c r="E7" s="135">
        <v>1</v>
      </c>
      <c r="F7" s="135">
        <v>0</v>
      </c>
      <c r="G7" s="135">
        <v>0</v>
      </c>
      <c r="H7" s="135">
        <v>0</v>
      </c>
      <c r="I7" s="135">
        <v>1</v>
      </c>
    </row>
    <row r="8" spans="2:9" x14ac:dyDescent="0.3">
      <c r="B8" s="135">
        <v>1</v>
      </c>
      <c r="C8" s="135">
        <v>1</v>
      </c>
      <c r="D8" s="135">
        <v>1</v>
      </c>
      <c r="E8" s="135">
        <v>1</v>
      </c>
      <c r="F8" s="135">
        <v>1</v>
      </c>
      <c r="G8" s="135">
        <v>0</v>
      </c>
      <c r="H8" s="135">
        <v>0</v>
      </c>
      <c r="I8" s="135">
        <v>0</v>
      </c>
    </row>
    <row r="9" spans="2:9" x14ac:dyDescent="0.3">
      <c r="B9" s="135">
        <v>1</v>
      </c>
      <c r="C9" s="135">
        <v>0</v>
      </c>
      <c r="D9" s="135">
        <v>1</v>
      </c>
      <c r="E9" s="135">
        <v>1</v>
      </c>
      <c r="F9" s="135">
        <v>0</v>
      </c>
      <c r="G9" s="135">
        <v>0</v>
      </c>
      <c r="H9" s="135">
        <v>0</v>
      </c>
      <c r="I9" s="135">
        <v>1</v>
      </c>
    </row>
    <row r="10" spans="2:9" x14ac:dyDescent="0.3">
      <c r="B10" s="135">
        <v>0</v>
      </c>
      <c r="C10" s="135">
        <v>1</v>
      </c>
      <c r="D10" s="135">
        <v>1</v>
      </c>
      <c r="E10" s="135">
        <v>1</v>
      </c>
      <c r="F10" s="135">
        <v>0</v>
      </c>
      <c r="G10" s="135">
        <v>1</v>
      </c>
      <c r="H10" s="135">
        <v>1</v>
      </c>
      <c r="I10" s="135">
        <v>1</v>
      </c>
    </row>
    <row r="11" spans="2:9" x14ac:dyDescent="0.3">
      <c r="B11" s="135">
        <v>1</v>
      </c>
      <c r="C11" s="135">
        <v>0</v>
      </c>
      <c r="D11" s="135">
        <v>1</v>
      </c>
      <c r="E11" s="135">
        <v>1</v>
      </c>
      <c r="F11" s="135">
        <v>0</v>
      </c>
      <c r="G11" s="135">
        <v>0</v>
      </c>
      <c r="H11" s="135">
        <v>0</v>
      </c>
      <c r="I11" s="135">
        <v>1</v>
      </c>
    </row>
    <row r="12" spans="2:9" x14ac:dyDescent="0.3">
      <c r="B12" s="135">
        <v>0</v>
      </c>
      <c r="C12" s="135">
        <v>1</v>
      </c>
      <c r="D12" s="135">
        <v>1</v>
      </c>
      <c r="E12" s="135">
        <v>1</v>
      </c>
      <c r="F12" s="135">
        <v>0</v>
      </c>
      <c r="G12" s="135">
        <v>1</v>
      </c>
      <c r="H12" s="135">
        <v>1</v>
      </c>
      <c r="I12" s="135">
        <v>1</v>
      </c>
    </row>
    <row r="13" spans="2:9" x14ac:dyDescent="0.3">
      <c r="B13" s="135">
        <v>1</v>
      </c>
      <c r="C13" s="135">
        <v>0</v>
      </c>
      <c r="D13" s="135">
        <v>1</v>
      </c>
      <c r="E13" s="135">
        <v>1</v>
      </c>
      <c r="F13" s="135">
        <v>0</v>
      </c>
      <c r="G13" s="135">
        <v>0</v>
      </c>
      <c r="H13" s="135">
        <v>0</v>
      </c>
      <c r="I13" s="135">
        <v>1</v>
      </c>
    </row>
    <row r="14" spans="2:9" x14ac:dyDescent="0.3">
      <c r="B14" s="135">
        <v>1</v>
      </c>
      <c r="C14" s="135">
        <v>0</v>
      </c>
      <c r="D14" s="135">
        <v>1</v>
      </c>
      <c r="E14" s="135">
        <v>1</v>
      </c>
      <c r="F14" s="135">
        <v>0</v>
      </c>
      <c r="G14" s="135">
        <v>0</v>
      </c>
      <c r="H14" s="135">
        <v>0</v>
      </c>
      <c r="I14" s="135">
        <v>1</v>
      </c>
    </row>
    <row r="15" spans="2:9" x14ac:dyDescent="0.3">
      <c r="B15" s="135">
        <v>1</v>
      </c>
      <c r="C15" s="135">
        <v>1</v>
      </c>
      <c r="D15" s="135">
        <v>1</v>
      </c>
      <c r="E15" s="135">
        <v>1</v>
      </c>
      <c r="F15" s="135">
        <v>1</v>
      </c>
      <c r="G15" s="135">
        <v>0</v>
      </c>
      <c r="H15" s="135">
        <v>0</v>
      </c>
      <c r="I15" s="135">
        <v>0</v>
      </c>
    </row>
    <row r="16" spans="2:9" x14ac:dyDescent="0.3">
      <c r="B16" s="135">
        <v>0</v>
      </c>
      <c r="C16" s="135">
        <v>1</v>
      </c>
      <c r="D16" s="135">
        <v>1</v>
      </c>
      <c r="E16" s="135">
        <v>1</v>
      </c>
      <c r="F16" s="135">
        <v>0</v>
      </c>
      <c r="G16" s="135">
        <v>1</v>
      </c>
      <c r="H16" s="135">
        <v>1</v>
      </c>
      <c r="I16" s="135">
        <v>1</v>
      </c>
    </row>
    <row r="17" spans="2:9" x14ac:dyDescent="0.3">
      <c r="B17" s="135">
        <v>0</v>
      </c>
      <c r="C17" s="135">
        <v>1</v>
      </c>
      <c r="D17" s="135">
        <v>1</v>
      </c>
      <c r="E17" s="135">
        <v>1</v>
      </c>
      <c r="F17" s="135">
        <v>0</v>
      </c>
      <c r="G17" s="135">
        <v>1</v>
      </c>
      <c r="H17" s="135">
        <v>1</v>
      </c>
      <c r="I17" s="135">
        <v>1</v>
      </c>
    </row>
    <row r="18" spans="2:9" x14ac:dyDescent="0.3">
      <c r="B18" s="135">
        <v>1</v>
      </c>
      <c r="C18" s="135">
        <v>1</v>
      </c>
      <c r="D18" s="135">
        <v>1</v>
      </c>
      <c r="E18" s="135">
        <v>1</v>
      </c>
      <c r="F18" s="135">
        <v>1</v>
      </c>
      <c r="G18" s="135">
        <v>0</v>
      </c>
      <c r="H18" s="135">
        <v>0</v>
      </c>
      <c r="I18" s="135">
        <v>0</v>
      </c>
    </row>
    <row r="19" spans="2:9" x14ac:dyDescent="0.3">
      <c r="B19" s="135">
        <v>0</v>
      </c>
      <c r="C19" s="135">
        <v>1</v>
      </c>
      <c r="D19" s="135">
        <v>1</v>
      </c>
      <c r="E19" s="135">
        <v>1</v>
      </c>
      <c r="F19" s="135">
        <v>0</v>
      </c>
      <c r="G19" s="135">
        <v>1</v>
      </c>
      <c r="H19" s="135">
        <v>1</v>
      </c>
      <c r="I19" s="135">
        <v>1</v>
      </c>
    </row>
    <row r="20" spans="2:9" x14ac:dyDescent="0.3">
      <c r="B20" s="135">
        <v>1</v>
      </c>
      <c r="C20" s="135">
        <v>0</v>
      </c>
      <c r="D20" s="135">
        <v>1</v>
      </c>
      <c r="E20" s="135">
        <v>1</v>
      </c>
      <c r="F20" s="135">
        <v>0</v>
      </c>
      <c r="G20" s="135">
        <v>0</v>
      </c>
      <c r="H20" s="135">
        <v>0</v>
      </c>
      <c r="I20" s="135">
        <v>1</v>
      </c>
    </row>
    <row r="21" spans="2:9" x14ac:dyDescent="0.3">
      <c r="B21" s="135">
        <v>1</v>
      </c>
      <c r="C21" s="135">
        <v>0</v>
      </c>
      <c r="D21" s="135">
        <v>1</v>
      </c>
      <c r="E21" s="135">
        <v>1</v>
      </c>
      <c r="F21" s="135">
        <v>0</v>
      </c>
      <c r="G21" s="135">
        <v>0</v>
      </c>
      <c r="H21" s="135">
        <v>0</v>
      </c>
      <c r="I21" s="135">
        <v>1</v>
      </c>
    </row>
    <row r="22" spans="2:9" x14ac:dyDescent="0.3">
      <c r="B22" s="135">
        <v>0</v>
      </c>
      <c r="C22" s="135">
        <v>1</v>
      </c>
      <c r="D22" s="135">
        <v>1</v>
      </c>
      <c r="E22" s="135">
        <v>1</v>
      </c>
      <c r="F22" s="135">
        <v>0</v>
      </c>
      <c r="G22" s="135">
        <v>1</v>
      </c>
      <c r="H22" s="135">
        <v>1</v>
      </c>
      <c r="I22" s="135">
        <v>1</v>
      </c>
    </row>
    <row r="23" spans="2:9" x14ac:dyDescent="0.3">
      <c r="B23" s="135">
        <v>1</v>
      </c>
      <c r="C23" s="135">
        <v>0</v>
      </c>
      <c r="D23" s="135">
        <v>1</v>
      </c>
      <c r="E23" s="135">
        <v>1</v>
      </c>
      <c r="F23" s="135">
        <v>0</v>
      </c>
      <c r="G23" s="135">
        <v>0</v>
      </c>
      <c r="H23" s="135">
        <v>0</v>
      </c>
      <c r="I23" s="135">
        <v>1</v>
      </c>
    </row>
    <row r="24" spans="2:9" x14ac:dyDescent="0.3">
      <c r="B24" s="135">
        <v>1</v>
      </c>
      <c r="C24" s="135">
        <v>0</v>
      </c>
      <c r="D24" s="135">
        <v>1</v>
      </c>
      <c r="E24" s="135">
        <v>1</v>
      </c>
      <c r="F24" s="135">
        <v>0</v>
      </c>
      <c r="G24" s="135">
        <v>0</v>
      </c>
      <c r="H24" s="135">
        <v>0</v>
      </c>
      <c r="I24" s="135">
        <v>1</v>
      </c>
    </row>
    <row r="25" spans="2:9" x14ac:dyDescent="0.3">
      <c r="B25" s="135">
        <v>1</v>
      </c>
      <c r="C25" s="135">
        <v>1</v>
      </c>
      <c r="D25" s="135">
        <v>1</v>
      </c>
      <c r="E25" s="135">
        <v>1</v>
      </c>
      <c r="F25" s="135">
        <v>1</v>
      </c>
      <c r="G25" s="135">
        <v>0</v>
      </c>
      <c r="H25" s="135">
        <v>0</v>
      </c>
      <c r="I25" s="135">
        <v>0</v>
      </c>
    </row>
    <row r="26" spans="2:9" x14ac:dyDescent="0.3">
      <c r="B26" s="135">
        <v>0</v>
      </c>
      <c r="C26" s="135">
        <v>1</v>
      </c>
      <c r="D26" s="135">
        <v>1</v>
      </c>
      <c r="E26" s="135">
        <v>1</v>
      </c>
      <c r="F26" s="135">
        <v>0</v>
      </c>
      <c r="G26" s="135">
        <v>1</v>
      </c>
      <c r="H26" s="135">
        <v>1</v>
      </c>
      <c r="I26" s="135">
        <v>1</v>
      </c>
    </row>
    <row r="27" spans="2:9" x14ac:dyDescent="0.3">
      <c r="B27" s="135">
        <v>0</v>
      </c>
      <c r="C27" s="135">
        <v>1</v>
      </c>
      <c r="D27" s="135">
        <v>1</v>
      </c>
      <c r="E27" s="135">
        <v>1</v>
      </c>
      <c r="F27" s="135">
        <v>0</v>
      </c>
      <c r="G27" s="135">
        <v>1</v>
      </c>
      <c r="H27" s="135">
        <v>1</v>
      </c>
      <c r="I27" s="135">
        <v>1</v>
      </c>
    </row>
  </sheetData>
  <dataConsolidate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2BF56-7E51-864F-8036-9815BDE613F5}">
  <sheetPr codeName="Sheet71">
    <tabColor rgb="FFFF0000"/>
  </sheetPr>
  <dimension ref="B3:O27"/>
  <sheetViews>
    <sheetView workbookViewId="0">
      <selection activeCell="E8" sqref="E8"/>
    </sheetView>
  </sheetViews>
  <sheetFormatPr baseColWidth="10" defaultRowHeight="26" x14ac:dyDescent="0.3"/>
  <cols>
    <col min="1" max="1" width="10.83203125" style="135"/>
    <col min="2" max="2" width="15.83203125" style="135" bestFit="1" customWidth="1"/>
    <col min="3" max="3" width="10.33203125" style="135" bestFit="1" customWidth="1"/>
    <col min="4" max="4" width="7" style="135" bestFit="1" customWidth="1"/>
    <col min="5" max="5" width="6.1640625" style="135" bestFit="1" customWidth="1"/>
    <col min="6" max="6" width="9.6640625" style="135" bestFit="1" customWidth="1"/>
    <col min="7" max="7" width="12.6640625" style="135" bestFit="1" customWidth="1"/>
    <col min="8" max="8" width="7.83203125" style="135" bestFit="1" customWidth="1"/>
    <col min="9" max="9" width="7.6640625" style="135" bestFit="1" customWidth="1"/>
    <col min="10" max="10" width="13.6640625" style="135" bestFit="1" customWidth="1"/>
    <col min="11" max="11" width="13.6640625" style="135" customWidth="1"/>
    <col min="12" max="12" width="15" style="135" bestFit="1" customWidth="1"/>
    <col min="13" max="13" width="10.83203125" style="135"/>
    <col min="14" max="14" width="15" style="135" bestFit="1" customWidth="1"/>
    <col min="15" max="15" width="15.83203125" style="135" bestFit="1" customWidth="1"/>
    <col min="16" max="16384" width="10.83203125" style="135"/>
  </cols>
  <sheetData>
    <row r="3" spans="2:15" x14ac:dyDescent="0.3">
      <c r="C3" s="135" t="s">
        <v>430</v>
      </c>
      <c r="D3" s="135" t="s">
        <v>429</v>
      </c>
      <c r="E3" s="135" t="s">
        <v>428</v>
      </c>
      <c r="F3" s="135" t="s">
        <v>427</v>
      </c>
      <c r="G3" s="135" t="s">
        <v>426</v>
      </c>
      <c r="H3" s="135" t="s">
        <v>425</v>
      </c>
      <c r="I3" s="135" t="s">
        <v>424</v>
      </c>
      <c r="J3" s="135" t="s">
        <v>423</v>
      </c>
    </row>
    <row r="4" spans="2:15" x14ac:dyDescent="0.3">
      <c r="B4" s="100" t="str">
        <f t="shared" ref="B4:B27" si="0">VLOOKUP(L4,$N$4:$O$6,2,0)</f>
        <v>Athletic</v>
      </c>
      <c r="C4" s="135">
        <v>1</v>
      </c>
      <c r="D4" s="135">
        <v>1</v>
      </c>
      <c r="E4" s="135">
        <v>1</v>
      </c>
      <c r="F4" s="135">
        <v>1</v>
      </c>
      <c r="G4" s="135">
        <v>1</v>
      </c>
      <c r="H4" s="135">
        <v>0</v>
      </c>
      <c r="I4" s="135">
        <v>0</v>
      </c>
      <c r="J4" s="135">
        <v>0</v>
      </c>
      <c r="L4" s="135" t="str">
        <f t="shared" ref="L4:L27" si="1">C4&amp;D4&amp;E4&amp;F4&amp;G4&amp;H4&amp;I4&amp;J4</f>
        <v>11111000</v>
      </c>
      <c r="N4" s="135" t="s">
        <v>436</v>
      </c>
      <c r="O4" s="135" t="s">
        <v>435</v>
      </c>
    </row>
    <row r="5" spans="2:15" x14ac:dyDescent="0.3">
      <c r="B5" s="100" t="str">
        <f t="shared" si="0"/>
        <v>Brutish</v>
      </c>
      <c r="C5" s="135">
        <v>1</v>
      </c>
      <c r="D5" s="135">
        <v>0</v>
      </c>
      <c r="E5" s="135">
        <v>1</v>
      </c>
      <c r="F5" s="135">
        <v>1</v>
      </c>
      <c r="G5" s="135">
        <v>0</v>
      </c>
      <c r="H5" s="135">
        <v>0</v>
      </c>
      <c r="I5" s="135">
        <v>0</v>
      </c>
      <c r="J5" s="135">
        <v>1</v>
      </c>
      <c r="L5" s="135" t="str">
        <f t="shared" si="1"/>
        <v>10110001</v>
      </c>
      <c r="N5" s="135" t="s">
        <v>434</v>
      </c>
      <c r="O5" s="135" t="s">
        <v>433</v>
      </c>
    </row>
    <row r="6" spans="2:15" x14ac:dyDescent="0.3">
      <c r="B6" s="100" t="str">
        <f t="shared" si="0"/>
        <v>Aggressive</v>
      </c>
      <c r="C6" s="135">
        <v>0</v>
      </c>
      <c r="D6" s="135">
        <v>1</v>
      </c>
      <c r="E6" s="135">
        <v>1</v>
      </c>
      <c r="F6" s="135">
        <v>1</v>
      </c>
      <c r="G6" s="135">
        <v>0</v>
      </c>
      <c r="H6" s="135">
        <v>1</v>
      </c>
      <c r="I6" s="135">
        <v>1</v>
      </c>
      <c r="J6" s="135">
        <v>1</v>
      </c>
      <c r="L6" s="135" t="str">
        <f t="shared" si="1"/>
        <v>01110111</v>
      </c>
      <c r="N6" s="135" t="s">
        <v>432</v>
      </c>
      <c r="O6" s="135" t="s">
        <v>431</v>
      </c>
    </row>
    <row r="7" spans="2:15" x14ac:dyDescent="0.3">
      <c r="B7" s="100" t="str">
        <f t="shared" si="0"/>
        <v>Brutish</v>
      </c>
      <c r="C7" s="135">
        <v>1</v>
      </c>
      <c r="D7" s="135">
        <v>0</v>
      </c>
      <c r="E7" s="135">
        <v>1</v>
      </c>
      <c r="F7" s="135">
        <v>1</v>
      </c>
      <c r="G7" s="135">
        <v>0</v>
      </c>
      <c r="H7" s="135">
        <v>0</v>
      </c>
      <c r="I7" s="135">
        <v>0</v>
      </c>
      <c r="J7" s="135">
        <v>1</v>
      </c>
      <c r="L7" s="135" t="str">
        <f t="shared" si="1"/>
        <v>10110001</v>
      </c>
    </row>
    <row r="8" spans="2:15" x14ac:dyDescent="0.3">
      <c r="B8" s="100" t="str">
        <f t="shared" si="0"/>
        <v>Athletic</v>
      </c>
      <c r="C8" s="135">
        <v>1</v>
      </c>
      <c r="D8" s="135">
        <v>1</v>
      </c>
      <c r="E8" s="135">
        <v>1</v>
      </c>
      <c r="F8" s="135">
        <v>1</v>
      </c>
      <c r="G8" s="135">
        <v>1</v>
      </c>
      <c r="H8" s="135">
        <v>0</v>
      </c>
      <c r="I8" s="135">
        <v>0</v>
      </c>
      <c r="J8" s="135">
        <v>0</v>
      </c>
      <c r="L8" s="135" t="str">
        <f t="shared" si="1"/>
        <v>11111000</v>
      </c>
    </row>
    <row r="9" spans="2:15" x14ac:dyDescent="0.3">
      <c r="B9" s="100" t="str">
        <f t="shared" si="0"/>
        <v>Brutish</v>
      </c>
      <c r="C9" s="135">
        <v>1</v>
      </c>
      <c r="D9" s="135">
        <v>0</v>
      </c>
      <c r="E9" s="135">
        <v>1</v>
      </c>
      <c r="F9" s="135">
        <v>1</v>
      </c>
      <c r="G9" s="135">
        <v>0</v>
      </c>
      <c r="H9" s="135">
        <v>0</v>
      </c>
      <c r="I9" s="135">
        <v>0</v>
      </c>
      <c r="J9" s="135">
        <v>1</v>
      </c>
      <c r="L9" s="135" t="str">
        <f t="shared" si="1"/>
        <v>10110001</v>
      </c>
    </row>
    <row r="10" spans="2:15" x14ac:dyDescent="0.3">
      <c r="B10" s="100" t="str">
        <f t="shared" si="0"/>
        <v>Aggressive</v>
      </c>
      <c r="C10" s="135">
        <v>0</v>
      </c>
      <c r="D10" s="135">
        <v>1</v>
      </c>
      <c r="E10" s="135">
        <v>1</v>
      </c>
      <c r="F10" s="135">
        <v>1</v>
      </c>
      <c r="G10" s="135">
        <v>0</v>
      </c>
      <c r="H10" s="135">
        <v>1</v>
      </c>
      <c r="I10" s="135">
        <v>1</v>
      </c>
      <c r="J10" s="135">
        <v>1</v>
      </c>
      <c r="L10" s="135" t="str">
        <f t="shared" si="1"/>
        <v>01110111</v>
      </c>
    </row>
    <row r="11" spans="2:15" x14ac:dyDescent="0.3">
      <c r="B11" s="100" t="str">
        <f t="shared" si="0"/>
        <v>Brutish</v>
      </c>
      <c r="C11" s="135">
        <v>1</v>
      </c>
      <c r="D11" s="135">
        <v>0</v>
      </c>
      <c r="E11" s="135">
        <v>1</v>
      </c>
      <c r="F11" s="135">
        <v>1</v>
      </c>
      <c r="G11" s="135">
        <v>0</v>
      </c>
      <c r="H11" s="135">
        <v>0</v>
      </c>
      <c r="I11" s="135">
        <v>0</v>
      </c>
      <c r="J11" s="135">
        <v>1</v>
      </c>
      <c r="L11" s="135" t="str">
        <f t="shared" si="1"/>
        <v>10110001</v>
      </c>
    </row>
    <row r="12" spans="2:15" x14ac:dyDescent="0.3">
      <c r="B12" s="100" t="str">
        <f t="shared" si="0"/>
        <v>Aggressive</v>
      </c>
      <c r="C12" s="135">
        <v>0</v>
      </c>
      <c r="D12" s="135">
        <v>1</v>
      </c>
      <c r="E12" s="135">
        <v>1</v>
      </c>
      <c r="F12" s="135">
        <v>1</v>
      </c>
      <c r="G12" s="135">
        <v>0</v>
      </c>
      <c r="H12" s="135">
        <v>1</v>
      </c>
      <c r="I12" s="135">
        <v>1</v>
      </c>
      <c r="J12" s="135">
        <v>1</v>
      </c>
      <c r="L12" s="135" t="str">
        <f t="shared" si="1"/>
        <v>01110111</v>
      </c>
    </row>
    <row r="13" spans="2:15" x14ac:dyDescent="0.3">
      <c r="B13" s="100" t="str">
        <f t="shared" si="0"/>
        <v>Brutish</v>
      </c>
      <c r="C13" s="135">
        <v>1</v>
      </c>
      <c r="D13" s="135">
        <v>0</v>
      </c>
      <c r="E13" s="135">
        <v>1</v>
      </c>
      <c r="F13" s="135">
        <v>1</v>
      </c>
      <c r="G13" s="135">
        <v>0</v>
      </c>
      <c r="H13" s="135">
        <v>0</v>
      </c>
      <c r="I13" s="135">
        <v>0</v>
      </c>
      <c r="J13" s="135">
        <v>1</v>
      </c>
      <c r="L13" s="135" t="str">
        <f t="shared" si="1"/>
        <v>10110001</v>
      </c>
    </row>
    <row r="14" spans="2:15" x14ac:dyDescent="0.3">
      <c r="B14" s="100" t="str">
        <f t="shared" si="0"/>
        <v>Brutish</v>
      </c>
      <c r="C14" s="135">
        <v>1</v>
      </c>
      <c r="D14" s="135">
        <v>0</v>
      </c>
      <c r="E14" s="135">
        <v>1</v>
      </c>
      <c r="F14" s="135">
        <v>1</v>
      </c>
      <c r="G14" s="135">
        <v>0</v>
      </c>
      <c r="H14" s="135">
        <v>0</v>
      </c>
      <c r="I14" s="135">
        <v>0</v>
      </c>
      <c r="J14" s="135">
        <v>1</v>
      </c>
      <c r="L14" s="135" t="str">
        <f t="shared" si="1"/>
        <v>10110001</v>
      </c>
    </row>
    <row r="15" spans="2:15" x14ac:dyDescent="0.3">
      <c r="B15" s="100" t="str">
        <f t="shared" si="0"/>
        <v>Athletic</v>
      </c>
      <c r="C15" s="135">
        <v>1</v>
      </c>
      <c r="D15" s="135">
        <v>1</v>
      </c>
      <c r="E15" s="135">
        <v>1</v>
      </c>
      <c r="F15" s="135">
        <v>1</v>
      </c>
      <c r="G15" s="135">
        <v>1</v>
      </c>
      <c r="H15" s="135">
        <v>0</v>
      </c>
      <c r="I15" s="135">
        <v>0</v>
      </c>
      <c r="J15" s="135">
        <v>0</v>
      </c>
      <c r="L15" s="135" t="str">
        <f t="shared" si="1"/>
        <v>11111000</v>
      </c>
    </row>
    <row r="16" spans="2:15" x14ac:dyDescent="0.3">
      <c r="B16" s="100" t="str">
        <f t="shared" si="0"/>
        <v>Aggressive</v>
      </c>
      <c r="C16" s="135">
        <v>0</v>
      </c>
      <c r="D16" s="135">
        <v>1</v>
      </c>
      <c r="E16" s="135">
        <v>1</v>
      </c>
      <c r="F16" s="135">
        <v>1</v>
      </c>
      <c r="G16" s="135">
        <v>0</v>
      </c>
      <c r="H16" s="135">
        <v>1</v>
      </c>
      <c r="I16" s="135">
        <v>1</v>
      </c>
      <c r="J16" s="135">
        <v>1</v>
      </c>
      <c r="L16" s="135" t="str">
        <f t="shared" si="1"/>
        <v>01110111</v>
      </c>
    </row>
    <row r="17" spans="2:12" x14ac:dyDescent="0.3">
      <c r="B17" s="100" t="str">
        <f t="shared" si="0"/>
        <v>Aggressive</v>
      </c>
      <c r="C17" s="135">
        <v>0</v>
      </c>
      <c r="D17" s="135">
        <v>1</v>
      </c>
      <c r="E17" s="135">
        <v>1</v>
      </c>
      <c r="F17" s="135">
        <v>1</v>
      </c>
      <c r="G17" s="135">
        <v>0</v>
      </c>
      <c r="H17" s="135">
        <v>1</v>
      </c>
      <c r="I17" s="135">
        <v>1</v>
      </c>
      <c r="J17" s="135">
        <v>1</v>
      </c>
      <c r="L17" s="135" t="str">
        <f t="shared" si="1"/>
        <v>01110111</v>
      </c>
    </row>
    <row r="18" spans="2:12" x14ac:dyDescent="0.3">
      <c r="B18" s="100" t="str">
        <f t="shared" si="0"/>
        <v>Athletic</v>
      </c>
      <c r="C18" s="135">
        <v>1</v>
      </c>
      <c r="D18" s="135">
        <v>1</v>
      </c>
      <c r="E18" s="135">
        <v>1</v>
      </c>
      <c r="F18" s="135">
        <v>1</v>
      </c>
      <c r="G18" s="135">
        <v>1</v>
      </c>
      <c r="H18" s="135">
        <v>0</v>
      </c>
      <c r="I18" s="135">
        <v>0</v>
      </c>
      <c r="J18" s="135">
        <v>0</v>
      </c>
      <c r="L18" s="135" t="str">
        <f t="shared" si="1"/>
        <v>11111000</v>
      </c>
    </row>
    <row r="19" spans="2:12" x14ac:dyDescent="0.3">
      <c r="B19" s="100" t="str">
        <f t="shared" si="0"/>
        <v>Aggressive</v>
      </c>
      <c r="C19" s="135">
        <v>0</v>
      </c>
      <c r="D19" s="135">
        <v>1</v>
      </c>
      <c r="E19" s="135">
        <v>1</v>
      </c>
      <c r="F19" s="135">
        <v>1</v>
      </c>
      <c r="G19" s="135">
        <v>0</v>
      </c>
      <c r="H19" s="135">
        <v>1</v>
      </c>
      <c r="I19" s="135">
        <v>1</v>
      </c>
      <c r="J19" s="135">
        <v>1</v>
      </c>
      <c r="L19" s="135" t="str">
        <f t="shared" si="1"/>
        <v>01110111</v>
      </c>
    </row>
    <row r="20" spans="2:12" x14ac:dyDescent="0.3">
      <c r="B20" s="100" t="str">
        <f t="shared" si="0"/>
        <v>Brutish</v>
      </c>
      <c r="C20" s="135">
        <v>1</v>
      </c>
      <c r="D20" s="135">
        <v>0</v>
      </c>
      <c r="E20" s="135">
        <v>1</v>
      </c>
      <c r="F20" s="135">
        <v>1</v>
      </c>
      <c r="G20" s="135">
        <v>0</v>
      </c>
      <c r="H20" s="135">
        <v>0</v>
      </c>
      <c r="I20" s="135">
        <v>0</v>
      </c>
      <c r="J20" s="135">
        <v>1</v>
      </c>
      <c r="L20" s="135" t="str">
        <f t="shared" si="1"/>
        <v>10110001</v>
      </c>
    </row>
    <row r="21" spans="2:12" x14ac:dyDescent="0.3">
      <c r="B21" s="100" t="str">
        <f t="shared" si="0"/>
        <v>Brutish</v>
      </c>
      <c r="C21" s="135">
        <v>1</v>
      </c>
      <c r="D21" s="135">
        <v>0</v>
      </c>
      <c r="E21" s="135">
        <v>1</v>
      </c>
      <c r="F21" s="135">
        <v>1</v>
      </c>
      <c r="G21" s="135">
        <v>0</v>
      </c>
      <c r="H21" s="135">
        <v>0</v>
      </c>
      <c r="I21" s="135">
        <v>0</v>
      </c>
      <c r="J21" s="135">
        <v>1</v>
      </c>
      <c r="L21" s="135" t="str">
        <f t="shared" si="1"/>
        <v>10110001</v>
      </c>
    </row>
    <row r="22" spans="2:12" x14ac:dyDescent="0.3">
      <c r="B22" s="100" t="str">
        <f t="shared" si="0"/>
        <v>Aggressive</v>
      </c>
      <c r="C22" s="135">
        <v>0</v>
      </c>
      <c r="D22" s="135">
        <v>1</v>
      </c>
      <c r="E22" s="135">
        <v>1</v>
      </c>
      <c r="F22" s="135">
        <v>1</v>
      </c>
      <c r="G22" s="135">
        <v>0</v>
      </c>
      <c r="H22" s="135">
        <v>1</v>
      </c>
      <c r="I22" s="135">
        <v>1</v>
      </c>
      <c r="J22" s="135">
        <v>1</v>
      </c>
      <c r="L22" s="135" t="str">
        <f t="shared" si="1"/>
        <v>01110111</v>
      </c>
    </row>
    <row r="23" spans="2:12" x14ac:dyDescent="0.3">
      <c r="B23" s="100" t="str">
        <f t="shared" si="0"/>
        <v>Brutish</v>
      </c>
      <c r="C23" s="135">
        <v>1</v>
      </c>
      <c r="D23" s="135">
        <v>0</v>
      </c>
      <c r="E23" s="135">
        <v>1</v>
      </c>
      <c r="F23" s="135">
        <v>1</v>
      </c>
      <c r="G23" s="135">
        <v>0</v>
      </c>
      <c r="H23" s="135">
        <v>0</v>
      </c>
      <c r="I23" s="135">
        <v>0</v>
      </c>
      <c r="J23" s="135">
        <v>1</v>
      </c>
      <c r="L23" s="135" t="str">
        <f t="shared" si="1"/>
        <v>10110001</v>
      </c>
    </row>
    <row r="24" spans="2:12" x14ac:dyDescent="0.3">
      <c r="B24" s="100" t="str">
        <f t="shared" si="0"/>
        <v>Brutish</v>
      </c>
      <c r="C24" s="135">
        <v>1</v>
      </c>
      <c r="D24" s="135">
        <v>0</v>
      </c>
      <c r="E24" s="135">
        <v>1</v>
      </c>
      <c r="F24" s="135">
        <v>1</v>
      </c>
      <c r="G24" s="135">
        <v>0</v>
      </c>
      <c r="H24" s="135">
        <v>0</v>
      </c>
      <c r="I24" s="135">
        <v>0</v>
      </c>
      <c r="J24" s="135">
        <v>1</v>
      </c>
      <c r="L24" s="135" t="str">
        <f t="shared" si="1"/>
        <v>10110001</v>
      </c>
    </row>
    <row r="25" spans="2:12" x14ac:dyDescent="0.3">
      <c r="B25" s="100" t="str">
        <f t="shared" si="0"/>
        <v>Athletic</v>
      </c>
      <c r="C25" s="135">
        <v>1</v>
      </c>
      <c r="D25" s="135">
        <v>1</v>
      </c>
      <c r="E25" s="135">
        <v>1</v>
      </c>
      <c r="F25" s="135">
        <v>1</v>
      </c>
      <c r="G25" s="135">
        <v>1</v>
      </c>
      <c r="H25" s="135">
        <v>0</v>
      </c>
      <c r="I25" s="135">
        <v>0</v>
      </c>
      <c r="J25" s="135">
        <v>0</v>
      </c>
      <c r="L25" s="135" t="str">
        <f t="shared" si="1"/>
        <v>11111000</v>
      </c>
    </row>
    <row r="26" spans="2:12" x14ac:dyDescent="0.3">
      <c r="B26" s="100" t="str">
        <f t="shared" si="0"/>
        <v>Aggressive</v>
      </c>
      <c r="C26" s="135">
        <v>0</v>
      </c>
      <c r="D26" s="135">
        <v>1</v>
      </c>
      <c r="E26" s="135">
        <v>1</v>
      </c>
      <c r="F26" s="135">
        <v>1</v>
      </c>
      <c r="G26" s="135">
        <v>0</v>
      </c>
      <c r="H26" s="135">
        <v>1</v>
      </c>
      <c r="I26" s="135">
        <v>1</v>
      </c>
      <c r="J26" s="135">
        <v>1</v>
      </c>
      <c r="L26" s="135" t="str">
        <f t="shared" si="1"/>
        <v>01110111</v>
      </c>
    </row>
    <row r="27" spans="2:12" x14ac:dyDescent="0.3">
      <c r="B27" s="100" t="str">
        <f t="shared" si="0"/>
        <v>Aggressive</v>
      </c>
      <c r="C27" s="135">
        <v>0</v>
      </c>
      <c r="D27" s="135">
        <v>1</v>
      </c>
      <c r="E27" s="135">
        <v>1</v>
      </c>
      <c r="F27" s="135">
        <v>1</v>
      </c>
      <c r="G27" s="135">
        <v>0</v>
      </c>
      <c r="H27" s="135">
        <v>1</v>
      </c>
      <c r="I27" s="135">
        <v>1</v>
      </c>
      <c r="J27" s="135">
        <v>1</v>
      </c>
      <c r="L27" s="135" t="str">
        <f t="shared" si="1"/>
        <v>01110111</v>
      </c>
    </row>
  </sheetData>
  <dataConsolidate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3C275-8023-8547-A9CA-D4337DED4DEB}">
  <sheetPr codeName="Sheet72">
    <tabColor rgb="FFFF0000"/>
  </sheetPr>
  <dimension ref="B3:R27"/>
  <sheetViews>
    <sheetView workbookViewId="0"/>
  </sheetViews>
  <sheetFormatPr baseColWidth="10" defaultRowHeight="26" x14ac:dyDescent="0.3"/>
  <cols>
    <col min="1" max="1" width="10.83203125" style="135"/>
    <col min="2" max="2" width="15.83203125" style="135" bestFit="1" customWidth="1"/>
    <col min="3" max="3" width="10.5" style="135" bestFit="1" customWidth="1"/>
    <col min="4" max="5" width="7.33203125" style="135" bestFit="1" customWidth="1"/>
    <col min="6" max="6" width="9.83203125" style="135" bestFit="1" customWidth="1"/>
    <col min="7" max="7" width="12.83203125" style="135" bestFit="1" customWidth="1"/>
    <col min="8" max="8" width="8" style="135" bestFit="1" customWidth="1"/>
    <col min="9" max="9" width="7.83203125" style="135" bestFit="1" customWidth="1"/>
    <col min="10" max="10" width="13.83203125" style="135" bestFit="1" customWidth="1"/>
    <col min="11" max="11" width="13.6640625" style="135" customWidth="1"/>
    <col min="12" max="12" width="15" style="135" bestFit="1" customWidth="1"/>
    <col min="13" max="13" width="10.83203125" style="135"/>
    <col min="14" max="14" width="15" style="135" bestFit="1" customWidth="1"/>
    <col min="15" max="15" width="15.83203125" style="135" bestFit="1" customWidth="1"/>
    <col min="16" max="16384" width="10.83203125" style="135"/>
  </cols>
  <sheetData>
    <row r="3" spans="2:18" x14ac:dyDescent="0.3">
      <c r="C3" s="135" t="s">
        <v>430</v>
      </c>
      <c r="D3" s="135" t="s">
        <v>429</v>
      </c>
      <c r="E3" s="135" t="s">
        <v>428</v>
      </c>
      <c r="F3" s="135" t="s">
        <v>427</v>
      </c>
      <c r="G3" s="135" t="s">
        <v>426</v>
      </c>
      <c r="H3" s="135" t="s">
        <v>425</v>
      </c>
      <c r="I3" s="135" t="s">
        <v>424</v>
      </c>
      <c r="J3" s="135" t="s">
        <v>423</v>
      </c>
    </row>
    <row r="4" spans="2:18" x14ac:dyDescent="0.3">
      <c r="B4" s="100" t="s">
        <v>435</v>
      </c>
      <c r="C4" s="117">
        <v>8.3830358839885815</v>
      </c>
      <c r="D4" s="117">
        <v>9.4549122846191409</v>
      </c>
      <c r="E4" s="117">
        <v>7.9904725452811967</v>
      </c>
      <c r="F4" s="117">
        <v>7.7703277820694137</v>
      </c>
      <c r="G4" s="117">
        <v>8.2040543775696442</v>
      </c>
      <c r="H4" s="117">
        <v>1.5592917761111025</v>
      </c>
      <c r="I4" s="117">
        <v>3.4559881155421022</v>
      </c>
      <c r="J4" s="117">
        <v>3.5439432666766981</v>
      </c>
      <c r="K4" s="138"/>
      <c r="L4" s="138"/>
      <c r="M4" s="138"/>
      <c r="N4" s="138"/>
      <c r="O4" s="138"/>
      <c r="P4" s="138"/>
      <c r="Q4" s="138"/>
      <c r="R4" s="138"/>
    </row>
    <row r="5" spans="2:18" x14ac:dyDescent="0.3">
      <c r="B5" s="100" t="s">
        <v>431</v>
      </c>
      <c r="C5" s="117">
        <v>9.6155900286805682</v>
      </c>
      <c r="D5" s="117">
        <v>1.7960754918718824</v>
      </c>
      <c r="E5" s="117">
        <v>9.5639526180169554</v>
      </c>
      <c r="F5" s="117">
        <v>7.2610802333371094</v>
      </c>
      <c r="G5" s="117">
        <v>0.80971436006217834</v>
      </c>
      <c r="H5" s="117">
        <v>1.6939758640662901</v>
      </c>
      <c r="I5" s="117">
        <v>9.7043699931936178E-2</v>
      </c>
      <c r="J5" s="117">
        <v>9.7421891000969065</v>
      </c>
      <c r="K5" s="138"/>
      <c r="L5" s="138"/>
      <c r="M5" s="138"/>
      <c r="N5" s="138"/>
      <c r="O5" s="138"/>
      <c r="P5" s="138"/>
      <c r="Q5" s="138"/>
      <c r="R5" s="138"/>
    </row>
    <row r="6" spans="2:18" x14ac:dyDescent="0.3">
      <c r="B6" s="100" t="s">
        <v>433</v>
      </c>
      <c r="C6" s="117">
        <v>2.1942233258793484</v>
      </c>
      <c r="D6" s="117">
        <v>8.9183954362339009</v>
      </c>
      <c r="E6" s="117">
        <v>7.73823626817145</v>
      </c>
      <c r="F6" s="117">
        <v>8.2683242546317075</v>
      </c>
      <c r="G6" s="117">
        <v>1.9696006956310628</v>
      </c>
      <c r="H6" s="117">
        <v>8.8390439914554779</v>
      </c>
      <c r="I6" s="117">
        <v>9.642816300900769</v>
      </c>
      <c r="J6" s="117">
        <v>9.5215297487882857</v>
      </c>
      <c r="K6" s="138"/>
      <c r="L6" s="138"/>
      <c r="M6" s="138"/>
      <c r="N6" s="138"/>
      <c r="O6" s="138"/>
      <c r="P6" s="138"/>
      <c r="Q6" s="138"/>
      <c r="R6" s="138"/>
    </row>
    <row r="7" spans="2:18" x14ac:dyDescent="0.3">
      <c r="B7" s="100" t="s">
        <v>431</v>
      </c>
      <c r="C7" s="117">
        <v>9.9143793427835512</v>
      </c>
      <c r="D7" s="117">
        <v>3.5545972187087851</v>
      </c>
      <c r="E7" s="117">
        <v>7.6889676697504123</v>
      </c>
      <c r="F7" s="117">
        <v>9.111571487481541</v>
      </c>
      <c r="G7" s="117">
        <v>3.163750294557107</v>
      </c>
      <c r="H7" s="117">
        <v>2.6187607795041652</v>
      </c>
      <c r="I7" s="117">
        <v>3.0428750387995125</v>
      </c>
      <c r="J7" s="117">
        <v>8.0662706623981038</v>
      </c>
      <c r="K7" s="138"/>
      <c r="L7" s="138"/>
      <c r="M7" s="138"/>
      <c r="N7" s="138"/>
      <c r="O7" s="138"/>
      <c r="P7" s="138"/>
      <c r="Q7" s="138"/>
      <c r="R7" s="138"/>
    </row>
    <row r="8" spans="2:18" x14ac:dyDescent="0.3">
      <c r="B8" s="100" t="s">
        <v>435</v>
      </c>
      <c r="C8" s="117">
        <v>8.1285220418221158</v>
      </c>
      <c r="D8" s="117">
        <v>9.7733235994570062</v>
      </c>
      <c r="E8" s="117">
        <v>7.5214279533111164</v>
      </c>
      <c r="F8" s="117">
        <v>9.5069399198799029</v>
      </c>
      <c r="G8" s="117">
        <v>8.4499841614825257</v>
      </c>
      <c r="H8" s="117">
        <v>0.35994856070150894</v>
      </c>
      <c r="I8" s="117">
        <v>1.9026668429663918</v>
      </c>
      <c r="J8" s="117">
        <v>1.1299367690691624</v>
      </c>
      <c r="K8" s="138"/>
      <c r="L8" s="138"/>
      <c r="M8" s="138"/>
      <c r="N8" s="138"/>
      <c r="O8" s="138"/>
      <c r="P8" s="138"/>
      <c r="Q8" s="138"/>
      <c r="R8" s="138"/>
    </row>
    <row r="9" spans="2:18" x14ac:dyDescent="0.3">
      <c r="B9" s="100" t="s">
        <v>431</v>
      </c>
      <c r="C9" s="117">
        <v>7.5424430619961962</v>
      </c>
      <c r="D9" s="117">
        <v>0.94788287939712523</v>
      </c>
      <c r="E9" s="117">
        <v>8.368299684255625</v>
      </c>
      <c r="F9" s="117">
        <v>9.3000642603242696</v>
      </c>
      <c r="G9" s="117">
        <v>2.755584687187127</v>
      </c>
      <c r="H9" s="117">
        <v>0.54197721302143753</v>
      </c>
      <c r="I9" s="117">
        <v>0.43782857199314362</v>
      </c>
      <c r="J9" s="117">
        <v>9.8642442165019286</v>
      </c>
      <c r="K9" s="138"/>
      <c r="L9" s="138"/>
      <c r="M9" s="138"/>
      <c r="N9" s="138"/>
      <c r="O9" s="138"/>
      <c r="P9" s="138"/>
      <c r="Q9" s="138"/>
      <c r="R9" s="138"/>
    </row>
    <row r="10" spans="2:18" x14ac:dyDescent="0.3">
      <c r="B10" s="100" t="s">
        <v>433</v>
      </c>
      <c r="C10" s="117">
        <v>1.7718111172569193</v>
      </c>
      <c r="D10" s="117">
        <v>7.3431955128827315</v>
      </c>
      <c r="E10" s="117">
        <v>7.9247321765696546</v>
      </c>
      <c r="F10" s="117">
        <v>8.7477144669364044</v>
      </c>
      <c r="G10" s="117">
        <v>1.6652346416815944</v>
      </c>
      <c r="H10" s="117">
        <v>9.258663590078001</v>
      </c>
      <c r="I10" s="117">
        <v>9.8824423855965158</v>
      </c>
      <c r="J10" s="117">
        <v>7.8913349673825319</v>
      </c>
      <c r="K10" s="138"/>
      <c r="L10" s="138"/>
      <c r="M10" s="138"/>
      <c r="N10" s="138"/>
      <c r="O10" s="138"/>
      <c r="P10" s="138"/>
      <c r="Q10" s="138"/>
      <c r="R10" s="138"/>
    </row>
    <row r="11" spans="2:18" x14ac:dyDescent="0.3">
      <c r="B11" s="100" t="s">
        <v>431</v>
      </c>
      <c r="C11" s="117">
        <v>7.5555798249028445</v>
      </c>
      <c r="D11" s="117">
        <v>3.1696577139281832</v>
      </c>
      <c r="E11" s="117">
        <v>8.9989805640385878</v>
      </c>
      <c r="F11" s="117">
        <v>7.969513544842985</v>
      </c>
      <c r="G11" s="117">
        <v>3.0368055482694238</v>
      </c>
      <c r="H11" s="117">
        <v>2.1589748386457419</v>
      </c>
      <c r="I11" s="117">
        <v>2.2223466976158686</v>
      </c>
      <c r="J11" s="117">
        <v>9.0078044596646123</v>
      </c>
      <c r="K11" s="138"/>
      <c r="L11" s="138"/>
      <c r="M11" s="138"/>
      <c r="N11" s="138"/>
      <c r="O11" s="138"/>
      <c r="P11" s="138"/>
      <c r="Q11" s="138"/>
      <c r="R11" s="138"/>
    </row>
    <row r="12" spans="2:18" x14ac:dyDescent="0.3">
      <c r="B12" s="100" t="s">
        <v>433</v>
      </c>
      <c r="C12" s="117">
        <v>3.7058239397834041</v>
      </c>
      <c r="D12" s="117">
        <v>7.9632890268409486</v>
      </c>
      <c r="E12" s="117">
        <v>8.4001636679380827</v>
      </c>
      <c r="F12" s="117">
        <v>9.1384346495091933</v>
      </c>
      <c r="G12" s="117">
        <v>2.0446723553787454</v>
      </c>
      <c r="H12" s="117">
        <v>9.2954178220537234</v>
      </c>
      <c r="I12" s="117">
        <v>9.5324206397042079</v>
      </c>
      <c r="J12" s="117">
        <v>7.5623159203789356</v>
      </c>
      <c r="K12" s="138"/>
      <c r="L12" s="138"/>
      <c r="M12" s="138"/>
      <c r="N12" s="138"/>
      <c r="O12" s="138"/>
      <c r="P12" s="138"/>
      <c r="Q12" s="138"/>
      <c r="R12" s="138"/>
    </row>
    <row r="13" spans="2:18" x14ac:dyDescent="0.3">
      <c r="B13" s="100" t="s">
        <v>431</v>
      </c>
      <c r="C13" s="117">
        <v>9.0599452193721852</v>
      </c>
      <c r="D13" s="117">
        <v>8.772631900141592E-2</v>
      </c>
      <c r="E13" s="117">
        <v>9.6495084391913188</v>
      </c>
      <c r="F13" s="117">
        <v>8.3025958296002464</v>
      </c>
      <c r="G13" s="117">
        <v>3.7980360979010057</v>
      </c>
      <c r="H13" s="117">
        <v>1.6875586195325711</v>
      </c>
      <c r="I13" s="117">
        <v>1.1630277152193362</v>
      </c>
      <c r="J13" s="117">
        <v>9.5301503406658874</v>
      </c>
      <c r="K13" s="138"/>
      <c r="L13" s="138"/>
      <c r="M13" s="138"/>
      <c r="N13" s="138"/>
      <c r="O13" s="138"/>
      <c r="P13" s="138"/>
      <c r="Q13" s="138"/>
      <c r="R13" s="138"/>
    </row>
    <row r="14" spans="2:18" x14ac:dyDescent="0.3">
      <c r="B14" s="100" t="s">
        <v>431</v>
      </c>
      <c r="C14" s="117">
        <v>7.179188523090505</v>
      </c>
      <c r="D14" s="117">
        <v>3.1187127617381725</v>
      </c>
      <c r="E14" s="117">
        <v>8.7800873440943672</v>
      </c>
      <c r="F14" s="117">
        <v>9.6732296618491738</v>
      </c>
      <c r="G14" s="117">
        <v>1.8974973729594891</v>
      </c>
      <c r="H14" s="117">
        <v>2.6354871228391432</v>
      </c>
      <c r="I14" s="117">
        <v>0.40291506914261177</v>
      </c>
      <c r="J14" s="117">
        <v>9.6684701383460112</v>
      </c>
      <c r="K14" s="138"/>
      <c r="L14" s="138"/>
      <c r="M14" s="138"/>
      <c r="N14" s="138"/>
      <c r="O14" s="138"/>
      <c r="P14" s="138"/>
      <c r="Q14" s="138"/>
      <c r="R14" s="138"/>
    </row>
    <row r="15" spans="2:18" x14ac:dyDescent="0.3">
      <c r="B15" s="100" t="s">
        <v>435</v>
      </c>
      <c r="C15" s="117">
        <v>7.3641537773670471</v>
      </c>
      <c r="D15" s="117">
        <v>9.0311082781393477</v>
      </c>
      <c r="E15" s="117">
        <v>8.9578093982371847</v>
      </c>
      <c r="F15" s="117">
        <v>9.6997369638997348</v>
      </c>
      <c r="G15" s="117">
        <v>8.747485732284435</v>
      </c>
      <c r="H15" s="117">
        <v>2.1446014265262674</v>
      </c>
      <c r="I15" s="117">
        <v>3.9042809837607049</v>
      </c>
      <c r="J15" s="117">
        <v>2.7510282694600585</v>
      </c>
      <c r="K15" s="138"/>
      <c r="L15" s="138"/>
      <c r="M15" s="138"/>
      <c r="N15" s="138"/>
      <c r="O15" s="138"/>
      <c r="P15" s="138"/>
      <c r="Q15" s="138"/>
      <c r="R15" s="138"/>
    </row>
    <row r="16" spans="2:18" x14ac:dyDescent="0.3">
      <c r="B16" s="100" t="s">
        <v>433</v>
      </c>
      <c r="C16" s="117">
        <v>1.6995180776384395</v>
      </c>
      <c r="D16" s="117">
        <v>8.3911339886788614</v>
      </c>
      <c r="E16" s="117">
        <v>9.2493943825508751</v>
      </c>
      <c r="F16" s="117">
        <v>7.2954042134389727</v>
      </c>
      <c r="G16" s="117">
        <v>0.89520256510558793</v>
      </c>
      <c r="H16" s="117">
        <v>9.3856463102615297</v>
      </c>
      <c r="I16" s="117">
        <v>8.0973997540028524</v>
      </c>
      <c r="J16" s="117">
        <v>7.4028696961109155</v>
      </c>
      <c r="K16" s="138"/>
      <c r="L16" s="138"/>
      <c r="M16" s="138"/>
      <c r="N16" s="138"/>
      <c r="O16" s="138"/>
      <c r="P16" s="138"/>
      <c r="Q16" s="138"/>
      <c r="R16" s="138"/>
    </row>
    <row r="17" spans="2:18" x14ac:dyDescent="0.3">
      <c r="B17" s="100" t="s">
        <v>433</v>
      </c>
      <c r="C17" s="117">
        <v>2.6514857056768157</v>
      </c>
      <c r="D17" s="117">
        <v>9.5752152034001128</v>
      </c>
      <c r="E17" s="117">
        <v>8.1608317352358011</v>
      </c>
      <c r="F17" s="117">
        <v>8.4887864157349746</v>
      </c>
      <c r="G17" s="117">
        <v>2.5977764000618269</v>
      </c>
      <c r="H17" s="117">
        <v>7.0070896682909618</v>
      </c>
      <c r="I17" s="117">
        <v>8.8166445524226358</v>
      </c>
      <c r="J17" s="117">
        <v>8.9929158422858784</v>
      </c>
      <c r="K17" s="138"/>
      <c r="L17" s="138"/>
      <c r="M17" s="138"/>
      <c r="N17" s="138"/>
      <c r="O17" s="138"/>
      <c r="P17" s="138"/>
      <c r="Q17" s="138"/>
      <c r="R17" s="138"/>
    </row>
    <row r="18" spans="2:18" x14ac:dyDescent="0.3">
      <c r="B18" s="100" t="s">
        <v>435</v>
      </c>
      <c r="C18" s="117">
        <v>7.4061269602946931</v>
      </c>
      <c r="D18" s="117">
        <v>8.523800770350956</v>
      </c>
      <c r="E18" s="117">
        <v>8.6676781623768058</v>
      </c>
      <c r="F18" s="117">
        <v>7.8368335283808133</v>
      </c>
      <c r="G18" s="117">
        <v>9.9584137559025621</v>
      </c>
      <c r="H18" s="117">
        <v>2.5368405911727847</v>
      </c>
      <c r="I18" s="117">
        <v>1.0448706331487054</v>
      </c>
      <c r="J18" s="117">
        <v>3.4220192283177568</v>
      </c>
      <c r="K18" s="138"/>
      <c r="L18" s="138"/>
      <c r="M18" s="138"/>
      <c r="N18" s="138"/>
      <c r="O18" s="138"/>
      <c r="P18" s="138"/>
      <c r="Q18" s="138"/>
      <c r="R18" s="138"/>
    </row>
    <row r="19" spans="2:18" x14ac:dyDescent="0.3">
      <c r="B19" s="100" t="s">
        <v>433</v>
      </c>
      <c r="C19" s="117">
        <v>0.30882664127743498</v>
      </c>
      <c r="D19" s="117">
        <v>9.1182257726070794</v>
      </c>
      <c r="E19" s="117">
        <v>8.0140777885987369</v>
      </c>
      <c r="F19" s="117">
        <v>8.4101955221332769</v>
      </c>
      <c r="G19" s="117">
        <v>1.6049423986086859</v>
      </c>
      <c r="H19" s="117">
        <v>7.1654353766429359</v>
      </c>
      <c r="I19" s="117">
        <v>7.0408098762794138</v>
      </c>
      <c r="J19" s="117">
        <v>7.28151545860515</v>
      </c>
      <c r="K19" s="138"/>
      <c r="L19" s="138"/>
      <c r="M19" s="138"/>
      <c r="N19" s="138"/>
      <c r="O19" s="138"/>
      <c r="P19" s="138"/>
      <c r="Q19" s="138"/>
      <c r="R19" s="138"/>
    </row>
    <row r="20" spans="2:18" x14ac:dyDescent="0.3">
      <c r="B20" s="100" t="s">
        <v>431</v>
      </c>
      <c r="C20" s="117">
        <v>7.5512321546014727</v>
      </c>
      <c r="D20" s="117">
        <v>2.8729878528944135</v>
      </c>
      <c r="E20" s="117">
        <v>7.5651188544811063</v>
      </c>
      <c r="F20" s="117">
        <v>7.7666265788907918</v>
      </c>
      <c r="G20" s="117">
        <v>0.31136992303303712</v>
      </c>
      <c r="H20" s="117">
        <v>8.3635300924818079E-2</v>
      </c>
      <c r="I20" s="117">
        <v>3.1480381217234115</v>
      </c>
      <c r="J20" s="117">
        <v>9.6417051620523608</v>
      </c>
      <c r="K20" s="138"/>
      <c r="L20" s="138"/>
      <c r="M20" s="138"/>
      <c r="N20" s="138"/>
      <c r="O20" s="138"/>
      <c r="P20" s="138"/>
      <c r="Q20" s="138"/>
      <c r="R20" s="138"/>
    </row>
    <row r="21" spans="2:18" x14ac:dyDescent="0.3">
      <c r="B21" s="100" t="s">
        <v>431</v>
      </c>
      <c r="C21" s="117">
        <v>7.2566542520951671</v>
      </c>
      <c r="D21" s="117">
        <v>3.7418812931370522</v>
      </c>
      <c r="E21" s="117">
        <v>8.4883664343264673</v>
      </c>
      <c r="F21" s="117">
        <v>9.3188663477703191</v>
      </c>
      <c r="G21" s="117">
        <v>3.8813037468867635</v>
      </c>
      <c r="H21" s="117">
        <v>2.163563531719555</v>
      </c>
      <c r="I21" s="117">
        <v>3.1601653152397144</v>
      </c>
      <c r="J21" s="117">
        <v>9.0687057202135755</v>
      </c>
      <c r="K21" s="138"/>
      <c r="L21" s="138"/>
      <c r="M21" s="138"/>
      <c r="N21" s="138"/>
      <c r="O21" s="138"/>
      <c r="P21" s="138"/>
      <c r="Q21" s="138"/>
      <c r="R21" s="138"/>
    </row>
    <row r="22" spans="2:18" x14ac:dyDescent="0.3">
      <c r="B22" s="100" t="s">
        <v>433</v>
      </c>
      <c r="C22" s="117">
        <v>1.1714130855975782</v>
      </c>
      <c r="D22" s="117">
        <v>7.3762558215199325</v>
      </c>
      <c r="E22" s="117">
        <v>8.3339708154616883</v>
      </c>
      <c r="F22" s="117">
        <v>8.437109801303988</v>
      </c>
      <c r="G22" s="117">
        <v>3.4995369008519064</v>
      </c>
      <c r="H22" s="117">
        <v>9.1317266599537863</v>
      </c>
      <c r="I22" s="117">
        <v>9.4415684601769971</v>
      </c>
      <c r="J22" s="117">
        <v>8.5410837369429924</v>
      </c>
      <c r="K22" s="138"/>
      <c r="L22" s="138"/>
      <c r="M22" s="138"/>
      <c r="N22" s="138"/>
      <c r="O22" s="138"/>
      <c r="P22" s="138"/>
      <c r="Q22" s="138"/>
      <c r="R22" s="138"/>
    </row>
    <row r="23" spans="2:18" x14ac:dyDescent="0.3">
      <c r="B23" s="100" t="s">
        <v>431</v>
      </c>
      <c r="C23" s="117">
        <v>9.4056140264459813</v>
      </c>
      <c r="D23" s="117">
        <v>2.5918487756174731</v>
      </c>
      <c r="E23" s="117">
        <v>7.2315224459411489</v>
      </c>
      <c r="F23" s="117">
        <v>9.3724381040078377</v>
      </c>
      <c r="G23" s="117">
        <v>3.9626993887393258</v>
      </c>
      <c r="H23" s="117">
        <v>0.15036210720714216</v>
      </c>
      <c r="I23" s="117">
        <v>1.2605288433505217</v>
      </c>
      <c r="J23" s="117">
        <v>7.6882005690349224</v>
      </c>
      <c r="K23" s="138"/>
      <c r="L23" s="138"/>
      <c r="M23" s="138"/>
      <c r="N23" s="138"/>
      <c r="O23" s="138"/>
      <c r="P23" s="138"/>
      <c r="Q23" s="138"/>
      <c r="R23" s="138"/>
    </row>
    <row r="24" spans="2:18" x14ac:dyDescent="0.3">
      <c r="B24" s="100" t="s">
        <v>431</v>
      </c>
      <c r="C24" s="117">
        <v>7.1891996750154865</v>
      </c>
      <c r="D24" s="117">
        <v>0.36262515116013194</v>
      </c>
      <c r="E24" s="117">
        <v>7.1422119999396569</v>
      </c>
      <c r="F24" s="117">
        <v>7.643731721082478</v>
      </c>
      <c r="G24" s="117">
        <v>2.5412411058806867</v>
      </c>
      <c r="H24" s="117">
        <v>3.0926968175265936</v>
      </c>
      <c r="I24" s="117">
        <v>1.4472444649994411</v>
      </c>
      <c r="J24" s="117">
        <v>9.5754126160592445</v>
      </c>
      <c r="K24" s="138"/>
      <c r="L24" s="138"/>
      <c r="M24" s="138"/>
      <c r="N24" s="138"/>
      <c r="O24" s="138"/>
      <c r="P24" s="138"/>
      <c r="Q24" s="138"/>
      <c r="R24" s="138"/>
    </row>
    <row r="25" spans="2:18" x14ac:dyDescent="0.3">
      <c r="B25" s="100" t="s">
        <v>435</v>
      </c>
      <c r="C25" s="117">
        <v>7.665873682129436</v>
      </c>
      <c r="D25" s="117">
        <v>8.3556834242560285</v>
      </c>
      <c r="E25" s="117">
        <v>7.9585302582038278</v>
      </c>
      <c r="F25" s="117">
        <v>7.3425082423930688</v>
      </c>
      <c r="G25" s="117">
        <v>8.358891927797135</v>
      </c>
      <c r="H25" s="117">
        <v>2.5760006720134476</v>
      </c>
      <c r="I25" s="117">
        <v>1.6365741631903745</v>
      </c>
      <c r="J25" s="117">
        <v>1.4811107770245422</v>
      </c>
      <c r="K25" s="138"/>
      <c r="L25" s="138"/>
      <c r="M25" s="138"/>
      <c r="N25" s="138"/>
      <c r="O25" s="138"/>
      <c r="P25" s="138"/>
      <c r="Q25" s="138"/>
      <c r="R25" s="138"/>
    </row>
    <row r="26" spans="2:18" x14ac:dyDescent="0.3">
      <c r="B26" s="100" t="s">
        <v>433</v>
      </c>
      <c r="C26" s="117">
        <v>1.3984516223069039</v>
      </c>
      <c r="D26" s="117">
        <v>8.5736414898296225</v>
      </c>
      <c r="E26" s="117">
        <v>8.6206850373658384</v>
      </c>
      <c r="F26" s="117">
        <v>8.960533002021343</v>
      </c>
      <c r="G26" s="117">
        <v>2.1153897911914119</v>
      </c>
      <c r="H26" s="117">
        <v>7.5663140458935132</v>
      </c>
      <c r="I26" s="117">
        <v>9.2857837021620444</v>
      </c>
      <c r="J26" s="117">
        <v>9.3145876292111893</v>
      </c>
      <c r="K26" s="138"/>
      <c r="L26" s="138"/>
      <c r="M26" s="138"/>
      <c r="N26" s="138"/>
      <c r="O26" s="138"/>
      <c r="P26" s="138"/>
      <c r="Q26" s="138"/>
      <c r="R26" s="138"/>
    </row>
    <row r="27" spans="2:18" x14ac:dyDescent="0.3">
      <c r="B27" s="100" t="s">
        <v>433</v>
      </c>
      <c r="C27" s="117">
        <v>1.6113208235859706</v>
      </c>
      <c r="D27" s="117">
        <v>9.4003297828057146</v>
      </c>
      <c r="E27" s="117">
        <v>7.658626696454844</v>
      </c>
      <c r="F27" s="117">
        <v>8.7169933721635182</v>
      </c>
      <c r="G27" s="117">
        <v>1.8821113614122034</v>
      </c>
      <c r="H27" s="117">
        <v>9.5347022508583557</v>
      </c>
      <c r="I27" s="117">
        <v>8.5874468142672402</v>
      </c>
      <c r="J27" s="117">
        <v>9.602134456695655</v>
      </c>
      <c r="K27" s="138"/>
      <c r="L27" s="138"/>
      <c r="M27" s="138"/>
      <c r="N27" s="138"/>
      <c r="O27" s="138"/>
      <c r="P27" s="138"/>
      <c r="Q27" s="138"/>
      <c r="R27" s="138"/>
    </row>
  </sheetData>
  <dataConsolidate/>
  <conditionalFormatting sqref="C4:J27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7E0E-E341-9845-AFF6-73B9E326DD32}">
  <sheetPr codeName="Sheet73">
    <tabColor rgb="FFFF0000"/>
  </sheetPr>
  <dimension ref="A1"/>
  <sheetViews>
    <sheetView workbookViewId="0">
      <selection activeCell="E8" sqref="E8"/>
    </sheetView>
  </sheetViews>
  <sheetFormatPr baseColWidth="10" defaultRowHeight="16" x14ac:dyDescent="0.2"/>
  <cols>
    <col min="1" max="16384" width="10.83203125" style="18"/>
  </cols>
  <sheetData/>
  <pageMargins left="0.7" right="0.7" top="0.75" bottom="0.75" header="0.3" footer="0.3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34AFD-04A9-2344-98FD-36B70CB0E3A7}">
  <sheetPr codeName="Sheet74">
    <tabColor rgb="FFFF0000"/>
  </sheetPr>
  <dimension ref="B2:C24"/>
  <sheetViews>
    <sheetView workbookViewId="0">
      <selection activeCell="E8" sqref="E8"/>
    </sheetView>
  </sheetViews>
  <sheetFormatPr baseColWidth="10" defaultRowHeight="16" x14ac:dyDescent="0.2"/>
  <cols>
    <col min="1" max="16384" width="10.83203125" style="18"/>
  </cols>
  <sheetData>
    <row r="2" spans="2:3" s="99" customFormat="1" x14ac:dyDescent="0.2">
      <c r="B2" s="99" t="s">
        <v>438</v>
      </c>
      <c r="C2" s="99" t="s">
        <v>437</v>
      </c>
    </row>
    <row r="3" spans="2:3" x14ac:dyDescent="0.2">
      <c r="B3" s="18">
        <f t="shared" ref="B3:B24" ca="1" si="0">RANDBETWEEN(1,5)</f>
        <v>1</v>
      </c>
      <c r="C3" s="18">
        <f t="shared" ref="C3:C24" ca="1" si="1">B3</f>
        <v>1</v>
      </c>
    </row>
    <row r="4" spans="2:3" x14ac:dyDescent="0.2">
      <c r="B4" s="18">
        <f t="shared" ca="1" si="0"/>
        <v>1</v>
      </c>
      <c r="C4" s="18">
        <f t="shared" ca="1" si="1"/>
        <v>1</v>
      </c>
    </row>
    <row r="5" spans="2:3" x14ac:dyDescent="0.2">
      <c r="B5" s="18">
        <f t="shared" ca="1" si="0"/>
        <v>2</v>
      </c>
      <c r="C5" s="18">
        <f t="shared" ca="1" si="1"/>
        <v>2</v>
      </c>
    </row>
    <row r="6" spans="2:3" x14ac:dyDescent="0.2">
      <c r="B6" s="18">
        <f t="shared" ca="1" si="0"/>
        <v>3</v>
      </c>
      <c r="C6" s="18">
        <f t="shared" ca="1" si="1"/>
        <v>3</v>
      </c>
    </row>
    <row r="7" spans="2:3" x14ac:dyDescent="0.2">
      <c r="B7" s="18">
        <f t="shared" ca="1" si="0"/>
        <v>4</v>
      </c>
      <c r="C7" s="18">
        <f t="shared" ca="1" si="1"/>
        <v>4</v>
      </c>
    </row>
    <row r="8" spans="2:3" x14ac:dyDescent="0.2">
      <c r="B8" s="18">
        <f t="shared" ca="1" si="0"/>
        <v>4</v>
      </c>
      <c r="C8" s="18">
        <f t="shared" ca="1" si="1"/>
        <v>4</v>
      </c>
    </row>
    <row r="9" spans="2:3" x14ac:dyDescent="0.2">
      <c r="B9" s="18">
        <f t="shared" ca="1" si="0"/>
        <v>5</v>
      </c>
      <c r="C9" s="18">
        <f t="shared" ca="1" si="1"/>
        <v>5</v>
      </c>
    </row>
    <row r="10" spans="2:3" x14ac:dyDescent="0.2">
      <c r="B10" s="18">
        <f t="shared" ca="1" si="0"/>
        <v>5</v>
      </c>
      <c r="C10" s="18">
        <f t="shared" ca="1" si="1"/>
        <v>5</v>
      </c>
    </row>
    <row r="11" spans="2:3" x14ac:dyDescent="0.2">
      <c r="B11" s="18">
        <f t="shared" ca="1" si="0"/>
        <v>1</v>
      </c>
      <c r="C11" s="18">
        <f t="shared" ca="1" si="1"/>
        <v>1</v>
      </c>
    </row>
    <row r="12" spans="2:3" x14ac:dyDescent="0.2">
      <c r="B12" s="18">
        <f t="shared" ca="1" si="0"/>
        <v>5</v>
      </c>
      <c r="C12" s="18">
        <f t="shared" ca="1" si="1"/>
        <v>5</v>
      </c>
    </row>
    <row r="13" spans="2:3" x14ac:dyDescent="0.2">
      <c r="B13" s="18">
        <f t="shared" ca="1" si="0"/>
        <v>1</v>
      </c>
      <c r="C13" s="18">
        <f t="shared" ca="1" si="1"/>
        <v>1</v>
      </c>
    </row>
    <row r="14" spans="2:3" x14ac:dyDescent="0.2">
      <c r="B14" s="18">
        <f t="shared" ca="1" si="0"/>
        <v>3</v>
      </c>
      <c r="C14" s="18">
        <f t="shared" ca="1" si="1"/>
        <v>3</v>
      </c>
    </row>
    <row r="15" spans="2:3" x14ac:dyDescent="0.2">
      <c r="B15" s="18">
        <f t="shared" ca="1" si="0"/>
        <v>2</v>
      </c>
      <c r="C15" s="18">
        <f t="shared" ca="1" si="1"/>
        <v>2</v>
      </c>
    </row>
    <row r="16" spans="2:3" x14ac:dyDescent="0.2">
      <c r="B16" s="18">
        <f t="shared" ca="1" si="0"/>
        <v>1</v>
      </c>
      <c r="C16" s="18">
        <f t="shared" ca="1" si="1"/>
        <v>1</v>
      </c>
    </row>
    <row r="17" spans="2:3" x14ac:dyDescent="0.2">
      <c r="B17" s="18">
        <f t="shared" ca="1" si="0"/>
        <v>3</v>
      </c>
      <c r="C17" s="18">
        <f t="shared" ca="1" si="1"/>
        <v>3</v>
      </c>
    </row>
    <row r="18" spans="2:3" x14ac:dyDescent="0.2">
      <c r="B18" s="18">
        <f t="shared" ca="1" si="0"/>
        <v>4</v>
      </c>
      <c r="C18" s="18">
        <f t="shared" ca="1" si="1"/>
        <v>4</v>
      </c>
    </row>
    <row r="19" spans="2:3" x14ac:dyDescent="0.2">
      <c r="B19" s="18">
        <f t="shared" ca="1" si="0"/>
        <v>3</v>
      </c>
      <c r="C19" s="18">
        <f t="shared" ca="1" si="1"/>
        <v>3</v>
      </c>
    </row>
    <row r="20" spans="2:3" x14ac:dyDescent="0.2">
      <c r="B20" s="18">
        <f t="shared" ca="1" si="0"/>
        <v>1</v>
      </c>
      <c r="C20" s="18">
        <f t="shared" ca="1" si="1"/>
        <v>1</v>
      </c>
    </row>
    <row r="21" spans="2:3" x14ac:dyDescent="0.2">
      <c r="B21" s="18">
        <f t="shared" ca="1" si="0"/>
        <v>1</v>
      </c>
      <c r="C21" s="18">
        <f t="shared" ca="1" si="1"/>
        <v>1</v>
      </c>
    </row>
    <row r="22" spans="2:3" x14ac:dyDescent="0.2">
      <c r="B22" s="18">
        <f t="shared" ca="1" si="0"/>
        <v>5</v>
      </c>
      <c r="C22" s="18">
        <f t="shared" ca="1" si="1"/>
        <v>5</v>
      </c>
    </row>
    <row r="23" spans="2:3" x14ac:dyDescent="0.2">
      <c r="B23" s="18">
        <f t="shared" ca="1" si="0"/>
        <v>2</v>
      </c>
      <c r="C23" s="18">
        <f t="shared" ca="1" si="1"/>
        <v>2</v>
      </c>
    </row>
    <row r="24" spans="2:3" x14ac:dyDescent="0.2">
      <c r="B24" s="18">
        <f t="shared" ca="1" si="0"/>
        <v>5</v>
      </c>
      <c r="C24" s="18">
        <f t="shared" ca="1" si="1"/>
        <v>5</v>
      </c>
    </row>
  </sheetData>
  <pageMargins left="0.7" right="0.7" top="0.75" bottom="0.75" header="0.3" footer="0.3"/>
  <drawing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88B6B-1F0D-CC4A-940D-DA01AAE2F602}">
  <sheetPr codeName="Sheet75">
    <tabColor rgb="FFFF0000"/>
  </sheetPr>
  <dimension ref="B2:F24"/>
  <sheetViews>
    <sheetView workbookViewId="0">
      <selection activeCell="E8" sqref="E8"/>
    </sheetView>
  </sheetViews>
  <sheetFormatPr baseColWidth="10" defaultRowHeight="16" x14ac:dyDescent="0.2"/>
  <cols>
    <col min="1" max="16384" width="10.83203125" style="18"/>
  </cols>
  <sheetData>
    <row r="2" spans="2:6" s="99" customFormat="1" x14ac:dyDescent="0.2">
      <c r="B2" s="99" t="s">
        <v>438</v>
      </c>
      <c r="C2" s="99" t="s">
        <v>437</v>
      </c>
      <c r="E2" s="99" t="s">
        <v>440</v>
      </c>
      <c r="F2" s="99" t="s">
        <v>439</v>
      </c>
    </row>
    <row r="3" spans="2:6" x14ac:dyDescent="0.2">
      <c r="B3" s="142">
        <f t="shared" ref="B3:B24" ca="1" si="0">RANDBETWEEN(1,5)</f>
        <v>5</v>
      </c>
      <c r="C3" s="141">
        <f t="shared" ref="C3:C24" ca="1" si="1">B3</f>
        <v>5</v>
      </c>
      <c r="E3" s="140">
        <f t="shared" ref="E3:E24" ca="1" si="2">0.5*B3+0.5*C3</f>
        <v>5</v>
      </c>
      <c r="F3" s="144">
        <f t="shared" ref="F3:F24" ca="1" si="3">0.01*B3-0.01*C3</f>
        <v>0</v>
      </c>
    </row>
    <row r="4" spans="2:6" x14ac:dyDescent="0.2">
      <c r="B4" s="142">
        <f t="shared" ca="1" si="0"/>
        <v>1</v>
      </c>
      <c r="C4" s="141">
        <f t="shared" ca="1" si="1"/>
        <v>1</v>
      </c>
      <c r="E4" s="140">
        <f t="shared" ca="1" si="2"/>
        <v>1</v>
      </c>
      <c r="F4" s="143">
        <f t="shared" ca="1" si="3"/>
        <v>0</v>
      </c>
    </row>
    <row r="5" spans="2:6" x14ac:dyDescent="0.2">
      <c r="B5" s="142">
        <f t="shared" ca="1" si="0"/>
        <v>1</v>
      </c>
      <c r="C5" s="141">
        <f t="shared" ca="1" si="1"/>
        <v>1</v>
      </c>
      <c r="E5" s="140">
        <f t="shared" ca="1" si="2"/>
        <v>1</v>
      </c>
      <c r="F5" s="143">
        <f t="shared" ca="1" si="3"/>
        <v>0</v>
      </c>
    </row>
    <row r="6" spans="2:6" x14ac:dyDescent="0.2">
      <c r="B6" s="142">
        <f t="shared" ca="1" si="0"/>
        <v>3</v>
      </c>
      <c r="C6" s="141">
        <f t="shared" ca="1" si="1"/>
        <v>3</v>
      </c>
      <c r="E6" s="140">
        <f t="shared" ca="1" si="2"/>
        <v>3</v>
      </c>
      <c r="F6" s="143">
        <f t="shared" ca="1" si="3"/>
        <v>0</v>
      </c>
    </row>
    <row r="7" spans="2:6" x14ac:dyDescent="0.2">
      <c r="B7" s="142">
        <f t="shared" ca="1" si="0"/>
        <v>2</v>
      </c>
      <c r="C7" s="141">
        <f t="shared" ca="1" si="1"/>
        <v>2</v>
      </c>
      <c r="E7" s="140">
        <f t="shared" ca="1" si="2"/>
        <v>2</v>
      </c>
      <c r="F7" s="143">
        <f t="shared" ca="1" si="3"/>
        <v>0</v>
      </c>
    </row>
    <row r="8" spans="2:6" x14ac:dyDescent="0.2">
      <c r="B8" s="142">
        <f t="shared" ca="1" si="0"/>
        <v>3</v>
      </c>
      <c r="C8" s="141">
        <f t="shared" ca="1" si="1"/>
        <v>3</v>
      </c>
      <c r="E8" s="140">
        <f t="shared" ca="1" si="2"/>
        <v>3</v>
      </c>
      <c r="F8" s="143">
        <f t="shared" ca="1" si="3"/>
        <v>0</v>
      </c>
    </row>
    <row r="9" spans="2:6" x14ac:dyDescent="0.2">
      <c r="B9" s="142">
        <f t="shared" ca="1" si="0"/>
        <v>5</v>
      </c>
      <c r="C9" s="141">
        <f t="shared" ca="1" si="1"/>
        <v>5</v>
      </c>
      <c r="E9" s="140">
        <f t="shared" ca="1" si="2"/>
        <v>5</v>
      </c>
      <c r="F9" s="143">
        <f t="shared" ca="1" si="3"/>
        <v>0</v>
      </c>
    </row>
    <row r="10" spans="2:6" x14ac:dyDescent="0.2">
      <c r="B10" s="142">
        <f t="shared" ca="1" si="0"/>
        <v>2</v>
      </c>
      <c r="C10" s="141">
        <f t="shared" ca="1" si="1"/>
        <v>2</v>
      </c>
      <c r="E10" s="140">
        <f t="shared" ca="1" si="2"/>
        <v>2</v>
      </c>
      <c r="F10" s="143">
        <f t="shared" ca="1" si="3"/>
        <v>0</v>
      </c>
    </row>
    <row r="11" spans="2:6" x14ac:dyDescent="0.2">
      <c r="B11" s="142">
        <f t="shared" ca="1" si="0"/>
        <v>1</v>
      </c>
      <c r="C11" s="141">
        <f t="shared" ca="1" si="1"/>
        <v>1</v>
      </c>
      <c r="E11" s="140">
        <f t="shared" ca="1" si="2"/>
        <v>1</v>
      </c>
      <c r="F11" s="143">
        <f t="shared" ca="1" si="3"/>
        <v>0</v>
      </c>
    </row>
    <row r="12" spans="2:6" x14ac:dyDescent="0.2">
      <c r="B12" s="142">
        <f t="shared" ca="1" si="0"/>
        <v>1</v>
      </c>
      <c r="C12" s="141">
        <f t="shared" ca="1" si="1"/>
        <v>1</v>
      </c>
      <c r="E12" s="140">
        <f t="shared" ca="1" si="2"/>
        <v>1</v>
      </c>
      <c r="F12" s="143">
        <f t="shared" ca="1" si="3"/>
        <v>0</v>
      </c>
    </row>
    <row r="13" spans="2:6" x14ac:dyDescent="0.2">
      <c r="B13" s="142">
        <f t="shared" ca="1" si="0"/>
        <v>4</v>
      </c>
      <c r="C13" s="141">
        <f t="shared" ca="1" si="1"/>
        <v>4</v>
      </c>
      <c r="E13" s="140">
        <f t="shared" ca="1" si="2"/>
        <v>4</v>
      </c>
      <c r="F13" s="143">
        <f t="shared" ca="1" si="3"/>
        <v>0</v>
      </c>
    </row>
    <row r="14" spans="2:6" x14ac:dyDescent="0.2">
      <c r="B14" s="142">
        <f t="shared" ca="1" si="0"/>
        <v>2</v>
      </c>
      <c r="C14" s="141">
        <f t="shared" ca="1" si="1"/>
        <v>2</v>
      </c>
      <c r="E14" s="140">
        <f t="shared" ca="1" si="2"/>
        <v>2</v>
      </c>
      <c r="F14" s="143">
        <f t="shared" ca="1" si="3"/>
        <v>0</v>
      </c>
    </row>
    <row r="15" spans="2:6" x14ac:dyDescent="0.2">
      <c r="B15" s="142">
        <f t="shared" ca="1" si="0"/>
        <v>3</v>
      </c>
      <c r="C15" s="141">
        <f t="shared" ca="1" si="1"/>
        <v>3</v>
      </c>
      <c r="E15" s="140">
        <f t="shared" ca="1" si="2"/>
        <v>3</v>
      </c>
      <c r="F15" s="143">
        <f t="shared" ca="1" si="3"/>
        <v>0</v>
      </c>
    </row>
    <row r="16" spans="2:6" x14ac:dyDescent="0.2">
      <c r="B16" s="142">
        <f t="shared" ca="1" si="0"/>
        <v>2</v>
      </c>
      <c r="C16" s="141">
        <f t="shared" ca="1" si="1"/>
        <v>2</v>
      </c>
      <c r="E16" s="140">
        <f t="shared" ca="1" si="2"/>
        <v>2</v>
      </c>
      <c r="F16" s="143">
        <f t="shared" ca="1" si="3"/>
        <v>0</v>
      </c>
    </row>
    <row r="17" spans="2:6" x14ac:dyDescent="0.2">
      <c r="B17" s="142">
        <f t="shared" ca="1" si="0"/>
        <v>1</v>
      </c>
      <c r="C17" s="141">
        <f t="shared" ca="1" si="1"/>
        <v>1</v>
      </c>
      <c r="E17" s="140">
        <f t="shared" ca="1" si="2"/>
        <v>1</v>
      </c>
      <c r="F17" s="143">
        <f t="shared" ca="1" si="3"/>
        <v>0</v>
      </c>
    </row>
    <row r="18" spans="2:6" x14ac:dyDescent="0.2">
      <c r="B18" s="142">
        <f t="shared" ca="1" si="0"/>
        <v>2</v>
      </c>
      <c r="C18" s="141">
        <f t="shared" ca="1" si="1"/>
        <v>2</v>
      </c>
      <c r="E18" s="140">
        <f t="shared" ca="1" si="2"/>
        <v>2</v>
      </c>
      <c r="F18" s="143">
        <f t="shared" ca="1" si="3"/>
        <v>0</v>
      </c>
    </row>
    <row r="19" spans="2:6" x14ac:dyDescent="0.2">
      <c r="B19" s="142">
        <f t="shared" ca="1" si="0"/>
        <v>5</v>
      </c>
      <c r="C19" s="141">
        <f t="shared" ca="1" si="1"/>
        <v>5</v>
      </c>
      <c r="E19" s="140">
        <f t="shared" ca="1" si="2"/>
        <v>5</v>
      </c>
      <c r="F19" s="143">
        <f t="shared" ca="1" si="3"/>
        <v>0</v>
      </c>
    </row>
    <row r="20" spans="2:6" x14ac:dyDescent="0.2">
      <c r="B20" s="142">
        <f t="shared" ca="1" si="0"/>
        <v>3</v>
      </c>
      <c r="C20" s="141">
        <f t="shared" ca="1" si="1"/>
        <v>3</v>
      </c>
      <c r="E20" s="140">
        <f t="shared" ca="1" si="2"/>
        <v>3</v>
      </c>
      <c r="F20" s="143">
        <f t="shared" ca="1" si="3"/>
        <v>0</v>
      </c>
    </row>
    <row r="21" spans="2:6" x14ac:dyDescent="0.2">
      <c r="B21" s="142">
        <f t="shared" ca="1" si="0"/>
        <v>3</v>
      </c>
      <c r="C21" s="141">
        <f t="shared" ca="1" si="1"/>
        <v>3</v>
      </c>
      <c r="E21" s="140">
        <f t="shared" ca="1" si="2"/>
        <v>3</v>
      </c>
      <c r="F21" s="143">
        <f t="shared" ca="1" si="3"/>
        <v>0</v>
      </c>
    </row>
    <row r="22" spans="2:6" x14ac:dyDescent="0.2">
      <c r="B22" s="142">
        <f t="shared" ca="1" si="0"/>
        <v>4</v>
      </c>
      <c r="C22" s="141">
        <f t="shared" ca="1" si="1"/>
        <v>4</v>
      </c>
      <c r="E22" s="140">
        <f t="shared" ca="1" si="2"/>
        <v>4</v>
      </c>
      <c r="F22" s="143">
        <f t="shared" ca="1" si="3"/>
        <v>0</v>
      </c>
    </row>
    <row r="23" spans="2:6" x14ac:dyDescent="0.2">
      <c r="B23" s="142">
        <f t="shared" ca="1" si="0"/>
        <v>3</v>
      </c>
      <c r="C23" s="141">
        <f t="shared" ca="1" si="1"/>
        <v>3</v>
      </c>
      <c r="E23" s="140">
        <f t="shared" ca="1" si="2"/>
        <v>3</v>
      </c>
      <c r="F23" s="143">
        <f t="shared" ca="1" si="3"/>
        <v>0</v>
      </c>
    </row>
    <row r="24" spans="2:6" x14ac:dyDescent="0.2">
      <c r="B24" s="142">
        <f t="shared" ca="1" si="0"/>
        <v>2</v>
      </c>
      <c r="C24" s="141">
        <f t="shared" ca="1" si="1"/>
        <v>2</v>
      </c>
      <c r="E24" s="140">
        <f t="shared" ca="1" si="2"/>
        <v>2</v>
      </c>
      <c r="F24" s="139">
        <f t="shared" ca="1" si="3"/>
        <v>0</v>
      </c>
    </row>
  </sheetData>
  <pageMargins left="0.7" right="0.7" top="0.75" bottom="0.75" header="0.3" footer="0.3"/>
  <drawing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0E2E9-75EF-1D42-9DA7-8E0C940580E1}">
  <sheetPr codeName="Sheet76">
    <tabColor rgb="FFFF0000"/>
  </sheetPr>
  <dimension ref="C2:I24"/>
  <sheetViews>
    <sheetView workbookViewId="0">
      <selection activeCell="E8" sqref="E8"/>
    </sheetView>
  </sheetViews>
  <sheetFormatPr baseColWidth="10" defaultRowHeight="16" x14ac:dyDescent="0.2"/>
  <cols>
    <col min="1" max="16384" width="10.83203125" style="18"/>
  </cols>
  <sheetData>
    <row r="2" spans="3:9" s="99" customFormat="1" x14ac:dyDescent="0.2">
      <c r="C2" s="99" t="s">
        <v>438</v>
      </c>
      <c r="D2" s="99" t="s">
        <v>437</v>
      </c>
      <c r="E2" s="99" t="s">
        <v>442</v>
      </c>
      <c r="G2" s="99" t="s">
        <v>440</v>
      </c>
      <c r="H2" s="99" t="s">
        <v>439</v>
      </c>
      <c r="I2" s="99" t="s">
        <v>441</v>
      </c>
    </row>
    <row r="3" spans="3:9" x14ac:dyDescent="0.2">
      <c r="C3" s="142">
        <f t="shared" ref="C3:C24" ca="1" si="0">RANDBETWEEN(1,5)</f>
        <v>4</v>
      </c>
      <c r="D3" s="141">
        <f t="shared" ref="D3:E24" ca="1" si="1">C3</f>
        <v>4</v>
      </c>
      <c r="E3" s="148">
        <f t="shared" ca="1" si="1"/>
        <v>4</v>
      </c>
      <c r="G3" s="147">
        <f t="shared" ref="G3:G24" ca="1" si="2">0.33*C3+0.33*D3+0.33*E3</f>
        <v>3.96</v>
      </c>
      <c r="H3" s="150">
        <f t="shared" ref="H3:H24" ca="1" si="3">0.04*C3-0.04*D3+0*E3</f>
        <v>0</v>
      </c>
      <c r="I3" s="149">
        <f t="shared" ref="I3:I24" ca="1" si="4">-0.001*C3-0.001*D3+0.002*E3</f>
        <v>0</v>
      </c>
    </row>
    <row r="4" spans="3:9" x14ac:dyDescent="0.2">
      <c r="C4" s="142">
        <f t="shared" ca="1" si="0"/>
        <v>5</v>
      </c>
      <c r="D4" s="141">
        <f t="shared" ca="1" si="1"/>
        <v>5</v>
      </c>
      <c r="E4" s="148">
        <f t="shared" ca="1" si="1"/>
        <v>5</v>
      </c>
      <c r="G4" s="147">
        <f t="shared" ca="1" si="2"/>
        <v>4.95</v>
      </c>
      <c r="H4" s="42">
        <f t="shared" ca="1" si="3"/>
        <v>0</v>
      </c>
      <c r="I4" s="43">
        <f t="shared" ca="1" si="4"/>
        <v>0</v>
      </c>
    </row>
    <row r="5" spans="3:9" x14ac:dyDescent="0.2">
      <c r="C5" s="142">
        <f t="shared" ca="1" si="0"/>
        <v>1</v>
      </c>
      <c r="D5" s="141">
        <f t="shared" ca="1" si="1"/>
        <v>1</v>
      </c>
      <c r="E5" s="148">
        <f t="shared" ca="1" si="1"/>
        <v>1</v>
      </c>
      <c r="G5" s="147">
        <f t="shared" ca="1" si="2"/>
        <v>0.99</v>
      </c>
      <c r="H5" s="42">
        <f t="shared" ca="1" si="3"/>
        <v>0</v>
      </c>
      <c r="I5" s="43">
        <f t="shared" ca="1" si="4"/>
        <v>0</v>
      </c>
    </row>
    <row r="6" spans="3:9" x14ac:dyDescent="0.2">
      <c r="C6" s="142">
        <f t="shared" ca="1" si="0"/>
        <v>1</v>
      </c>
      <c r="D6" s="141">
        <f t="shared" ca="1" si="1"/>
        <v>1</v>
      </c>
      <c r="E6" s="148">
        <f t="shared" ca="1" si="1"/>
        <v>1</v>
      </c>
      <c r="G6" s="147">
        <f t="shared" ca="1" si="2"/>
        <v>0.99</v>
      </c>
      <c r="H6" s="42">
        <f t="shared" ca="1" si="3"/>
        <v>0</v>
      </c>
      <c r="I6" s="43">
        <f t="shared" ca="1" si="4"/>
        <v>0</v>
      </c>
    </row>
    <row r="7" spans="3:9" x14ac:dyDescent="0.2">
      <c r="C7" s="142">
        <f t="shared" ca="1" si="0"/>
        <v>2</v>
      </c>
      <c r="D7" s="141">
        <f t="shared" ca="1" si="1"/>
        <v>2</v>
      </c>
      <c r="E7" s="148">
        <f t="shared" ca="1" si="1"/>
        <v>2</v>
      </c>
      <c r="G7" s="147">
        <f t="shared" ca="1" si="2"/>
        <v>1.98</v>
      </c>
      <c r="H7" s="42">
        <f t="shared" ca="1" si="3"/>
        <v>0</v>
      </c>
      <c r="I7" s="43">
        <f t="shared" ca="1" si="4"/>
        <v>0</v>
      </c>
    </row>
    <row r="8" spans="3:9" x14ac:dyDescent="0.2">
      <c r="C8" s="142">
        <f t="shared" ca="1" si="0"/>
        <v>4</v>
      </c>
      <c r="D8" s="141">
        <f t="shared" ca="1" si="1"/>
        <v>4</v>
      </c>
      <c r="E8" s="148">
        <f t="shared" ca="1" si="1"/>
        <v>4</v>
      </c>
      <c r="G8" s="147">
        <f t="shared" ca="1" si="2"/>
        <v>3.96</v>
      </c>
      <c r="H8" s="42">
        <f t="shared" ca="1" si="3"/>
        <v>0</v>
      </c>
      <c r="I8" s="43">
        <f t="shared" ca="1" si="4"/>
        <v>0</v>
      </c>
    </row>
    <row r="9" spans="3:9" x14ac:dyDescent="0.2">
      <c r="C9" s="142">
        <f t="shared" ca="1" si="0"/>
        <v>5</v>
      </c>
      <c r="D9" s="141">
        <f t="shared" ca="1" si="1"/>
        <v>5</v>
      </c>
      <c r="E9" s="148">
        <f t="shared" ca="1" si="1"/>
        <v>5</v>
      </c>
      <c r="G9" s="147">
        <f t="shared" ca="1" si="2"/>
        <v>4.95</v>
      </c>
      <c r="H9" s="42">
        <f t="shared" ca="1" si="3"/>
        <v>0</v>
      </c>
      <c r="I9" s="43">
        <f t="shared" ca="1" si="4"/>
        <v>0</v>
      </c>
    </row>
    <row r="10" spans="3:9" x14ac:dyDescent="0.2">
      <c r="C10" s="142">
        <f t="shared" ca="1" si="0"/>
        <v>1</v>
      </c>
      <c r="D10" s="141">
        <f t="shared" ca="1" si="1"/>
        <v>1</v>
      </c>
      <c r="E10" s="148">
        <f t="shared" ca="1" si="1"/>
        <v>1</v>
      </c>
      <c r="G10" s="147">
        <f t="shared" ca="1" si="2"/>
        <v>0.99</v>
      </c>
      <c r="H10" s="42">
        <f t="shared" ca="1" si="3"/>
        <v>0</v>
      </c>
      <c r="I10" s="43">
        <f t="shared" ca="1" si="4"/>
        <v>0</v>
      </c>
    </row>
    <row r="11" spans="3:9" x14ac:dyDescent="0.2">
      <c r="C11" s="142">
        <f t="shared" ca="1" si="0"/>
        <v>5</v>
      </c>
      <c r="D11" s="141">
        <f t="shared" ca="1" si="1"/>
        <v>5</v>
      </c>
      <c r="E11" s="148">
        <f t="shared" ca="1" si="1"/>
        <v>5</v>
      </c>
      <c r="G11" s="147">
        <f t="shared" ca="1" si="2"/>
        <v>4.95</v>
      </c>
      <c r="H11" s="42">
        <f t="shared" ca="1" si="3"/>
        <v>0</v>
      </c>
      <c r="I11" s="43">
        <f t="shared" ca="1" si="4"/>
        <v>0</v>
      </c>
    </row>
    <row r="12" spans="3:9" x14ac:dyDescent="0.2">
      <c r="C12" s="142">
        <f t="shared" ca="1" si="0"/>
        <v>2</v>
      </c>
      <c r="D12" s="141">
        <f t="shared" ca="1" si="1"/>
        <v>2</v>
      </c>
      <c r="E12" s="148">
        <f t="shared" ca="1" si="1"/>
        <v>2</v>
      </c>
      <c r="G12" s="147">
        <f t="shared" ca="1" si="2"/>
        <v>1.98</v>
      </c>
      <c r="H12" s="42">
        <f t="shared" ca="1" si="3"/>
        <v>0</v>
      </c>
      <c r="I12" s="43">
        <f t="shared" ca="1" si="4"/>
        <v>0</v>
      </c>
    </row>
    <row r="13" spans="3:9" x14ac:dyDescent="0.2">
      <c r="C13" s="142">
        <f t="shared" ca="1" si="0"/>
        <v>3</v>
      </c>
      <c r="D13" s="141">
        <f t="shared" ca="1" si="1"/>
        <v>3</v>
      </c>
      <c r="E13" s="148">
        <f t="shared" ca="1" si="1"/>
        <v>3</v>
      </c>
      <c r="G13" s="147">
        <f t="shared" ca="1" si="2"/>
        <v>2.9699999999999998</v>
      </c>
      <c r="H13" s="42">
        <f t="shared" ca="1" si="3"/>
        <v>0</v>
      </c>
      <c r="I13" s="43">
        <f t="shared" ca="1" si="4"/>
        <v>0</v>
      </c>
    </row>
    <row r="14" spans="3:9" x14ac:dyDescent="0.2">
      <c r="C14" s="142">
        <f t="shared" ca="1" si="0"/>
        <v>1</v>
      </c>
      <c r="D14" s="141">
        <f t="shared" ca="1" si="1"/>
        <v>1</v>
      </c>
      <c r="E14" s="148">
        <f t="shared" ca="1" si="1"/>
        <v>1</v>
      </c>
      <c r="G14" s="147">
        <f t="shared" ca="1" si="2"/>
        <v>0.99</v>
      </c>
      <c r="H14" s="42">
        <f t="shared" ca="1" si="3"/>
        <v>0</v>
      </c>
      <c r="I14" s="43">
        <f t="shared" ca="1" si="4"/>
        <v>0</v>
      </c>
    </row>
    <row r="15" spans="3:9" x14ac:dyDescent="0.2">
      <c r="C15" s="142">
        <f t="shared" ca="1" si="0"/>
        <v>4</v>
      </c>
      <c r="D15" s="141">
        <f t="shared" ca="1" si="1"/>
        <v>4</v>
      </c>
      <c r="E15" s="148">
        <f t="shared" ca="1" si="1"/>
        <v>4</v>
      </c>
      <c r="G15" s="147">
        <f t="shared" ca="1" si="2"/>
        <v>3.96</v>
      </c>
      <c r="H15" s="42">
        <f t="shared" ca="1" si="3"/>
        <v>0</v>
      </c>
      <c r="I15" s="43">
        <f t="shared" ca="1" si="4"/>
        <v>0</v>
      </c>
    </row>
    <row r="16" spans="3:9" x14ac:dyDescent="0.2">
      <c r="C16" s="142">
        <f t="shared" ca="1" si="0"/>
        <v>4</v>
      </c>
      <c r="D16" s="141">
        <f t="shared" ca="1" si="1"/>
        <v>4</v>
      </c>
      <c r="E16" s="148">
        <f t="shared" ca="1" si="1"/>
        <v>4</v>
      </c>
      <c r="G16" s="147">
        <f t="shared" ca="1" si="2"/>
        <v>3.96</v>
      </c>
      <c r="H16" s="42">
        <f t="shared" ca="1" si="3"/>
        <v>0</v>
      </c>
      <c r="I16" s="43">
        <f t="shared" ca="1" si="4"/>
        <v>0</v>
      </c>
    </row>
    <row r="17" spans="3:9" x14ac:dyDescent="0.2">
      <c r="C17" s="142">
        <f t="shared" ca="1" si="0"/>
        <v>2</v>
      </c>
      <c r="D17" s="141">
        <f t="shared" ca="1" si="1"/>
        <v>2</v>
      </c>
      <c r="E17" s="148">
        <f t="shared" ca="1" si="1"/>
        <v>2</v>
      </c>
      <c r="G17" s="147">
        <f t="shared" ca="1" si="2"/>
        <v>1.98</v>
      </c>
      <c r="H17" s="42">
        <f t="shared" ca="1" si="3"/>
        <v>0</v>
      </c>
      <c r="I17" s="43">
        <f t="shared" ca="1" si="4"/>
        <v>0</v>
      </c>
    </row>
    <row r="18" spans="3:9" x14ac:dyDescent="0.2">
      <c r="C18" s="142">
        <f t="shared" ca="1" si="0"/>
        <v>5</v>
      </c>
      <c r="D18" s="141">
        <f t="shared" ca="1" si="1"/>
        <v>5</v>
      </c>
      <c r="E18" s="148">
        <f t="shared" ca="1" si="1"/>
        <v>5</v>
      </c>
      <c r="G18" s="147">
        <f t="shared" ca="1" si="2"/>
        <v>4.95</v>
      </c>
      <c r="H18" s="42">
        <f t="shared" ca="1" si="3"/>
        <v>0</v>
      </c>
      <c r="I18" s="43">
        <f t="shared" ca="1" si="4"/>
        <v>0</v>
      </c>
    </row>
    <row r="19" spans="3:9" x14ac:dyDescent="0.2">
      <c r="C19" s="142">
        <f t="shared" ca="1" si="0"/>
        <v>4</v>
      </c>
      <c r="D19" s="141">
        <f t="shared" ca="1" si="1"/>
        <v>4</v>
      </c>
      <c r="E19" s="148">
        <f t="shared" ca="1" si="1"/>
        <v>4</v>
      </c>
      <c r="G19" s="147">
        <f t="shared" ca="1" si="2"/>
        <v>3.96</v>
      </c>
      <c r="H19" s="42">
        <f t="shared" ca="1" si="3"/>
        <v>0</v>
      </c>
      <c r="I19" s="43">
        <f t="shared" ca="1" si="4"/>
        <v>0</v>
      </c>
    </row>
    <row r="20" spans="3:9" x14ac:dyDescent="0.2">
      <c r="C20" s="142">
        <f t="shared" ca="1" si="0"/>
        <v>3</v>
      </c>
      <c r="D20" s="141">
        <f t="shared" ca="1" si="1"/>
        <v>3</v>
      </c>
      <c r="E20" s="148">
        <f t="shared" ca="1" si="1"/>
        <v>3</v>
      </c>
      <c r="G20" s="147">
        <f t="shared" ca="1" si="2"/>
        <v>2.9699999999999998</v>
      </c>
      <c r="H20" s="42">
        <f t="shared" ca="1" si="3"/>
        <v>0</v>
      </c>
      <c r="I20" s="43">
        <f t="shared" ca="1" si="4"/>
        <v>0</v>
      </c>
    </row>
    <row r="21" spans="3:9" x14ac:dyDescent="0.2">
      <c r="C21" s="142">
        <f t="shared" ca="1" si="0"/>
        <v>1</v>
      </c>
      <c r="D21" s="141">
        <f t="shared" ca="1" si="1"/>
        <v>1</v>
      </c>
      <c r="E21" s="148">
        <f t="shared" ca="1" si="1"/>
        <v>1</v>
      </c>
      <c r="G21" s="147">
        <f t="shared" ca="1" si="2"/>
        <v>0.99</v>
      </c>
      <c r="H21" s="42">
        <f t="shared" ca="1" si="3"/>
        <v>0</v>
      </c>
      <c r="I21" s="43">
        <f t="shared" ca="1" si="4"/>
        <v>0</v>
      </c>
    </row>
    <row r="22" spans="3:9" x14ac:dyDescent="0.2">
      <c r="C22" s="142">
        <f t="shared" ca="1" si="0"/>
        <v>4</v>
      </c>
      <c r="D22" s="141">
        <f t="shared" ca="1" si="1"/>
        <v>4</v>
      </c>
      <c r="E22" s="148">
        <f t="shared" ca="1" si="1"/>
        <v>4</v>
      </c>
      <c r="G22" s="147">
        <f t="shared" ca="1" si="2"/>
        <v>3.96</v>
      </c>
      <c r="H22" s="42">
        <f t="shared" ca="1" si="3"/>
        <v>0</v>
      </c>
      <c r="I22" s="43">
        <f t="shared" ca="1" si="4"/>
        <v>0</v>
      </c>
    </row>
    <row r="23" spans="3:9" x14ac:dyDescent="0.2">
      <c r="C23" s="142">
        <f t="shared" ca="1" si="0"/>
        <v>2</v>
      </c>
      <c r="D23" s="141">
        <f t="shared" ca="1" si="1"/>
        <v>2</v>
      </c>
      <c r="E23" s="148">
        <f t="shared" ca="1" si="1"/>
        <v>2</v>
      </c>
      <c r="G23" s="147">
        <f t="shared" ca="1" si="2"/>
        <v>1.98</v>
      </c>
      <c r="H23" s="42">
        <f t="shared" ca="1" si="3"/>
        <v>0</v>
      </c>
      <c r="I23" s="43">
        <f t="shared" ca="1" si="4"/>
        <v>0</v>
      </c>
    </row>
    <row r="24" spans="3:9" x14ac:dyDescent="0.2">
      <c r="C24" s="142">
        <f t="shared" ca="1" si="0"/>
        <v>4</v>
      </c>
      <c r="D24" s="141">
        <f t="shared" ca="1" si="1"/>
        <v>4</v>
      </c>
      <c r="E24" s="148">
        <f t="shared" ca="1" si="1"/>
        <v>4</v>
      </c>
      <c r="G24" s="147">
        <f t="shared" ca="1" si="2"/>
        <v>3.96</v>
      </c>
      <c r="H24" s="146">
        <f t="shared" ca="1" si="3"/>
        <v>0</v>
      </c>
      <c r="I24" s="145">
        <f t="shared" ca="1" si="4"/>
        <v>0</v>
      </c>
    </row>
  </sheetData>
  <pageMargins left="0.7" right="0.7" top="0.75" bottom="0.75" header="0.3" footer="0.3"/>
  <drawing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EC97B-6043-694F-8513-653C421F8AE2}">
  <sheetPr codeName="Sheet77">
    <tabColor rgb="FFFF0000"/>
  </sheetPr>
  <dimension ref="A1:T27"/>
  <sheetViews>
    <sheetView workbookViewId="0">
      <selection activeCell="E8" sqref="E8"/>
    </sheetView>
  </sheetViews>
  <sheetFormatPr baseColWidth="10" defaultRowHeight="26" x14ac:dyDescent="0.3"/>
  <cols>
    <col min="1" max="1" width="10.83203125" style="135"/>
    <col min="2" max="2" width="15.83203125" style="135" bestFit="1" customWidth="1"/>
    <col min="3" max="3" width="10.5" style="135" bestFit="1" customWidth="1"/>
    <col min="4" max="5" width="7.33203125" style="135" bestFit="1" customWidth="1"/>
    <col min="6" max="6" width="9.83203125" style="135" bestFit="1" customWidth="1"/>
    <col min="7" max="7" width="12.83203125" style="135" bestFit="1" customWidth="1"/>
    <col min="8" max="8" width="8" style="135" bestFit="1" customWidth="1"/>
    <col min="9" max="9" width="7.83203125" style="135" bestFit="1" customWidth="1"/>
    <col min="10" max="10" width="13.83203125" style="135" bestFit="1" customWidth="1"/>
    <col min="11" max="11" width="13.6640625" style="135" customWidth="1"/>
    <col min="12" max="12" width="15.83203125" style="135" bestFit="1" customWidth="1"/>
    <col min="13" max="13" width="10.33203125" style="135" bestFit="1" customWidth="1"/>
    <col min="14" max="15" width="8.1640625" style="135" bestFit="1" customWidth="1"/>
    <col min="16" max="16" width="9.6640625" style="135" bestFit="1" customWidth="1"/>
    <col min="17" max="17" width="12.6640625" style="135" bestFit="1" customWidth="1"/>
    <col min="18" max="19" width="9.1640625" style="135" bestFit="1" customWidth="1"/>
    <col min="20" max="20" width="13.6640625" style="135" bestFit="1" customWidth="1"/>
    <col min="21" max="16384" width="10.83203125" style="135"/>
  </cols>
  <sheetData>
    <row r="1" spans="1:20" x14ac:dyDescent="0.3">
      <c r="A1" s="135" t="s">
        <v>443</v>
      </c>
    </row>
    <row r="3" spans="1:20" x14ac:dyDescent="0.3">
      <c r="C3" s="135" t="s">
        <v>430</v>
      </c>
      <c r="D3" s="135" t="s">
        <v>429</v>
      </c>
      <c r="E3" s="135" t="s">
        <v>428</v>
      </c>
      <c r="F3" s="135" t="s">
        <v>427</v>
      </c>
      <c r="G3" s="135" t="s">
        <v>426</v>
      </c>
      <c r="H3" s="135" t="s">
        <v>425</v>
      </c>
      <c r="I3" s="135" t="s">
        <v>424</v>
      </c>
      <c r="J3" s="135" t="s">
        <v>423</v>
      </c>
      <c r="M3" s="135" t="s">
        <v>430</v>
      </c>
      <c r="N3" s="135" t="s">
        <v>429</v>
      </c>
      <c r="O3" s="135" t="s">
        <v>428</v>
      </c>
      <c r="P3" s="135" t="s">
        <v>427</v>
      </c>
      <c r="Q3" s="135" t="s">
        <v>426</v>
      </c>
      <c r="R3" s="135" t="s">
        <v>425</v>
      </c>
      <c r="S3" s="135" t="s">
        <v>424</v>
      </c>
      <c r="T3" s="135" t="s">
        <v>423</v>
      </c>
    </row>
    <row r="4" spans="1:20" x14ac:dyDescent="0.3">
      <c r="B4" s="100" t="s">
        <v>435</v>
      </c>
      <c r="C4" s="117">
        <v>8.3830358839885815</v>
      </c>
      <c r="D4" s="117">
        <v>9.4549122846191409</v>
      </c>
      <c r="E4" s="117">
        <v>7.9904725452811967</v>
      </c>
      <c r="F4" s="117">
        <v>7.7703277820694137</v>
      </c>
      <c r="G4" s="117">
        <v>8.2040543775696442</v>
      </c>
      <c r="H4" s="117">
        <v>1.5592917761111025</v>
      </c>
      <c r="I4" s="117">
        <v>3.4559881155421022</v>
      </c>
      <c r="J4" s="117">
        <v>3.5439432666766981</v>
      </c>
      <c r="K4" s="138"/>
      <c r="L4" s="151" t="s">
        <v>435</v>
      </c>
      <c r="M4" s="135">
        <v>0.44</v>
      </c>
      <c r="N4" s="135">
        <v>0.43</v>
      </c>
      <c r="O4" s="135">
        <v>0.45</v>
      </c>
      <c r="P4" s="135">
        <v>0.41</v>
      </c>
      <c r="Q4" s="135">
        <v>0.42</v>
      </c>
      <c r="R4" s="135">
        <v>0.01</v>
      </c>
      <c r="S4" s="135">
        <v>0.02</v>
      </c>
      <c r="T4" s="135">
        <v>0.01</v>
      </c>
    </row>
    <row r="5" spans="1:20" x14ac:dyDescent="0.3">
      <c r="B5" s="100" t="s">
        <v>431</v>
      </c>
      <c r="C5" s="117">
        <v>9.6155900286805682</v>
      </c>
      <c r="D5" s="117">
        <v>1.7960754918718824</v>
      </c>
      <c r="E5" s="117">
        <v>9.5639526180169554</v>
      </c>
      <c r="F5" s="117">
        <v>7.2610802333371094</v>
      </c>
      <c r="G5" s="117">
        <v>0.80971436006217834</v>
      </c>
      <c r="H5" s="117">
        <v>1.6939758640662901</v>
      </c>
      <c r="I5" s="117">
        <v>9.7043699931936178E-2</v>
      </c>
      <c r="J5" s="117">
        <v>9.7421891000969065</v>
      </c>
      <c r="K5" s="138"/>
      <c r="L5" s="151" t="s">
        <v>431</v>
      </c>
      <c r="M5" s="135">
        <v>0.3</v>
      </c>
      <c r="N5" s="135">
        <v>0.01</v>
      </c>
      <c r="O5" s="135">
        <v>0.4</v>
      </c>
      <c r="P5" s="135">
        <v>0.4</v>
      </c>
      <c r="Q5" s="135">
        <v>0.01</v>
      </c>
      <c r="R5" s="135">
        <v>-0.11</v>
      </c>
      <c r="S5" s="135">
        <v>-0.21</v>
      </c>
      <c r="T5" s="135">
        <v>0.64</v>
      </c>
    </row>
    <row r="6" spans="1:20" x14ac:dyDescent="0.3">
      <c r="B6" s="100" t="s">
        <v>433</v>
      </c>
      <c r="C6" s="117">
        <v>2.1942233258793484</v>
      </c>
      <c r="D6" s="117">
        <v>8.9183954362339009</v>
      </c>
      <c r="E6" s="117">
        <v>7.73823626817145</v>
      </c>
      <c r="F6" s="117">
        <v>8.2683242546317075</v>
      </c>
      <c r="G6" s="117">
        <v>1.9696006956310628</v>
      </c>
      <c r="H6" s="117">
        <v>8.8390439914554779</v>
      </c>
      <c r="I6" s="117">
        <v>9.642816300900769</v>
      </c>
      <c r="J6" s="117">
        <v>9.5215297487882857</v>
      </c>
      <c r="K6" s="138"/>
      <c r="L6" s="151" t="s">
        <v>433</v>
      </c>
      <c r="M6" s="135">
        <v>0.01</v>
      </c>
      <c r="N6" s="135">
        <v>1</v>
      </c>
      <c r="O6" s="135">
        <v>1</v>
      </c>
      <c r="P6" s="135">
        <v>1</v>
      </c>
      <c r="Q6" s="135">
        <v>0.01</v>
      </c>
      <c r="R6" s="135">
        <v>1</v>
      </c>
      <c r="S6" s="135">
        <v>1</v>
      </c>
      <c r="T6" s="135">
        <v>1</v>
      </c>
    </row>
    <row r="7" spans="1:20" x14ac:dyDescent="0.3">
      <c r="B7" s="100" t="s">
        <v>431</v>
      </c>
      <c r="C7" s="117">
        <v>9.9143793427835512</v>
      </c>
      <c r="D7" s="117">
        <v>3.5545972187087851</v>
      </c>
      <c r="E7" s="117">
        <v>7.6889676697504123</v>
      </c>
      <c r="F7" s="117">
        <v>9.111571487481541</v>
      </c>
      <c r="G7" s="117">
        <v>3.163750294557107</v>
      </c>
      <c r="H7" s="117">
        <v>2.6187607795041652</v>
      </c>
      <c r="I7" s="117">
        <v>3.0428750387995125</v>
      </c>
      <c r="J7" s="117">
        <v>8.0662706623981038</v>
      </c>
      <c r="K7" s="138"/>
      <c r="L7" s="138"/>
      <c r="M7" s="138"/>
      <c r="N7" s="138"/>
      <c r="O7" s="138"/>
      <c r="P7" s="138"/>
      <c r="Q7" s="138"/>
      <c r="R7" s="138"/>
    </row>
    <row r="8" spans="1:20" x14ac:dyDescent="0.3">
      <c r="B8" s="100" t="s">
        <v>435</v>
      </c>
      <c r="C8" s="117">
        <v>8.1285220418221158</v>
      </c>
      <c r="D8" s="117">
        <v>9.7733235994570062</v>
      </c>
      <c r="E8" s="117">
        <v>7.5214279533111164</v>
      </c>
      <c r="F8" s="117">
        <v>9.5069399198799029</v>
      </c>
      <c r="G8" s="117">
        <v>8.4499841614825257</v>
      </c>
      <c r="H8" s="117">
        <v>0.35994856070150894</v>
      </c>
      <c r="I8" s="117">
        <v>1.9026668429663918</v>
      </c>
      <c r="J8" s="117">
        <v>1.1299367690691624</v>
      </c>
      <c r="K8" s="138"/>
      <c r="L8" s="138"/>
      <c r="M8" s="138"/>
      <c r="N8" s="138"/>
      <c r="O8" s="138"/>
      <c r="P8" s="138"/>
      <c r="Q8" s="138"/>
      <c r="R8" s="138"/>
    </row>
    <row r="9" spans="1:20" x14ac:dyDescent="0.3">
      <c r="B9" s="100" t="s">
        <v>431</v>
      </c>
      <c r="C9" s="117">
        <v>7.5424430619961962</v>
      </c>
      <c r="D9" s="117">
        <v>0.94788287939712523</v>
      </c>
      <c r="E9" s="117">
        <v>8.368299684255625</v>
      </c>
      <c r="F9" s="117">
        <v>9.3000642603242696</v>
      </c>
      <c r="G9" s="117">
        <v>2.755584687187127</v>
      </c>
      <c r="H9" s="117">
        <v>0.54197721302143753</v>
      </c>
      <c r="I9" s="117">
        <v>0.43782857199314362</v>
      </c>
      <c r="J9" s="117">
        <v>9.8642442165019286</v>
      </c>
      <c r="K9" s="138"/>
      <c r="L9" s="138"/>
      <c r="M9" s="138"/>
      <c r="N9" s="138"/>
      <c r="O9" s="138"/>
      <c r="P9" s="138"/>
      <c r="Q9" s="138"/>
      <c r="R9" s="138"/>
    </row>
    <row r="10" spans="1:20" x14ac:dyDescent="0.3">
      <c r="B10" s="100" t="s">
        <v>433</v>
      </c>
      <c r="C10" s="117">
        <v>1.7718111172569193</v>
      </c>
      <c r="D10" s="117">
        <v>7.3431955128827315</v>
      </c>
      <c r="E10" s="117">
        <v>7.9247321765696546</v>
      </c>
      <c r="F10" s="117">
        <v>8.7477144669364044</v>
      </c>
      <c r="G10" s="117">
        <v>1.6652346416815944</v>
      </c>
      <c r="H10" s="117">
        <v>9.258663590078001</v>
      </c>
      <c r="I10" s="117">
        <v>9.8824423855965158</v>
      </c>
      <c r="J10" s="117">
        <v>7.8913349673825319</v>
      </c>
      <c r="K10" s="138"/>
      <c r="L10" s="138"/>
      <c r="M10" s="138"/>
      <c r="N10" s="138"/>
      <c r="O10" s="138"/>
      <c r="P10" s="138"/>
      <c r="Q10" s="138"/>
      <c r="R10" s="138"/>
    </row>
    <row r="11" spans="1:20" x14ac:dyDescent="0.3">
      <c r="B11" s="100" t="s">
        <v>431</v>
      </c>
      <c r="C11" s="117">
        <v>7.5555798249028445</v>
      </c>
      <c r="D11" s="117">
        <v>3.1696577139281832</v>
      </c>
      <c r="E11" s="117">
        <v>8.9989805640385878</v>
      </c>
      <c r="F11" s="117">
        <v>7.969513544842985</v>
      </c>
      <c r="G11" s="117">
        <v>3.0368055482694238</v>
      </c>
      <c r="H11" s="117">
        <v>2.1589748386457419</v>
      </c>
      <c r="I11" s="117">
        <v>2.2223466976158686</v>
      </c>
      <c r="J11" s="117">
        <v>9.0078044596646123</v>
      </c>
      <c r="K11" s="138"/>
      <c r="L11" s="138"/>
      <c r="M11" s="138"/>
      <c r="N11" s="138"/>
      <c r="O11" s="138"/>
      <c r="P11" s="138"/>
      <c r="Q11" s="138"/>
      <c r="R11" s="138"/>
    </row>
    <row r="12" spans="1:20" x14ac:dyDescent="0.3">
      <c r="B12" s="100" t="s">
        <v>433</v>
      </c>
      <c r="C12" s="117">
        <v>3.7058239397834041</v>
      </c>
      <c r="D12" s="117">
        <v>7.9632890268409486</v>
      </c>
      <c r="E12" s="117">
        <v>8.4001636679380827</v>
      </c>
      <c r="F12" s="117">
        <v>9.1384346495091933</v>
      </c>
      <c r="G12" s="117">
        <v>2.0446723553787454</v>
      </c>
      <c r="H12" s="117">
        <v>9.2954178220537234</v>
      </c>
      <c r="I12" s="117">
        <v>9.5324206397042079</v>
      </c>
      <c r="J12" s="117">
        <v>7.5623159203789356</v>
      </c>
      <c r="K12" s="138"/>
      <c r="L12" s="138"/>
      <c r="M12" s="138"/>
      <c r="N12" s="138"/>
      <c r="O12" s="138"/>
      <c r="P12" s="138"/>
      <c r="Q12" s="138"/>
      <c r="R12" s="138"/>
    </row>
    <row r="13" spans="1:20" x14ac:dyDescent="0.3">
      <c r="B13" s="100" t="s">
        <v>431</v>
      </c>
      <c r="C13" s="117">
        <v>9.0599452193721852</v>
      </c>
      <c r="D13" s="117">
        <v>8.772631900141592E-2</v>
      </c>
      <c r="E13" s="117">
        <v>9.6495084391913188</v>
      </c>
      <c r="F13" s="117">
        <v>8.3025958296002464</v>
      </c>
      <c r="G13" s="117">
        <v>3.7980360979010057</v>
      </c>
      <c r="H13" s="117">
        <v>1.6875586195325711</v>
      </c>
      <c r="I13" s="117">
        <v>1.1630277152193362</v>
      </c>
      <c r="J13" s="117">
        <v>9.5301503406658874</v>
      </c>
      <c r="K13" s="138"/>
      <c r="L13" s="138"/>
      <c r="M13" s="138"/>
      <c r="N13" s="138"/>
      <c r="O13" s="138"/>
      <c r="P13" s="138"/>
      <c r="Q13" s="138"/>
      <c r="R13" s="138"/>
    </row>
    <row r="14" spans="1:20" x14ac:dyDescent="0.3">
      <c r="B14" s="100" t="s">
        <v>431</v>
      </c>
      <c r="C14" s="117">
        <v>7.179188523090505</v>
      </c>
      <c r="D14" s="117">
        <v>3.1187127617381725</v>
      </c>
      <c r="E14" s="117">
        <v>8.7800873440943672</v>
      </c>
      <c r="F14" s="117">
        <v>9.6732296618491738</v>
      </c>
      <c r="G14" s="117">
        <v>1.8974973729594891</v>
      </c>
      <c r="H14" s="117">
        <v>2.6354871228391432</v>
      </c>
      <c r="I14" s="117">
        <v>0.40291506914261177</v>
      </c>
      <c r="J14" s="117">
        <v>9.6684701383460112</v>
      </c>
      <c r="K14" s="138"/>
      <c r="L14" s="138"/>
      <c r="M14" s="138"/>
      <c r="N14" s="138"/>
      <c r="O14" s="138"/>
      <c r="P14" s="138"/>
      <c r="Q14" s="138"/>
      <c r="R14" s="138"/>
    </row>
    <row r="15" spans="1:20" x14ac:dyDescent="0.3">
      <c r="B15" s="100" t="s">
        <v>435</v>
      </c>
      <c r="C15" s="117">
        <v>7.3641537773670471</v>
      </c>
      <c r="D15" s="117">
        <v>9.0311082781393477</v>
      </c>
      <c r="E15" s="117">
        <v>8.9578093982371847</v>
      </c>
      <c r="F15" s="117">
        <v>9.6997369638997348</v>
      </c>
      <c r="G15" s="117">
        <v>8.747485732284435</v>
      </c>
      <c r="H15" s="117">
        <v>2.1446014265262674</v>
      </c>
      <c r="I15" s="117">
        <v>3.9042809837607049</v>
      </c>
      <c r="J15" s="117">
        <v>2.7510282694600585</v>
      </c>
      <c r="K15" s="138"/>
      <c r="L15" s="138"/>
      <c r="M15" s="138"/>
      <c r="N15" s="138"/>
      <c r="O15" s="138"/>
      <c r="P15" s="138"/>
      <c r="Q15" s="138"/>
      <c r="R15" s="138"/>
    </row>
    <row r="16" spans="1:20" x14ac:dyDescent="0.3">
      <c r="B16" s="100" t="s">
        <v>433</v>
      </c>
      <c r="C16" s="117">
        <v>1.6995180776384395</v>
      </c>
      <c r="D16" s="117">
        <v>8.3911339886788614</v>
      </c>
      <c r="E16" s="117">
        <v>9.2493943825508751</v>
      </c>
      <c r="F16" s="117">
        <v>7.2954042134389727</v>
      </c>
      <c r="G16" s="117">
        <v>0.89520256510558793</v>
      </c>
      <c r="H16" s="117">
        <v>9.3856463102615297</v>
      </c>
      <c r="I16" s="117">
        <v>8.0973997540028524</v>
      </c>
      <c r="J16" s="117">
        <v>7.4028696961109155</v>
      </c>
      <c r="K16" s="138"/>
      <c r="L16" s="138"/>
      <c r="M16" s="138"/>
      <c r="N16" s="138"/>
      <c r="O16" s="138"/>
      <c r="P16" s="138"/>
      <c r="Q16" s="138"/>
      <c r="R16" s="138"/>
    </row>
    <row r="17" spans="2:18" x14ac:dyDescent="0.3">
      <c r="B17" s="100" t="s">
        <v>433</v>
      </c>
      <c r="C17" s="117">
        <v>2.6514857056768157</v>
      </c>
      <c r="D17" s="117">
        <v>9.5752152034001128</v>
      </c>
      <c r="E17" s="117">
        <v>8.1608317352358011</v>
      </c>
      <c r="F17" s="117">
        <v>8.4887864157349746</v>
      </c>
      <c r="G17" s="117">
        <v>2.5977764000618269</v>
      </c>
      <c r="H17" s="117">
        <v>7.0070896682909618</v>
      </c>
      <c r="I17" s="117">
        <v>8.8166445524226358</v>
      </c>
      <c r="J17" s="117">
        <v>8.9929158422858784</v>
      </c>
      <c r="K17" s="138"/>
      <c r="L17" s="138"/>
      <c r="M17" s="138"/>
      <c r="N17" s="138"/>
      <c r="O17" s="138"/>
      <c r="P17" s="138"/>
      <c r="Q17" s="138"/>
      <c r="R17" s="138"/>
    </row>
    <row r="18" spans="2:18" x14ac:dyDescent="0.3">
      <c r="B18" s="100" t="s">
        <v>435</v>
      </c>
      <c r="C18" s="117">
        <v>7.4061269602946931</v>
      </c>
      <c r="D18" s="117">
        <v>8.523800770350956</v>
      </c>
      <c r="E18" s="117">
        <v>8.6676781623768058</v>
      </c>
      <c r="F18" s="117">
        <v>7.8368335283808133</v>
      </c>
      <c r="G18" s="117">
        <v>9.9584137559025621</v>
      </c>
      <c r="H18" s="117">
        <v>2.5368405911727847</v>
      </c>
      <c r="I18" s="117">
        <v>1.0448706331487054</v>
      </c>
      <c r="J18" s="117">
        <v>3.4220192283177568</v>
      </c>
      <c r="K18" s="138"/>
      <c r="L18" s="138"/>
      <c r="M18" s="138"/>
      <c r="N18" s="138"/>
      <c r="O18" s="138"/>
      <c r="P18" s="138"/>
      <c r="Q18" s="138"/>
      <c r="R18" s="138"/>
    </row>
    <row r="19" spans="2:18" x14ac:dyDescent="0.3">
      <c r="B19" s="100" t="s">
        <v>433</v>
      </c>
      <c r="C19" s="117">
        <v>0.30882664127743498</v>
      </c>
      <c r="D19" s="117">
        <v>9.1182257726070794</v>
      </c>
      <c r="E19" s="117">
        <v>8.0140777885987369</v>
      </c>
      <c r="F19" s="117">
        <v>8.4101955221332769</v>
      </c>
      <c r="G19" s="117">
        <v>1.6049423986086859</v>
      </c>
      <c r="H19" s="117">
        <v>7.1654353766429359</v>
      </c>
      <c r="I19" s="117">
        <v>7.0408098762794138</v>
      </c>
      <c r="J19" s="117">
        <v>7.28151545860515</v>
      </c>
      <c r="K19" s="138"/>
      <c r="L19" s="138"/>
      <c r="M19" s="138"/>
      <c r="N19" s="138"/>
      <c r="O19" s="138"/>
      <c r="P19" s="138"/>
      <c r="Q19" s="138"/>
      <c r="R19" s="138"/>
    </row>
    <row r="20" spans="2:18" x14ac:dyDescent="0.3">
      <c r="B20" s="100" t="s">
        <v>431</v>
      </c>
      <c r="C20" s="117">
        <v>7.5512321546014727</v>
      </c>
      <c r="D20" s="117">
        <v>2.8729878528944135</v>
      </c>
      <c r="E20" s="117">
        <v>7.5651188544811063</v>
      </c>
      <c r="F20" s="117">
        <v>7.7666265788907918</v>
      </c>
      <c r="G20" s="117">
        <v>0.31136992303303712</v>
      </c>
      <c r="H20" s="117">
        <v>8.3635300924818079E-2</v>
      </c>
      <c r="I20" s="117">
        <v>3.1480381217234115</v>
      </c>
      <c r="J20" s="117">
        <v>9.6417051620523608</v>
      </c>
      <c r="K20" s="138"/>
      <c r="L20" s="138"/>
      <c r="M20" s="138"/>
      <c r="N20" s="138"/>
      <c r="O20" s="138"/>
      <c r="P20" s="138"/>
      <c r="Q20" s="138"/>
      <c r="R20" s="138"/>
    </row>
    <row r="21" spans="2:18" x14ac:dyDescent="0.3">
      <c r="B21" s="100" t="s">
        <v>431</v>
      </c>
      <c r="C21" s="117">
        <v>7.2566542520951671</v>
      </c>
      <c r="D21" s="117">
        <v>3.7418812931370522</v>
      </c>
      <c r="E21" s="117">
        <v>8.4883664343264673</v>
      </c>
      <c r="F21" s="117">
        <v>9.3188663477703191</v>
      </c>
      <c r="G21" s="117">
        <v>3.8813037468867635</v>
      </c>
      <c r="H21" s="117">
        <v>2.163563531719555</v>
      </c>
      <c r="I21" s="117">
        <v>3.1601653152397144</v>
      </c>
      <c r="J21" s="117">
        <v>9.0687057202135755</v>
      </c>
      <c r="K21" s="138"/>
      <c r="L21" s="138"/>
      <c r="M21" s="138"/>
      <c r="N21" s="138"/>
      <c r="O21" s="138"/>
      <c r="P21" s="138"/>
      <c r="Q21" s="138"/>
      <c r="R21" s="138"/>
    </row>
    <row r="22" spans="2:18" x14ac:dyDescent="0.3">
      <c r="B22" s="100" t="s">
        <v>433</v>
      </c>
      <c r="C22" s="117">
        <v>1.1714130855975782</v>
      </c>
      <c r="D22" s="117">
        <v>7.3762558215199325</v>
      </c>
      <c r="E22" s="117">
        <v>8.3339708154616883</v>
      </c>
      <c r="F22" s="117">
        <v>8.437109801303988</v>
      </c>
      <c r="G22" s="117">
        <v>3.4995369008519064</v>
      </c>
      <c r="H22" s="117">
        <v>9.1317266599537863</v>
      </c>
      <c r="I22" s="117">
        <v>9.4415684601769971</v>
      </c>
      <c r="J22" s="117">
        <v>8.5410837369429924</v>
      </c>
      <c r="K22" s="138"/>
      <c r="L22" s="138"/>
      <c r="M22" s="138"/>
      <c r="N22" s="138"/>
      <c r="O22" s="138"/>
      <c r="P22" s="138"/>
      <c r="Q22" s="138"/>
      <c r="R22" s="138"/>
    </row>
    <row r="23" spans="2:18" x14ac:dyDescent="0.3">
      <c r="B23" s="100" t="s">
        <v>431</v>
      </c>
      <c r="C23" s="117">
        <v>9.4056140264459813</v>
      </c>
      <c r="D23" s="117">
        <v>2.5918487756174731</v>
      </c>
      <c r="E23" s="117">
        <v>7.2315224459411489</v>
      </c>
      <c r="F23" s="117">
        <v>9.3724381040078377</v>
      </c>
      <c r="G23" s="117">
        <v>3.9626993887393258</v>
      </c>
      <c r="H23" s="117">
        <v>0.15036210720714216</v>
      </c>
      <c r="I23" s="117">
        <v>1.2605288433505217</v>
      </c>
      <c r="J23" s="117">
        <v>7.6882005690349224</v>
      </c>
      <c r="K23" s="138"/>
      <c r="L23" s="138"/>
      <c r="M23" s="138"/>
      <c r="N23" s="138"/>
      <c r="O23" s="138"/>
      <c r="P23" s="138"/>
      <c r="Q23" s="138"/>
      <c r="R23" s="138"/>
    </row>
    <row r="24" spans="2:18" x14ac:dyDescent="0.3">
      <c r="B24" s="100" t="s">
        <v>431</v>
      </c>
      <c r="C24" s="117">
        <v>7.1891996750154865</v>
      </c>
      <c r="D24" s="117">
        <v>0.36262515116013194</v>
      </c>
      <c r="E24" s="117">
        <v>7.1422119999396569</v>
      </c>
      <c r="F24" s="117">
        <v>7.643731721082478</v>
      </c>
      <c r="G24" s="117">
        <v>2.5412411058806867</v>
      </c>
      <c r="H24" s="117">
        <v>3.0926968175265936</v>
      </c>
      <c r="I24" s="117">
        <v>1.4472444649994411</v>
      </c>
      <c r="J24" s="117">
        <v>9.5754126160592445</v>
      </c>
      <c r="K24" s="138"/>
      <c r="L24" s="138"/>
      <c r="M24" s="138"/>
      <c r="N24" s="138"/>
      <c r="O24" s="138"/>
      <c r="P24" s="138"/>
      <c r="Q24" s="138"/>
      <c r="R24" s="138"/>
    </row>
    <row r="25" spans="2:18" x14ac:dyDescent="0.3">
      <c r="B25" s="100" t="s">
        <v>435</v>
      </c>
      <c r="C25" s="117">
        <v>7.665873682129436</v>
      </c>
      <c r="D25" s="117">
        <v>8.3556834242560285</v>
      </c>
      <c r="E25" s="117">
        <v>7.9585302582038278</v>
      </c>
      <c r="F25" s="117">
        <v>7.3425082423930688</v>
      </c>
      <c r="G25" s="117">
        <v>8.358891927797135</v>
      </c>
      <c r="H25" s="117">
        <v>2.5760006720134476</v>
      </c>
      <c r="I25" s="117">
        <v>1.6365741631903745</v>
      </c>
      <c r="J25" s="117">
        <v>1.4811107770245422</v>
      </c>
      <c r="K25" s="138"/>
      <c r="L25" s="138"/>
      <c r="M25" s="138"/>
      <c r="N25" s="138"/>
      <c r="O25" s="138"/>
      <c r="P25" s="138"/>
      <c r="Q25" s="138"/>
      <c r="R25" s="138"/>
    </row>
    <row r="26" spans="2:18" x14ac:dyDescent="0.3">
      <c r="B26" s="100" t="s">
        <v>433</v>
      </c>
      <c r="C26" s="117">
        <v>1.3984516223069039</v>
      </c>
      <c r="D26" s="117">
        <v>8.5736414898296225</v>
      </c>
      <c r="E26" s="117">
        <v>8.6206850373658384</v>
      </c>
      <c r="F26" s="117">
        <v>8.960533002021343</v>
      </c>
      <c r="G26" s="117">
        <v>2.1153897911914119</v>
      </c>
      <c r="H26" s="117">
        <v>7.5663140458935132</v>
      </c>
      <c r="I26" s="117">
        <v>9.2857837021620444</v>
      </c>
      <c r="J26" s="117">
        <v>9.3145876292111893</v>
      </c>
      <c r="K26" s="138"/>
      <c r="L26" s="138"/>
      <c r="M26" s="138"/>
      <c r="N26" s="138"/>
      <c r="O26" s="138"/>
      <c r="P26" s="138"/>
      <c r="Q26" s="138"/>
      <c r="R26" s="138"/>
    </row>
    <row r="27" spans="2:18" x14ac:dyDescent="0.3">
      <c r="B27" s="100" t="s">
        <v>433</v>
      </c>
      <c r="C27" s="117">
        <v>1.6113208235859706</v>
      </c>
      <c r="D27" s="117">
        <v>9.4003297828057146</v>
      </c>
      <c r="E27" s="117">
        <v>7.658626696454844</v>
      </c>
      <c r="F27" s="117">
        <v>8.7169933721635182</v>
      </c>
      <c r="G27" s="117">
        <v>1.8821113614122034</v>
      </c>
      <c r="H27" s="117">
        <v>9.5347022508583557</v>
      </c>
      <c r="I27" s="117">
        <v>8.5874468142672402</v>
      </c>
      <c r="J27" s="117">
        <v>9.602134456695655</v>
      </c>
      <c r="K27" s="138"/>
      <c r="L27" s="138"/>
      <c r="M27" s="138"/>
      <c r="N27" s="138"/>
      <c r="O27" s="138"/>
      <c r="P27" s="138"/>
      <c r="Q27" s="138"/>
      <c r="R27" s="138"/>
    </row>
  </sheetData>
  <dataConsolidate/>
  <conditionalFormatting sqref="C4:J27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9DC55-5330-3540-B6AE-5196B3E0F45E}">
  <sheetPr codeName="Sheet78">
    <tabColor rgb="FFFF0000"/>
  </sheetPr>
  <dimension ref="B2:B10"/>
  <sheetViews>
    <sheetView workbookViewId="0">
      <selection activeCell="E8" sqref="E8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448</v>
      </c>
    </row>
    <row r="4" spans="2:2" x14ac:dyDescent="0.3">
      <c r="B4" s="1" t="s">
        <v>447</v>
      </c>
    </row>
    <row r="6" spans="2:2" x14ac:dyDescent="0.3">
      <c r="B6" s="1" t="s">
        <v>446</v>
      </c>
    </row>
    <row r="8" spans="2:2" x14ac:dyDescent="0.3">
      <c r="B8" s="1" t="s">
        <v>445</v>
      </c>
    </row>
    <row r="10" spans="2:2" x14ac:dyDescent="0.3">
      <c r="B10" s="1" t="s">
        <v>444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BE21F-0FB6-E146-96C5-53B8FF58D0F9}">
  <sheetPr codeName="Sheet79">
    <tabColor rgb="FFFF0000"/>
  </sheetPr>
  <dimension ref="A1"/>
  <sheetViews>
    <sheetView workbookViewId="0">
      <selection activeCell="E8" sqref="E8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11C84-1CC7-7F44-A6F8-5A62A92902B5}">
  <sheetPr codeName="Sheet80">
    <tabColor rgb="FFFF0000"/>
  </sheetPr>
  <dimension ref="B2:B3"/>
  <sheetViews>
    <sheetView workbookViewId="0">
      <selection activeCell="E8" sqref="E8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450</v>
      </c>
    </row>
    <row r="3" spans="2:2" x14ac:dyDescent="0.3">
      <c r="B3" s="3" t="s">
        <v>449</v>
      </c>
    </row>
  </sheetData>
  <hyperlinks>
    <hyperlink ref="B3" r:id="rId1" xr:uid="{4DC8AD5F-B2C3-4542-A72E-D95067735FD3}"/>
  </hyperlink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125E6-9865-1D42-9DB1-5DF99ADF8537}">
  <sheetPr codeName="Sheet38">
    <tabColor rgb="FF002060"/>
  </sheetPr>
  <dimension ref="A1:A6"/>
  <sheetViews>
    <sheetView workbookViewId="0">
      <selection activeCell="B9" sqref="B9"/>
    </sheetView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ht="26" x14ac:dyDescent="0.3">
      <c r="A1" s="1" t="s">
        <v>486</v>
      </c>
    </row>
    <row r="2" spans="1:1" ht="26" x14ac:dyDescent="0.3">
      <c r="A2" s="1" t="s">
        <v>487</v>
      </c>
    </row>
    <row r="3" spans="1:1" ht="26" x14ac:dyDescent="0.3">
      <c r="A3" s="1" t="s">
        <v>488</v>
      </c>
    </row>
    <row r="4" spans="1:1" ht="26" x14ac:dyDescent="0.3">
      <c r="A4" s="1" t="s">
        <v>489</v>
      </c>
    </row>
    <row r="5" spans="1:1" ht="26" x14ac:dyDescent="0.3">
      <c r="A5" s="1" t="s">
        <v>490</v>
      </c>
    </row>
    <row r="6" spans="1:1" ht="26" x14ac:dyDescent="0.3">
      <c r="A6" s="1" t="s">
        <v>491</v>
      </c>
    </row>
  </sheetData>
  <phoneticPr fontId="7" type="noConversion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2C175-9D1E-EE44-BC14-B0E71F752C59}">
  <sheetPr codeName="Sheet31">
    <tabColor rgb="FF92D050"/>
  </sheetPr>
  <dimension ref="A1:B17"/>
  <sheetViews>
    <sheetView workbookViewId="0"/>
  </sheetViews>
  <sheetFormatPr baseColWidth="10" defaultRowHeight="26" x14ac:dyDescent="0.3"/>
  <cols>
    <col min="1" max="1" width="24.83203125" style="1" bestFit="1" customWidth="1"/>
    <col min="2" max="2" width="23.33203125" style="1" bestFit="1" customWidth="1"/>
    <col min="3" max="16384" width="10.83203125" style="1"/>
  </cols>
  <sheetData>
    <row r="1" spans="1:2" x14ac:dyDescent="0.3">
      <c r="A1" s="1" t="s">
        <v>479</v>
      </c>
      <c r="B1" s="1" t="s">
        <v>480</v>
      </c>
    </row>
    <row r="2" spans="1:2" x14ac:dyDescent="0.3">
      <c r="A2" s="1" t="s">
        <v>481</v>
      </c>
      <c r="B2" s="1" t="s">
        <v>465</v>
      </c>
    </row>
    <row r="3" spans="1:2" x14ac:dyDescent="0.3">
      <c r="A3" s="1" t="s">
        <v>481</v>
      </c>
      <c r="B3" s="1" t="s">
        <v>466</v>
      </c>
    </row>
    <row r="4" spans="1:2" x14ac:dyDescent="0.3">
      <c r="A4" s="1" t="s">
        <v>481</v>
      </c>
      <c r="B4" s="1" t="s">
        <v>467</v>
      </c>
    </row>
    <row r="5" spans="1:2" x14ac:dyDescent="0.3">
      <c r="A5" s="1" t="s">
        <v>482</v>
      </c>
      <c r="B5" s="1" t="s">
        <v>465</v>
      </c>
    </row>
    <row r="6" spans="1:2" x14ac:dyDescent="0.3">
      <c r="A6" s="1" t="s">
        <v>482</v>
      </c>
      <c r="B6" s="1" t="s">
        <v>468</v>
      </c>
    </row>
    <row r="7" spans="1:2" x14ac:dyDescent="0.3">
      <c r="A7" s="1" t="s">
        <v>482</v>
      </c>
      <c r="B7" s="1" t="s">
        <v>469</v>
      </c>
    </row>
    <row r="8" spans="1:2" x14ac:dyDescent="0.3">
      <c r="A8" s="1" t="s">
        <v>482</v>
      </c>
      <c r="B8" s="1" t="s">
        <v>470</v>
      </c>
    </row>
    <row r="9" spans="1:2" x14ac:dyDescent="0.3">
      <c r="A9" s="1" t="s">
        <v>483</v>
      </c>
      <c r="B9" s="1" t="s">
        <v>465</v>
      </c>
    </row>
    <row r="10" spans="1:2" x14ac:dyDescent="0.3">
      <c r="A10" s="1" t="s">
        <v>483</v>
      </c>
      <c r="B10" s="1" t="s">
        <v>466</v>
      </c>
    </row>
    <row r="11" spans="1:2" x14ac:dyDescent="0.3">
      <c r="A11" s="1" t="s">
        <v>483</v>
      </c>
      <c r="B11" s="1" t="s">
        <v>470</v>
      </c>
    </row>
    <row r="12" spans="1:2" x14ac:dyDescent="0.3">
      <c r="A12" s="1" t="s">
        <v>484</v>
      </c>
      <c r="B12" s="1" t="s">
        <v>467</v>
      </c>
    </row>
    <row r="13" spans="1:2" x14ac:dyDescent="0.3">
      <c r="A13" s="1" t="s">
        <v>484</v>
      </c>
      <c r="B13" s="1" t="s">
        <v>468</v>
      </c>
    </row>
    <row r="14" spans="1:2" x14ac:dyDescent="0.3">
      <c r="A14" s="1" t="s">
        <v>484</v>
      </c>
      <c r="B14" s="1" t="s">
        <v>469</v>
      </c>
    </row>
    <row r="15" spans="1:2" x14ac:dyDescent="0.3">
      <c r="A15" s="1" t="s">
        <v>485</v>
      </c>
      <c r="B15" s="1" t="s">
        <v>465</v>
      </c>
    </row>
    <row r="16" spans="1:2" x14ac:dyDescent="0.3">
      <c r="A16" s="1" t="s">
        <v>485</v>
      </c>
      <c r="B16" s="1" t="s">
        <v>466</v>
      </c>
    </row>
    <row r="17" spans="1:2" x14ac:dyDescent="0.3">
      <c r="A17" s="1" t="s">
        <v>485</v>
      </c>
      <c r="B17" s="1" t="s">
        <v>467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74CA-8A82-6147-A5A0-E5371C7855B9}">
  <sheetPr codeName="Sheet59">
    <tabColor rgb="FF92D050"/>
  </sheetPr>
  <dimension ref="A1:D5"/>
  <sheetViews>
    <sheetView workbookViewId="0"/>
  </sheetViews>
  <sheetFormatPr baseColWidth="10" defaultRowHeight="26" x14ac:dyDescent="0.3"/>
  <cols>
    <col min="1" max="1" width="12.1640625" style="1" bestFit="1" customWidth="1"/>
    <col min="2" max="2" width="23.33203125" style="1" bestFit="1" customWidth="1"/>
    <col min="3" max="4" width="16.6640625" style="1" bestFit="1" customWidth="1"/>
    <col min="5" max="5" width="9.5" style="1" bestFit="1" customWidth="1"/>
    <col min="6" max="6" width="10" style="1" bestFit="1" customWidth="1"/>
    <col min="7" max="16384" width="10.83203125" style="1"/>
  </cols>
  <sheetData>
    <row r="1" spans="1:4" x14ac:dyDescent="0.3">
      <c r="A1" s="1" t="s">
        <v>465</v>
      </c>
      <c r="B1" s="1" t="s">
        <v>466</v>
      </c>
      <c r="C1" s="1" t="s">
        <v>467</v>
      </c>
    </row>
    <row r="2" spans="1:4" x14ac:dyDescent="0.3">
      <c r="A2" s="1" t="s">
        <v>465</v>
      </c>
      <c r="B2" s="1" t="s">
        <v>468</v>
      </c>
      <c r="C2" s="1" t="s">
        <v>469</v>
      </c>
      <c r="D2" s="1" t="s">
        <v>470</v>
      </c>
    </row>
    <row r="3" spans="1:4" x14ac:dyDescent="0.3">
      <c r="A3" s="1" t="s">
        <v>465</v>
      </c>
      <c r="B3" s="1" t="s">
        <v>466</v>
      </c>
      <c r="C3" s="1" t="s">
        <v>470</v>
      </c>
    </row>
    <row r="4" spans="1:4" x14ac:dyDescent="0.3">
      <c r="A4" s="1" t="s">
        <v>467</v>
      </c>
      <c r="B4" s="1" t="s">
        <v>468</v>
      </c>
      <c r="C4" s="1" t="s">
        <v>469</v>
      </c>
    </row>
    <row r="5" spans="1:4" x14ac:dyDescent="0.3">
      <c r="A5" s="1" t="s">
        <v>465</v>
      </c>
      <c r="B5" s="1" t="s">
        <v>466</v>
      </c>
      <c r="C5" s="1" t="s">
        <v>467</v>
      </c>
    </row>
  </sheetData>
  <pageMargins left="0.7" right="0.7" top="0.75" bottom="0.75" header="0.3" footer="0.3"/>
  <pageSetup orientation="portrait" horizontalDpi="0" verticalDpi="0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5E619-02C0-7C42-BC7D-7396903DEC36}">
  <sheetPr codeName="Sheet60">
    <tabColor rgb="FF92D050"/>
  </sheetPr>
  <dimension ref="A1:A5"/>
  <sheetViews>
    <sheetView workbookViewId="0"/>
  </sheetViews>
  <sheetFormatPr baseColWidth="10" defaultRowHeight="26" x14ac:dyDescent="0.3"/>
  <cols>
    <col min="1" max="1" width="12.1640625" style="1" bestFit="1" customWidth="1"/>
    <col min="2" max="2" width="23.33203125" style="1" bestFit="1" customWidth="1"/>
    <col min="3" max="4" width="16.6640625" style="1" bestFit="1" customWidth="1"/>
    <col min="5" max="5" width="9.5" style="1" bestFit="1" customWidth="1"/>
    <col min="6" max="6" width="10" style="1" bestFit="1" customWidth="1"/>
    <col min="7" max="16384" width="10.83203125" style="1"/>
  </cols>
  <sheetData>
    <row r="1" spans="1:1" x14ac:dyDescent="0.3">
      <c r="A1" s="1" t="s">
        <v>459</v>
      </c>
    </row>
    <row r="2" spans="1:1" x14ac:dyDescent="0.3">
      <c r="A2" s="1" t="s">
        <v>460</v>
      </c>
    </row>
    <row r="3" spans="1:1" x14ac:dyDescent="0.3">
      <c r="A3" s="1" t="s">
        <v>461</v>
      </c>
    </row>
    <row r="4" spans="1:1" x14ac:dyDescent="0.3">
      <c r="A4" s="1" t="s">
        <v>462</v>
      </c>
    </row>
    <row r="5" spans="1:1" x14ac:dyDescent="0.3">
      <c r="A5" s="1" t="s">
        <v>459</v>
      </c>
    </row>
  </sheetData>
  <pageMargins left="0.7" right="0.7" top="0.75" bottom="0.75" header="0.3" footer="0.3"/>
  <pageSetup orientation="portrait" horizontalDpi="0" verticalDpi="0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C3DB-BF56-054B-8687-97E3794E63DB}">
  <sheetPr codeName="Sheet87">
    <tabColor rgb="FF92D050"/>
  </sheetPr>
  <dimension ref="B2:J28"/>
  <sheetViews>
    <sheetView zoomScale="70" zoomScaleNormal="70" zoomScalePageLayoutView="70" workbookViewId="0"/>
  </sheetViews>
  <sheetFormatPr baseColWidth="10" defaultColWidth="21.83203125" defaultRowHeight="26" x14ac:dyDescent="0.3"/>
  <cols>
    <col min="1" max="1" width="21.83203125" style="152"/>
    <col min="2" max="2" width="12.6640625" style="152" bestFit="1" customWidth="1"/>
    <col min="3" max="16384" width="21.83203125" style="152"/>
  </cols>
  <sheetData>
    <row r="2" spans="4:10" x14ac:dyDescent="0.3">
      <c r="D2" s="152" t="s">
        <v>463</v>
      </c>
    </row>
    <row r="3" spans="4:10" x14ac:dyDescent="0.3">
      <c r="D3" s="153" t="s">
        <v>464</v>
      </c>
      <c r="E3" s="153" t="s">
        <v>465</v>
      </c>
      <c r="F3" s="153" t="s">
        <v>466</v>
      </c>
      <c r="G3" s="153" t="s">
        <v>467</v>
      </c>
      <c r="H3" s="153" t="s">
        <v>468</v>
      </c>
      <c r="I3" s="153" t="s">
        <v>469</v>
      </c>
      <c r="J3" s="153" t="s">
        <v>470</v>
      </c>
    </row>
    <row r="4" spans="4:10" x14ac:dyDescent="0.3">
      <c r="D4" s="154" t="s">
        <v>471</v>
      </c>
      <c r="E4" s="154">
        <v>1</v>
      </c>
      <c r="F4" s="154">
        <v>1</v>
      </c>
      <c r="G4" s="154">
        <v>1</v>
      </c>
      <c r="H4" s="154">
        <v>0</v>
      </c>
      <c r="I4" s="154">
        <v>0</v>
      </c>
      <c r="J4" s="154">
        <v>0</v>
      </c>
    </row>
    <row r="5" spans="4:10" x14ac:dyDescent="0.3">
      <c r="D5" s="154" t="s">
        <v>472</v>
      </c>
      <c r="E5" s="154">
        <v>1</v>
      </c>
      <c r="F5" s="154">
        <v>0</v>
      </c>
      <c r="G5" s="154">
        <v>0</v>
      </c>
      <c r="H5" s="154">
        <v>1</v>
      </c>
      <c r="I5" s="154">
        <v>1</v>
      </c>
      <c r="J5" s="154">
        <v>1</v>
      </c>
    </row>
    <row r="6" spans="4:10" x14ac:dyDescent="0.3">
      <c r="D6" s="154" t="s">
        <v>473</v>
      </c>
      <c r="E6" s="154">
        <v>1</v>
      </c>
      <c r="F6" s="154">
        <v>1</v>
      </c>
      <c r="G6" s="154">
        <v>0</v>
      </c>
      <c r="H6" s="154">
        <v>0</v>
      </c>
      <c r="I6" s="154">
        <v>0</v>
      </c>
      <c r="J6" s="154">
        <v>1</v>
      </c>
    </row>
    <row r="7" spans="4:10" x14ac:dyDescent="0.3">
      <c r="D7" s="154" t="s">
        <v>474</v>
      </c>
      <c r="E7" s="154">
        <v>0</v>
      </c>
      <c r="F7" s="154">
        <v>0</v>
      </c>
      <c r="G7" s="154">
        <v>1</v>
      </c>
      <c r="H7" s="154">
        <v>1</v>
      </c>
      <c r="I7" s="154">
        <v>1</v>
      </c>
      <c r="J7" s="154">
        <v>0</v>
      </c>
    </row>
    <row r="8" spans="4:10" x14ac:dyDescent="0.3">
      <c r="D8" s="154" t="s">
        <v>475</v>
      </c>
      <c r="E8" s="154">
        <v>1</v>
      </c>
      <c r="F8" s="154">
        <v>1</v>
      </c>
      <c r="G8" s="154">
        <v>1</v>
      </c>
      <c r="H8" s="154">
        <v>0</v>
      </c>
      <c r="I8" s="154">
        <v>0</v>
      </c>
      <c r="J8" s="154">
        <v>0</v>
      </c>
    </row>
    <row r="9" spans="4:10" x14ac:dyDescent="0.3">
      <c r="D9" s="152" t="s">
        <v>476</v>
      </c>
      <c r="E9" s="155">
        <f t="shared" ref="E9:J9" si="0">SUM(E4:E8)</f>
        <v>4</v>
      </c>
      <c r="F9" s="155">
        <f t="shared" si="0"/>
        <v>3</v>
      </c>
      <c r="G9" s="155">
        <f t="shared" si="0"/>
        <v>3</v>
      </c>
      <c r="H9" s="155">
        <f t="shared" si="0"/>
        <v>2</v>
      </c>
      <c r="I9" s="155">
        <f t="shared" si="0"/>
        <v>2</v>
      </c>
      <c r="J9" s="155">
        <f t="shared" si="0"/>
        <v>2</v>
      </c>
    </row>
    <row r="12" spans="4:10" x14ac:dyDescent="0.3">
      <c r="D12" s="152" t="s">
        <v>477</v>
      </c>
      <c r="E12" s="153" t="s">
        <v>465</v>
      </c>
      <c r="F12" s="153" t="s">
        <v>466</v>
      </c>
      <c r="G12" s="153" t="s">
        <v>467</v>
      </c>
      <c r="H12" s="153" t="s">
        <v>468</v>
      </c>
      <c r="I12" s="153" t="s">
        <v>469</v>
      </c>
      <c r="J12" s="153" t="s">
        <v>470</v>
      </c>
    </row>
    <row r="13" spans="4:10" x14ac:dyDescent="0.3">
      <c r="D13" s="153" t="s">
        <v>465</v>
      </c>
      <c r="E13" s="156" cm="1">
        <f t="array" aca="1" ref="E13" ca="1">SUM(INDIRECT($D13)*INDIRECT(E$12))/SUM(INDIRECT(E$12))</f>
        <v>1</v>
      </c>
      <c r="F13" s="156" cm="1">
        <f t="array" aca="1" ref="F13" ca="1">SUM(INDIRECT($D13)*INDIRECT(F$12))/SUM(INDIRECT(F$12))</f>
        <v>1</v>
      </c>
      <c r="G13" s="156" cm="1">
        <f t="array" aca="1" ref="G13" ca="1">SUM(INDIRECT($D13)*INDIRECT(G$12))/SUM(INDIRECT(G$12))</f>
        <v>0.66666666666666663</v>
      </c>
      <c r="H13" s="156" cm="1">
        <f t="array" aca="1" ref="H13" ca="1">SUM(INDIRECT($D13)*INDIRECT(H$12))/SUM(INDIRECT(H$12))</f>
        <v>0.5</v>
      </c>
      <c r="I13" s="156" cm="1">
        <f t="array" aca="1" ref="I13" ca="1">SUM(INDIRECT($D13)*INDIRECT(I$12))/SUM(INDIRECT(I$12))</f>
        <v>0.5</v>
      </c>
      <c r="J13" s="156" cm="1">
        <f t="array" aca="1" ref="J13" ca="1">SUM(INDIRECT($D13)*INDIRECT(J$12))/SUM(INDIRECT(J$12))</f>
        <v>1</v>
      </c>
    </row>
    <row r="14" spans="4:10" x14ac:dyDescent="0.3">
      <c r="D14" s="153" t="s">
        <v>466</v>
      </c>
      <c r="E14" s="156" cm="1">
        <f t="array" aca="1" ref="E14" ca="1">SUM(INDIRECT($D14)*INDIRECT(E$12))/SUM(INDIRECT(E$12))</f>
        <v>0.75</v>
      </c>
      <c r="F14" s="156" cm="1">
        <f t="array" aca="1" ref="F14" ca="1">SUM(INDIRECT($D14)*INDIRECT(F$12))/SUM(INDIRECT(F$12))</f>
        <v>1</v>
      </c>
      <c r="G14" s="156" cm="1">
        <f t="array" aca="1" ref="G14" ca="1">SUM(INDIRECT($D14)*INDIRECT(G$12))/SUM(INDIRECT(G$12))</f>
        <v>0.66666666666666663</v>
      </c>
      <c r="H14" s="156" cm="1">
        <f t="array" aca="1" ref="H14" ca="1">SUM(INDIRECT($D14)*INDIRECT(H$12))/SUM(INDIRECT(H$12))</f>
        <v>0</v>
      </c>
      <c r="I14" s="156" cm="1">
        <f t="array" aca="1" ref="I14" ca="1">SUM(INDIRECT($D14)*INDIRECT(I$12))/SUM(INDIRECT(I$12))</f>
        <v>0</v>
      </c>
      <c r="J14" s="156" cm="1">
        <f t="array" aca="1" ref="J14" ca="1">SUM(INDIRECT($D14)*INDIRECT(J$12))/SUM(INDIRECT(J$12))</f>
        <v>0.5</v>
      </c>
    </row>
    <row r="15" spans="4:10" x14ac:dyDescent="0.3">
      <c r="D15" s="153" t="s">
        <v>467</v>
      </c>
      <c r="E15" s="156" cm="1">
        <f t="array" aca="1" ref="E15" ca="1">SUM(INDIRECT($D15)*INDIRECT(E$12))/SUM(INDIRECT(E$12))</f>
        <v>0.5</v>
      </c>
      <c r="F15" s="156" cm="1">
        <f t="array" aca="1" ref="F15" ca="1">SUM(INDIRECT($D15)*INDIRECT(F$12))/SUM(INDIRECT(F$12))</f>
        <v>0.66666666666666663</v>
      </c>
      <c r="G15" s="156" cm="1">
        <f t="array" aca="1" ref="G15" ca="1">SUM(INDIRECT($D15)*INDIRECT(G$12))/SUM(INDIRECT(G$12))</f>
        <v>1</v>
      </c>
      <c r="H15" s="156" cm="1">
        <f t="array" aca="1" ref="H15" ca="1">SUM(INDIRECT($D15)*INDIRECT(H$12))/SUM(INDIRECT(H$12))</f>
        <v>0.5</v>
      </c>
      <c r="I15" s="156" cm="1">
        <f t="array" aca="1" ref="I15" ca="1">SUM(INDIRECT($D15)*INDIRECT(I$12))/SUM(INDIRECT(I$12))</f>
        <v>0.5</v>
      </c>
      <c r="J15" s="156" cm="1">
        <f t="array" aca="1" ref="J15" ca="1">SUM(INDIRECT($D15)*INDIRECT(J$12))/SUM(INDIRECT(J$12))</f>
        <v>0</v>
      </c>
    </row>
    <row r="16" spans="4:10" x14ac:dyDescent="0.3">
      <c r="D16" s="153" t="s">
        <v>468</v>
      </c>
      <c r="E16" s="156" cm="1">
        <f t="array" aca="1" ref="E16" ca="1">SUM(INDIRECT($D16)*INDIRECT(E$12))/SUM(INDIRECT(E$12))</f>
        <v>0.25</v>
      </c>
      <c r="F16" s="156" cm="1">
        <f t="array" aca="1" ref="F16" ca="1">SUM(INDIRECT($D16)*INDIRECT(F$12))/SUM(INDIRECT(F$12))</f>
        <v>0</v>
      </c>
      <c r="G16" s="156" cm="1">
        <f t="array" aca="1" ref="G16" ca="1">SUM(INDIRECT($D16)*INDIRECT(G$12))/SUM(INDIRECT(G$12))</f>
        <v>0.33333333333333331</v>
      </c>
      <c r="H16" s="156" cm="1">
        <f t="array" aca="1" ref="H16" ca="1">SUM(INDIRECT($D16)*INDIRECT(H$12))/SUM(INDIRECT(H$12))</f>
        <v>1</v>
      </c>
      <c r="I16" s="156" cm="1">
        <f t="array" aca="1" ref="I16" ca="1">SUM(INDIRECT($D16)*INDIRECT(I$12))/SUM(INDIRECT(I$12))</f>
        <v>1</v>
      </c>
      <c r="J16" s="156" cm="1">
        <f t="array" aca="1" ref="J16" ca="1">SUM(INDIRECT($D16)*INDIRECT(J$12))/SUM(INDIRECT(J$12))</f>
        <v>0.5</v>
      </c>
    </row>
    <row r="17" spans="2:10" x14ac:dyDescent="0.3">
      <c r="D17" s="153" t="s">
        <v>469</v>
      </c>
      <c r="E17" s="156" cm="1">
        <f t="array" aca="1" ref="E17" ca="1">SUM(INDIRECT($D17)*INDIRECT(E$12))/SUM(INDIRECT(E$12))</f>
        <v>0.25</v>
      </c>
      <c r="F17" s="156" cm="1">
        <f t="array" aca="1" ref="F17" ca="1">SUM(INDIRECT($D17)*INDIRECT(F$12))/SUM(INDIRECT(F$12))</f>
        <v>0</v>
      </c>
      <c r="G17" s="156" cm="1">
        <f t="array" aca="1" ref="G17" ca="1">SUM(INDIRECT($D17)*INDIRECT(G$12))/SUM(INDIRECT(G$12))</f>
        <v>0.33333333333333331</v>
      </c>
      <c r="H17" s="156" cm="1">
        <f t="array" aca="1" ref="H17" ca="1">SUM(INDIRECT($D17)*INDIRECT(H$12))/SUM(INDIRECT(H$12))</f>
        <v>1</v>
      </c>
      <c r="I17" s="156" cm="1">
        <f t="array" aca="1" ref="I17" ca="1">SUM(INDIRECT($D17)*INDIRECT(I$12))/SUM(INDIRECT(I$12))</f>
        <v>1</v>
      </c>
      <c r="J17" s="156" cm="1">
        <f t="array" aca="1" ref="J17" ca="1">SUM(INDIRECT($D17)*INDIRECT(J$12))/SUM(INDIRECT(J$12))</f>
        <v>0.5</v>
      </c>
    </row>
    <row r="18" spans="2:10" x14ac:dyDescent="0.3">
      <c r="D18" s="153" t="s">
        <v>470</v>
      </c>
      <c r="E18" s="156" cm="1">
        <f t="array" aca="1" ref="E18" ca="1">SUM(INDIRECT($D18)*INDIRECT(E$12))/SUM(INDIRECT(E$12))</f>
        <v>0.5</v>
      </c>
      <c r="F18" s="156" cm="1">
        <f t="array" aca="1" ref="F18" ca="1">SUM(INDIRECT($D18)*INDIRECT(F$12))/SUM(INDIRECT(F$12))</f>
        <v>0.33333333333333331</v>
      </c>
      <c r="G18" s="156" cm="1">
        <f t="array" aca="1" ref="G18" ca="1">SUM(INDIRECT($D18)*INDIRECT(G$12))/SUM(INDIRECT(G$12))</f>
        <v>0</v>
      </c>
      <c r="H18" s="156" cm="1">
        <f t="array" aca="1" ref="H18" ca="1">SUM(INDIRECT($D18)*INDIRECT(H$12))/SUM(INDIRECT(H$12))</f>
        <v>0.5</v>
      </c>
      <c r="I18" s="156" cm="1">
        <f t="array" aca="1" ref="I18" ca="1">SUM(INDIRECT($D18)*INDIRECT(I$12))/SUM(INDIRECT(I$12))</f>
        <v>0.5</v>
      </c>
      <c r="J18" s="156" cm="1">
        <f t="array" aca="1" ref="J18" ca="1">SUM(INDIRECT($D18)*INDIRECT(J$12))/SUM(INDIRECT(J$12))</f>
        <v>1</v>
      </c>
    </row>
    <row r="22" spans="2:10" x14ac:dyDescent="0.3">
      <c r="B22" s="155" t="s">
        <v>463</v>
      </c>
      <c r="D22" s="152" t="s">
        <v>478</v>
      </c>
      <c r="E22" s="153" t="s">
        <v>465</v>
      </c>
      <c r="F22" s="153" t="s">
        <v>466</v>
      </c>
      <c r="G22" s="153" t="s">
        <v>467</v>
      </c>
      <c r="H22" s="153" t="s">
        <v>468</v>
      </c>
      <c r="I22" s="153" t="s">
        <v>469</v>
      </c>
      <c r="J22" s="153" t="s">
        <v>470</v>
      </c>
    </row>
    <row r="23" spans="2:10" x14ac:dyDescent="0.3">
      <c r="B23" s="155" cm="1">
        <f t="array" ref="B23:B28">TRANSPOSE(E9:J9)/5</f>
        <v>0.8</v>
      </c>
      <c r="D23" s="153" t="s">
        <v>465</v>
      </c>
      <c r="E23" s="156">
        <f ca="1">E13/$B23</f>
        <v>1.25</v>
      </c>
      <c r="F23" s="156">
        <f t="shared" ref="F23:J23" ca="1" si="1">F13/$B23</f>
        <v>1.25</v>
      </c>
      <c r="G23" s="156">
        <f t="shared" ca="1" si="1"/>
        <v>0.83333333333333326</v>
      </c>
      <c r="H23" s="156">
        <f t="shared" ca="1" si="1"/>
        <v>0.625</v>
      </c>
      <c r="I23" s="156">
        <f t="shared" ca="1" si="1"/>
        <v>0.625</v>
      </c>
      <c r="J23" s="156">
        <f t="shared" ca="1" si="1"/>
        <v>1.25</v>
      </c>
    </row>
    <row r="24" spans="2:10" x14ac:dyDescent="0.3">
      <c r="B24" s="155">
        <v>0.6</v>
      </c>
      <c r="D24" s="153" t="s">
        <v>466</v>
      </c>
      <c r="E24" s="156">
        <f t="shared" ref="E24:J28" ca="1" si="2">E14/$B24</f>
        <v>1.25</v>
      </c>
      <c r="F24" s="156">
        <f t="shared" ca="1" si="2"/>
        <v>1.6666666666666667</v>
      </c>
      <c r="G24" s="156">
        <f t="shared" ca="1" si="2"/>
        <v>1.1111111111111112</v>
      </c>
      <c r="H24" s="156">
        <f t="shared" ca="1" si="2"/>
        <v>0</v>
      </c>
      <c r="I24" s="156">
        <f t="shared" ca="1" si="2"/>
        <v>0</v>
      </c>
      <c r="J24" s="156">
        <f t="shared" ca="1" si="2"/>
        <v>0.83333333333333337</v>
      </c>
    </row>
    <row r="25" spans="2:10" x14ac:dyDescent="0.3">
      <c r="B25" s="155">
        <v>0.6</v>
      </c>
      <c r="D25" s="153" t="s">
        <v>467</v>
      </c>
      <c r="E25" s="156">
        <f t="shared" ca="1" si="2"/>
        <v>0.83333333333333337</v>
      </c>
      <c r="F25" s="156">
        <f t="shared" ca="1" si="2"/>
        <v>1.1111111111111112</v>
      </c>
      <c r="G25" s="156">
        <f t="shared" ca="1" si="2"/>
        <v>1.6666666666666667</v>
      </c>
      <c r="H25" s="156">
        <f t="shared" ca="1" si="2"/>
        <v>0.83333333333333337</v>
      </c>
      <c r="I25" s="156">
        <f t="shared" ca="1" si="2"/>
        <v>0.83333333333333337</v>
      </c>
      <c r="J25" s="156">
        <f t="shared" ca="1" si="2"/>
        <v>0</v>
      </c>
    </row>
    <row r="26" spans="2:10" x14ac:dyDescent="0.3">
      <c r="B26" s="155">
        <v>0.4</v>
      </c>
      <c r="D26" s="153" t="s">
        <v>468</v>
      </c>
      <c r="E26" s="156">
        <f t="shared" ca="1" si="2"/>
        <v>0.625</v>
      </c>
      <c r="F26" s="156">
        <f t="shared" ca="1" si="2"/>
        <v>0</v>
      </c>
      <c r="G26" s="156">
        <f t="shared" ca="1" si="2"/>
        <v>0.83333333333333326</v>
      </c>
      <c r="H26" s="156">
        <f t="shared" ca="1" si="2"/>
        <v>2.5</v>
      </c>
      <c r="I26" s="156">
        <f t="shared" ca="1" si="2"/>
        <v>2.5</v>
      </c>
      <c r="J26" s="156">
        <f t="shared" ca="1" si="2"/>
        <v>1.25</v>
      </c>
    </row>
    <row r="27" spans="2:10" x14ac:dyDescent="0.3">
      <c r="B27" s="155">
        <v>0.4</v>
      </c>
      <c r="D27" s="153" t="s">
        <v>469</v>
      </c>
      <c r="E27" s="156">
        <f t="shared" ca="1" si="2"/>
        <v>0.625</v>
      </c>
      <c r="F27" s="156">
        <f t="shared" ca="1" si="2"/>
        <v>0</v>
      </c>
      <c r="G27" s="156">
        <f t="shared" ca="1" si="2"/>
        <v>0.83333333333333326</v>
      </c>
      <c r="H27" s="156">
        <f t="shared" ca="1" si="2"/>
        <v>2.5</v>
      </c>
      <c r="I27" s="156">
        <f t="shared" ca="1" si="2"/>
        <v>2.5</v>
      </c>
      <c r="J27" s="156">
        <f t="shared" ca="1" si="2"/>
        <v>1.25</v>
      </c>
    </row>
    <row r="28" spans="2:10" x14ac:dyDescent="0.3">
      <c r="B28" s="155">
        <v>0.4</v>
      </c>
      <c r="D28" s="153" t="s">
        <v>470</v>
      </c>
      <c r="E28" s="156">
        <f t="shared" ca="1" si="2"/>
        <v>1.25</v>
      </c>
      <c r="F28" s="156">
        <f t="shared" ca="1" si="2"/>
        <v>0.83333333333333326</v>
      </c>
      <c r="G28" s="156">
        <f t="shared" ca="1" si="2"/>
        <v>0</v>
      </c>
      <c r="H28" s="156">
        <f t="shared" ca="1" si="2"/>
        <v>1.25</v>
      </c>
      <c r="I28" s="156">
        <f t="shared" ca="1" si="2"/>
        <v>1.25</v>
      </c>
      <c r="J28" s="156">
        <f t="shared" ca="1" si="2"/>
        <v>2.5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F8BC4-2092-1442-9572-F916E6A56022}">
  <sheetPr codeName="Sheet88">
    <tabColor rgb="FF92D050"/>
  </sheetPr>
  <dimension ref="A1"/>
  <sheetViews>
    <sheetView workbookViewId="0"/>
  </sheetViews>
  <sheetFormatPr baseColWidth="10" defaultRowHeight="26" x14ac:dyDescent="0.3"/>
  <cols>
    <col min="1" max="1" width="8.33203125" style="1" bestFit="1" customWidth="1"/>
    <col min="2" max="2" width="10.6640625" style="1" bestFit="1" customWidth="1"/>
    <col min="3" max="3" width="9.5" style="1" bestFit="1" customWidth="1"/>
    <col min="4" max="4" width="10" style="1" bestFit="1" customWidth="1"/>
    <col min="5" max="16384" width="10.83203125" style="1"/>
  </cols>
  <sheetData/>
  <pageMargins left="0.7" right="0.7" top="0.75" bottom="0.75" header="0.3" footer="0.3"/>
  <drawing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51719-4935-554D-8583-453CFE4154A8}">
  <sheetPr codeName="Sheet89">
    <tabColor rgb="FF92D050"/>
  </sheetPr>
  <dimension ref="A1"/>
  <sheetViews>
    <sheetView workbookViewId="0"/>
  </sheetViews>
  <sheetFormatPr baseColWidth="10" defaultRowHeight="26" x14ac:dyDescent="0.3"/>
  <cols>
    <col min="1" max="1" width="8.33203125" style="1" bestFit="1" customWidth="1"/>
    <col min="2" max="2" width="10.6640625" style="1" bestFit="1" customWidth="1"/>
    <col min="3" max="3" width="9.5" style="1" bestFit="1" customWidth="1"/>
    <col min="4" max="4" width="10" style="1" bestFit="1" customWidth="1"/>
    <col min="5" max="16384" width="10.83203125" style="1"/>
  </cols>
  <sheetData/>
  <pageMargins left="0.7" right="0.7" top="0.75" bottom="0.75" header="0.3" footer="0.3"/>
  <drawing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B10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1" t="s">
        <v>301</v>
      </c>
    </row>
    <row r="4" spans="2:2" x14ac:dyDescent="0.3">
      <c r="B4" s="1" t="s">
        <v>304</v>
      </c>
    </row>
    <row r="6" spans="2:2" x14ac:dyDescent="0.3">
      <c r="B6" s="1" t="s">
        <v>336</v>
      </c>
    </row>
    <row r="8" spans="2:2" x14ac:dyDescent="0.3">
      <c r="B8" s="1" t="s">
        <v>303</v>
      </c>
    </row>
    <row r="10" spans="2:2" x14ac:dyDescent="0.3">
      <c r="B10" s="1" t="s">
        <v>302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A2:C6"/>
  <sheetViews>
    <sheetView workbookViewId="0">
      <selection activeCell="D6" sqref="D6"/>
    </sheetView>
  </sheetViews>
  <sheetFormatPr baseColWidth="10" defaultRowHeight="26" x14ac:dyDescent="0.3"/>
  <cols>
    <col min="1" max="1" width="10.83203125" style="1"/>
    <col min="2" max="2" width="36.6640625" style="1" bestFit="1" customWidth="1"/>
    <col min="3" max="3" width="22.5" style="1" customWidth="1"/>
    <col min="4" max="16384" width="10.83203125" style="1"/>
  </cols>
  <sheetData>
    <row r="2" spans="1:3" x14ac:dyDescent="0.3">
      <c r="B2" s="1" t="s">
        <v>39</v>
      </c>
      <c r="C2" s="13" t="s">
        <v>40</v>
      </c>
    </row>
    <row r="3" spans="1:3" x14ac:dyDescent="0.3">
      <c r="A3" s="1">
        <v>1</v>
      </c>
      <c r="B3" s="1" t="s">
        <v>537</v>
      </c>
      <c r="C3" s="1">
        <v>5</v>
      </c>
    </row>
    <row r="4" spans="1:3" x14ac:dyDescent="0.3">
      <c r="A4" s="1">
        <v>2</v>
      </c>
      <c r="B4" s="1" t="s">
        <v>538</v>
      </c>
      <c r="C4" s="1">
        <v>5</v>
      </c>
    </row>
    <row r="5" spans="1:3" x14ac:dyDescent="0.3">
      <c r="A5" s="1">
        <v>3</v>
      </c>
      <c r="B5" s="1" t="s">
        <v>302</v>
      </c>
      <c r="C5" s="1">
        <v>5</v>
      </c>
    </row>
    <row r="6" spans="1:3" x14ac:dyDescent="0.3">
      <c r="A6" s="1">
        <v>4</v>
      </c>
      <c r="B6" s="1" t="s">
        <v>560</v>
      </c>
      <c r="C6" s="1">
        <v>5</v>
      </c>
    </row>
  </sheetData>
  <phoneticPr fontId="7" type="noConversion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2B8CD-9EF0-E04E-8A1E-A419E83F6DB9}">
  <sheetPr codeName="Sheet22">
    <tabColor rgb="FFFFFF00"/>
  </sheetPr>
  <dimension ref="A2:B6"/>
  <sheetViews>
    <sheetView workbookViewId="0">
      <selection activeCell="B4" sqref="B4"/>
    </sheetView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309</v>
      </c>
    </row>
    <row r="3" spans="1:2" x14ac:dyDescent="0.3">
      <c r="B3" s="1" t="s">
        <v>529</v>
      </c>
    </row>
    <row r="4" spans="1:2" x14ac:dyDescent="0.3">
      <c r="B4" s="1" t="s">
        <v>310</v>
      </c>
    </row>
    <row r="5" spans="1:2" x14ac:dyDescent="0.3">
      <c r="A5" s="1">
        <v>1</v>
      </c>
      <c r="B5" s="1" t="s">
        <v>311</v>
      </c>
    </row>
    <row r="6" spans="1:2" x14ac:dyDescent="0.3">
      <c r="A6" s="1">
        <v>2</v>
      </c>
      <c r="B6" s="1" t="s">
        <v>312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DB15C-B250-AA4E-99A0-91158D263A79}">
  <sheetPr codeName="Sheet23">
    <tabColor rgb="FFFFFF00"/>
  </sheetPr>
  <dimension ref="B2:B3"/>
  <sheetViews>
    <sheetView workbookViewId="0">
      <selection activeCell="B4" sqref="B4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530</v>
      </c>
    </row>
    <row r="3" spans="2:2" x14ac:dyDescent="0.3">
      <c r="B3" s="1" t="s">
        <v>531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A46BF-B09A-2B4C-9389-2C17B90CA0BC}">
  <sheetPr codeName="Sheet90">
    <tabColor rgb="FFFFFF00"/>
  </sheetPr>
  <dimension ref="B2:B6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532</v>
      </c>
    </row>
    <row r="3" spans="2:2" x14ac:dyDescent="0.3">
      <c r="B3" s="1" t="s">
        <v>533</v>
      </c>
    </row>
    <row r="4" spans="2:2" x14ac:dyDescent="0.3">
      <c r="B4" s="1" t="s">
        <v>534</v>
      </c>
    </row>
    <row r="5" spans="2:2" x14ac:dyDescent="0.3">
      <c r="B5" s="1" t="s">
        <v>535</v>
      </c>
    </row>
    <row r="6" spans="2:2" x14ac:dyDescent="0.3">
      <c r="B6" s="1" t="s">
        <v>536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9B213-9F75-0B42-B688-A658594EE925}">
  <sheetPr codeName="Sheet91">
    <tabColor rgb="FFFFFF00"/>
  </sheetPr>
  <dimension ref="B2:B3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561</v>
      </c>
    </row>
    <row r="3" spans="2:2" x14ac:dyDescent="0.3">
      <c r="B3" s="1" t="s">
        <v>562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186</vt:i4>
      </vt:variant>
    </vt:vector>
  </HeadingPairs>
  <TitlesOfParts>
    <vt:vector size="203" baseType="lpstr">
      <vt:lpstr>Today</vt:lpstr>
      <vt:lpstr>Themes</vt:lpstr>
      <vt:lpstr>Diagnostics</vt:lpstr>
      <vt:lpstr>LogisticRegression</vt:lpstr>
      <vt:lpstr>ClusterAnalysis</vt:lpstr>
      <vt:lpstr>PieceWiseModels</vt:lpstr>
      <vt:lpstr>Splines</vt:lpstr>
      <vt:lpstr>Shapley</vt:lpstr>
      <vt:lpstr>NaiveBayes</vt:lpstr>
      <vt:lpstr>PCA</vt:lpstr>
      <vt:lpstr>MarketBasketAnalysis</vt:lpstr>
      <vt:lpstr>PreWork4NextClass</vt:lpstr>
      <vt:lpstr>InClassProjects</vt:lpstr>
      <vt:lpstr>Q_OrdinalRegression</vt:lpstr>
      <vt:lpstr>Q_HClusterAnalysis</vt:lpstr>
      <vt:lpstr>Q_PCA</vt:lpstr>
      <vt:lpstr>Q_Optimization</vt:lpstr>
      <vt:lpstr>CubicSpline_YC!_c1</vt:lpstr>
      <vt:lpstr>CubicSpline_YC_Optim!_c1</vt:lpstr>
      <vt:lpstr>CubicSpline_YC_Optim_Penalized!_c1</vt:lpstr>
      <vt:lpstr>_c1</vt:lpstr>
      <vt:lpstr>CubicSpline_YC!_c2</vt:lpstr>
      <vt:lpstr>CubicSpline_YC_Optim!_c2</vt:lpstr>
      <vt:lpstr>CubicSpline_YC_Optim_Penalized!_c2</vt:lpstr>
      <vt:lpstr>_c2</vt:lpstr>
      <vt:lpstr>CubicSpline_YC!_c3</vt:lpstr>
      <vt:lpstr>CubicSpline_YC_Optim!_c3</vt:lpstr>
      <vt:lpstr>CubicSpline_YC_Optim_Penalized!_c3</vt:lpstr>
      <vt:lpstr>_c3</vt:lpstr>
      <vt:lpstr>CubicSpline_YC!a_1</vt:lpstr>
      <vt:lpstr>CubicSpline_YC_Optim!a_1</vt:lpstr>
      <vt:lpstr>CubicSpline_YC_Optim_Penalized!a_1</vt:lpstr>
      <vt:lpstr>CubicSpline_YC!a_10</vt:lpstr>
      <vt:lpstr>CubicSpline_YC_Optim!a_10</vt:lpstr>
      <vt:lpstr>CubicSpline_YC_Optim_Penalized!a_10</vt:lpstr>
      <vt:lpstr>CubicSpline_YC!a_2</vt:lpstr>
      <vt:lpstr>CubicSpline_YC_Optim!a_2</vt:lpstr>
      <vt:lpstr>CubicSpline_YC_Optim_Penalized!a_2</vt:lpstr>
      <vt:lpstr>CubicSpline_YC!a_3</vt:lpstr>
      <vt:lpstr>CubicSpline_YC_Optim!a_3</vt:lpstr>
      <vt:lpstr>CubicSpline_YC_Optim_Penalized!a_3</vt:lpstr>
      <vt:lpstr>CubicSpline_YC!a_30</vt:lpstr>
      <vt:lpstr>CubicSpline_YC_Optim!a_30</vt:lpstr>
      <vt:lpstr>CubicSpline_YC_Optim_Penalized!a_30</vt:lpstr>
      <vt:lpstr>CubicSpline_YC!a_4</vt:lpstr>
      <vt:lpstr>CubicSpline_YC_Optim!a_4</vt:lpstr>
      <vt:lpstr>CubicSpline_YC_Optim_Penalized!a_4</vt:lpstr>
      <vt:lpstr>CubicSpline_YC!a_5</vt:lpstr>
      <vt:lpstr>CubicSpline_YC_Optim!a_5</vt:lpstr>
      <vt:lpstr>CubicSpline_YC_Optim_Penalized!a_5</vt:lpstr>
      <vt:lpstr>CubicSpline_YC!a_7</vt:lpstr>
      <vt:lpstr>CubicSpline_YC_Optim!a_7</vt:lpstr>
      <vt:lpstr>CubicSpline_YC_Optim_Penalized!a_7</vt:lpstr>
      <vt:lpstr>CubicSpline_YC!a1_</vt:lpstr>
      <vt:lpstr>CubicSpline_YC_Optim!a1_</vt:lpstr>
      <vt:lpstr>CubicSpline_YC_Optim_Penalized!a1_</vt:lpstr>
      <vt:lpstr>a1_</vt:lpstr>
      <vt:lpstr>CubicSpline_YC!a2_</vt:lpstr>
      <vt:lpstr>CubicSpline_YC_Optim!a2_</vt:lpstr>
      <vt:lpstr>CubicSpline_YC_Optim_Penalized!a2_</vt:lpstr>
      <vt:lpstr>a2_</vt:lpstr>
      <vt:lpstr>CubicSpline_YC!a3_</vt:lpstr>
      <vt:lpstr>CubicSpline_YC_Optim!a3_</vt:lpstr>
      <vt:lpstr>CubicSpline_YC_Optim_Penalized!a3_</vt:lpstr>
      <vt:lpstr>a3_</vt:lpstr>
      <vt:lpstr>CubicSpline_YC!b_1</vt:lpstr>
      <vt:lpstr>CubicSpline_YC_Optim!b_1</vt:lpstr>
      <vt:lpstr>CubicSpline_YC_Optim_Penalized!b_1</vt:lpstr>
      <vt:lpstr>CubicSpline_YC!b_10</vt:lpstr>
      <vt:lpstr>CubicSpline_YC_Optim!b_10</vt:lpstr>
      <vt:lpstr>CubicSpline_YC_Optim_Penalized!b_10</vt:lpstr>
      <vt:lpstr>CubicSpline_YC!b_2</vt:lpstr>
      <vt:lpstr>CubicSpline_YC_Optim!b_2</vt:lpstr>
      <vt:lpstr>CubicSpline_YC_Optim_Penalized!b_2</vt:lpstr>
      <vt:lpstr>CubicSpline_YC!b_3</vt:lpstr>
      <vt:lpstr>CubicSpline_YC_Optim!b_3</vt:lpstr>
      <vt:lpstr>CubicSpline_YC_Optim_Penalized!b_3</vt:lpstr>
      <vt:lpstr>CubicSpline_YC!b_30</vt:lpstr>
      <vt:lpstr>CubicSpline_YC_Optim!b_30</vt:lpstr>
      <vt:lpstr>CubicSpline_YC_Optim_Penalized!b_30</vt:lpstr>
      <vt:lpstr>CubicSpline_YC!b_4</vt:lpstr>
      <vt:lpstr>CubicSpline_YC_Optim!b_4</vt:lpstr>
      <vt:lpstr>CubicSpline_YC_Optim_Penalized!b_4</vt:lpstr>
      <vt:lpstr>CubicSpline_YC!b_5</vt:lpstr>
      <vt:lpstr>CubicSpline_YC_Optim!b_5</vt:lpstr>
      <vt:lpstr>CubicSpline_YC_Optim_Penalized!b_5</vt:lpstr>
      <vt:lpstr>CubicSpline_YC!b_7</vt:lpstr>
      <vt:lpstr>CubicSpline_YC_Optim!b_7</vt:lpstr>
      <vt:lpstr>CubicSpline_YC_Optim_Penalized!b_7</vt:lpstr>
      <vt:lpstr>CubicSpline_YC!b1_</vt:lpstr>
      <vt:lpstr>CubicSpline_YC_Optim!b1_</vt:lpstr>
      <vt:lpstr>CubicSpline_YC_Optim_Penalized!b1_</vt:lpstr>
      <vt:lpstr>b1_</vt:lpstr>
      <vt:lpstr>CubicSpline_YC!b2_</vt:lpstr>
      <vt:lpstr>CubicSpline_YC_Optim!b2_</vt:lpstr>
      <vt:lpstr>CubicSpline_YC_Optim_Penalized!b2_</vt:lpstr>
      <vt:lpstr>b2_</vt:lpstr>
      <vt:lpstr>CubicSpline_YC!b3_</vt:lpstr>
      <vt:lpstr>CubicSpline_YC_Optim!b3_</vt:lpstr>
      <vt:lpstr>CubicSpline_YC_Optim_Penalized!b3_</vt:lpstr>
      <vt:lpstr>b3_</vt:lpstr>
      <vt:lpstr>Balloons</vt:lpstr>
      <vt:lpstr>CubicSpline_YC!c_0</vt:lpstr>
      <vt:lpstr>CubicSpline_YC_Optim!c_0</vt:lpstr>
      <vt:lpstr>CubicSpline_YC_Optim_Penalized!c_0</vt:lpstr>
      <vt:lpstr>CubicSpline_YC!c_1</vt:lpstr>
      <vt:lpstr>CubicSpline_YC_Optim!c_1</vt:lpstr>
      <vt:lpstr>CubicSpline_YC_Optim_Penalized!c_1</vt:lpstr>
      <vt:lpstr>CubicSpline_YC!c_10</vt:lpstr>
      <vt:lpstr>CubicSpline_YC_Optim!c_10</vt:lpstr>
      <vt:lpstr>CubicSpline_YC_Optim_Penalized!c_10</vt:lpstr>
      <vt:lpstr>CubicSpline_YC!c_2</vt:lpstr>
      <vt:lpstr>CubicSpline_YC_Optim!c_2</vt:lpstr>
      <vt:lpstr>CubicSpline_YC_Optim_Penalized!c_2</vt:lpstr>
      <vt:lpstr>CubicSpline_YC!c_3</vt:lpstr>
      <vt:lpstr>CubicSpline_YC_Optim!c_3</vt:lpstr>
      <vt:lpstr>CubicSpline_YC_Optim_Penalized!c_3</vt:lpstr>
      <vt:lpstr>CubicSpline_YC!c_30</vt:lpstr>
      <vt:lpstr>CubicSpline_YC_Optim!c_30</vt:lpstr>
      <vt:lpstr>CubicSpline_YC_Optim_Penalized!c_30</vt:lpstr>
      <vt:lpstr>CubicSpline_YC!c_4</vt:lpstr>
      <vt:lpstr>CubicSpline_YC_Optim!c_4</vt:lpstr>
      <vt:lpstr>CubicSpline_YC_Optim_Penalized!c_4</vt:lpstr>
      <vt:lpstr>CubicSpline_YC!c_5</vt:lpstr>
      <vt:lpstr>CubicSpline_YC_Optim!c_5</vt:lpstr>
      <vt:lpstr>CubicSpline_YC_Optim_Penalized!c_5</vt:lpstr>
      <vt:lpstr>CubicSpline_YC!c_7</vt:lpstr>
      <vt:lpstr>CubicSpline_YC_Optim!c_7</vt:lpstr>
      <vt:lpstr>CubicSpline_YC_Optim_Penalized!c_7</vt:lpstr>
      <vt:lpstr>Candy_Bar</vt:lpstr>
      <vt:lpstr>CubicSpline_YC!d_0</vt:lpstr>
      <vt:lpstr>CubicSpline_YC_Optim!d_0</vt:lpstr>
      <vt:lpstr>CubicSpline_YC_Optim_Penalized!d_0</vt:lpstr>
      <vt:lpstr>CubicSpline_YC!d_1</vt:lpstr>
      <vt:lpstr>CubicSpline_YC_Optim!d_1</vt:lpstr>
      <vt:lpstr>CubicSpline_YC_Optim_Penalized!d_1</vt:lpstr>
      <vt:lpstr>CubicSpline_YC!d_10</vt:lpstr>
      <vt:lpstr>CubicSpline_YC_Optim!d_10</vt:lpstr>
      <vt:lpstr>CubicSpline_YC_Optim_Penalized!d_10</vt:lpstr>
      <vt:lpstr>CubicSpline_YC!d_2</vt:lpstr>
      <vt:lpstr>CubicSpline_YC_Optim!d_2</vt:lpstr>
      <vt:lpstr>CubicSpline_YC_Optim_Penalized!d_2</vt:lpstr>
      <vt:lpstr>CubicSpline_YC!d_3</vt:lpstr>
      <vt:lpstr>CubicSpline_YC_Optim!d_3</vt:lpstr>
      <vt:lpstr>CubicSpline_YC_Optim_Penalized!d_3</vt:lpstr>
      <vt:lpstr>CubicSpline_YC!d_30</vt:lpstr>
      <vt:lpstr>CubicSpline_YC_Optim!d_30</vt:lpstr>
      <vt:lpstr>CubicSpline_YC_Optim_Penalized!d_30</vt:lpstr>
      <vt:lpstr>CubicSpline_YC!d_4</vt:lpstr>
      <vt:lpstr>CubicSpline_YC_Optim!d_4</vt:lpstr>
      <vt:lpstr>CubicSpline_YC_Optim_Penalized!d_4</vt:lpstr>
      <vt:lpstr>CubicSpline_YC!d_5</vt:lpstr>
      <vt:lpstr>CubicSpline_YC_Optim!d_5</vt:lpstr>
      <vt:lpstr>CubicSpline_YC_Optim_Penalized!d_5</vt:lpstr>
      <vt:lpstr>CubicSpline_YC!d_7</vt:lpstr>
      <vt:lpstr>CubicSpline_YC_Optim!d_7</vt:lpstr>
      <vt:lpstr>CubicSpline_YC_Optim_Penalized!d_7</vt:lpstr>
      <vt:lpstr>CubicSpline_YC!d1_</vt:lpstr>
      <vt:lpstr>CubicSpline_YC_Optim!d1_</vt:lpstr>
      <vt:lpstr>CubicSpline_YC_Optim_Penalized!d1_</vt:lpstr>
      <vt:lpstr>d1_</vt:lpstr>
      <vt:lpstr>CubicSpline_YC!d2_</vt:lpstr>
      <vt:lpstr>CubicSpline_YC_Optim!d2_</vt:lpstr>
      <vt:lpstr>CubicSpline_YC_Optim_Penalized!d2_</vt:lpstr>
      <vt:lpstr>d2_</vt:lpstr>
      <vt:lpstr>CubicSpline_YC!d3_</vt:lpstr>
      <vt:lpstr>CubicSpline_YC_Optim!d3_</vt:lpstr>
      <vt:lpstr>CubicSpline_YC_Optim_Penalized!d3_</vt:lpstr>
      <vt:lpstr>d3_</vt:lpstr>
      <vt:lpstr>CubicSpline_YC!dmat</vt:lpstr>
      <vt:lpstr>CubicSpline_YC_Optim!dmat</vt:lpstr>
      <vt:lpstr>CubicSpline_YC_Optim_Penalized!dmat</vt:lpstr>
      <vt:lpstr>Flowers</vt:lpstr>
      <vt:lpstr>Get_Well_Card</vt:lpstr>
      <vt:lpstr>CubicSpline_YC!i</vt:lpstr>
      <vt:lpstr>CubicSpline_YC_Optim!i</vt:lpstr>
      <vt:lpstr>CubicSpline_YC_Optim_Penalized!i</vt:lpstr>
      <vt:lpstr>i</vt:lpstr>
      <vt:lpstr>CubicSpline_YC_Optim_Penalized!i_1</vt:lpstr>
      <vt:lpstr>i_1</vt:lpstr>
      <vt:lpstr>CubicSpline_YC!label</vt:lpstr>
      <vt:lpstr>CubicSpline_YC_Optim!label</vt:lpstr>
      <vt:lpstr>CubicSpline_YC_Optim_Penalized!label</vt:lpstr>
      <vt:lpstr>CubicSpline3!label</vt:lpstr>
      <vt:lpstr>Soda</vt:lpstr>
      <vt:lpstr>Stuffed_Animal</vt:lpstr>
      <vt:lpstr>CubicSpline_YC!t</vt:lpstr>
      <vt:lpstr>CubicSpline_YC_Optim!t</vt:lpstr>
      <vt:lpstr>CubicSpline_YC_Optim_Penalized!t</vt:lpstr>
      <vt:lpstr>t</vt:lpstr>
      <vt:lpstr>CubicSpline_YC!time</vt:lpstr>
      <vt:lpstr>CubicSpline_YC_Optim!time</vt:lpstr>
      <vt:lpstr>CubicSpline_YC_Optim_Penalized!time</vt:lpstr>
      <vt:lpstr>CubicSpline2!time</vt:lpstr>
      <vt:lpstr>CubicSpline3!time</vt:lpstr>
      <vt:lpstr>time</vt:lpstr>
      <vt:lpstr>CubicSpline_YC!Time_</vt:lpstr>
      <vt:lpstr>CubicSpline_YC_Optim!Time_</vt:lpstr>
      <vt:lpstr>CubicSpline_YC_Optim_Penalized!Time_</vt:lpstr>
      <vt:lpstr>CubicSpline_YC!value</vt:lpstr>
      <vt:lpstr>CubicSpline_YC_Optim!value</vt:lpstr>
      <vt:lpstr>CubicSpline_YC_Optim_Penalized!value</vt:lpstr>
      <vt:lpstr>CubicSpline3!value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2022-08-05T19:44:59Z</dcterms:modified>
</cp:coreProperties>
</file>