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A8898A41-5889-E643-8343-011A69834E65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Ordinal_LogisticRegress" sheetId="181" state="veryHidden" r:id="rId14"/>
    <sheet name="OrdLogReg_RCode" sheetId="182" state="veryHidden" r:id="rId15"/>
    <sheet name="ClusterAnalysis" sheetId="119" r:id="rId16"/>
    <sheet name="Cluster" sheetId="122" state="veryHidden" r:id="rId17"/>
    <sheet name="Excel_Demo" sheetId="123" state="veryHidden" r:id="rId18"/>
    <sheet name="R_Demo" sheetId="124" state="veryHidden" r:id="rId19"/>
    <sheet name="PAM" sheetId="179" state="veryHidden" r:id="rId20"/>
    <sheet name="Silhouette" sheetId="160" state="veryHidden" r:id="rId21"/>
    <sheet name="HClust" sheetId="183" state="veryHidden" r:id="rId22"/>
    <sheet name="HClust_RCode" sheetId="184" state="veryHidden" r:id="rId23"/>
    <sheet name="PieceWiseModels" sheetId="157" r:id="rId24"/>
    <sheet name="Data" sheetId="140" state="veryHidden" r:id="rId25"/>
    <sheet name="Fit_O3" sheetId="141" state="veryHidden" r:id="rId26"/>
    <sheet name="Fit_3Piece_O0" sheetId="142" state="veryHidden" r:id="rId27"/>
    <sheet name="Fit_3Piece_O1" sheetId="143" state="veryHidden" r:id="rId28"/>
    <sheet name="Fit_3Piece_O1_v2" sheetId="144" state="veryHidden" r:id="rId29"/>
    <sheet name="Fit_6Piece_O1" sheetId="145" state="veryHidden" r:id="rId30"/>
    <sheet name="Fit_2Piece_O2" sheetId="146" state="veryHidden" r:id="rId31"/>
    <sheet name="Splines" sheetId="156" r:id="rId32"/>
    <sheet name="NoSpline1" sheetId="147" state="veryHidden" r:id="rId33"/>
    <sheet name="NoSpline2" sheetId="148" state="veryHidden" r:id="rId34"/>
    <sheet name="NoSpline3" sheetId="149" state="veryHidden" r:id="rId35"/>
    <sheet name="CubicSpline1" sheetId="150" state="veryHidden" r:id="rId36"/>
    <sheet name="CubicSpline2" sheetId="151" state="veryHidden" r:id="rId37"/>
    <sheet name="CubicSpline3" sheetId="152" state="veryHidden" r:id="rId38"/>
    <sheet name="CubicSpline_YC" sheetId="153" state="veryHidden" r:id="rId39"/>
    <sheet name="CubicSpline_YC_Optim" sheetId="154" state="veryHidden" r:id="rId40"/>
    <sheet name="CubicSpline_YC_Optim_Penalized" sheetId="155" state="veryHidden" r:id="rId41"/>
    <sheet name="Shapley" sheetId="161" r:id="rId42"/>
    <sheet name="Additive_2Player" sheetId="162" state="veryHidden" r:id="rId43"/>
    <sheet name="Additive_2P_Cases" sheetId="163" state="veryHidden" r:id="rId44"/>
    <sheet name="Additive_2P_Expectation" sheetId="164" state="veryHidden" r:id="rId45"/>
    <sheet name="Website" sheetId="165" state="veryHidden" r:id="rId46"/>
    <sheet name="Additive_3Player" sheetId="166" state="veryHidden" r:id="rId47"/>
    <sheet name="Theory2Models1" sheetId="211" state="veryHidden" r:id="rId48"/>
    <sheet name="Theory2Models2" sheetId="212" state="veryHidden" r:id="rId49"/>
    <sheet name="Theory2Models3" sheetId="218" state="veryHidden" r:id="rId50"/>
    <sheet name="Example1_Notation" sheetId="215" state="veryHidden" r:id="rId51"/>
    <sheet name="Example1_Indicator" sheetId="219" state="veryHidden" r:id="rId52"/>
    <sheet name="Example1_Values" sheetId="216" state="veryHidden" r:id="rId53"/>
    <sheet name="Additive_3Variable" sheetId="217" state="veryHidden" r:id="rId54"/>
    <sheet name="Additive_3Variable_Waterfall" sheetId="220" state="veryHidden" r:id="rId55"/>
    <sheet name="RCode_Shapley" sheetId="221" state="veryHidden" r:id="rId56"/>
    <sheet name="NaiveBayes" sheetId="178" r:id="rId57"/>
    <sheet name="train" sheetId="173" state="veryHidden" r:id="rId58"/>
    <sheet name="test" sheetId="174" state="veryHidden" r:id="rId59"/>
    <sheet name="fit_forecast" sheetId="175" state="veryHidden" r:id="rId60"/>
    <sheet name="RCode" sheetId="177" state="veryHidden" r:id="rId61"/>
    <sheet name="train_text" sheetId="185" state="veryHidden" r:id="rId62"/>
    <sheet name="test_text" sheetId="186" state="veryHidden" r:id="rId63"/>
    <sheet name="fit_forecast_text" sheetId="187" state="veryHidden" r:id="rId64"/>
    <sheet name="RCode_text" sheetId="188" state="veryHidden" r:id="rId65"/>
    <sheet name="PCA" sheetId="202" r:id="rId66"/>
    <sheet name="Terminology" sheetId="190" state="veryHidden" r:id="rId67"/>
    <sheet name="Boxers1" sheetId="191" state="veryHidden" r:id="rId68"/>
    <sheet name="Boxers2" sheetId="192" state="veryHidden" r:id="rId69"/>
    <sheet name="Boxers3" sheetId="193" state="veryHidden" r:id="rId70"/>
    <sheet name="Dimensions" sheetId="194" state="veryHidden" r:id="rId71"/>
    <sheet name="GreenPaint1" sheetId="195" state="veryHidden" r:id="rId72"/>
    <sheet name="GreenPaint2" sheetId="196" state="veryHidden" r:id="rId73"/>
    <sheet name="LimePaint" sheetId="197" state="veryHidden" r:id="rId74"/>
    <sheet name="Boxers4" sheetId="198" state="veryHidden" r:id="rId75"/>
    <sheet name="Calculation" sheetId="199" state="veryHidden" r:id="rId76"/>
    <sheet name="PCA_RCode" sheetId="200" state="veryHidden" r:id="rId77"/>
    <sheet name="Extra" sheetId="201" state="veryHidden" r:id="rId78"/>
    <sheet name="MarketBasketAnalysis" sheetId="203" r:id="rId79"/>
    <sheet name="TransactionsData_v1" sheetId="206" state="veryHidden" r:id="rId80"/>
    <sheet name="TransactionsData_v2" sheetId="207" state="veryHidden" r:id="rId81"/>
    <sheet name="TransactionsData_v3" sheetId="208" state="veryHidden" r:id="rId82"/>
    <sheet name="BasketAnalysis" sheetId="205" state="veryHidden" r:id="rId83"/>
    <sheet name="AprioriAlgo_RCode1" sheetId="209" state="veryHidden" r:id="rId84"/>
    <sheet name="AprioriAlgo_RCode2" sheetId="204" state="veryHidden" r:id="rId85"/>
    <sheet name="PreWork4NextClass" sheetId="27" r:id="rId86"/>
    <sheet name="InClassProjects" sheetId="26" r:id="rId87"/>
    <sheet name="Q_OrdinalRegression" sheetId="137" r:id="rId88"/>
    <sheet name="Q_HClusterAnalysis" sheetId="169" r:id="rId89"/>
    <sheet name="Q_PCA" sheetId="210" r:id="rId90"/>
  </sheets>
  <externalReferences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</externalReferences>
  <definedNames>
    <definedName name="_c1" localSheetId="38">CubicSpline_YC!$T$30</definedName>
    <definedName name="_c1" localSheetId="39">CubicSpline_YC_Optim!$T$30</definedName>
    <definedName name="_c1" localSheetId="40">CubicSpline_YC_Optim_Penalized!$T$30</definedName>
    <definedName name="_c1">CubicSpline3!$T$27</definedName>
    <definedName name="_c2" localSheetId="38">CubicSpline_YC!$T$34</definedName>
    <definedName name="_c2" localSheetId="39">CubicSpline_YC_Optim!$T$34</definedName>
    <definedName name="_c2" localSheetId="40">CubicSpline_YC_Optim_Penalized!$T$34</definedName>
    <definedName name="_c2">CubicSpline3!$T$31</definedName>
    <definedName name="_c3" localSheetId="38">CubicSpline_YC!$T$38</definedName>
    <definedName name="_c3" localSheetId="39">CubicSpline_YC_Optim!$T$38</definedName>
    <definedName name="_c3" localSheetId="40">CubicSpline_YC_Optim_Penalized!$T$38</definedName>
    <definedName name="_c3">CubicSpline3!$T$35</definedName>
    <definedName name="_r2" localSheetId="2">#REF!</definedName>
    <definedName name="_r2" localSheetId="78">#REF!</definedName>
    <definedName name="_r2" localSheetId="65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>[2]NextClass1_MeanVar!#REF!</definedName>
    <definedName name="a_0" localSheetId="38">CubicSpline_YC!#REF!</definedName>
    <definedName name="a_0" localSheetId="39">CubicSpline_YC_Optim!#REF!</definedName>
    <definedName name="a_0" localSheetId="40">CubicSpline_YC_Optim_Penalized!#REF!</definedName>
    <definedName name="a_0">#REF!</definedName>
    <definedName name="a_1" localSheetId="38">CubicSpline_YC!$AN$28</definedName>
    <definedName name="a_1" localSheetId="39">CubicSpline_YC_Optim!$AN$28</definedName>
    <definedName name="a_1" localSheetId="40">CubicSpline_YC_Optim_Penalized!$AN$28</definedName>
    <definedName name="a_1">#REF!</definedName>
    <definedName name="a_10" localSheetId="38">CubicSpline_YC!$AN$52</definedName>
    <definedName name="a_10" localSheetId="39">CubicSpline_YC_Optim!$AN$52</definedName>
    <definedName name="a_10" localSheetId="40">CubicSpline_YC_Optim_Penalized!$AN$52</definedName>
    <definedName name="a_10">#REF!</definedName>
    <definedName name="a_2" localSheetId="38">CubicSpline_YC!$AN$32</definedName>
    <definedName name="a_2" localSheetId="39">CubicSpline_YC_Optim!$AN$32</definedName>
    <definedName name="a_2" localSheetId="40">CubicSpline_YC_Optim_Penalized!$AN$32</definedName>
    <definedName name="a_2">#REF!</definedName>
    <definedName name="a_3" localSheetId="38">CubicSpline_YC!$AN$36</definedName>
    <definedName name="a_3" localSheetId="39">CubicSpline_YC_Optim!$AN$36</definedName>
    <definedName name="a_3" localSheetId="40">CubicSpline_YC_Optim_Penalized!$AN$36</definedName>
    <definedName name="a_3">#REF!</definedName>
    <definedName name="a_30" localSheetId="38">CubicSpline_YC!$AN$56</definedName>
    <definedName name="a_30" localSheetId="39">CubicSpline_YC_Optim!$AN$56</definedName>
    <definedName name="a_30" localSheetId="40">CubicSpline_YC_Optim_Penalized!$AN$56</definedName>
    <definedName name="a_30">#REF!</definedName>
    <definedName name="a_4" localSheetId="38">CubicSpline_YC!$AN$40</definedName>
    <definedName name="a_4" localSheetId="39">CubicSpline_YC_Optim!$AN$40</definedName>
    <definedName name="a_4" localSheetId="40">CubicSpline_YC_Optim_Penalized!$AN$40</definedName>
    <definedName name="a_4">#REF!</definedName>
    <definedName name="a_5" localSheetId="38">CubicSpline_YC!$AN$44</definedName>
    <definedName name="a_5" localSheetId="39">CubicSpline_YC_Optim!$AN$44</definedName>
    <definedName name="a_5" localSheetId="40">CubicSpline_YC_Optim_Penalized!$AN$44</definedName>
    <definedName name="a_5">#REF!</definedName>
    <definedName name="a_7" localSheetId="38">CubicSpline_YC!$AN$48</definedName>
    <definedName name="a_7" localSheetId="39">CubicSpline_YC_Optim!$AN$48</definedName>
    <definedName name="a_7" localSheetId="40">CubicSpline_YC_Optim_Penalized!$AN$48</definedName>
    <definedName name="a_7">#REF!</definedName>
    <definedName name="A_x">[3]ProductRule!$C$14</definedName>
    <definedName name="A_x_h">[3]ProductRule!$C$16</definedName>
    <definedName name="a1_" localSheetId="38">CubicSpline_YC!$T$28</definedName>
    <definedName name="a1_" localSheetId="39">CubicSpline_YC_Optim!$T$28</definedName>
    <definedName name="a1_" localSheetId="40">CubicSpline_YC_Optim_Penalized!$T$28</definedName>
    <definedName name="a1_">CubicSpline3!$T$25</definedName>
    <definedName name="a2_" localSheetId="38">CubicSpline_YC!$T$32</definedName>
    <definedName name="a2_" localSheetId="39">CubicSpline_YC_Optim!$T$32</definedName>
    <definedName name="a2_" localSheetId="40">CubicSpline_YC_Optim_Penalized!$T$32</definedName>
    <definedName name="a2_">CubicSpline3!$T$29</definedName>
    <definedName name="a3_" localSheetId="38">CubicSpline_YC!$T$36</definedName>
    <definedName name="a3_" localSheetId="39">CubicSpline_YC_Optim!$T$36</definedName>
    <definedName name="a3_" localSheetId="40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8">CubicSpline_YC!#REF!</definedName>
    <definedName name="b_0" localSheetId="39">CubicSpline_YC_Optim!#REF!</definedName>
    <definedName name="b_0" localSheetId="40">CubicSpline_YC_Optim_Penalized!#REF!</definedName>
    <definedName name="b_0">#REF!</definedName>
    <definedName name="b_1" localSheetId="38">CubicSpline_YC!$AN$29</definedName>
    <definedName name="b_1" localSheetId="39">CubicSpline_YC_Optim!$AN$29</definedName>
    <definedName name="b_1" localSheetId="40">CubicSpline_YC_Optim_Penalized!$AN$29</definedName>
    <definedName name="b_1">#REF!</definedName>
    <definedName name="b_10" localSheetId="38">CubicSpline_YC!$AN$53</definedName>
    <definedName name="b_10" localSheetId="39">CubicSpline_YC_Optim!$AN$53</definedName>
    <definedName name="b_10" localSheetId="40">CubicSpline_YC_Optim_Penalized!$AN$53</definedName>
    <definedName name="b_10">#REF!</definedName>
    <definedName name="b_2" localSheetId="38">CubicSpline_YC!$AN$33</definedName>
    <definedName name="b_2" localSheetId="39">CubicSpline_YC_Optim!$AN$33</definedName>
    <definedName name="b_2" localSheetId="40">CubicSpline_YC_Optim_Penalized!$AN$33</definedName>
    <definedName name="b_2">#REF!</definedName>
    <definedName name="b_3" localSheetId="38">CubicSpline_YC!$AN$37</definedName>
    <definedName name="b_3" localSheetId="39">CubicSpline_YC_Optim!$AN$37</definedName>
    <definedName name="b_3" localSheetId="40">CubicSpline_YC_Optim_Penalized!$AN$37</definedName>
    <definedName name="b_3">#REF!</definedName>
    <definedName name="b_30" localSheetId="38">CubicSpline_YC!$AN$57</definedName>
    <definedName name="b_30" localSheetId="39">CubicSpline_YC_Optim!$AN$57</definedName>
    <definedName name="b_30" localSheetId="40">CubicSpline_YC_Optim_Penalized!$AN$57</definedName>
    <definedName name="b_30">#REF!</definedName>
    <definedName name="b_4" localSheetId="38">CubicSpline_YC!$AN$41</definedName>
    <definedName name="b_4" localSheetId="39">CubicSpline_YC_Optim!$AN$41</definedName>
    <definedName name="b_4" localSheetId="40">CubicSpline_YC_Optim_Penalized!$AN$41</definedName>
    <definedName name="b_4">#REF!</definedName>
    <definedName name="b_5" localSheetId="38">CubicSpline_YC!$AN$45</definedName>
    <definedName name="b_5" localSheetId="39">CubicSpline_YC_Optim!$AN$45</definedName>
    <definedName name="b_5" localSheetId="40">CubicSpline_YC_Optim_Penalized!$AN$45</definedName>
    <definedName name="b_5">#REF!</definedName>
    <definedName name="b_7" localSheetId="38">CubicSpline_YC!$AN$49</definedName>
    <definedName name="b_7" localSheetId="39">CubicSpline_YC_Optim!$AN$49</definedName>
    <definedName name="b_7" localSheetId="40">CubicSpline_YC_Optim_Penalized!$AN$49</definedName>
    <definedName name="b_7">#REF!</definedName>
    <definedName name="b0">#REF!</definedName>
    <definedName name="b1_" localSheetId="38">CubicSpline_YC!$T$29</definedName>
    <definedName name="b1_" localSheetId="39">CubicSpline_YC_Optim!$T$29</definedName>
    <definedName name="b1_" localSheetId="40">CubicSpline_YC_Optim_Penalized!$T$29</definedName>
    <definedName name="b1_">CubicSpline3!$T$26</definedName>
    <definedName name="b2_" localSheetId="38">CubicSpline_YC!$T$33</definedName>
    <definedName name="b2_" localSheetId="39">CubicSpline_YC_Optim!$T$33</definedName>
    <definedName name="b2_" localSheetId="40">CubicSpline_YC_Optim_Penalized!$T$33</definedName>
    <definedName name="b2_">CubicSpline3!$T$30</definedName>
    <definedName name="b3_" localSheetId="38">CubicSpline_YC!$T$37</definedName>
    <definedName name="b3_" localSheetId="39">CubicSpline_YC_Optim!$T$37</definedName>
    <definedName name="b3_" localSheetId="40">CubicSpline_YC_Optim_Penalized!$T$37</definedName>
    <definedName name="b3_">CubicSpline3!$T$34</definedName>
    <definedName name="Balloons">BasketAnalysis!$I$4:$I$8</definedName>
    <definedName name="beta" localSheetId="2">#REF!</definedName>
    <definedName name="beta" localSheetId="78">#REF!</definedName>
    <definedName name="beta" localSheetId="65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8">CubicSpline_YC!$AN$60</definedName>
    <definedName name="c_0" localSheetId="39">CubicSpline_YC_Optim!$AN$60</definedName>
    <definedName name="c_0" localSheetId="40">CubicSpline_YC_Optim_Penalized!$AN$60</definedName>
    <definedName name="c_0">#REF!</definedName>
    <definedName name="c_1" localSheetId="38">CubicSpline_YC!$AN$30</definedName>
    <definedName name="c_1" localSheetId="39">CubicSpline_YC_Optim!$AN$30</definedName>
    <definedName name="c_1" localSheetId="40">CubicSpline_YC_Optim_Penalized!$AN$30</definedName>
    <definedName name="c_1">#REF!</definedName>
    <definedName name="c_10" localSheetId="38">CubicSpline_YC!$AN$54</definedName>
    <definedName name="c_10" localSheetId="39">CubicSpline_YC_Optim!$AN$54</definedName>
    <definedName name="c_10" localSheetId="40">CubicSpline_YC_Optim_Penalized!$AN$54</definedName>
    <definedName name="c_10">#REF!</definedName>
    <definedName name="c_2" localSheetId="38">CubicSpline_YC!$AN$34</definedName>
    <definedName name="c_2" localSheetId="39">CubicSpline_YC_Optim!$AN$34</definedName>
    <definedName name="c_2" localSheetId="40">CubicSpline_YC_Optim_Penalized!$AN$34</definedName>
    <definedName name="c_2">#REF!</definedName>
    <definedName name="c_3" localSheetId="38">CubicSpline_YC!$AN$38</definedName>
    <definedName name="c_3" localSheetId="39">CubicSpline_YC_Optim!$AN$38</definedName>
    <definedName name="c_3" localSheetId="40">CubicSpline_YC_Optim_Penalized!$AN$38</definedName>
    <definedName name="c_3">#REF!</definedName>
    <definedName name="c_30" localSheetId="38">CubicSpline_YC!$AN$58</definedName>
    <definedName name="c_30" localSheetId="39">CubicSpline_YC_Optim!$AN$58</definedName>
    <definedName name="c_30" localSheetId="40">CubicSpline_YC_Optim_Penalized!$AN$58</definedName>
    <definedName name="c_30">#REF!</definedName>
    <definedName name="c_4" localSheetId="38">CubicSpline_YC!$AN$42</definedName>
    <definedName name="c_4" localSheetId="39">CubicSpline_YC_Optim!$AN$42</definedName>
    <definedName name="c_4" localSheetId="40">CubicSpline_YC_Optim_Penalized!$AN$42</definedName>
    <definedName name="c_4">#REF!</definedName>
    <definedName name="c_5" localSheetId="38">CubicSpline_YC!$AN$46</definedName>
    <definedName name="c_5" localSheetId="39">CubicSpline_YC_Optim!$AN$46</definedName>
    <definedName name="c_5" localSheetId="40">CubicSpline_YC_Optim_Penalized!$AN$46</definedName>
    <definedName name="c_5">#REF!</definedName>
    <definedName name="c_7" localSheetId="38">CubicSpline_YC!$AN$50</definedName>
    <definedName name="c_7" localSheetId="39">CubicSpline_YC_Optim!$AN$50</definedName>
    <definedName name="c_7" localSheetId="40">CubicSpline_YC_Optim_Penalized!$AN$50</definedName>
    <definedName name="c_7">#REF!</definedName>
    <definedName name="Cake">#REF!</definedName>
    <definedName name="Candy_Bar">BasketAnalysis!$J$4:$J$8</definedName>
    <definedName name="Cd" localSheetId="2">[8]Options2!#REF!</definedName>
    <definedName name="Cd" localSheetId="78">[8]Options2!#REF!</definedName>
    <definedName name="Cd" localSheetId="65">[8]Options2!#REF!</definedName>
    <definedName name="Cd">[8]Options2!#REF!</definedName>
    <definedName name="Change" localSheetId="2">[5]VaR0!#REF!</definedName>
    <definedName name="Change" localSheetId="78">[5]VaR0!#REF!</definedName>
    <definedName name="Change" localSheetId="65">[5]VaR0!#REF!</definedName>
    <definedName name="Change">[5]VaR0!#REF!</definedName>
    <definedName name="change1" localSheetId="2">#REF!</definedName>
    <definedName name="change1" localSheetId="78">#REF!</definedName>
    <definedName name="change1" localSheetId="65">#REF!</definedName>
    <definedName name="change1">#REF!</definedName>
    <definedName name="change2" localSheetId="2">#REF!</definedName>
    <definedName name="change2" localSheetId="78">#REF!</definedName>
    <definedName name="change2" localSheetId="65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8">CubicSpline_YC!$AN$61</definedName>
    <definedName name="d_0" localSheetId="39">CubicSpline_YC_Optim!$AN$61</definedName>
    <definedName name="d_0" localSheetId="40">CubicSpline_YC_Optim_Penalized!$AN$61</definedName>
    <definedName name="d_0">#REF!</definedName>
    <definedName name="d_1" localSheetId="38">CubicSpline_YC!$AN$31</definedName>
    <definedName name="d_1" localSheetId="39">CubicSpline_YC_Optim!$AN$31</definedName>
    <definedName name="d_1" localSheetId="40">CubicSpline_YC_Optim_Penalized!$AN$31</definedName>
    <definedName name="d_1">#REF!</definedName>
    <definedName name="d_10" localSheetId="38">CubicSpline_YC!$AN$55</definedName>
    <definedName name="d_10" localSheetId="39">CubicSpline_YC_Optim!$AN$55</definedName>
    <definedName name="d_10" localSheetId="40">CubicSpline_YC_Optim_Penalized!$AN$55</definedName>
    <definedName name="d_10">#REF!</definedName>
    <definedName name="d_2" localSheetId="38">CubicSpline_YC!$AN$35</definedName>
    <definedName name="d_2" localSheetId="39">CubicSpline_YC_Optim!$AN$35</definedName>
    <definedName name="d_2" localSheetId="40">CubicSpline_YC_Optim_Penalized!$AN$35</definedName>
    <definedName name="d_2">#REF!</definedName>
    <definedName name="d_3" localSheetId="38">CubicSpline_YC!$AN$39</definedName>
    <definedName name="d_3" localSheetId="39">CubicSpline_YC_Optim!$AN$39</definedName>
    <definedName name="d_3" localSheetId="40">CubicSpline_YC_Optim_Penalized!$AN$39</definedName>
    <definedName name="d_3">#REF!</definedName>
    <definedName name="d_30" localSheetId="38">CubicSpline_YC!$AN$59</definedName>
    <definedName name="d_30" localSheetId="39">CubicSpline_YC_Optim!$AN$59</definedName>
    <definedName name="d_30" localSheetId="40">CubicSpline_YC_Optim_Penalized!$AN$59</definedName>
    <definedName name="d_30">#REF!</definedName>
    <definedName name="d_4" localSheetId="38">CubicSpline_YC!$AN$43</definedName>
    <definedName name="d_4" localSheetId="39">CubicSpline_YC_Optim!$AN$43</definedName>
    <definedName name="d_4" localSheetId="40">CubicSpline_YC_Optim_Penalized!$AN$43</definedName>
    <definedName name="d_4">#REF!</definedName>
    <definedName name="d_5" localSheetId="38">CubicSpline_YC!$AN$47</definedName>
    <definedName name="d_5" localSheetId="39">CubicSpline_YC_Optim!$AN$47</definedName>
    <definedName name="d_5" localSheetId="40">CubicSpline_YC_Optim_Penalized!$AN$47</definedName>
    <definedName name="d_5">#REF!</definedName>
    <definedName name="d_7" localSheetId="38">CubicSpline_YC!$AN$51</definedName>
    <definedName name="d_7" localSheetId="39">CubicSpline_YC_Optim!$AN$51</definedName>
    <definedName name="d_7" localSheetId="40">CubicSpline_YC_Optim_Penalized!$AN$51</definedName>
    <definedName name="d_7">#REF!</definedName>
    <definedName name="d1_" localSheetId="38">CubicSpline_YC!$T$31</definedName>
    <definedName name="d1_" localSheetId="39">CubicSpline_YC_Optim!$T$31</definedName>
    <definedName name="d1_" localSheetId="40">CubicSpline_YC_Optim_Penalized!$T$31</definedName>
    <definedName name="d1_">CubicSpline3!$T$28</definedName>
    <definedName name="d2_" localSheetId="38">CubicSpline_YC!$T$35</definedName>
    <definedName name="d2_" localSheetId="39">CubicSpline_YC_Optim!$T$35</definedName>
    <definedName name="d2_" localSheetId="40">CubicSpline_YC_Optim_Penalized!$T$35</definedName>
    <definedName name="d2_">CubicSpline3!$T$32</definedName>
    <definedName name="d3_" localSheetId="38">CubicSpline_YC!$T$39</definedName>
    <definedName name="d3_" localSheetId="39">CubicSpline_YC_Optim!$T$39</definedName>
    <definedName name="d3_" localSheetId="40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8">CubicSpline_YC!$F$65:$AK$96</definedName>
    <definedName name="dmat" localSheetId="39">CubicSpline_YC_Optim!$F$65:$AK$96</definedName>
    <definedName name="dmat" localSheetId="40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lowers">BasketAnalysis!$E$4:$E$8</definedName>
    <definedName name="forward_rate">[12]FX_Intro!$C$68</definedName>
    <definedName name="Frequency" localSheetId="2">#REF!</definedName>
    <definedName name="Frequency" localSheetId="78">#REF!</definedName>
    <definedName name="Frequency" localSheetId="65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8">CubicSpline_YC!$C$100:$C$400</definedName>
    <definedName name="i" localSheetId="39">CubicSpline_YC_Optim!$C$100:$C$400</definedName>
    <definedName name="i" localSheetId="40">CubicSpline_YC_Optim_Penalized!$C$100:$C$400</definedName>
    <definedName name="i">CubicSpline3!$AA$8:$AA$38</definedName>
    <definedName name="i_1" localSheetId="40">CubicSpline_YC_Optim_Penalized!$B$100:$B$400</definedName>
    <definedName name="i_1">CubicSpline_YC_Optim!$B$100:$B$400</definedName>
    <definedName name="idx" localSheetId="2">#REF!</definedName>
    <definedName name="idx" localSheetId="78">#REF!</definedName>
    <definedName name="idx" localSheetId="65">#REF!</definedName>
    <definedName name="idx">#REF!</definedName>
    <definedName name="Inflator">[1]RSquareAdj!$C$10</definedName>
    <definedName name="k" localSheetId="2">[15]KNN_Vote!$AA$3</definedName>
    <definedName name="k" localSheetId="78">[15]KNN_Vote!$AA$3</definedName>
    <definedName name="k" localSheetId="65">[15]KNN_Vote!$AA$3</definedName>
    <definedName name="k">#REF!</definedName>
    <definedName name="L">#REF!</definedName>
    <definedName name="label" localSheetId="38">CubicSpline_YC!$B$28:$B$59</definedName>
    <definedName name="label" localSheetId="39">CubicSpline_YC_Optim!$B$28:$B$59</definedName>
    <definedName name="label" localSheetId="40">CubicSpline_YC_Optim_Penalized!$B$28:$B$59</definedName>
    <definedName name="label" localSheetId="37">CubicSpline3!$B$25:$B$36</definedName>
    <definedName name="label">#REF!</definedName>
    <definedName name="LL">#REF!</definedName>
    <definedName name="LN_Sim" localSheetId="2">#REF!</definedName>
    <definedName name="LN_Sim" localSheetId="78">#REF!</definedName>
    <definedName name="LN_Sim" localSheetId="65">#REF!</definedName>
    <definedName name="LN_Sim">#REF!</definedName>
    <definedName name="loss" localSheetId="2">#REF!</definedName>
    <definedName name="loss" localSheetId="78">#REF!</definedName>
    <definedName name="loss" localSheetId="65">#REF!</definedName>
    <definedName name="loss">#REF!</definedName>
    <definedName name="loss_30" localSheetId="2">#REF!</definedName>
    <definedName name="loss_30" localSheetId="78">#REF!</definedName>
    <definedName name="loss_30" localSheetId="65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78">#REF!</definedName>
    <definedName name="n_" localSheetId="65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78">[15]DurbinWatson!$B$3</definedName>
    <definedName name="p" localSheetId="65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78">#REF!</definedName>
    <definedName name="Period" localSheetId="65">#REF!</definedName>
    <definedName name="Period">#REF!</definedName>
    <definedName name="peso_rate">[12]FX_Intro!$C$66</definedName>
    <definedName name="Pij" localSheetId="2">#REF!</definedName>
    <definedName name="Pij" localSheetId="78">#REF!</definedName>
    <definedName name="Pij" localSheetId="65">#REF!</definedName>
    <definedName name="Pij">#REF!</definedName>
    <definedName name="pmt" localSheetId="2">#REF!</definedName>
    <definedName name="pmt" localSheetId="78">#REF!</definedName>
    <definedName name="pmt" localSheetId="65">#REF!</definedName>
    <definedName name="pmt">#REF!</definedName>
    <definedName name="pmt_" localSheetId="2">#REF!</definedName>
    <definedName name="pmt_" localSheetId="78">#REF!</definedName>
    <definedName name="pmt_" localSheetId="65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78">#REF!</definedName>
    <definedName name="price1" localSheetId="65">#REF!</definedName>
    <definedName name="price1">#REF!</definedName>
    <definedName name="price2" localSheetId="2">#REF!</definedName>
    <definedName name="price2" localSheetId="78">#REF!</definedName>
    <definedName name="price2" localSheetId="65">#REF!</definedName>
    <definedName name="price2">#REF!</definedName>
    <definedName name="price3" localSheetId="2">#REF!</definedName>
    <definedName name="price3" localSheetId="78">#REF!</definedName>
    <definedName name="price3" localSheetId="65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78">#REF!</definedName>
    <definedName name="risk1" localSheetId="65">#REF!</definedName>
    <definedName name="risk1">#REF!</definedName>
    <definedName name="risk2" localSheetId="2">#REF!</definedName>
    <definedName name="risk2" localSheetId="78">#REF!</definedName>
    <definedName name="risk2" localSheetId="65">#REF!</definedName>
    <definedName name="risk2">#REF!</definedName>
    <definedName name="risk3" localSheetId="2">#REF!</definedName>
    <definedName name="risk3" localSheetId="78">#REF!</definedName>
    <definedName name="risk3" localSheetId="65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78">#REF!</definedName>
    <definedName name="SD" localSheetId="65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78">#REF!</definedName>
    <definedName name="SE0" localSheetId="65">#REF!</definedName>
    <definedName name="SE0">#REF!</definedName>
    <definedName name="SE1_" localSheetId="2">#REF!</definedName>
    <definedName name="SE1_" localSheetId="78">#REF!</definedName>
    <definedName name="SE1_" localSheetId="65">#REF!</definedName>
    <definedName name="SE1_">#REF!</definedName>
    <definedName name="SE2_" localSheetId="2">#REF!</definedName>
    <definedName name="SE2_" localSheetId="78">#REF!</definedName>
    <definedName name="SE2_" localSheetId="65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da">BasketAnalysis!$G$4:$G$8</definedName>
    <definedName name="solver_adj" localSheetId="39" hidden="1">CubicSpline_YC_Optim!$AN$28:$AN$59</definedName>
    <definedName name="solver_adj" localSheetId="40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9" hidden="1">0.0001</definedName>
    <definedName name="solver_cvg" localSheetId="40" hidden="1">0.0001</definedName>
    <definedName name="solver_cvg" localSheetId="8" hidden="1">0.0001</definedName>
    <definedName name="solver_cvg" localSheetId="9" hidden="1">0.0001</definedName>
    <definedName name="solver_drv" localSheetId="39" hidden="1">1</definedName>
    <definedName name="solver_drv" localSheetId="40" hidden="1">1</definedName>
    <definedName name="solver_drv" localSheetId="8" hidden="1">1</definedName>
    <definedName name="solver_drv" localSheetId="9" hidden="1">1</definedName>
    <definedName name="solver_eng" localSheetId="39" hidden="1">1</definedName>
    <definedName name="solver_eng" localSheetId="40" hidden="1">1</definedName>
    <definedName name="solver_eng" localSheetId="8" hidden="1">1</definedName>
    <definedName name="solver_eng" localSheetId="9" hidden="1">1</definedName>
    <definedName name="solver_itr" localSheetId="39" hidden="1">2147483647</definedName>
    <definedName name="solver_itr" localSheetId="40" hidden="1">2147483647</definedName>
    <definedName name="solver_itr" localSheetId="8" hidden="1">2147483647</definedName>
    <definedName name="solver_itr" localSheetId="9" hidden="1">2147483647</definedName>
    <definedName name="solver_lin" localSheetId="39" hidden="1">2</definedName>
    <definedName name="solver_lin" localSheetId="40" hidden="1">2</definedName>
    <definedName name="solver_lin" localSheetId="8" hidden="1">2</definedName>
    <definedName name="solver_lin" localSheetId="9" hidden="1">2</definedName>
    <definedName name="solver_mip" localSheetId="39" hidden="1">2147483647</definedName>
    <definedName name="solver_mip" localSheetId="40" hidden="1">2147483647</definedName>
    <definedName name="solver_mip" localSheetId="8" hidden="1">2147483647</definedName>
    <definedName name="solver_mip" localSheetId="9" hidden="1">2147483647</definedName>
    <definedName name="solver_mni" localSheetId="39" hidden="1">30</definedName>
    <definedName name="solver_mni" localSheetId="40" hidden="1">30</definedName>
    <definedName name="solver_mni" localSheetId="8" hidden="1">30</definedName>
    <definedName name="solver_mni" localSheetId="9" hidden="1">30</definedName>
    <definedName name="solver_mrt" localSheetId="39" hidden="1">0.075</definedName>
    <definedName name="solver_mrt" localSheetId="40" hidden="1">0.075</definedName>
    <definedName name="solver_mrt" localSheetId="8" hidden="1">0.075</definedName>
    <definedName name="solver_mrt" localSheetId="9" hidden="1">0.075</definedName>
    <definedName name="solver_msl" localSheetId="39" hidden="1">2</definedName>
    <definedName name="solver_msl" localSheetId="40" hidden="1">2</definedName>
    <definedName name="solver_msl" localSheetId="8" hidden="1">2</definedName>
    <definedName name="solver_msl" localSheetId="9" hidden="1">2</definedName>
    <definedName name="solver_neg" localSheetId="39" hidden="1">2</definedName>
    <definedName name="solver_neg" localSheetId="40" hidden="1">2</definedName>
    <definedName name="solver_neg" localSheetId="8" hidden="1">1</definedName>
    <definedName name="solver_neg" localSheetId="9" hidden="1">1</definedName>
    <definedName name="solver_nod" localSheetId="39" hidden="1">2147483647</definedName>
    <definedName name="solver_nod" localSheetId="40" hidden="1">2147483647</definedName>
    <definedName name="solver_nod" localSheetId="8" hidden="1">2147483647</definedName>
    <definedName name="solver_nod" localSheetId="9" hidden="1">2147483647</definedName>
    <definedName name="solver_num" localSheetId="39" hidden="1">0</definedName>
    <definedName name="solver_num" localSheetId="40" hidden="1">0</definedName>
    <definedName name="solver_num" localSheetId="8" hidden="1">0</definedName>
    <definedName name="solver_num" localSheetId="9" hidden="1">0</definedName>
    <definedName name="solver_opt" localSheetId="39" hidden="1">CubicSpline_YC_Optim!$O$101</definedName>
    <definedName name="solver_opt" localSheetId="40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9" hidden="1">0.000001</definedName>
    <definedName name="solver_pre" localSheetId="40" hidden="1">0.000001</definedName>
    <definedName name="solver_pre" localSheetId="8" hidden="1">0.000001</definedName>
    <definedName name="solver_pre" localSheetId="9" hidden="1">0.000001</definedName>
    <definedName name="solver_rbv" localSheetId="39" hidden="1">1</definedName>
    <definedName name="solver_rbv" localSheetId="40" hidden="1">1</definedName>
    <definedName name="solver_rbv" localSheetId="8" hidden="1">1</definedName>
    <definedName name="solver_rbv" localSheetId="9" hidden="1">1</definedName>
    <definedName name="solver_rlx" localSheetId="39" hidden="1">1</definedName>
    <definedName name="solver_rlx" localSheetId="40" hidden="1">1</definedName>
    <definedName name="solver_rlx" localSheetId="8" hidden="1">2</definedName>
    <definedName name="solver_rlx" localSheetId="9" hidden="1">2</definedName>
    <definedName name="solver_rsd" localSheetId="39" hidden="1">0</definedName>
    <definedName name="solver_rsd" localSheetId="40" hidden="1">0</definedName>
    <definedName name="solver_rsd" localSheetId="8" hidden="1">0</definedName>
    <definedName name="solver_rsd" localSheetId="9" hidden="1">0</definedName>
    <definedName name="solver_scl" localSheetId="39" hidden="1">2</definedName>
    <definedName name="solver_scl" localSheetId="40" hidden="1">2</definedName>
    <definedName name="solver_scl" localSheetId="8" hidden="1">1</definedName>
    <definedName name="solver_scl" localSheetId="9" hidden="1">1</definedName>
    <definedName name="solver_sho" localSheetId="39" hidden="1">2</definedName>
    <definedName name="solver_sho" localSheetId="40" hidden="1">2</definedName>
    <definedName name="solver_sho" localSheetId="8" hidden="1">2</definedName>
    <definedName name="solver_sho" localSheetId="9" hidden="1">2</definedName>
    <definedName name="solver_ssz" localSheetId="39" hidden="1">100</definedName>
    <definedName name="solver_ssz" localSheetId="40" hidden="1">100</definedName>
    <definedName name="solver_ssz" localSheetId="8" hidden="1">100</definedName>
    <definedName name="solver_ssz" localSheetId="9" hidden="1">100</definedName>
    <definedName name="solver_tim" localSheetId="39" hidden="1">2147483647</definedName>
    <definedName name="solver_tim" localSheetId="40" hidden="1">2147483647</definedName>
    <definedName name="solver_tim" localSheetId="8" hidden="1">2147483647</definedName>
    <definedName name="solver_tim" localSheetId="9" hidden="1">2147483647</definedName>
    <definedName name="solver_tol" localSheetId="39" hidden="1">0.01</definedName>
    <definedName name="solver_tol" localSheetId="40" hidden="1">0.01</definedName>
    <definedName name="solver_tol" localSheetId="8" hidden="1">0.01</definedName>
    <definedName name="solver_tol" localSheetId="9" hidden="1">0.01</definedName>
    <definedName name="solver_typ" localSheetId="39" hidden="1">2</definedName>
    <definedName name="solver_typ" localSheetId="40" hidden="1">2</definedName>
    <definedName name="solver_typ" localSheetId="8" hidden="1">1</definedName>
    <definedName name="solver_typ" localSheetId="9" hidden="1">1</definedName>
    <definedName name="solver_val" localSheetId="39" hidden="1">0</definedName>
    <definedName name="solver_val" localSheetId="40" hidden="1">0</definedName>
    <definedName name="solver_val" localSheetId="8" hidden="1">0</definedName>
    <definedName name="solver_val" localSheetId="9" hidden="1">0</definedName>
    <definedName name="solver_ver" localSheetId="39" hidden="1">2</definedName>
    <definedName name="solver_ver" localSheetId="40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78">#REF!</definedName>
    <definedName name="stdev" localSheetId="65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38">CubicSpline_YC!$D$100:$D$400</definedName>
    <definedName name="t" localSheetId="39">CubicSpline_YC_Optim!$D$100:$D$400</definedName>
    <definedName name="t" localSheetId="40">CubicSpline_YC_Optim_Penalized!$D$100:$D$400</definedName>
    <definedName name="t" localSheetId="2">#REF!</definedName>
    <definedName name="t" localSheetId="78">#REF!</definedName>
    <definedName name="t" localSheetId="65">#REF!</definedName>
    <definedName name="t">CubicSpline3!$AB$8:$AB$38</definedName>
    <definedName name="t_">[4]CDS!$B$21:$B$25</definedName>
    <definedName name="table_asf">[19]ASF!$C$31:$D$34</definedName>
    <definedName name="time" localSheetId="38">CubicSpline_YC!$D$28:$D$59</definedName>
    <definedName name="time" localSheetId="39">CubicSpline_YC_Optim!$D$28:$D$59</definedName>
    <definedName name="time" localSheetId="40">CubicSpline_YC_Optim_Penalized!$D$28:$D$59</definedName>
    <definedName name="time" localSheetId="36">CubicSpline2!$D$25:$D$36</definedName>
    <definedName name="time" localSheetId="37">CubicSpline3!$D$25:$D$36</definedName>
    <definedName name="Time" localSheetId="2">#REF!</definedName>
    <definedName name="Time" localSheetId="78">#REF!</definedName>
    <definedName name="Time" localSheetId="65">#REF!</definedName>
    <definedName name="time">CubicSpline1!$D$24:$D$27</definedName>
    <definedName name="Time_" localSheetId="38">CubicSpline_YC!$F$37:$F$66</definedName>
    <definedName name="Time_" localSheetId="39">CubicSpline_YC_Optim!$F$37:$F$66</definedName>
    <definedName name="Time_" localSheetId="40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78">#REF!</definedName>
    <definedName name="tmat12" localSheetId="65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8">CubicSpline_YC!$C$28:$C$59</definedName>
    <definedName name="value" localSheetId="39">CubicSpline_YC_Optim!$C$28:$C$59</definedName>
    <definedName name="value" localSheetId="40">CubicSpline_YC_Optim_Penalized!$C$28:$C$59</definedName>
    <definedName name="value" localSheetId="37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78">#REF!</definedName>
    <definedName name="value_lo" localSheetId="65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78">#REF!</definedName>
    <definedName name="y_draw" localSheetId="65">#REF!</definedName>
    <definedName name="y_draw">#REF!</definedName>
    <definedName name="ybar" localSheetId="2">#REF!</definedName>
    <definedName name="ybar" localSheetId="78">#REF!</definedName>
    <definedName name="ybar" localSheetId="65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78">#REF!</definedName>
    <definedName name="yhat" localSheetId="65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N15" i="181"/>
  <c r="N14" i="181"/>
  <c r="N13" i="181"/>
  <c r="P13" i="181" s="1"/>
  <c r="P15" i="181"/>
  <c r="N12" i="181"/>
  <c r="P14" i="181"/>
  <c r="P12" i="181"/>
  <c r="P8" i="181"/>
  <c r="P7" i="181"/>
  <c r="P6" i="181"/>
  <c r="P5" i="181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J14" i="205" a="1"/>
  <c r="G18" i="205" a="1"/>
  <c r="F17" i="205" a="1"/>
  <c r="J17" i="205" a="1"/>
  <c r="H18" i="205" a="1"/>
  <c r="G15" i="205" a="1"/>
  <c r="I14" i="205" a="1"/>
  <c r="H14" i="205" a="1"/>
  <c r="F13" i="205" a="1"/>
  <c r="J13" i="205" a="1"/>
  <c r="F14" i="205" a="1"/>
  <c r="G16" i="205" a="1"/>
  <c r="E14" i="205" a="1"/>
  <c r="E17" i="205" a="1"/>
  <c r="H13" i="205" a="1"/>
  <c r="I15" i="205" a="1"/>
  <c r="G17" i="205" a="1"/>
  <c r="F15" i="205" a="1"/>
  <c r="E13" i="205" a="1"/>
  <c r="E18" i="205" a="1"/>
  <c r="G13" i="205" a="1"/>
  <c r="J16" i="205" a="1"/>
  <c r="I17" i="205" a="1"/>
  <c r="J15" i="205" a="1"/>
  <c r="H16" i="205" a="1"/>
  <c r="F16" i="205" a="1"/>
  <c r="J18" i="205" a="1"/>
  <c r="F18" i="205" a="1"/>
  <c r="H15" i="205" a="1"/>
  <c r="I13" i="205" a="1"/>
  <c r="E15" i="205" a="1"/>
  <c r="I18" i="205" a="1"/>
  <c r="I16" i="205" a="1"/>
  <c r="E16" i="205" a="1"/>
  <c r="G14" i="205" a="1"/>
  <c r="H17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  <c r="E391" i="153"/>
  <c r="AC17" i="152"/>
  <c r="E205" i="155"/>
  <c r="E160" i="153"/>
  <c r="E368" i="154"/>
  <c r="E195" i="154"/>
  <c r="E277" i="154"/>
  <c r="E211" i="155"/>
  <c r="E189" i="154"/>
  <c r="E255" i="153"/>
  <c r="E388" i="155"/>
  <c r="E315" i="153"/>
  <c r="E262" i="155"/>
  <c r="E216" i="155"/>
  <c r="E337" i="153"/>
  <c r="E305" i="153"/>
  <c r="E174" i="153"/>
  <c r="E264" i="153"/>
  <c r="E345" i="154"/>
  <c r="E282" i="153"/>
  <c r="E219" i="153"/>
  <c r="E391" i="154"/>
  <c r="E211" i="153"/>
  <c r="E274" i="154"/>
  <c r="E196" i="155"/>
  <c r="E158" i="154"/>
  <c r="E231" i="153"/>
  <c r="E341" i="155"/>
  <c r="E132" i="155"/>
  <c r="E132" i="153"/>
  <c r="E261" i="154"/>
  <c r="E354" i="155"/>
  <c r="E269" i="153"/>
  <c r="E184" i="153"/>
  <c r="E166" i="153"/>
  <c r="E369" i="153"/>
  <c r="H140" i="155"/>
  <c r="E373" i="155"/>
  <c r="E330" i="153"/>
  <c r="E332" i="154"/>
  <c r="AC23" i="152"/>
  <c r="E159" i="155"/>
  <c r="E322" i="155"/>
  <c r="E104" i="153"/>
  <c r="E400" i="153"/>
  <c r="E185" i="155"/>
  <c r="E221" i="155"/>
  <c r="E143" i="153"/>
  <c r="E223" i="153"/>
  <c r="E340" i="153"/>
  <c r="E289" i="154"/>
  <c r="E240" i="153"/>
  <c r="E105" i="154"/>
  <c r="E240" i="155"/>
  <c r="E107" i="153"/>
  <c r="E206" i="154"/>
  <c r="E308" i="155"/>
  <c r="E191" i="155"/>
  <c r="E355" i="154"/>
  <c r="E218" i="155"/>
  <c r="E107" i="155"/>
  <c r="E243" i="154"/>
  <c r="E304" i="153"/>
  <c r="E128" i="154"/>
  <c r="E168" i="153"/>
  <c r="E308" i="153"/>
  <c r="E339" i="154"/>
  <c r="E383" i="153"/>
  <c r="E351" i="154"/>
  <c r="E110" i="155"/>
  <c r="E339" i="155"/>
  <c r="E318" i="155"/>
  <c r="E171" i="153"/>
  <c r="E104" i="154"/>
  <c r="E109" i="155"/>
  <c r="E108" i="154"/>
  <c r="E360" i="153"/>
  <c r="E291" i="155"/>
  <c r="E139" i="153"/>
  <c r="E312" i="155"/>
  <c r="E309" i="154"/>
  <c r="E326" i="154"/>
  <c r="E130" i="153"/>
  <c r="E115" i="155"/>
  <c r="E297" i="155"/>
  <c r="E384" i="154"/>
  <c r="E345" i="155"/>
  <c r="E271" i="154"/>
  <c r="E119" i="154"/>
  <c r="E190" i="153"/>
  <c r="E390" i="155"/>
  <c r="E286" i="154"/>
  <c r="E211" i="154"/>
  <c r="E223" i="154"/>
  <c r="AC15" i="152"/>
  <c r="E286" i="155"/>
  <c r="E254" i="154"/>
  <c r="E116" i="153"/>
  <c r="E335" i="154"/>
  <c r="E196" i="154"/>
  <c r="E184" i="155"/>
  <c r="E112" i="153"/>
  <c r="H170" i="154"/>
  <c r="E397" i="153"/>
  <c r="E168" i="155"/>
  <c r="E362" i="153"/>
  <c r="E156" i="153"/>
  <c r="E173" i="155"/>
  <c r="E250" i="154"/>
  <c r="E169" i="155"/>
  <c r="E168" i="154"/>
  <c r="E102" i="153"/>
  <c r="E370" i="154"/>
  <c r="E255" i="155"/>
  <c r="E324" i="154"/>
  <c r="AC16" i="152"/>
  <c r="E398" i="154"/>
  <c r="E143" i="154"/>
  <c r="E161" i="154"/>
  <c r="E146" i="155"/>
  <c r="E261" i="153"/>
  <c r="E162" i="155"/>
  <c r="E376" i="153"/>
  <c r="E268" i="153"/>
  <c r="E378" i="154"/>
  <c r="E263" i="153"/>
  <c r="E258" i="153"/>
  <c r="E176" i="154"/>
  <c r="E208" i="154"/>
  <c r="E106" i="155"/>
  <c r="E365" i="154"/>
  <c r="E298" i="154"/>
  <c r="E110" i="154"/>
  <c r="E319" i="155"/>
  <c r="E371" i="154"/>
  <c r="E300" i="155"/>
  <c r="E308" i="154"/>
  <c r="E247" i="153"/>
  <c r="E185" i="153"/>
  <c r="E210" i="153"/>
  <c r="E363" i="153"/>
  <c r="E306" i="155"/>
  <c r="E110" i="153"/>
  <c r="E317" i="155"/>
  <c r="E102" i="155"/>
  <c r="E268" i="155"/>
  <c r="AC24" i="152"/>
  <c r="E395" i="154"/>
  <c r="E268" i="154"/>
  <c r="E349" i="154"/>
  <c r="E249" i="153"/>
  <c r="E126" i="155"/>
  <c r="E231" i="155"/>
  <c r="E157" i="153"/>
  <c r="E246" i="153"/>
  <c r="E171" i="154"/>
  <c r="E271" i="153"/>
  <c r="E257" i="154"/>
  <c r="E133" i="154"/>
  <c r="E154" i="154"/>
  <c r="E365" i="155"/>
  <c r="E338" i="154"/>
  <c r="E118" i="155"/>
  <c r="E187" i="153"/>
  <c r="E149" i="154"/>
  <c r="E185" i="154"/>
  <c r="E220" i="155"/>
  <c r="E358" i="155"/>
  <c r="E111" i="153"/>
  <c r="E217" i="155"/>
  <c r="E355" i="153"/>
  <c r="E138" i="153"/>
  <c r="E161" i="153"/>
  <c r="E113" i="153"/>
  <c r="E152" i="155"/>
  <c r="E193" i="154"/>
  <c r="E235" i="153"/>
  <c r="E256" i="153"/>
  <c r="E141" i="155"/>
  <c r="E228" i="154"/>
  <c r="E120" i="155"/>
  <c r="E180" i="154"/>
  <c r="E225" i="153"/>
  <c r="E352" i="153"/>
  <c r="E179" i="155"/>
  <c r="E257" i="155"/>
  <c r="E248" i="154"/>
  <c r="E100" i="153"/>
  <c r="E108" i="153"/>
  <c r="E354" i="154"/>
  <c r="E320" i="154"/>
  <c r="E392" i="153"/>
  <c r="E243" i="153"/>
  <c r="E301" i="153"/>
  <c r="E180" i="155"/>
  <c r="E368" i="153"/>
  <c r="E253" i="155"/>
  <c r="E347" i="155"/>
  <c r="E147" i="155"/>
  <c r="E280" i="154"/>
  <c r="E368" i="155"/>
  <c r="E314" i="153"/>
  <c r="E389" i="153"/>
  <c r="E284" i="154"/>
  <c r="E113" i="155"/>
  <c r="AC21" i="152"/>
  <c r="E348" i="155"/>
  <c r="E380" i="154"/>
  <c r="E229" i="153"/>
  <c r="E131" i="155"/>
  <c r="E294" i="155"/>
  <c r="E257" i="153"/>
  <c r="E295" i="153"/>
  <c r="E305" i="154"/>
  <c r="E398" i="153"/>
  <c r="E143" i="155"/>
  <c r="E292" i="155"/>
  <c r="E127" i="155"/>
  <c r="E200" i="155"/>
  <c r="AC22" i="152"/>
  <c r="E201" i="155"/>
  <c r="E328" i="155"/>
  <c r="E301" i="154"/>
  <c r="E276" i="154"/>
  <c r="E137" i="154"/>
  <c r="E128" i="155"/>
  <c r="E212" i="154"/>
  <c r="E188" i="153"/>
  <c r="E289" i="153"/>
  <c r="E209" i="155"/>
  <c r="E366" i="155"/>
  <c r="E302" i="154"/>
  <c r="E266" i="155"/>
  <c r="AC29" i="152"/>
  <c r="E279" i="153"/>
  <c r="E182" i="154"/>
  <c r="E162" i="154"/>
  <c r="E124" i="153"/>
  <c r="E117" i="154"/>
  <c r="E207" i="155"/>
  <c r="E242" i="155"/>
  <c r="E145" i="153"/>
  <c r="E267" i="155"/>
  <c r="E109" i="153"/>
  <c r="E313" i="154"/>
  <c r="E105" i="153"/>
  <c r="E237" i="154"/>
  <c r="E276" i="153"/>
  <c r="E148" i="155"/>
  <c r="E400" i="155"/>
  <c r="E260" i="155"/>
  <c r="E270" i="153"/>
  <c r="E362" i="155"/>
  <c r="E290" i="155"/>
  <c r="E166" i="155"/>
  <c r="E137" i="153"/>
  <c r="E205" i="154"/>
  <c r="E337" i="155"/>
  <c r="E232" i="154"/>
  <c r="E219" i="155"/>
  <c r="E118" i="154"/>
  <c r="E291" i="154"/>
  <c r="E270" i="154"/>
  <c r="E212" i="155"/>
  <c r="E309" i="153"/>
  <c r="E270" i="155"/>
  <c r="E178" i="153"/>
  <c r="E319" i="153"/>
  <c r="E322" i="153"/>
  <c r="E358" i="154"/>
  <c r="H140" i="154"/>
  <c r="E213" i="153"/>
  <c r="E386" i="153"/>
  <c r="E269" i="155"/>
  <c r="E344" i="153"/>
  <c r="E198" i="154"/>
  <c r="E125" i="154"/>
  <c r="E274" i="153"/>
  <c r="E212" i="153"/>
  <c r="E127" i="153"/>
  <c r="E336" i="154"/>
  <c r="E237" i="155"/>
  <c r="E248" i="155"/>
  <c r="E377" i="153"/>
  <c r="E245" i="155"/>
  <c r="E114" i="153"/>
  <c r="E242" i="153"/>
  <c r="E167" i="154"/>
  <c r="E366" i="153"/>
  <c r="E166" i="154"/>
  <c r="E159" i="154"/>
  <c r="E265" i="154"/>
  <c r="E133" i="153"/>
  <c r="E183" i="153"/>
  <c r="E369" i="154"/>
  <c r="E195" i="155"/>
  <c r="E254" i="155"/>
  <c r="E249" i="154"/>
  <c r="E138" i="155"/>
  <c r="E221" i="154"/>
  <c r="E136" i="154"/>
  <c r="E194" i="155"/>
  <c r="AC13" i="152"/>
  <c r="E222" i="154"/>
  <c r="E310" i="155"/>
  <c r="E272" i="154"/>
  <c r="E327" i="155"/>
  <c r="AC28" i="152"/>
  <c r="E208" i="155"/>
  <c r="E316" i="154"/>
  <c r="E304" i="155"/>
  <c r="E171" i="155"/>
  <c r="E238" i="155"/>
  <c r="E252" i="153"/>
  <c r="E285" i="155"/>
  <c r="E181" i="155"/>
  <c r="E280" i="155"/>
  <c r="E344" i="155"/>
  <c r="E230" i="155"/>
  <c r="E242" i="154"/>
  <c r="E150" i="155"/>
  <c r="AC26" i="152"/>
  <c r="E359" i="153"/>
  <c r="E260" i="154"/>
  <c r="E210" i="155"/>
  <c r="E178" i="155"/>
  <c r="E316" i="153"/>
  <c r="E188" i="155"/>
  <c r="E107" i="154"/>
  <c r="H150" i="155"/>
  <c r="E193" i="153"/>
  <c r="E251" i="154"/>
  <c r="E274" i="155"/>
  <c r="E136" i="155"/>
  <c r="E117" i="155"/>
  <c r="E201" i="153"/>
  <c r="E102" i="154"/>
  <c r="E256" i="154"/>
  <c r="E356" i="153"/>
  <c r="E232" i="155"/>
  <c r="AC25" i="152"/>
  <c r="E157" i="155"/>
  <c r="E374" i="155"/>
  <c r="E233" i="155"/>
  <c r="E329" i="153"/>
  <c r="E328" i="154"/>
  <c r="E103" i="154"/>
  <c r="E295" i="154"/>
  <c r="E241" i="154"/>
  <c r="E148" i="154"/>
  <c r="AC35" i="152"/>
  <c r="E259" i="153"/>
  <c r="E152" i="153"/>
  <c r="E336" i="153"/>
  <c r="E196" i="153"/>
  <c r="E281" i="154"/>
  <c r="E341" i="153"/>
  <c r="E326" i="153"/>
  <c r="E287" i="153"/>
  <c r="E176" i="153"/>
  <c r="E342" i="153"/>
  <c r="E209" i="153"/>
  <c r="AC31" i="152"/>
  <c r="H130" i="154"/>
  <c r="E222" i="155"/>
  <c r="E235" i="154"/>
  <c r="E111" i="155"/>
  <c r="E129" i="153"/>
  <c r="E103" i="153"/>
  <c r="E218" i="153"/>
  <c r="E155" i="155"/>
  <c r="E149" i="153"/>
  <c r="E273" i="154"/>
  <c r="E109" i="154"/>
  <c r="E302" i="153"/>
  <c r="E295" i="155"/>
  <c r="E112" i="155"/>
  <c r="E164" i="154"/>
  <c r="E114" i="155"/>
  <c r="E273" i="153"/>
  <c r="E359" i="154"/>
  <c r="E277" i="155"/>
  <c r="E164" i="155"/>
  <c r="AC18" i="152"/>
  <c r="E360" i="155"/>
  <c r="E275" i="155"/>
  <c r="E388" i="154"/>
  <c r="E186" i="153"/>
  <c r="E218" i="154"/>
  <c r="E191" i="154"/>
  <c r="E371" i="153"/>
  <c r="E287" i="154"/>
  <c r="E189" i="155"/>
  <c r="E139" i="155"/>
  <c r="E297" i="154"/>
  <c r="E226" i="154"/>
  <c r="E199" i="155"/>
  <c r="H110" i="154"/>
  <c r="E357" i="153"/>
  <c r="E394" i="155"/>
  <c r="E327" i="153"/>
  <c r="E361" i="154"/>
  <c r="E294" i="153"/>
  <c r="E214" i="154"/>
  <c r="E346" i="155"/>
  <c r="E259" i="155"/>
  <c r="E352" i="155"/>
  <c r="E190" i="155"/>
  <c r="E228" i="155"/>
  <c r="E321" i="154"/>
  <c r="E181" i="153"/>
  <c r="E183" i="155"/>
  <c r="E216" i="154"/>
  <c r="E285" i="153"/>
  <c r="E238" i="153"/>
  <c r="E123" i="154"/>
  <c r="E123" i="155"/>
  <c r="E294" i="154"/>
  <c r="E115" i="154"/>
  <c r="E119" i="153"/>
  <c r="E272" i="155"/>
  <c r="E192" i="155"/>
  <c r="E194" i="153"/>
  <c r="E222" i="153"/>
  <c r="E152" i="154"/>
  <c r="E131" i="153"/>
  <c r="E373" i="154"/>
  <c r="E329" i="155"/>
  <c r="E200" i="153"/>
  <c r="E147" i="154"/>
  <c r="E220" i="153"/>
  <c r="E124" i="155"/>
  <c r="AC27" i="152"/>
  <c r="E126" i="154"/>
  <c r="E373" i="153"/>
  <c r="E339" i="153"/>
  <c r="E344" i="154"/>
  <c r="E260" i="153"/>
  <c r="E313" i="155"/>
  <c r="E298" i="155"/>
  <c r="E356" i="155"/>
  <c r="E321" i="153"/>
  <c r="E362" i="154"/>
  <c r="E253" i="153"/>
  <c r="E366" i="154"/>
  <c r="E379" i="153"/>
  <c r="E318" i="154"/>
  <c r="E202" i="153"/>
  <c r="E172" i="155"/>
  <c r="E232" i="153"/>
  <c r="E136" i="153"/>
  <c r="E293" i="153"/>
  <c r="E273" i="155"/>
  <c r="E188" i="154"/>
  <c r="E387" i="155"/>
  <c r="E305" i="155"/>
  <c r="E345" i="153"/>
  <c r="E276" i="155"/>
  <c r="E291" i="153"/>
  <c r="E287" i="155"/>
  <c r="E121" i="153"/>
  <c r="E207" i="153"/>
  <c r="AC30" i="152"/>
  <c r="E256" i="155"/>
  <c r="E197" i="154"/>
  <c r="E265" i="155"/>
  <c r="E375" i="154"/>
  <c r="E174" i="155"/>
  <c r="E284" i="153"/>
  <c r="E116" i="154"/>
  <c r="H110" i="155"/>
  <c r="E315" i="154"/>
  <c r="E248" i="153"/>
  <c r="E367" i="155"/>
  <c r="E221" i="153"/>
  <c r="E350" i="155"/>
  <c r="E158" i="153"/>
  <c r="E224" i="155"/>
  <c r="E121" i="154"/>
  <c r="E370" i="153"/>
  <c r="E231" i="154"/>
  <c r="E216" i="153"/>
  <c r="E100" i="154"/>
  <c r="AC9" i="152"/>
  <c r="E237" i="153"/>
  <c r="E144" i="154"/>
  <c r="E324" i="153"/>
  <c r="E187" i="154"/>
  <c r="E215" i="155"/>
  <c r="E234" i="153"/>
  <c r="E141" i="154"/>
  <c r="E396" i="153"/>
  <c r="E266" i="153"/>
  <c r="E119" i="155"/>
  <c r="E355" i="155"/>
  <c r="E264" i="154"/>
  <c r="E377" i="154"/>
  <c r="E271" i="155"/>
  <c r="E204" i="153"/>
  <c r="E255" i="154"/>
  <c r="E264" i="155"/>
  <c r="E151" i="153"/>
  <c r="E301" i="155"/>
  <c r="E332" i="153"/>
  <c r="E131" i="154"/>
  <c r="E266" i="154"/>
  <c r="AC14" i="152"/>
  <c r="E381" i="153"/>
  <c r="E381" i="154"/>
  <c r="E165" i="153"/>
  <c r="E252" i="154"/>
  <c r="E172" i="154"/>
  <c r="E351" i="153"/>
  <c r="AC33" i="152"/>
  <c r="E113" i="154"/>
  <c r="E241" i="155"/>
  <c r="E382" i="155"/>
  <c r="E101" i="154"/>
  <c r="E364" i="154"/>
  <c r="E334" i="154"/>
  <c r="E392" i="154"/>
  <c r="E262" i="154"/>
  <c r="E153" i="155"/>
  <c r="E165" i="154"/>
  <c r="E342" i="154"/>
  <c r="E283" i="153"/>
  <c r="E349" i="155"/>
  <c r="AC37" i="152"/>
  <c r="E280" i="153"/>
  <c r="E299" i="154"/>
  <c r="E105" i="155"/>
  <c r="E306" i="153"/>
  <c r="E219" i="154"/>
  <c r="E191" i="153"/>
  <c r="E358" i="153"/>
  <c r="E134" i="153"/>
  <c r="E144" i="153"/>
  <c r="AC20" i="152"/>
  <c r="E140" i="155"/>
  <c r="E158" i="155"/>
  <c r="E190" i="154"/>
  <c r="E123" i="153"/>
  <c r="E104" i="155"/>
  <c r="E150" i="153"/>
  <c r="E284" i="155"/>
  <c r="E381" i="155"/>
  <c r="E293" i="155"/>
  <c r="E346" i="153"/>
  <c r="E393" i="155"/>
  <c r="E227" i="155"/>
  <c r="E198" i="153"/>
  <c r="E375" i="155"/>
  <c r="E192" i="154"/>
  <c r="E281" i="153"/>
  <c r="E160" i="155"/>
  <c r="E364" i="155"/>
  <c r="E245" i="153"/>
  <c r="E279" i="155"/>
  <c r="AC12" i="152"/>
  <c r="E217" i="154"/>
  <c r="E133" i="155"/>
  <c r="E259" i="154"/>
  <c r="E338" i="153"/>
  <c r="AC38" i="152"/>
  <c r="E370" i="155"/>
  <c r="E250" i="155"/>
  <c r="E360" i="154"/>
  <c r="E296" i="155"/>
  <c r="E278" i="154"/>
  <c r="E379" i="155"/>
  <c r="E385" i="153"/>
  <c r="E117" i="153"/>
  <c r="E323" i="153"/>
  <c r="E151" i="154"/>
  <c r="E202" i="154"/>
  <c r="E304" i="154"/>
  <c r="E100" i="155"/>
  <c r="E199" i="153"/>
  <c r="E200" i="154"/>
  <c r="E169" i="154"/>
  <c r="E125" i="155"/>
  <c r="E142" i="155"/>
  <c r="E174" i="154"/>
  <c r="E333" i="153"/>
  <c r="E160" i="154"/>
  <c r="E149" i="155"/>
  <c r="E154" i="153"/>
  <c r="E236" i="153"/>
  <c r="E303" i="154"/>
  <c r="E310" i="153"/>
  <c r="E329" i="154"/>
  <c r="E307" i="154"/>
  <c r="E359" i="155"/>
  <c r="E180" i="153"/>
  <c r="AC19" i="152"/>
  <c r="H120" i="154"/>
  <c r="E292" i="154"/>
  <c r="E399" i="154"/>
  <c r="E400" i="154"/>
  <c r="E238" i="154"/>
  <c r="E312" i="153"/>
  <c r="E120" i="154"/>
  <c r="E281" i="155"/>
  <c r="E399" i="155"/>
  <c r="E265" i="153"/>
  <c r="E226" i="155"/>
  <c r="E203" i="155"/>
  <c r="E253" i="154"/>
  <c r="E307" i="155"/>
  <c r="E314" i="155"/>
  <c r="E300" i="153"/>
  <c r="E343" i="155"/>
  <c r="E353" i="153"/>
  <c r="E321" i="155"/>
  <c r="E208" i="153"/>
  <c r="E290" i="153"/>
  <c r="E340" i="154"/>
  <c r="E283" i="154"/>
  <c r="E369" i="155"/>
  <c r="E175" i="153"/>
  <c r="E161" i="155"/>
  <c r="E203" i="154"/>
  <c r="E297" i="153"/>
  <c r="E350" i="153"/>
  <c r="E239" i="154"/>
  <c r="E383" i="155"/>
  <c r="E247" i="154"/>
  <c r="E361" i="155"/>
  <c r="E153" i="154"/>
  <c r="E316" i="155"/>
  <c r="E227" i="154"/>
  <c r="E288" i="155"/>
  <c r="E325" i="153"/>
  <c r="E267" i="154"/>
  <c r="E132" i="154"/>
  <c r="E186" i="154"/>
  <c r="E380" i="155"/>
  <c r="AC11" i="152"/>
  <c r="E296" i="153"/>
  <c r="E398" i="155"/>
  <c r="E399" i="153"/>
  <c r="E243" i="155"/>
  <c r="E229" i="155"/>
  <c r="E302" i="155"/>
  <c r="E230" i="153"/>
  <c r="E173" i="153"/>
  <c r="E135" i="154"/>
  <c r="E124" i="154"/>
  <c r="E175" i="155"/>
  <c r="E383" i="154"/>
  <c r="E384" i="155"/>
  <c r="E285" i="154"/>
  <c r="E172" i="153"/>
  <c r="E262" i="153"/>
  <c r="E293" i="154"/>
  <c r="E108" i="155"/>
  <c r="E379" i="154"/>
  <c r="E247" i="155"/>
  <c r="E374" i="153"/>
  <c r="E375" i="153"/>
  <c r="E239" i="153"/>
  <c r="E140" i="153"/>
  <c r="E311" i="155"/>
  <c r="E263" i="154"/>
  <c r="E154" i="155"/>
  <c r="E142" i="154"/>
  <c r="E393" i="154"/>
  <c r="E127" i="154"/>
  <c r="E311" i="153"/>
  <c r="E323" i="154"/>
  <c r="E378" i="153"/>
  <c r="E234" i="155"/>
  <c r="E317" i="154"/>
  <c r="E395" i="155"/>
  <c r="E129" i="154"/>
  <c r="E309" i="155"/>
  <c r="E213" i="155"/>
  <c r="E155" i="153"/>
  <c r="E118" i="153"/>
  <c r="E324" i="155"/>
  <c r="E357" i="154"/>
  <c r="E194" i="154"/>
  <c r="E386" i="155"/>
  <c r="E352" i="154"/>
  <c r="E226" i="153"/>
  <c r="E233" i="154"/>
  <c r="E210" i="154"/>
  <c r="E288" i="154"/>
  <c r="E156" i="154"/>
  <c r="E138" i="154"/>
  <c r="E164" i="153"/>
  <c r="E367" i="154"/>
  <c r="E106" i="154"/>
  <c r="E250" i="153"/>
  <c r="E135" i="155"/>
  <c r="E240" i="154"/>
  <c r="E163" i="155"/>
  <c r="E389" i="155"/>
  <c r="E272" i="153"/>
  <c r="E230" i="154"/>
  <c r="E335" i="153"/>
  <c r="E197" i="155"/>
  <c r="E258" i="154"/>
  <c r="E306" i="154"/>
  <c r="E183" i="154"/>
  <c r="E320" i="155"/>
  <c r="E122" i="153"/>
  <c r="E252" i="155"/>
  <c r="E157" i="154"/>
  <c r="E380" i="153"/>
  <c r="E162" i="153"/>
  <c r="E313" i="153"/>
  <c r="E246" i="155"/>
  <c r="E170" i="155"/>
  <c r="E336" i="155"/>
  <c r="E214" i="153"/>
  <c r="E382" i="153"/>
  <c r="E342" i="155"/>
  <c r="E292" i="153"/>
  <c r="E206" i="155"/>
  <c r="E198" i="155"/>
  <c r="E282" i="154"/>
  <c r="E195" i="153"/>
  <c r="E215" i="153"/>
  <c r="E207" i="154"/>
  <c r="E311" i="154"/>
  <c r="E128" i="153"/>
  <c r="E254" i="153"/>
  <c r="E322" i="154"/>
  <c r="E167" i="153"/>
  <c r="E245" i="154"/>
  <c r="E204" i="154"/>
  <c r="E165" i="155"/>
  <c r="E135" i="153"/>
  <c r="AC8" i="152"/>
  <c r="E347" i="154"/>
  <c r="E139" i="154"/>
  <c r="E387" i="154"/>
  <c r="E392" i="155"/>
  <c r="E326" i="155"/>
  <c r="E283" i="155"/>
  <c r="E388" i="153"/>
  <c r="E333" i="154"/>
  <c r="E258" i="155"/>
  <c r="E249" i="155"/>
  <c r="E363" i="154"/>
  <c r="E130" i="154"/>
  <c r="E163" i="153"/>
  <c r="E288" i="153"/>
  <c r="E229" i="154"/>
  <c r="E225" i="155"/>
  <c r="E177" i="155"/>
  <c r="E296" i="154"/>
  <c r="E167" i="155"/>
  <c r="E261" i="155"/>
  <c r="E153" i="153"/>
  <c r="E241" i="153"/>
  <c r="E347" i="153"/>
  <c r="E307" i="153"/>
  <c r="E251" i="155"/>
  <c r="E372" i="154"/>
  <c r="E343" i="154"/>
  <c r="E393" i="153"/>
  <c r="E213" i="154"/>
  <c r="E387" i="153"/>
  <c r="E244" i="155"/>
  <c r="H170" i="155"/>
  <c r="E199" i="154"/>
  <c r="E130" i="155"/>
  <c r="E201" i="154"/>
  <c r="E397" i="154"/>
  <c r="E156" i="155"/>
  <c r="H200" i="155"/>
  <c r="E176" i="155"/>
  <c r="E121" i="155"/>
  <c r="E278" i="153"/>
  <c r="E337" i="154"/>
  <c r="E390" i="153"/>
  <c r="E303" i="153"/>
  <c r="E186" i="155"/>
  <c r="E378" i="155"/>
  <c r="E318" i="153"/>
  <c r="E155" i="154"/>
  <c r="E367" i="153"/>
  <c r="E384" i="153"/>
  <c r="E223" i="155"/>
  <c r="E372" i="153"/>
  <c r="E278" i="155"/>
  <c r="E137" i="155"/>
  <c r="E349" i="153"/>
  <c r="E115" i="153"/>
  <c r="E315" i="155"/>
  <c r="E235" i="155"/>
  <c r="E236" i="155"/>
  <c r="E134" i="155"/>
  <c r="E341" i="154"/>
  <c r="E310" i="154"/>
  <c r="E181" i="154"/>
  <c r="E357" i="155"/>
  <c r="E348" i="154"/>
  <c r="E377" i="155"/>
  <c r="E275" i="154"/>
  <c r="E298" i="153"/>
  <c r="E112" i="154"/>
  <c r="E353" i="154"/>
  <c r="E267" i="153"/>
  <c r="E348" i="153"/>
  <c r="E169" i="153"/>
  <c r="E330" i="155"/>
  <c r="E140" i="154"/>
  <c r="E289" i="155"/>
  <c r="E325" i="155"/>
  <c r="E125" i="153"/>
  <c r="E146" i="153"/>
  <c r="E275" i="153"/>
  <c r="E277" i="153"/>
  <c r="E192" i="153"/>
  <c r="E395" i="153"/>
  <c r="E120" i="153"/>
  <c r="E177" i="153"/>
  <c r="E224" i="154"/>
  <c r="E225" i="154"/>
  <c r="E286" i="153"/>
  <c r="E170" i="153"/>
  <c r="E141" i="153"/>
  <c r="E126" i="153"/>
  <c r="E325" i="154"/>
  <c r="E279" i="154"/>
  <c r="E263" i="155"/>
  <c r="E116" i="155"/>
  <c r="E233" i="153"/>
  <c r="AC32" i="152"/>
  <c r="E129" i="155"/>
  <c r="E179" i="154"/>
  <c r="E175" i="154"/>
  <c r="E236" i="154"/>
  <c r="H200" i="154"/>
  <c r="E145" i="154"/>
  <c r="E217" i="153"/>
  <c r="E142" i="153"/>
  <c r="E101" i="153"/>
  <c r="E299" i="153"/>
  <c r="E234" i="154"/>
  <c r="E182" i="153"/>
  <c r="E145" i="155"/>
  <c r="E282" i="155"/>
  <c r="E244" i="153"/>
  <c r="E372" i="155"/>
  <c r="E290" i="154"/>
  <c r="E173" i="154"/>
  <c r="E303" i="155"/>
  <c r="E203" i="153"/>
  <c r="E376" i="155"/>
  <c r="E331" i="155"/>
  <c r="E144" i="155"/>
  <c r="E340" i="155"/>
  <c r="E397" i="155"/>
  <c r="E177" i="154"/>
  <c r="E332" i="155"/>
  <c r="E323" i="155"/>
  <c r="E214" i="155"/>
  <c r="E365" i="153"/>
  <c r="E146" i="154"/>
  <c r="E114" i="154"/>
  <c r="E335" i="155"/>
  <c r="E103" i="155"/>
  <c r="E206" i="153"/>
  <c r="E390" i="154"/>
  <c r="E228" i="153"/>
  <c r="E371" i="155"/>
  <c r="E346" i="154"/>
  <c r="E220" i="154"/>
  <c r="E147" i="153"/>
  <c r="E385" i="155"/>
  <c r="E363" i="155"/>
  <c r="E134" i="154"/>
  <c r="E351" i="155"/>
  <c r="E151" i="155"/>
  <c r="E382" i="154"/>
  <c r="E356" i="154"/>
  <c r="H130" i="155"/>
  <c r="E204" i="155"/>
  <c r="E327" i="154"/>
  <c r="E197" i="153"/>
  <c r="E159" i="153"/>
  <c r="E319" i="154"/>
  <c r="E224" i="153"/>
  <c r="E122" i="155"/>
  <c r="E215" i="154"/>
  <c r="E246" i="154"/>
  <c r="E182" i="155"/>
  <c r="E111" i="154"/>
  <c r="E122" i="154"/>
  <c r="E328" i="153"/>
  <c r="AC36" i="152"/>
  <c r="E350" i="154"/>
  <c r="E150" i="154"/>
  <c r="E300" i="154"/>
  <c r="E331" i="154"/>
  <c r="E209" i="154"/>
  <c r="E101" i="155"/>
  <c r="E269" i="154"/>
  <c r="E299" i="155"/>
  <c r="E251" i="153"/>
  <c r="E244" i="154"/>
  <c r="E202" i="155"/>
  <c r="E205" i="153"/>
  <c r="E394" i="154"/>
  <c r="E317" i="153"/>
  <c r="AC34" i="152"/>
  <c r="AC10" i="152"/>
  <c r="E386" i="154"/>
  <c r="E338" i="155"/>
  <c r="E179" i="153"/>
  <c r="E331" i="153"/>
  <c r="E187" i="155"/>
  <c r="E385" i="154"/>
  <c r="E334" i="155"/>
  <c r="H120" i="155"/>
  <c r="E170" i="154"/>
  <c r="E184" i="154"/>
  <c r="E353" i="155"/>
  <c r="E389" i="154"/>
  <c r="E394" i="153"/>
  <c r="E376" i="154"/>
  <c r="H150" i="154"/>
  <c r="E364" i="153"/>
  <c r="E354" i="153"/>
  <c r="E334" i="153"/>
  <c r="E239" i="155"/>
  <c r="E178" i="154"/>
  <c r="E374" i="154"/>
  <c r="E320" i="153"/>
  <c r="E391" i="155"/>
  <c r="E396" i="155"/>
  <c r="E189" i="153"/>
  <c r="E330" i="154"/>
  <c r="E361" i="153"/>
  <c r="E333" i="155"/>
  <c r="E163" i="154"/>
  <c r="E227" i="153"/>
  <c r="E314" i="154"/>
  <c r="E106" i="153"/>
  <c r="E148" i="153"/>
  <c r="E343" i="153"/>
  <c r="E193" i="155"/>
  <c r="E396" i="154"/>
  <c r="E312" i="154"/>
  <c r="R193" i="155" l="1" a="1"/>
  <c r="R193" i="155" s="1"/>
  <c r="R333" i="155" a="1"/>
  <c r="R333" i="155" s="1"/>
  <c r="R396" i="155" a="1"/>
  <c r="R396" i="155" s="1"/>
  <c r="R391" i="155" a="1"/>
  <c r="R391" i="155" s="1"/>
  <c r="R239" i="155" a="1"/>
  <c r="R239" i="155" s="1"/>
  <c r="I150" i="154"/>
  <c r="R353" i="155" a="1"/>
  <c r="R353" i="155" s="1"/>
  <c r="G170" i="154"/>
  <c r="I120" i="155"/>
  <c r="R334" i="155" a="1"/>
  <c r="R334" i="155" s="1"/>
  <c r="S334" i="155" s="1"/>
  <c r="R187" i="155" a="1"/>
  <c r="R187" i="155" s="1"/>
  <c r="R338" i="155" a="1"/>
  <c r="R338" i="155" s="1"/>
  <c r="R202" i="155" a="1"/>
  <c r="R202" i="155" s="1"/>
  <c r="R299" i="155" a="1"/>
  <c r="R299" i="155" s="1"/>
  <c r="R101" i="155" a="1"/>
  <c r="R101" i="155" s="1"/>
  <c r="G150" i="154"/>
  <c r="R182" i="155" a="1"/>
  <c r="R182" i="155" s="1"/>
  <c r="R122" i="155" a="1"/>
  <c r="R122" i="155" s="1"/>
  <c r="R204" i="155" a="1"/>
  <c r="R204" i="155" s="1"/>
  <c r="I130" i="155"/>
  <c r="R151" i="155" a="1"/>
  <c r="R151" i="155" s="1"/>
  <c r="R351" i="155" a="1"/>
  <c r="R351" i="155" s="1"/>
  <c r="R363" i="155" a="1"/>
  <c r="R363" i="155" s="1"/>
  <c r="R385" i="155" a="1"/>
  <c r="R385" i="155" s="1"/>
  <c r="R371" i="155" a="1"/>
  <c r="R371" i="155" s="1"/>
  <c r="R103" i="155" a="1"/>
  <c r="R103" i="155" s="1"/>
  <c r="R335" i="155" a="1"/>
  <c r="R335" i="155" s="1"/>
  <c r="S335" i="155" s="1"/>
  <c r="T335" i="155" s="1"/>
  <c r="R214" i="155" a="1"/>
  <c r="R214" i="155" s="1"/>
  <c r="R323" i="155" a="1"/>
  <c r="R323" i="155" s="1"/>
  <c r="R332" i="155" a="1"/>
  <c r="R332" i="155" s="1"/>
  <c r="S332" i="155" s="1"/>
  <c r="R397" i="155" a="1"/>
  <c r="R397" i="155" s="1"/>
  <c r="S397" i="155" s="1"/>
  <c r="R340" i="155" a="1"/>
  <c r="R340" i="155" s="1"/>
  <c r="R144" i="155" a="1"/>
  <c r="R144" i="155" s="1"/>
  <c r="R331" i="155" a="1"/>
  <c r="R331" i="155" s="1"/>
  <c r="R376" i="155" a="1"/>
  <c r="R376" i="155" s="1"/>
  <c r="R303" i="155" a="1"/>
  <c r="R303" i="155" s="1"/>
  <c r="R372" i="155" a="1"/>
  <c r="R372" i="155" s="1"/>
  <c r="S372" i="155" s="1"/>
  <c r="R282" i="155" a="1"/>
  <c r="R282" i="155" s="1"/>
  <c r="S282" i="155" s="1"/>
  <c r="R145" i="155" a="1"/>
  <c r="R145" i="155" s="1"/>
  <c r="S145" i="155" s="1"/>
  <c r="I200" i="154"/>
  <c r="R129" i="155" a="1"/>
  <c r="R129" i="155" s="1"/>
  <c r="R116" i="155" a="1"/>
  <c r="R116" i="155" s="1"/>
  <c r="R263" i="155" a="1"/>
  <c r="R263" i="155" s="1"/>
  <c r="R325" i="155" a="1"/>
  <c r="R325" i="155" s="1"/>
  <c r="R289" i="155" a="1"/>
  <c r="R289" i="155" s="1"/>
  <c r="G140" i="154"/>
  <c r="R330" i="155" a="1"/>
  <c r="R330" i="155" s="1"/>
  <c r="S330" i="155" s="1"/>
  <c r="T330" i="155" s="1"/>
  <c r="R377" i="155" a="1"/>
  <c r="R377" i="155" s="1"/>
  <c r="R357" i="155" a="1"/>
  <c r="R357" i="155" s="1"/>
  <c r="R134" i="155" a="1"/>
  <c r="R134" i="155" s="1"/>
  <c r="R236" i="155" a="1"/>
  <c r="R236" i="155" s="1"/>
  <c r="R235" i="155" a="1"/>
  <c r="R235" i="155" s="1"/>
  <c r="S235" i="155" s="1"/>
  <c r="R315" i="155" a="1"/>
  <c r="R315" i="155" s="1"/>
  <c r="R137" i="155" a="1"/>
  <c r="R137" i="155" s="1"/>
  <c r="S137" i="155" s="1"/>
  <c r="T137" i="155" s="1"/>
  <c r="R278" i="155" a="1"/>
  <c r="R278" i="155" s="1"/>
  <c r="R223" i="155" a="1"/>
  <c r="R223" i="155" s="1"/>
  <c r="R378" i="155" a="1"/>
  <c r="R378" i="155" s="1"/>
  <c r="R186" i="155" a="1"/>
  <c r="R186" i="155" s="1"/>
  <c r="R121" i="155" a="1"/>
  <c r="R121" i="155" s="1"/>
  <c r="R176" i="155" a="1"/>
  <c r="R176" i="155" s="1"/>
  <c r="I200" i="155"/>
  <c r="R156" i="155" a="1"/>
  <c r="R156" i="155" s="1"/>
  <c r="S156" i="155" s="1"/>
  <c r="G130" i="155"/>
  <c r="R130" i="155" a="1"/>
  <c r="R130" i="155" s="1"/>
  <c r="S130" i="155" s="1"/>
  <c r="I170" i="155"/>
  <c r="R244" i="155" a="1"/>
  <c r="R244" i="155" s="1"/>
  <c r="R251" i="155" a="1"/>
  <c r="R251" i="155" s="1"/>
  <c r="R261" i="155" a="1"/>
  <c r="R261" i="155" s="1"/>
  <c r="R167" i="155" a="1"/>
  <c r="R167" i="155" s="1"/>
  <c r="S167" i="155" s="1"/>
  <c r="R177" i="155" a="1"/>
  <c r="R177" i="155" s="1"/>
  <c r="S177" i="155" s="1"/>
  <c r="R225" i="155" a="1"/>
  <c r="R225" i="155" s="1"/>
  <c r="S225" i="155" s="1"/>
  <c r="G130" i="154"/>
  <c r="R249" i="155" a="1"/>
  <c r="R249" i="155" s="1"/>
  <c r="R258" i="155" a="1"/>
  <c r="R258" i="155" s="1"/>
  <c r="R283" i="155" a="1"/>
  <c r="R283" i="155" s="1"/>
  <c r="R326" i="155" a="1"/>
  <c r="R326" i="155" s="1"/>
  <c r="S326" i="155" s="1"/>
  <c r="R392" i="155" a="1"/>
  <c r="R392" i="155" s="1"/>
  <c r="S392" i="155" s="1"/>
  <c r="R165" i="155" a="1"/>
  <c r="R165" i="155" s="1"/>
  <c r="R198" i="155" a="1"/>
  <c r="R198" i="155" s="1"/>
  <c r="S198" i="155" s="1"/>
  <c r="R206" i="155" a="1"/>
  <c r="R206" i="155" s="1"/>
  <c r="R342" i="155" a="1"/>
  <c r="R342" i="155" s="1"/>
  <c r="R336" i="155" a="1"/>
  <c r="R336" i="155" s="1"/>
  <c r="R170" i="155" a="1"/>
  <c r="R170" i="155" s="1"/>
  <c r="G170" i="155"/>
  <c r="R246" i="155" a="1"/>
  <c r="R246" i="155" s="1"/>
  <c r="S246" i="155" s="1"/>
  <c r="T246" i="155" s="1"/>
  <c r="R252" i="155" a="1"/>
  <c r="R252" i="155" s="1"/>
  <c r="S252" i="155" s="1"/>
  <c r="R320" i="155" a="1"/>
  <c r="R320" i="155" s="1"/>
  <c r="S320" i="155" s="1"/>
  <c r="R197" i="155" a="1"/>
  <c r="R197" i="155" s="1"/>
  <c r="R389" i="155" a="1"/>
  <c r="R389" i="155" s="1"/>
  <c r="R163" i="155" a="1"/>
  <c r="R163" i="155" s="1"/>
  <c r="R135" i="155" a="1"/>
  <c r="R135" i="155" s="1"/>
  <c r="S135" i="155" s="1"/>
  <c r="R386" i="155" a="1"/>
  <c r="R386" i="155" s="1"/>
  <c r="R324" i="155" a="1"/>
  <c r="R324" i="155" s="1"/>
  <c r="S324" i="155" s="1"/>
  <c r="R213" i="155" a="1"/>
  <c r="R213" i="155" s="1"/>
  <c r="S213" i="155" s="1"/>
  <c r="R309" i="155" a="1"/>
  <c r="R309" i="155" s="1"/>
  <c r="S309" i="155" s="1"/>
  <c r="R395" i="155" a="1"/>
  <c r="R395" i="155" s="1"/>
  <c r="R234" i="155" a="1"/>
  <c r="R234" i="155" s="1"/>
  <c r="R154" i="155" a="1"/>
  <c r="R154" i="155" s="1"/>
  <c r="R311" i="155" a="1"/>
  <c r="R311" i="155" s="1"/>
  <c r="R247" i="155" a="1"/>
  <c r="R247" i="155" s="1"/>
  <c r="R108" i="155" a="1"/>
  <c r="R108" i="155" s="1"/>
  <c r="S108" i="155" s="1"/>
  <c r="R384" i="155" a="1"/>
  <c r="R384" i="155" s="1"/>
  <c r="S384" i="155" s="1"/>
  <c r="R175" i="155" a="1"/>
  <c r="R175" i="155" s="1"/>
  <c r="R302" i="155" a="1"/>
  <c r="R302" i="155" s="1"/>
  <c r="R229" i="155" a="1"/>
  <c r="R229" i="155" s="1"/>
  <c r="R243" i="155" a="1"/>
  <c r="R243" i="155" s="1"/>
  <c r="R398" i="155" a="1"/>
  <c r="R398" i="155" s="1"/>
  <c r="R380" i="155" a="1"/>
  <c r="R380" i="155" s="1"/>
  <c r="R288" i="155" a="1"/>
  <c r="R288" i="155" s="1"/>
  <c r="S288" i="155" s="1"/>
  <c r="R316" i="155" a="1"/>
  <c r="R316" i="155" s="1"/>
  <c r="S316" i="155" s="1"/>
  <c r="R361" i="155" a="1"/>
  <c r="R361" i="155" s="1"/>
  <c r="S361" i="155" s="1"/>
  <c r="R383" i="155" a="1"/>
  <c r="R383" i="155" s="1"/>
  <c r="R161" i="155" a="1"/>
  <c r="R161" i="155" s="1"/>
  <c r="R369" i="155" a="1"/>
  <c r="R369" i="155" s="1"/>
  <c r="R321" i="155" a="1"/>
  <c r="R321" i="155" s="1"/>
  <c r="R343" i="155" a="1"/>
  <c r="R343" i="155" s="1"/>
  <c r="S343" i="155" s="1"/>
  <c r="R314" i="155" a="1"/>
  <c r="R314" i="155" s="1"/>
  <c r="S314" i="155" s="1"/>
  <c r="R307" i="155" a="1"/>
  <c r="R307" i="155" s="1"/>
  <c r="S307" i="155" s="1"/>
  <c r="R203" i="155" a="1"/>
  <c r="R203" i="155" s="1"/>
  <c r="S203" i="155" s="1"/>
  <c r="R226" i="155" a="1"/>
  <c r="R226" i="155" s="1"/>
  <c r="R399" i="155" a="1"/>
  <c r="R399" i="155" s="1"/>
  <c r="R281" i="155" a="1"/>
  <c r="R281" i="155" s="1"/>
  <c r="G120" i="154"/>
  <c r="G400" i="154"/>
  <c r="I120" i="154"/>
  <c r="R359" i="155" a="1"/>
  <c r="R359" i="155" s="1"/>
  <c r="S359" i="155" s="1"/>
  <c r="T359" i="155" s="1"/>
  <c r="R149" i="155" a="1"/>
  <c r="R149" i="155" s="1"/>
  <c r="S149" i="155" s="1"/>
  <c r="R142" i="155" a="1"/>
  <c r="R142" i="155" s="1"/>
  <c r="R125" i="155" a="1"/>
  <c r="R125" i="155" s="1"/>
  <c r="G200" i="154"/>
  <c r="G100" i="155"/>
  <c r="R100" i="155" a="1"/>
  <c r="R100" i="155" s="1"/>
  <c r="R379" i="155" a="1"/>
  <c r="R379" i="155" s="1"/>
  <c r="S379" i="155" s="1"/>
  <c r="R296" i="155" a="1"/>
  <c r="R296" i="155" s="1"/>
  <c r="S296" i="155" s="1"/>
  <c r="R250" i="155" a="1"/>
  <c r="R250" i="155" s="1"/>
  <c r="S250" i="155" s="1"/>
  <c r="R370" i="155" a="1"/>
  <c r="R370" i="155" s="1"/>
  <c r="S370" i="155" s="1"/>
  <c r="R133" i="155" a="1"/>
  <c r="R133" i="155" s="1"/>
  <c r="R279" i="155" a="1"/>
  <c r="R279" i="155" s="1"/>
  <c r="R364" i="155" a="1"/>
  <c r="R364" i="155" s="1"/>
  <c r="R160" i="155" a="1"/>
  <c r="R160" i="155" s="1"/>
  <c r="S160" i="155" s="1"/>
  <c r="R375" i="155" a="1"/>
  <c r="R375" i="155" s="1"/>
  <c r="R227" i="155" a="1"/>
  <c r="R227" i="155" s="1"/>
  <c r="S227" i="155" s="1"/>
  <c r="R393" i="155" a="1"/>
  <c r="R393" i="155" s="1"/>
  <c r="S393" i="155" s="1"/>
  <c r="T393" i="155" s="1"/>
  <c r="R293" i="155" a="1"/>
  <c r="R293" i="155" s="1"/>
  <c r="R381" i="155" a="1"/>
  <c r="R381" i="155" s="1"/>
  <c r="R284" i="155" a="1"/>
  <c r="R284" i="155" s="1"/>
  <c r="R104" i="155" a="1"/>
  <c r="R104" i="155" s="1"/>
  <c r="S104" i="155" s="1"/>
  <c r="R158" i="155" a="1"/>
  <c r="R158" i="155" s="1"/>
  <c r="R140" i="155" a="1"/>
  <c r="R140" i="155" s="1"/>
  <c r="S140" i="155" s="1"/>
  <c r="G140" i="155"/>
  <c r="R105" i="155" a="1"/>
  <c r="R105" i="155" s="1"/>
  <c r="S105" i="155" s="1"/>
  <c r="T105" i="155" s="1"/>
  <c r="R349" i="155" a="1"/>
  <c r="R349" i="155" s="1"/>
  <c r="R153" i="155" a="1"/>
  <c r="R153" i="155" s="1"/>
  <c r="R382" i="155" a="1"/>
  <c r="R382" i="155" s="1"/>
  <c r="S382" i="155" s="1"/>
  <c r="R241" i="155" a="1"/>
  <c r="R241" i="155" s="1"/>
  <c r="R301" i="155" a="1"/>
  <c r="R301" i="155" s="1"/>
  <c r="S301" i="155" s="1"/>
  <c r="R264" i="155" a="1"/>
  <c r="R264" i="155" s="1"/>
  <c r="S264" i="155" s="1"/>
  <c r="R271" i="155" a="1"/>
  <c r="R271" i="155" s="1"/>
  <c r="R355" i="155" a="1"/>
  <c r="R355" i="155" s="1"/>
  <c r="S355" i="155" s="1"/>
  <c r="R119" i="155" a="1"/>
  <c r="R119" i="155" s="1"/>
  <c r="R215" i="155" a="1"/>
  <c r="R215" i="155" s="1"/>
  <c r="G100" i="154"/>
  <c r="R224" i="155" a="1"/>
  <c r="R224" i="155" s="1"/>
  <c r="R350" i="155" a="1"/>
  <c r="R350" i="155" s="1"/>
  <c r="R367" i="155" a="1"/>
  <c r="R367" i="155" s="1"/>
  <c r="I110" i="155"/>
  <c r="M101" i="155" s="1"/>
  <c r="R174" i="155" a="1"/>
  <c r="R174" i="155" s="1"/>
  <c r="S174" i="155" s="1"/>
  <c r="R265" i="155" a="1"/>
  <c r="R265" i="155" s="1"/>
  <c r="R256" i="155" a="1"/>
  <c r="R256" i="155" s="1"/>
  <c r="R287" i="155" a="1"/>
  <c r="R287" i="155" s="1"/>
  <c r="R276" i="155" a="1"/>
  <c r="R276" i="155" s="1"/>
  <c r="R305" i="155" a="1"/>
  <c r="R305" i="155" s="1"/>
  <c r="S305" i="155" s="1"/>
  <c r="R387" i="155" a="1"/>
  <c r="R387" i="155" s="1"/>
  <c r="S387" i="155" s="1"/>
  <c r="R273" i="155" a="1"/>
  <c r="R273" i="155" s="1"/>
  <c r="R172" i="155" a="1"/>
  <c r="R172" i="155" s="1"/>
  <c r="S172" i="155" s="1"/>
  <c r="R356" i="155" a="1"/>
  <c r="R356" i="155" s="1"/>
  <c r="R298" i="155" a="1"/>
  <c r="R298" i="155" s="1"/>
  <c r="R313" i="155" a="1"/>
  <c r="R313" i="155" s="1"/>
  <c r="R124" i="155" a="1"/>
  <c r="R124" i="155" s="1"/>
  <c r="R329" i="155" a="1"/>
  <c r="R329" i="155" s="1"/>
  <c r="S329" i="155" s="1"/>
  <c r="R192" i="155" a="1"/>
  <c r="R192" i="155" s="1"/>
  <c r="S192" i="155" s="1"/>
  <c r="T192" i="155" s="1"/>
  <c r="R272" i="155" a="1"/>
  <c r="R272" i="155" s="1"/>
  <c r="S272" i="155" s="1"/>
  <c r="R123" i="155" a="1"/>
  <c r="R123" i="155" s="1"/>
  <c r="S123" i="155" s="1"/>
  <c r="R183" i="155" a="1"/>
  <c r="R183" i="155" s="1"/>
  <c r="S183" i="155" s="1"/>
  <c r="R228" i="155" a="1"/>
  <c r="R228" i="155" s="1"/>
  <c r="R190" i="155" a="1"/>
  <c r="R190" i="155" s="1"/>
  <c r="R352" i="155" a="1"/>
  <c r="R352" i="155" s="1"/>
  <c r="R259" i="155" a="1"/>
  <c r="R259" i="155" s="1"/>
  <c r="S259" i="155" s="1"/>
  <c r="R346" i="155" a="1"/>
  <c r="R346" i="155" s="1"/>
  <c r="R394" i="155" a="1"/>
  <c r="R394" i="155" s="1"/>
  <c r="I110" i="154"/>
  <c r="M101" i="154" s="1"/>
  <c r="R199" i="155" a="1"/>
  <c r="R199" i="155" s="1"/>
  <c r="R139" i="155" a="1"/>
  <c r="R139" i="155" s="1"/>
  <c r="R189" i="155" a="1"/>
  <c r="R189" i="155" s="1"/>
  <c r="R275" i="155" a="1"/>
  <c r="R275" i="155" s="1"/>
  <c r="R360" i="155" a="1"/>
  <c r="R360" i="155" s="1"/>
  <c r="R164" i="155" a="1"/>
  <c r="R164" i="155" s="1"/>
  <c r="S164" i="155" s="1"/>
  <c r="R277" i="155" a="1"/>
  <c r="R277" i="155" s="1"/>
  <c r="S277" i="155" s="1"/>
  <c r="R114" i="155" a="1"/>
  <c r="R114" i="155" s="1"/>
  <c r="S114" i="155" s="1"/>
  <c r="R112" i="155" a="1"/>
  <c r="R112" i="155" s="1"/>
  <c r="R295" i="155" a="1"/>
  <c r="R295" i="155" s="1"/>
  <c r="R155" i="155" a="1"/>
  <c r="R155" i="155" s="1"/>
  <c r="S155" i="155" s="1"/>
  <c r="R111" i="155" a="1"/>
  <c r="R111" i="155" s="1"/>
  <c r="R222" i="155" a="1"/>
  <c r="R222" i="155" s="1"/>
  <c r="I130" i="154"/>
  <c r="R233" i="155" a="1"/>
  <c r="R233" i="155" s="1"/>
  <c r="S233" i="155" s="1"/>
  <c r="R374" i="155" a="1"/>
  <c r="R374" i="155" s="1"/>
  <c r="S374" i="155" s="1"/>
  <c r="R157" i="155" a="1"/>
  <c r="R157" i="155" s="1"/>
  <c r="R232" i="155" a="1"/>
  <c r="R232" i="155" s="1"/>
  <c r="R117" i="155" a="1"/>
  <c r="R117" i="155" s="1"/>
  <c r="S117" i="155" s="1"/>
  <c r="R136" i="155" a="1"/>
  <c r="R136" i="155" s="1"/>
  <c r="S136" i="155" s="1"/>
  <c r="T136" i="155" s="1"/>
  <c r="R274" i="155" a="1"/>
  <c r="R274" i="155" s="1"/>
  <c r="I150" i="155"/>
  <c r="R188" i="155" a="1"/>
  <c r="R188" i="155" s="1"/>
  <c r="S188" i="155" s="1"/>
  <c r="R178" i="155" a="1"/>
  <c r="R178" i="155" s="1"/>
  <c r="S178" i="155" s="1"/>
  <c r="T178" i="155" s="1"/>
  <c r="R210" i="155" a="1"/>
  <c r="R210" i="155" s="1"/>
  <c r="R150" i="155" a="1"/>
  <c r="R150" i="155" s="1"/>
  <c r="G150" i="155"/>
  <c r="R230" i="155" a="1"/>
  <c r="R230" i="155" s="1"/>
  <c r="S230" i="155" s="1"/>
  <c r="R344" i="155" a="1"/>
  <c r="R344" i="155" s="1"/>
  <c r="S344" i="155" s="1"/>
  <c r="T344" i="155" s="1"/>
  <c r="R280" i="155" a="1"/>
  <c r="R280" i="155" s="1"/>
  <c r="S280" i="155" s="1"/>
  <c r="R181" i="155" a="1"/>
  <c r="R181" i="155" s="1"/>
  <c r="S181" i="155" s="1"/>
  <c r="R285" i="155" a="1"/>
  <c r="R285" i="155" s="1"/>
  <c r="S285" i="155" s="1"/>
  <c r="R238" i="155" a="1"/>
  <c r="R238" i="155" s="1"/>
  <c r="R171" i="155" a="1"/>
  <c r="R171" i="155" s="1"/>
  <c r="R304" i="155" a="1"/>
  <c r="R304" i="155" s="1"/>
  <c r="R208" i="155" a="1"/>
  <c r="R208" i="155" s="1"/>
  <c r="R327" i="155" a="1"/>
  <c r="R327" i="155" s="1"/>
  <c r="S327" i="155" s="1"/>
  <c r="T327" i="155" s="1"/>
  <c r="R310" i="155" a="1"/>
  <c r="R310" i="155" s="1"/>
  <c r="R194" i="155" a="1"/>
  <c r="R194" i="155" s="1"/>
  <c r="S194" i="155" s="1"/>
  <c r="R138" i="155" a="1"/>
  <c r="R138" i="155" s="1"/>
  <c r="S138" i="155" s="1"/>
  <c r="T138" i="155" s="1"/>
  <c r="R254" i="155" a="1"/>
  <c r="R254" i="155" s="1"/>
  <c r="R195" i="155" a="1"/>
  <c r="R195" i="155" s="1"/>
  <c r="R245" i="155" a="1"/>
  <c r="R245" i="155" s="1"/>
  <c r="S245" i="155" s="1"/>
  <c r="R248" i="155" a="1"/>
  <c r="R248" i="155" s="1"/>
  <c r="R237" i="155" a="1"/>
  <c r="R237" i="155" s="1"/>
  <c r="S237" i="155" s="1"/>
  <c r="R269" i="155" a="1"/>
  <c r="R269" i="155" s="1"/>
  <c r="I140" i="154"/>
  <c r="R270" i="155" a="1"/>
  <c r="R270" i="155" s="1"/>
  <c r="S270" i="155" s="1"/>
  <c r="R212" i="155" a="1"/>
  <c r="R212" i="155" s="1"/>
  <c r="R219" i="155" a="1"/>
  <c r="R219" i="155" s="1"/>
  <c r="R337" i="155" a="1"/>
  <c r="R337" i="155" s="1"/>
  <c r="S337" i="155" s="1"/>
  <c r="R166" i="155" a="1"/>
  <c r="R166" i="155" s="1"/>
  <c r="R290" i="155" a="1"/>
  <c r="R290" i="155" s="1"/>
  <c r="R362" i="155" a="1"/>
  <c r="R362" i="155" s="1"/>
  <c r="R260" i="155" a="1"/>
  <c r="R260" i="155" s="1"/>
  <c r="S260" i="155" s="1"/>
  <c r="T260" i="155" s="1"/>
  <c r="R400" i="155" a="1"/>
  <c r="R400" i="155" s="1"/>
  <c r="S400" i="155" s="1"/>
  <c r="G400" i="155"/>
  <c r="R148" i="155" a="1"/>
  <c r="R148" i="155" s="1"/>
  <c r="R267" i="155" a="1"/>
  <c r="R267" i="155" s="1"/>
  <c r="R242" i="155" a="1"/>
  <c r="R242" i="155" s="1"/>
  <c r="S242" i="155" s="1"/>
  <c r="R207" i="155" a="1"/>
  <c r="R207" i="155" s="1"/>
  <c r="S207" i="155" s="1"/>
  <c r="R266" i="155" a="1"/>
  <c r="R266" i="155" s="1"/>
  <c r="S266" i="155" s="1"/>
  <c r="R366" i="155" a="1"/>
  <c r="R366" i="155" s="1"/>
  <c r="S366" i="155" s="1"/>
  <c r="T366" i="155" s="1"/>
  <c r="R209" i="155" a="1"/>
  <c r="R209" i="155" s="1"/>
  <c r="S209" i="155" s="1"/>
  <c r="R128" i="155" a="1"/>
  <c r="R128" i="155" s="1"/>
  <c r="R328" i="155" a="1"/>
  <c r="R328" i="155" s="1"/>
  <c r="R201" i="155" a="1"/>
  <c r="R201" i="155" s="1"/>
  <c r="G200" i="155"/>
  <c r="R200" i="155" a="1"/>
  <c r="R200" i="155" s="1"/>
  <c r="R127" i="155" a="1"/>
  <c r="R127" i="155" s="1"/>
  <c r="R292" i="155" a="1"/>
  <c r="R292" i="155" s="1"/>
  <c r="S292" i="155" s="1"/>
  <c r="R143" i="155" a="1"/>
  <c r="R143" i="155" s="1"/>
  <c r="S143" i="155" s="1"/>
  <c r="R294" i="155" a="1"/>
  <c r="R294" i="155" s="1"/>
  <c r="S294" i="155" s="1"/>
  <c r="R131" i="155" a="1"/>
  <c r="R131" i="155" s="1"/>
  <c r="R348" i="155" a="1"/>
  <c r="R348" i="155" s="1"/>
  <c r="R113" i="155" a="1"/>
  <c r="R113" i="155" s="1"/>
  <c r="R368" i="155" a="1"/>
  <c r="R368" i="155" s="1"/>
  <c r="R147" i="155" a="1"/>
  <c r="R147" i="155" s="1"/>
  <c r="R347" i="155" a="1"/>
  <c r="R347" i="155" s="1"/>
  <c r="S347" i="155" s="1"/>
  <c r="R253" i="155" a="1"/>
  <c r="R253" i="155" s="1"/>
  <c r="S253" i="155" s="1"/>
  <c r="R180" i="155" a="1"/>
  <c r="R180" i="155" s="1"/>
  <c r="R257" i="155" a="1"/>
  <c r="R257" i="155" s="1"/>
  <c r="S257" i="155" s="1"/>
  <c r="R179" i="155" a="1"/>
  <c r="R179" i="155" s="1"/>
  <c r="R120" i="155" a="1"/>
  <c r="R120" i="155" s="1"/>
  <c r="G120" i="155"/>
  <c r="R141" i="155" a="1"/>
  <c r="R141" i="155" s="1"/>
  <c r="S141" i="155" s="1"/>
  <c r="T141" i="155" s="1"/>
  <c r="R152" i="155" a="1"/>
  <c r="R152" i="155" s="1"/>
  <c r="S152" i="155" s="1"/>
  <c r="R217" i="155" a="1"/>
  <c r="R217" i="155" s="1"/>
  <c r="S217" i="155" s="1"/>
  <c r="T217" i="155" s="1"/>
  <c r="R358" i="155" a="1"/>
  <c r="R358" i="155" s="1"/>
  <c r="S358" i="155" s="1"/>
  <c r="R220" i="155" a="1"/>
  <c r="R220" i="155" s="1"/>
  <c r="S220" i="155" s="1"/>
  <c r="R118" i="155" a="1"/>
  <c r="R118" i="155" s="1"/>
  <c r="S118" i="155" s="1"/>
  <c r="T118" i="155" s="1"/>
  <c r="R365" i="155" a="1"/>
  <c r="R365" i="155" s="1"/>
  <c r="S365" i="155" s="1"/>
  <c r="R231" i="155" a="1"/>
  <c r="R231" i="155" s="1"/>
  <c r="S231" i="155" s="1"/>
  <c r="T231" i="155" s="1"/>
  <c r="R126" i="155" a="1"/>
  <c r="R126" i="155" s="1"/>
  <c r="S126" i="155" s="1"/>
  <c r="R268" i="155" a="1"/>
  <c r="R268" i="155" s="1"/>
  <c r="S268" i="155" s="1"/>
  <c r="R102" i="155" a="1"/>
  <c r="R102" i="155" s="1"/>
  <c r="S102" i="155" s="1"/>
  <c r="R317" i="155" a="1"/>
  <c r="R317" i="155" s="1"/>
  <c r="R306" i="155" a="1"/>
  <c r="R306" i="155" s="1"/>
  <c r="R300" i="155" a="1"/>
  <c r="R300" i="155" s="1"/>
  <c r="R319" i="155" a="1"/>
  <c r="R319" i="155" s="1"/>
  <c r="G110" i="154"/>
  <c r="R106" i="155" a="1"/>
  <c r="R106" i="155" s="1"/>
  <c r="R162" i="155" a="1"/>
  <c r="R162" i="155" s="1"/>
  <c r="S162" i="155" s="1"/>
  <c r="R146" i="155" a="1"/>
  <c r="R146" i="155" s="1"/>
  <c r="S146" i="155" s="1"/>
  <c r="T146" i="155" s="1"/>
  <c r="R255" i="155" a="1"/>
  <c r="R255" i="155" s="1"/>
  <c r="S255" i="155" s="1"/>
  <c r="R169" i="155" a="1"/>
  <c r="R169" i="155" s="1"/>
  <c r="R173" i="155" a="1"/>
  <c r="R173" i="155" s="1"/>
  <c r="R168" i="155" a="1"/>
  <c r="R168" i="155" s="1"/>
  <c r="I170" i="154"/>
  <c r="R184" i="155" a="1"/>
  <c r="R184" i="155" s="1"/>
  <c r="S184" i="155" s="1"/>
  <c r="T184" i="155" s="1"/>
  <c r="R286" i="155" a="1"/>
  <c r="R286" i="155" s="1"/>
  <c r="R390" i="155" a="1"/>
  <c r="R390" i="155" s="1"/>
  <c r="S390" i="155" s="1"/>
  <c r="R345" i="155" a="1"/>
  <c r="R345" i="155" s="1"/>
  <c r="R297" i="155" a="1"/>
  <c r="R297" i="155" s="1"/>
  <c r="R115" i="155" a="1"/>
  <c r="R115" i="155" s="1"/>
  <c r="R312" i="155" a="1"/>
  <c r="R312" i="155" s="1"/>
  <c r="S312" i="155" s="1"/>
  <c r="R291" i="155" a="1"/>
  <c r="R291" i="155" s="1"/>
  <c r="S291" i="155" s="1"/>
  <c r="R109" i="155" a="1"/>
  <c r="R109" i="155" s="1"/>
  <c r="S109" i="155" s="1"/>
  <c r="T109" i="155" s="1"/>
  <c r="R318" i="155" a="1"/>
  <c r="R318" i="155" s="1"/>
  <c r="S318" i="155" s="1"/>
  <c r="R339" i="155" a="1"/>
  <c r="R339" i="155" s="1"/>
  <c r="S339" i="155" s="1"/>
  <c r="G110" i="155"/>
  <c r="R110" i="155" a="1"/>
  <c r="R110" i="155" s="1"/>
  <c r="R107" i="155" a="1"/>
  <c r="R107" i="155" s="1"/>
  <c r="R218" i="155" a="1"/>
  <c r="R218" i="155" s="1"/>
  <c r="R191" i="155" a="1"/>
  <c r="R191" i="155" s="1"/>
  <c r="S191" i="155" s="1"/>
  <c r="R308" i="155" a="1"/>
  <c r="R308" i="155" s="1"/>
  <c r="R240" i="155" a="1"/>
  <c r="R240" i="155" s="1"/>
  <c r="S240" i="155" s="1"/>
  <c r="R221" i="155" a="1"/>
  <c r="R221" i="155" s="1"/>
  <c r="S221" i="155" s="1"/>
  <c r="T221" i="155" s="1"/>
  <c r="R185" i="155" a="1"/>
  <c r="R185" i="155" s="1"/>
  <c r="R322" i="155" a="1"/>
  <c r="R322" i="155" s="1"/>
  <c r="R159" i="155" a="1"/>
  <c r="R159" i="155" s="1"/>
  <c r="R373" i="155" a="1"/>
  <c r="R373" i="155" s="1"/>
  <c r="I140" i="155"/>
  <c r="R354" i="155" a="1"/>
  <c r="R354" i="155" s="1"/>
  <c r="R132" i="155" a="1"/>
  <c r="R132" i="155" s="1"/>
  <c r="S132" i="155" s="1"/>
  <c r="R341" i="155" a="1"/>
  <c r="R341" i="155" s="1"/>
  <c r="S341" i="155" s="1"/>
  <c r="R196" i="155" a="1"/>
  <c r="R196" i="155" s="1"/>
  <c r="S196" i="155" s="1"/>
  <c r="R216" i="155" a="1"/>
  <c r="R216" i="155" s="1"/>
  <c r="S216" i="155" s="1"/>
  <c r="R262" i="155" a="1"/>
  <c r="R262" i="155" s="1"/>
  <c r="R388" i="155" a="1"/>
  <c r="R388" i="155" s="1"/>
  <c r="R211" i="155" a="1"/>
  <c r="R211" i="155" s="1"/>
  <c r="R205" i="155" a="1"/>
  <c r="R205" i="155" s="1"/>
  <c r="S205" i="155" s="1"/>
  <c r="S112" i="155" l="1"/>
  <c r="S278" i="155"/>
  <c r="S363" i="155"/>
  <c r="S101" i="155"/>
  <c r="S353" i="155"/>
  <c r="T152" i="155"/>
  <c r="S165" i="155"/>
  <c r="T165" i="155" s="1"/>
  <c r="S351" i="155"/>
  <c r="S299" i="155"/>
  <c r="S323" i="155"/>
  <c r="S151" i="155"/>
  <c r="S202" i="155"/>
  <c r="S338" i="155"/>
  <c r="T338" i="155" s="1"/>
  <c r="T339" i="155"/>
  <c r="T203" i="155"/>
  <c r="T324" i="155"/>
  <c r="S180" i="155"/>
  <c r="T181" i="155" s="1"/>
  <c r="S345" i="155"/>
  <c r="T345" i="155" s="1"/>
  <c r="S119" i="155"/>
  <c r="T119" i="155" s="1"/>
  <c r="S349" i="155"/>
  <c r="S383" i="155"/>
  <c r="T383" i="155" s="1"/>
  <c r="S111" i="155"/>
  <c r="T112" i="155" s="1"/>
  <c r="S170" i="155"/>
  <c r="S187" i="155"/>
  <c r="T188" i="155" s="1"/>
  <c r="S154" i="155"/>
  <c r="T155" i="155" s="1"/>
  <c r="S239" i="155"/>
  <c r="T240" i="155"/>
  <c r="S200" i="155"/>
  <c r="S350" i="155"/>
  <c r="T350" i="155" s="1"/>
  <c r="S158" i="155"/>
  <c r="S386" i="155"/>
  <c r="T387" i="155" s="1"/>
  <c r="S224" i="155"/>
  <c r="T225" i="155" s="1"/>
  <c r="S346" i="155"/>
  <c r="S211" i="155"/>
  <c r="S303" i="155"/>
  <c r="S120" i="155"/>
  <c r="T120" i="155" s="1"/>
  <c r="T102" i="155"/>
  <c r="S394" i="155"/>
  <c r="T394" i="155" s="1"/>
  <c r="S271" i="155"/>
  <c r="T271" i="155" s="1"/>
  <c r="S362" i="155"/>
  <c r="T362" i="155" s="1"/>
  <c r="S315" i="155"/>
  <c r="T315" i="155" s="1"/>
  <c r="S185" i="155"/>
  <c r="T185" i="155" s="1"/>
  <c r="S317" i="155"/>
  <c r="T317" i="155" s="1"/>
  <c r="S128" i="155"/>
  <c r="S212" i="155"/>
  <c r="T213" i="155" s="1"/>
  <c r="S254" i="155"/>
  <c r="T254" i="155" s="1"/>
  <c r="S238" i="155"/>
  <c r="T238" i="155" s="1"/>
  <c r="S210" i="155"/>
  <c r="T210" i="155" s="1"/>
  <c r="S157" i="155"/>
  <c r="T157" i="155" s="1"/>
  <c r="S199" i="155"/>
  <c r="T199" i="155" s="1"/>
  <c r="S356" i="155"/>
  <c r="T356" i="155" s="1"/>
  <c r="S265" i="155"/>
  <c r="T265" i="155" s="1"/>
  <c r="S293" i="155"/>
  <c r="T294" i="155" s="1"/>
  <c r="S142" i="155"/>
  <c r="T142" i="155" s="1"/>
  <c r="S226" i="155"/>
  <c r="T226" i="155" s="1"/>
  <c r="S302" i="155"/>
  <c r="T302" i="155" s="1"/>
  <c r="S395" i="155"/>
  <c r="S197" i="155"/>
  <c r="T197" i="155" s="1"/>
  <c r="S206" i="155"/>
  <c r="T206" i="155" s="1"/>
  <c r="S223" i="155"/>
  <c r="S377" i="155"/>
  <c r="S340" i="155"/>
  <c r="T340" i="155" s="1"/>
  <c r="S385" i="155"/>
  <c r="T385" i="155" s="1"/>
  <c r="T253" i="155"/>
  <c r="S286" i="155"/>
  <c r="S269" i="155"/>
  <c r="T269" i="155" s="1"/>
  <c r="S367" i="155"/>
  <c r="T367" i="155" s="1"/>
  <c r="S375" i="155"/>
  <c r="T375" i="155" s="1"/>
  <c r="S368" i="155"/>
  <c r="S290" i="155"/>
  <c r="T291" i="155" s="1"/>
  <c r="S222" i="155"/>
  <c r="T222" i="155" s="1"/>
  <c r="S380" i="155"/>
  <c r="T380" i="155" s="1"/>
  <c r="S176" i="155"/>
  <c r="S325" i="155"/>
  <c r="T325" i="155" s="1"/>
  <c r="S218" i="155"/>
  <c r="T218" i="155" s="1"/>
  <c r="S319" i="155"/>
  <c r="T319" i="155" s="1"/>
  <c r="S208" i="155"/>
  <c r="T208" i="155" s="1"/>
  <c r="S124" i="155"/>
  <c r="T124" i="155" s="1"/>
  <c r="S241" i="155"/>
  <c r="T241" i="155" s="1"/>
  <c r="S364" i="155"/>
  <c r="S311" i="155"/>
  <c r="T312" i="155" s="1"/>
  <c r="S283" i="155"/>
  <c r="S251" i="155"/>
  <c r="T251" i="155" s="1"/>
  <c r="S121" i="155"/>
  <c r="S236" i="155"/>
  <c r="S263" i="155"/>
  <c r="T264" i="155" s="1"/>
  <c r="S376" i="155"/>
  <c r="S204" i="155"/>
  <c r="T204" i="155" s="1"/>
  <c r="S396" i="155"/>
  <c r="T397" i="155" s="1"/>
  <c r="S175" i="155"/>
  <c r="T175" i="155" s="1"/>
  <c r="T292" i="155"/>
  <c r="S273" i="155"/>
  <c r="T273" i="155" s="1"/>
  <c r="S354" i="155"/>
  <c r="T354" i="155" s="1"/>
  <c r="S127" i="155"/>
  <c r="T127" i="155" s="1"/>
  <c r="S310" i="155"/>
  <c r="T310" i="155" s="1"/>
  <c r="S274" i="155"/>
  <c r="S360" i="155"/>
  <c r="T360" i="155" s="1"/>
  <c r="S261" i="155"/>
  <c r="T261" i="155" s="1"/>
  <c r="S388" i="155"/>
  <c r="T388" i="155" s="1"/>
  <c r="S113" i="155"/>
  <c r="T113" i="155" s="1"/>
  <c r="S166" i="155"/>
  <c r="T166" i="155" s="1"/>
  <c r="S352" i="155"/>
  <c r="S321" i="155"/>
  <c r="T321" i="155" s="1"/>
  <c r="S262" i="155"/>
  <c r="S115" i="155"/>
  <c r="T115" i="155" s="1"/>
  <c r="S300" i="155"/>
  <c r="T300" i="155" s="1"/>
  <c r="S179" i="155"/>
  <c r="S267" i="155"/>
  <c r="T267" i="155" s="1"/>
  <c r="T156" i="155"/>
  <c r="S189" i="155"/>
  <c r="T189" i="155" s="1"/>
  <c r="S190" i="155"/>
  <c r="S313" i="155"/>
  <c r="T313" i="155" s="1"/>
  <c r="S287" i="155"/>
  <c r="T288" i="155" s="1"/>
  <c r="K101" i="154"/>
  <c r="O101" i="154" s="1"/>
  <c r="S284" i="155"/>
  <c r="S279" i="155"/>
  <c r="T279" i="155" s="1"/>
  <c r="S281" i="155"/>
  <c r="T281" i="155" s="1"/>
  <c r="S369" i="155"/>
  <c r="S243" i="155"/>
  <c r="T243" i="155" s="1"/>
  <c r="S163" i="155"/>
  <c r="T163" i="155" s="1"/>
  <c r="S336" i="155"/>
  <c r="T336" i="155" s="1"/>
  <c r="S258" i="155"/>
  <c r="T258" i="155" s="1"/>
  <c r="S244" i="155"/>
  <c r="S186" i="155"/>
  <c r="S134" i="155"/>
  <c r="S116" i="155"/>
  <c r="S331" i="155"/>
  <c r="T331" i="155" s="1"/>
  <c r="S103" i="155"/>
  <c r="T103" i="155" s="1"/>
  <c r="S122" i="155"/>
  <c r="T123" i="155" s="1"/>
  <c r="S333" i="155"/>
  <c r="T333" i="155" s="1"/>
  <c r="T285" i="155"/>
  <c r="T114" i="155"/>
  <c r="T278" i="155"/>
  <c r="S308" i="155"/>
  <c r="T308" i="155" s="1"/>
  <c r="S106" i="155"/>
  <c r="S147" i="155"/>
  <c r="T147" i="155" s="1"/>
  <c r="S289" i="155"/>
  <c r="T289" i="155" s="1"/>
  <c r="T207" i="155"/>
  <c r="S247" i="155"/>
  <c r="T247" i="155" s="1"/>
  <c r="S214" i="155"/>
  <c r="T214" i="155" s="1"/>
  <c r="S391" i="155"/>
  <c r="T391" i="155" s="1"/>
  <c r="S373" i="155"/>
  <c r="T373" i="155" s="1"/>
  <c r="S168" i="155"/>
  <c r="T168" i="155" s="1"/>
  <c r="S248" i="155"/>
  <c r="S275" i="155"/>
  <c r="T275" i="155" s="1"/>
  <c r="S276" i="155"/>
  <c r="K101" i="155"/>
  <c r="O101" i="155" s="1"/>
  <c r="S398" i="155"/>
  <c r="T398" i="155" s="1"/>
  <c r="S159" i="155"/>
  <c r="T160" i="155" s="1"/>
  <c r="S107" i="155"/>
  <c r="T108" i="155" s="1"/>
  <c r="S173" i="155"/>
  <c r="T173" i="155" s="1"/>
  <c r="S348" i="155"/>
  <c r="T348" i="155" s="1"/>
  <c r="S201" i="155"/>
  <c r="T201" i="155" s="1"/>
  <c r="S304" i="155"/>
  <c r="S322" i="155"/>
  <c r="T323" i="155" s="1"/>
  <c r="S110" i="155"/>
  <c r="T110" i="155" s="1"/>
  <c r="S297" i="155"/>
  <c r="T297" i="155" s="1"/>
  <c r="S169" i="155"/>
  <c r="S306" i="155"/>
  <c r="T306" i="155" s="1"/>
  <c r="T220" i="155"/>
  <c r="S131" i="155"/>
  <c r="T131" i="155" s="1"/>
  <c r="S328" i="155"/>
  <c r="T328" i="155" s="1"/>
  <c r="S148" i="155"/>
  <c r="T149" i="155" s="1"/>
  <c r="S219" i="155"/>
  <c r="S195" i="155"/>
  <c r="T195" i="155" s="1"/>
  <c r="S171" i="155"/>
  <c r="S150" i="155"/>
  <c r="T150" i="155" s="1"/>
  <c r="S232" i="155"/>
  <c r="T232" i="155" s="1"/>
  <c r="S295" i="155"/>
  <c r="S139" i="155"/>
  <c r="T139" i="155" s="1"/>
  <c r="S228" i="155"/>
  <c r="T228" i="155" s="1"/>
  <c r="S298" i="155"/>
  <c r="S256" i="155"/>
  <c r="T256" i="155" s="1"/>
  <c r="S215" i="155"/>
  <c r="T215" i="155" s="1"/>
  <c r="S153" i="155"/>
  <c r="T153" i="155" s="1"/>
  <c r="S381" i="155"/>
  <c r="S133" i="155"/>
  <c r="T133" i="155" s="1"/>
  <c r="S125" i="155"/>
  <c r="T126" i="155" s="1"/>
  <c r="S399" i="155"/>
  <c r="S161" i="155"/>
  <c r="T161" i="155" s="1"/>
  <c r="S229" i="155"/>
  <c r="S234" i="155"/>
  <c r="T234" i="155" s="1"/>
  <c r="S389" i="155"/>
  <c r="S342" i="155"/>
  <c r="T342" i="155" s="1"/>
  <c r="S249" i="155"/>
  <c r="T250" i="155" s="1"/>
  <c r="S378" i="155"/>
  <c r="T379" i="155" s="1"/>
  <c r="S357" i="155"/>
  <c r="T358" i="155" s="1"/>
  <c r="S129" i="155"/>
  <c r="S144" i="155"/>
  <c r="T144" i="155" s="1"/>
  <c r="S371" i="155"/>
  <c r="T371" i="155" s="1"/>
  <c r="S182" i="155"/>
  <c r="T182" i="155" s="1"/>
  <c r="S193" i="155"/>
  <c r="T193" i="155" s="1"/>
  <c r="T143" i="155" l="1"/>
  <c r="T395" i="155"/>
  <c r="T346" i="155"/>
  <c r="T389" i="155"/>
  <c r="T364" i="155"/>
  <c r="T352" i="155"/>
  <c r="T259" i="155"/>
  <c r="T355" i="155"/>
  <c r="T377" i="155"/>
  <c r="T140" i="155"/>
  <c r="T229" i="155"/>
  <c r="T190" i="155"/>
  <c r="T262" i="155"/>
  <c r="T392" i="155"/>
  <c r="T116" i="155"/>
  <c r="T233" i="155"/>
  <c r="T198" i="155"/>
  <c r="T369" i="155"/>
  <c r="T171" i="155"/>
  <c r="T186" i="155"/>
  <c r="T176" i="155"/>
  <c r="T384" i="155"/>
  <c r="T132" i="155"/>
  <c r="T320" i="155"/>
  <c r="T212" i="155"/>
  <c r="T169" i="155"/>
  <c r="T298" i="155"/>
  <c r="T399" i="155"/>
  <c r="T282" i="155"/>
  <c r="T205" i="155"/>
  <c r="T223" i="155"/>
  <c r="T263" i="155"/>
  <c r="T351" i="155"/>
  <c r="T202" i="155"/>
  <c r="T219" i="155"/>
  <c r="T293" i="155"/>
  <c r="T326" i="155"/>
  <c r="T145" i="155"/>
  <c r="T159" i="155"/>
  <c r="T162" i="155"/>
  <c r="T400" i="155"/>
  <c r="T365" i="155"/>
  <c r="T111" i="155"/>
  <c r="T329" i="155"/>
  <c r="T374" i="155"/>
  <c r="T347" i="155"/>
  <c r="T304" i="155"/>
  <c r="T235" i="155"/>
  <c r="T280" i="155"/>
  <c r="T121" i="155"/>
  <c r="T255" i="155"/>
  <c r="T257" i="155"/>
  <c r="T337" i="155"/>
  <c r="T276" i="155"/>
  <c r="T174" i="155"/>
  <c r="T266" i="155"/>
  <c r="T309" i="155"/>
  <c r="T180" i="155"/>
  <c r="T179" i="155"/>
  <c r="T237" i="155"/>
  <c r="T236" i="155"/>
  <c r="T382" i="155"/>
  <c r="T381" i="155"/>
  <c r="O103" i="155"/>
  <c r="T191" i="155"/>
  <c r="T386" i="155"/>
  <c r="T307" i="155"/>
  <c r="T353" i="155"/>
  <c r="T341" i="155"/>
  <c r="T128" i="155"/>
  <c r="T172" i="155"/>
  <c r="T154" i="155"/>
  <c r="T230" i="155"/>
  <c r="T167" i="155"/>
  <c r="T274" i="155"/>
  <c r="T390" i="155"/>
  <c r="T301" i="155"/>
  <c r="T183" i="155"/>
  <c r="T107" i="155"/>
  <c r="T106" i="155"/>
  <c r="T277" i="155"/>
  <c r="T200" i="155"/>
  <c r="T284" i="155"/>
  <c r="T283" i="155"/>
  <c r="T242" i="155"/>
  <c r="T148" i="155"/>
  <c r="T305" i="155"/>
  <c r="T316" i="155"/>
  <c r="T211" i="155"/>
  <c r="T318" i="155"/>
  <c r="T270" i="155"/>
  <c r="T125" i="155"/>
  <c r="T227" i="155"/>
  <c r="T334" i="155"/>
  <c r="T117" i="155"/>
  <c r="T104" i="155"/>
  <c r="T303" i="155"/>
  <c r="T311" i="155"/>
  <c r="T290" i="155"/>
  <c r="T194" i="155"/>
  <c r="T349" i="155"/>
  <c r="T196" i="155"/>
  <c r="T151" i="155"/>
  <c r="T372" i="155"/>
  <c r="T361" i="155"/>
  <c r="T343" i="155"/>
  <c r="T135" i="155"/>
  <c r="T134" i="155"/>
  <c r="T332" i="155"/>
  <c r="T129" i="155"/>
  <c r="T248" i="155"/>
  <c r="T158" i="155"/>
  <c r="T363" i="155"/>
  <c r="T396" i="155"/>
  <c r="T177" i="155"/>
  <c r="T370" i="155"/>
  <c r="T357" i="155"/>
  <c r="T244" i="155"/>
  <c r="T299" i="155"/>
  <c r="T187" i="155"/>
  <c r="T170" i="155"/>
  <c r="T130" i="155"/>
  <c r="T209" i="155"/>
  <c r="T378" i="155"/>
  <c r="T322" i="155"/>
  <c r="T249" i="155"/>
  <c r="T296" i="155"/>
  <c r="T295" i="155"/>
  <c r="T216" i="155"/>
  <c r="T272" i="155"/>
  <c r="T122" i="155"/>
  <c r="T245" i="155"/>
  <c r="T224" i="155"/>
  <c r="T314" i="155"/>
  <c r="T252" i="155"/>
  <c r="T376" i="155"/>
  <c r="T368" i="155"/>
  <c r="T164" i="155"/>
  <c r="T287" i="155"/>
  <c r="T286" i="155"/>
  <c r="T239" i="155"/>
  <c r="T268" i="155"/>
  <c r="X101" i="155" l="1"/>
  <c r="AA101" i="155" s="1"/>
  <c r="AF101" i="15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<sst xmlns="http://schemas.openxmlformats.org/spreadsheetml/2006/main" count="2315" uniqueCount="560">
  <si>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</si>
  <si>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</si>
  <si>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</si>
  <si>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</si>
  <si>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</si>
  <si>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</si>
  <si>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</si>
  <si>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</si>
  <si>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</si>
  <si>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</si>
  <si>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</si>
  <si>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</si>
  <si>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</si>
  <si>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</si>
  <si>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</si>
  <si>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</si>
  <si>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</si>
  <si>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</si>
  <si>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</si>
  <si>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</si>
  <si>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</si>
  <si>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</si>
  <si>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</si>
  <si>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</si>
  <si>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</si>
  <si>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</si>
  <si>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</si>
  <si>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</si>
  <si>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</si>
  <si>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</si>
  <si>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</si>
  <si>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</si>
  <si>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</si>
  <si>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</si>
  <si>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</si>
  <si>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</si>
  <si>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</si>
  <si>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</si>
  <si>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</si>
  <si>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</si>
  <si>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</si>
  <si>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</si>
  <si>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</si>
  <si>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</si>
  <si>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</si>
  <si>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</si>
  <si>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</si>
  <si>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</si>
  <si>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</si>
  <si>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</si>
  <si>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</si>
  <si>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</si>
  <si>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</si>
  <si>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</si>
  <si>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</si>
  <si>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</si>
  <si>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</si>
  <si>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</si>
  <si>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</si>
  <si>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</si>
  <si>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</si>
  <si>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</si>
  <si>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</si>
  <si>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</si>
  <si>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</si>
  <si>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</si>
  <si>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</si>
  <si>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</si>
  <si>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</si>
  <si>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</si>
  <si>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</si>
  <si>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</si>
  <si>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</si>
  <si>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</si>
  <si>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</si>
  <si>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</si>
  <si>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</si>
  <si>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</si>
  <si>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</si>
  <si>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</si>
  <si>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</si>
  <si>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</si>
  <si>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</si>
  <si>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</si>
  <si>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</si>
  <si>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</si>
  <si>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</si>
  <si>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</si>
  <si>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</si>
  <si>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</si>
  <si>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</si>
  <si>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</si>
  <si>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</si>
  <si>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</si>
  <si>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</si>
  <si>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</si>
  <si>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</si>
  <si>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</si>
  <si>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</si>
  <si>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</si>
  <si>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</si>
  <si>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</si>
  <si>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</si>
  <si>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</si>
  <si>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</si>
  <si>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</si>
  <si>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</si>
  <si>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</si>
  <si>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</si>
  <si>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</si>
  <si>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</si>
  <si>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</si>
  <si>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</si>
  <si>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</si>
  <si>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</si>
  <si>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</si>
  <si>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</si>
  <si>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</si>
  <si>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</si>
  <si>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</si>
  <si>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</si>
  <si>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</si>
  <si>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</si>
  <si>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</si>
  <si>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</si>
  <si>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</si>
  <si>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</si>
  <si>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</si>
  <si>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</si>
  <si>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</si>
  <si>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</si>
  <si>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</si>
  <si>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</si>
  <si>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</si>
  <si>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</si>
  <si>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</si>
  <si>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</si>
  <si>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</si>
  <si>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</si>
  <si>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</si>
  <si>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</si>
  <si>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</si>
  <si>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</si>
  <si>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</si>
  <si>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</si>
  <si>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</si>
  <si>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</si>
  <si>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</si>
  <si>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</si>
  <si>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</si>
  <si>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</si>
  <si>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</si>
  <si>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</si>
  <si>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</si>
  <si>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</si>
  <si>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</si>
  <si>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</si>
  <si>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</si>
  <si>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</si>
  <si>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</si>
  <si>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</si>
  <si>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</si>
  <si>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</si>
  <si>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</si>
  <si>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</si>
  <si>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</si>
  <si>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</si>
  <si>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</si>
  <si>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</si>
  <si>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</si>
  <si>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</si>
  <si>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</si>
  <si>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</si>
  <si>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</si>
  <si>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</si>
  <si>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</si>
  <si>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</si>
  <si>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</si>
  <si>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</si>
  <si>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</si>
  <si>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</si>
  <si>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</si>
  <si>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</si>
  <si>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</si>
  <si>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</si>
  <si>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</si>
  <si>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</si>
  <si>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</si>
  <si>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</si>
  <si>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</si>
  <si>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</si>
  <si>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</si>
  <si>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</si>
  <si>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</si>
  <si>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</si>
  <si>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</si>
  <si>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</si>
  <si>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</si>
  <si>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</si>
  <si>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</si>
  <si>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</si>
  <si>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</si>
  <si>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</si>
  <si>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</si>
  <si>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</si>
  <si>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</si>
  <si>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</si>
  <si>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</si>
  <si>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</si>
  <si>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</si>
  <si>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</si>
  <si>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</si>
  <si>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</si>
  <si>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</si>
  <si>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</si>
  <si>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</si>
  <si>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</si>
  <si>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</si>
  <si>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</si>
  <si>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</si>
  <si>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</si>
  <si>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</si>
  <si>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</si>
  <si>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</si>
  <si>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</si>
  <si>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</si>
  <si>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</si>
  <si>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</si>
  <si>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</si>
  <si>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</si>
  <si>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</si>
  <si>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</si>
  <si>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</si>
  <si>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</si>
  <si>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</si>
  <si>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</si>
  <si>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</si>
  <si>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</si>
  <si>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</si>
  <si>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</si>
  <si>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</si>
  <si>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</si>
  <si>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</si>
  <si>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</si>
  <si>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</si>
  <si>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</si>
  <si>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</si>
  <si>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</si>
  <si>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</si>
  <si>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</si>
  <si>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</si>
  <si>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</si>
  <si>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</si>
  <si>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</si>
  <si>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</si>
  <si>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</si>
  <si>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</si>
  <si>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</si>
  <si>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</si>
  <si>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</si>
  <si>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</si>
  <si>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</si>
  <si>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</si>
  <si>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</si>
  <si>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</si>
  <si>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</si>
  <si>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</si>
  <si>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</si>
  <si>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</si>
  <si>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</si>
  <si>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</si>
  <si>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</si>
  <si>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</si>
  <si>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</si>
  <si>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</si>
  <si>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</si>
  <si>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</si>
  <si>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</si>
  <si>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</si>
  <si>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</si>
  <si>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</si>
  <si>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</si>
  <si>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</si>
  <si>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</si>
  <si>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</si>
  <si>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</si>
  <si>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</si>
  <si>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</si>
  <si>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</si>
  <si>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</si>
  <si>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</si>
  <si>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</si>
  <si>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</si>
  <si>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</si>
  <si>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</si>
  <si>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</si>
  <si>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</si>
  <si>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</si>
  <si>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https://en.wikipedia.org/wiki/Multinomial_logistic_regression</t>
  </si>
  <si>
    <t>https://en.wikipedia.org/wiki/Silhouette_(clustering)</t>
  </si>
  <si>
    <t>Gini Impurity</t>
  </si>
  <si>
    <t>Next class</t>
  </si>
  <si>
    <t>PCA</t>
  </si>
  <si>
    <t>GAMs</t>
  </si>
  <si>
    <t>Naïve Bayes: Text Data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</si>
  <si>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</si>
  <si>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</si>
  <si>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</si>
  <si>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</si>
  <si>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</si>
  <si>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</si>
  <si>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</si>
  <si>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</si>
  <si>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</si>
  <si>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</si>
  <si>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</si>
  <si>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</si>
  <si>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</si>
  <si>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</si>
  <si>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</si>
  <si>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</si>
  <si>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</si>
  <si>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</si>
  <si>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</si>
  <si>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</si>
  <si>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</si>
  <si>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</si>
  <si>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</si>
  <si>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</si>
  <si>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</si>
  <si>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</si>
  <si>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</si>
  <si>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</si>
  <si>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</si>
  <si>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</si>
  <si>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</si>
  <si>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</si>
  <si>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</si>
  <si>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</si>
  <si>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</si>
  <si>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</si>
  <si>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</si>
  <si>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</si>
  <si>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</si>
  <si>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</si>
  <si>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</si>
  <si>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</si>
  <si>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</si>
  <si>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</si>
  <si>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</si>
  <si>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</si>
  <si>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</si>
  <si>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</si>
  <si>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</si>
  <si>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</si>
  <si>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</si>
  <si>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</si>
  <si>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</si>
  <si>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</si>
  <si>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</si>
  <si>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</si>
  <si>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</si>
  <si>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</si>
  <si>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</si>
  <si>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</si>
  <si>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</si>
  <si>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</si>
  <si>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</si>
  <si>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https://en.wikipedia.org/wiki/Ordered_logit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</si>
  <si>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</si>
  <si>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</si>
  <si>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</si>
  <si>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</si>
  <si>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</si>
  <si>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</si>
  <si>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</si>
  <si>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</si>
  <si>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</si>
  <si>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</si>
  <si>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</si>
  <si>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</si>
  <si>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</si>
  <si>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</si>
  <si>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</si>
  <si>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</si>
  <si>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</si>
  <si>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</si>
  <si>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</si>
  <si>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</si>
  <si>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</si>
  <si>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</si>
  <si>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</si>
  <si>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</si>
  <si>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</si>
  <si>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</si>
  <si>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</si>
  <si>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</si>
  <si>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</si>
  <si>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</si>
  <si>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</si>
  <si>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</si>
  <si>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</si>
  <si>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</si>
  <si>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</si>
  <si>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</si>
  <si>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</si>
  <si>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</si>
  <si>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</si>
  <si>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</si>
  <si>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</si>
  <si>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</si>
  <si>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</si>
  <si>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</si>
  <si>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</si>
  <si>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</si>
  <si>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</si>
  <si>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</si>
  <si>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</si>
  <si>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</si>
  <si>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</si>
  <si>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</si>
  <si>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</si>
  <si>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</si>
  <si>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</si>
  <si>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</si>
  <si>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</si>
  <si>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</si>
  <si>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</si>
  <si>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</si>
  <si>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</si>
  <si>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</si>
  <si>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</si>
  <si>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</si>
  <si>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</si>
  <si>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</si>
  <si>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</si>
  <si>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</si>
  <si>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</si>
  <si>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</si>
  <si>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</si>
  <si>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</si>
  <si>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</si>
  <si>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</si>
  <si>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</si>
  <si>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</si>
  <si>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</si>
  <si>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</si>
  <si>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</si>
  <si>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</si>
  <si>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</si>
  <si>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</si>
  <si>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</si>
  <si>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</si>
  <si>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</si>
  <si>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</si>
  <si>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HClust</t>
  </si>
  <si>
    <t>HClust_Rcode</t>
  </si>
  <si>
    <t>Ordinal_LogisticRegress</t>
  </si>
  <si>
    <t>OrdLogReg_RCode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</si>
  <si>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</si>
  <si>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</si>
  <si>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</si>
  <si>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</si>
  <si>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</si>
  <si>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</si>
  <si>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</si>
  <si>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</si>
  <si>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</si>
  <si>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</si>
  <si>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</si>
  <si>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</si>
  <si>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</si>
  <si>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</si>
  <si>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</si>
  <si>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</si>
  <si>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</si>
  <si>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</si>
  <si>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</si>
  <si>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</si>
  <si>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</si>
  <si>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</si>
  <si>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</si>
  <si>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</si>
  <si>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</si>
  <si>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</si>
  <si>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</si>
  <si>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</si>
  <si>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</si>
  <si>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</si>
  <si>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</si>
  <si>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</si>
  <si>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</si>
  <si>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Case</t>
  </si>
  <si>
    <t>Condition</t>
  </si>
  <si>
    <t>Alternative</t>
  </si>
  <si>
    <t>P{(Condition)</t>
  </si>
  <si>
    <t>P(Alternative)</t>
  </si>
  <si>
    <t>LogOdds</t>
  </si>
  <si>
    <t>Less than Level1</t>
  </si>
  <si>
    <t>&lt;= Level1</t>
  </si>
  <si>
    <t>&gt;Level1</t>
  </si>
  <si>
    <t>p1</t>
  </si>
  <si>
    <t>p2 + p3 + p4 + p5</t>
  </si>
  <si>
    <t>Less than Level2</t>
  </si>
  <si>
    <t>&lt;= Level2</t>
  </si>
  <si>
    <t>&gt;Level2</t>
  </si>
  <si>
    <t>p1 + p2</t>
  </si>
  <si>
    <t>p3 + p4 + p5</t>
  </si>
  <si>
    <t>Less than Level3</t>
  </si>
  <si>
    <t>&lt;= Level3</t>
  </si>
  <si>
    <t>&gt;Level3</t>
  </si>
  <si>
    <t>p1 + p2 + p3</t>
  </si>
  <si>
    <t>p4 + p5</t>
  </si>
  <si>
    <t>Less than Level4</t>
  </si>
  <si>
    <t>&lt;= Level4</t>
  </si>
  <si>
    <t>&gt;Level4</t>
  </si>
  <si>
    <t>p1 + p2 + p3 + p4</t>
  </si>
  <si>
    <t>p5</t>
  </si>
  <si>
    <t>P2</t>
  </si>
  <si>
    <t>P1</t>
  </si>
  <si>
    <t>P3</t>
  </si>
  <si>
    <t>P4</t>
  </si>
  <si>
    <t>p4</t>
  </si>
  <si>
    <t>p3</t>
  </si>
  <si>
    <t>p2</t>
  </si>
  <si>
    <t>P4-P3</t>
  </si>
  <si>
    <t>P2-P1</t>
  </si>
  <si>
    <t>P3-P2</t>
  </si>
  <si>
    <t xml:space="preserve"> 1 -P4</t>
  </si>
  <si>
    <t>Perform an ordinal logistic regression.</t>
  </si>
  <si>
    <t>With a data set of your choice with a categorical target …</t>
  </si>
  <si>
    <t>Perform a hierarchical cluster analysis.</t>
  </si>
  <si>
    <t>Download historical data of treasury yield curves.</t>
  </si>
  <si>
    <t>Calculated changes in yield by differencing the yields between perciods.</t>
  </si>
  <si>
    <t>Do not use percent returns.  Just different the yields.</t>
  </si>
  <si>
    <t>Perform a PCA analysis on the data set.</t>
  </si>
  <si>
    <t>Plot the first three loading vectors and interpret them.</t>
  </si>
  <si>
    <t>Ordinal Regression</t>
  </si>
  <si>
    <t>HCluster Analysis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</si>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</sst>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7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31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1" borderId="0" xfId="0" applyFill="1"/>
    <xf numFmtId="0" fontId="0" fillId="12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32" fillId="13" borderId="15" xfId="0" applyFont="1" applyFill="1" applyBorder="1" applyAlignment="1">
      <alignment horizontal="center" vertical="center" wrapText="1" readingOrder="1"/>
    </xf>
    <xf numFmtId="0" fontId="33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quotePrefix="1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2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34" fillId="2" borderId="2" xfId="0" applyFont="1" applyFill="1" applyBorder="1" applyAlignment="1">
      <alignment horizontal="right"/>
    </xf>
    <xf numFmtId="0" fontId="34" fillId="2" borderId="3" xfId="0" applyFont="1" applyFill="1" applyBorder="1" applyAlignment="1">
      <alignment horizontal="right"/>
    </xf>
    <xf numFmtId="0" fontId="34" fillId="2" borderId="4" xfId="0" applyFont="1" applyFill="1" applyBorder="1" applyAlignment="1">
      <alignment horizontal="right"/>
    </xf>
    <xf numFmtId="2" fontId="34" fillId="2" borderId="9" xfId="0" applyNumberFormat="1" applyFont="1" applyFill="1" applyBorder="1"/>
    <xf numFmtId="2" fontId="34" fillId="2" borderId="1" xfId="0" applyNumberFormat="1" applyFont="1" applyFill="1" applyBorder="1"/>
    <xf numFmtId="2" fontId="34" fillId="2" borderId="10" xfId="0" applyNumberFormat="1" applyFont="1" applyFill="1" applyBorder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theme" Target="theme/theme1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1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1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externalLink" Target="externalLinks/externalLink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13.xml"/><Relationship Id="rId108" Type="http://schemas.openxmlformats.org/officeDocument/2006/relationships/externalLink" Target="externalLinks/externalLink1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externalLink" Target="externalLinks/externalLink1.xml"/><Relationship Id="rId96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externalLink" Target="externalLinks/externalLink4.xml"/><Relationship Id="rId99" Type="http://schemas.openxmlformats.org/officeDocument/2006/relationships/externalLink" Target="externalLinks/externalLink9.xml"/><Relationship Id="rId101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7.xml"/><Relationship Id="rId104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20.xml"/><Relationship Id="rId115" Type="http://schemas.openxmlformats.org/officeDocument/2006/relationships/sheetMetadata" Target="metadata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0.xml"/><Relationship Id="rId105" Type="http://schemas.openxmlformats.org/officeDocument/2006/relationships/externalLink" Target="externalLinks/externalLink1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3.xml"/><Relationship Id="rId98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2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4.2197076828246196</c:v>
                </c:pt>
                <c:pt idx="1">
                  <c:v>3.5678343762427387</c:v>
                </c:pt>
                <c:pt idx="2">
                  <c:v>4.4606018407036236</c:v>
                </c:pt>
                <c:pt idx="3">
                  <c:v>3.380740369194307</c:v>
                </c:pt>
                <c:pt idx="4">
                  <c:v>4.2851382600555166</c:v>
                </c:pt>
                <c:pt idx="5">
                  <c:v>3.3347634570716509</c:v>
                </c:pt>
                <c:pt idx="6">
                  <c:v>3.3776275765813004</c:v>
                </c:pt>
                <c:pt idx="7">
                  <c:v>4.6234321178743736</c:v>
                </c:pt>
                <c:pt idx="8">
                  <c:v>3.3284880091442846</c:v>
                </c:pt>
                <c:pt idx="9">
                  <c:v>4.0036316923843716</c:v>
                </c:pt>
                <c:pt idx="10">
                  <c:v>1.9595256658832074</c:v>
                </c:pt>
                <c:pt idx="11">
                  <c:v>1.9037634483940884</c:v>
                </c:pt>
                <c:pt idx="12">
                  <c:v>2.0720512760793124</c:v>
                </c:pt>
                <c:pt idx="13">
                  <c:v>1.7321873179305671</c:v>
                </c:pt>
                <c:pt idx="14">
                  <c:v>1.9993263352959609</c:v>
                </c:pt>
                <c:pt idx="15">
                  <c:v>2.3935452555847845</c:v>
                </c:pt>
                <c:pt idx="16">
                  <c:v>1.8988564805556514</c:v>
                </c:pt>
                <c:pt idx="17">
                  <c:v>1.7680563379906324</c:v>
                </c:pt>
                <c:pt idx="18">
                  <c:v>2.0906559603903849</c:v>
                </c:pt>
                <c:pt idx="19">
                  <c:v>1.7777168783439883</c:v>
                </c:pt>
                <c:pt idx="20">
                  <c:v>1.7637942184719615</c:v>
                </c:pt>
                <c:pt idx="21">
                  <c:v>2.484036511088199</c:v>
                </c:pt>
                <c:pt idx="22">
                  <c:v>2.3951048885972352</c:v>
                </c:pt>
                <c:pt idx="23">
                  <c:v>2.1292085288942872</c:v>
                </c:pt>
                <c:pt idx="24">
                  <c:v>1.6757953841229227</c:v>
                </c:pt>
                <c:pt idx="25">
                  <c:v>2.0165766864526056</c:v>
                </c:pt>
                <c:pt idx="26">
                  <c:v>1.9153896229203735</c:v>
                </c:pt>
                <c:pt idx="27">
                  <c:v>2.5002033802396304</c:v>
                </c:pt>
                <c:pt idx="28">
                  <c:v>2.2055872559674023</c:v>
                </c:pt>
                <c:pt idx="29">
                  <c:v>2.1633289260327522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5.4410445781588788</c:v>
                </c:pt>
                <c:pt idx="1">
                  <c:v>5.755579772066195</c:v>
                </c:pt>
                <c:pt idx="2">
                  <c:v>6.173852936087342</c:v>
                </c:pt>
                <c:pt idx="3">
                  <c:v>6.2973614483314959</c:v>
                </c:pt>
                <c:pt idx="4">
                  <c:v>6.2777315245463159</c:v>
                </c:pt>
                <c:pt idx="5">
                  <c:v>5.9157973060965539</c:v>
                </c:pt>
                <c:pt idx="6">
                  <c:v>6.0843221235247054</c:v>
                </c:pt>
                <c:pt idx="7">
                  <c:v>5.9656940729726546</c:v>
                </c:pt>
                <c:pt idx="8">
                  <c:v>5.6618914056038747</c:v>
                </c:pt>
                <c:pt idx="9">
                  <c:v>5.7817826360367466</c:v>
                </c:pt>
                <c:pt idx="10">
                  <c:v>1.9171819239318937</c:v>
                </c:pt>
                <c:pt idx="11">
                  <c:v>2.3218597076355239</c:v>
                </c:pt>
                <c:pt idx="12">
                  <c:v>2.1092662692802717</c:v>
                </c:pt>
                <c:pt idx="13">
                  <c:v>2.2739620626344266</c:v>
                </c:pt>
                <c:pt idx="14">
                  <c:v>2.140502157837711</c:v>
                </c:pt>
                <c:pt idx="15">
                  <c:v>1.737243660135777</c:v>
                </c:pt>
                <c:pt idx="16">
                  <c:v>1.9398887528119271</c:v>
                </c:pt>
                <c:pt idx="17">
                  <c:v>2.0500345686421788</c:v>
                </c:pt>
                <c:pt idx="18">
                  <c:v>2.0338363492924296</c:v>
                </c:pt>
                <c:pt idx="19">
                  <c:v>2.0624181514933029</c:v>
                </c:pt>
                <c:pt idx="20">
                  <c:v>6.8456700541411069</c:v>
                </c:pt>
                <c:pt idx="21">
                  <c:v>6.3830927938973003</c:v>
                </c:pt>
                <c:pt idx="22">
                  <c:v>6.5725070388153783</c:v>
                </c:pt>
                <c:pt idx="23">
                  <c:v>7.8854344411575559</c:v>
                </c:pt>
                <c:pt idx="24">
                  <c:v>7.2153015454607958</c:v>
                </c:pt>
                <c:pt idx="25">
                  <c:v>7.1125527579342469</c:v>
                </c:pt>
                <c:pt idx="26">
                  <c:v>5.7580866780304252</c:v>
                </c:pt>
                <c:pt idx="27">
                  <c:v>6.3468712983663957</c:v>
                </c:pt>
                <c:pt idx="28">
                  <c:v>7.6078051251221881</c:v>
                </c:pt>
                <c:pt idx="29">
                  <c:v>7.3415498363164655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4.2197076828246196</c:v>
                </c:pt>
                <c:pt idx="1">
                  <c:v>3.5678343762427387</c:v>
                </c:pt>
                <c:pt idx="2">
                  <c:v>4.4606018407036236</c:v>
                </c:pt>
                <c:pt idx="3">
                  <c:v>3.380740369194307</c:v>
                </c:pt>
                <c:pt idx="4">
                  <c:v>4.2851382600555166</c:v>
                </c:pt>
                <c:pt idx="5">
                  <c:v>3.3347634570716509</c:v>
                </c:pt>
                <c:pt idx="6">
                  <c:v>3.3776275765813004</c:v>
                </c:pt>
                <c:pt idx="7">
                  <c:v>4.6234321178743736</c:v>
                </c:pt>
                <c:pt idx="8">
                  <c:v>3.3284880091442846</c:v>
                </c:pt>
                <c:pt idx="9">
                  <c:v>4.0036316923843716</c:v>
                </c:pt>
                <c:pt idx="10">
                  <c:v>1.9595256658832074</c:v>
                </c:pt>
                <c:pt idx="11">
                  <c:v>1.9037634483940884</c:v>
                </c:pt>
                <c:pt idx="12">
                  <c:v>2.0720512760793124</c:v>
                </c:pt>
                <c:pt idx="13">
                  <c:v>1.7321873179305671</c:v>
                </c:pt>
                <c:pt idx="14">
                  <c:v>1.9993263352959609</c:v>
                </c:pt>
                <c:pt idx="15">
                  <c:v>2.3935452555847845</c:v>
                </c:pt>
                <c:pt idx="16">
                  <c:v>1.8988564805556514</c:v>
                </c:pt>
                <c:pt idx="17">
                  <c:v>1.7680563379906324</c:v>
                </c:pt>
                <c:pt idx="18">
                  <c:v>2.0906559603903849</c:v>
                </c:pt>
                <c:pt idx="19">
                  <c:v>1.7777168783439883</c:v>
                </c:pt>
                <c:pt idx="20">
                  <c:v>1.7637942184719615</c:v>
                </c:pt>
                <c:pt idx="21">
                  <c:v>2.484036511088199</c:v>
                </c:pt>
                <c:pt idx="22">
                  <c:v>2.3951048885972352</c:v>
                </c:pt>
                <c:pt idx="23">
                  <c:v>2.1292085288942872</c:v>
                </c:pt>
                <c:pt idx="24">
                  <c:v>1.6757953841229227</c:v>
                </c:pt>
                <c:pt idx="25">
                  <c:v>2.0165766864526056</c:v>
                </c:pt>
                <c:pt idx="26">
                  <c:v>1.9153896229203735</c:v>
                </c:pt>
                <c:pt idx="27">
                  <c:v>2.5002033802396304</c:v>
                </c:pt>
                <c:pt idx="28">
                  <c:v>2.2055872559674023</c:v>
                </c:pt>
                <c:pt idx="29">
                  <c:v>2.1633289260327522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5.4410445781588788</c:v>
                </c:pt>
                <c:pt idx="1">
                  <c:v>5.755579772066195</c:v>
                </c:pt>
                <c:pt idx="2">
                  <c:v>6.173852936087342</c:v>
                </c:pt>
                <c:pt idx="3">
                  <c:v>6.2973614483314959</c:v>
                </c:pt>
                <c:pt idx="4">
                  <c:v>6.2777315245463159</c:v>
                </c:pt>
                <c:pt idx="5">
                  <c:v>5.9157973060965539</c:v>
                </c:pt>
                <c:pt idx="6">
                  <c:v>6.0843221235247054</c:v>
                </c:pt>
                <c:pt idx="7">
                  <c:v>5.9656940729726546</c:v>
                </c:pt>
                <c:pt idx="8">
                  <c:v>5.6618914056038747</c:v>
                </c:pt>
                <c:pt idx="9">
                  <c:v>5.7817826360367466</c:v>
                </c:pt>
                <c:pt idx="10">
                  <c:v>1.9171819239318937</c:v>
                </c:pt>
                <c:pt idx="11">
                  <c:v>2.3218597076355239</c:v>
                </c:pt>
                <c:pt idx="12">
                  <c:v>2.1092662692802717</c:v>
                </c:pt>
                <c:pt idx="13">
                  <c:v>2.2739620626344266</c:v>
                </c:pt>
                <c:pt idx="14">
                  <c:v>2.140502157837711</c:v>
                </c:pt>
                <c:pt idx="15">
                  <c:v>1.737243660135777</c:v>
                </c:pt>
                <c:pt idx="16">
                  <c:v>1.9398887528119271</c:v>
                </c:pt>
                <c:pt idx="17">
                  <c:v>2.0500345686421788</c:v>
                </c:pt>
                <c:pt idx="18">
                  <c:v>2.0338363492924296</c:v>
                </c:pt>
                <c:pt idx="19">
                  <c:v>2.0624181514933029</c:v>
                </c:pt>
                <c:pt idx="20">
                  <c:v>6.8456700541411069</c:v>
                </c:pt>
                <c:pt idx="21">
                  <c:v>6.3830927938973003</c:v>
                </c:pt>
                <c:pt idx="22">
                  <c:v>6.5725070388153783</c:v>
                </c:pt>
                <c:pt idx="23">
                  <c:v>7.8854344411575559</c:v>
                </c:pt>
                <c:pt idx="24">
                  <c:v>7.2153015454607958</c:v>
                </c:pt>
                <c:pt idx="25">
                  <c:v>7.1125527579342469</c:v>
                </c:pt>
                <c:pt idx="26">
                  <c:v>5.7580866780304252</c:v>
                </c:pt>
                <c:pt idx="27">
                  <c:v>6.3468712983663957</c:v>
                </c:pt>
                <c:pt idx="28">
                  <c:v>7.6078051251221881</c:v>
                </c:pt>
                <c:pt idx="29">
                  <c:v>7.3415498363164655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4.2197076828246196</c:v>
                </c:pt>
                <c:pt idx="1">
                  <c:v>3.5678343762427387</c:v>
                </c:pt>
                <c:pt idx="2">
                  <c:v>4.4606018407036236</c:v>
                </c:pt>
                <c:pt idx="3">
                  <c:v>3.380740369194307</c:v>
                </c:pt>
                <c:pt idx="4">
                  <c:v>4.2851382600555166</c:v>
                </c:pt>
                <c:pt idx="5">
                  <c:v>3.3347634570716509</c:v>
                </c:pt>
                <c:pt idx="6">
                  <c:v>3.3776275765813004</c:v>
                </c:pt>
                <c:pt idx="7">
                  <c:v>4.6234321178743736</c:v>
                </c:pt>
                <c:pt idx="8">
                  <c:v>3.3284880091442846</c:v>
                </c:pt>
                <c:pt idx="9">
                  <c:v>4.0036316923843716</c:v>
                </c:pt>
                <c:pt idx="10">
                  <c:v>1.9595256658832074</c:v>
                </c:pt>
                <c:pt idx="11">
                  <c:v>1.9037634483940884</c:v>
                </c:pt>
                <c:pt idx="12">
                  <c:v>2.0720512760793124</c:v>
                </c:pt>
                <c:pt idx="13">
                  <c:v>1.7321873179305671</c:v>
                </c:pt>
                <c:pt idx="14">
                  <c:v>1.9993263352959609</c:v>
                </c:pt>
                <c:pt idx="15">
                  <c:v>2.3935452555847845</c:v>
                </c:pt>
                <c:pt idx="16">
                  <c:v>1.8988564805556514</c:v>
                </c:pt>
                <c:pt idx="17">
                  <c:v>1.7680563379906324</c:v>
                </c:pt>
                <c:pt idx="18">
                  <c:v>2.0906559603903849</c:v>
                </c:pt>
                <c:pt idx="19">
                  <c:v>1.7777168783439883</c:v>
                </c:pt>
                <c:pt idx="20">
                  <c:v>1.7637942184719615</c:v>
                </c:pt>
                <c:pt idx="21">
                  <c:v>2.484036511088199</c:v>
                </c:pt>
                <c:pt idx="22">
                  <c:v>2.3951048885972352</c:v>
                </c:pt>
                <c:pt idx="23">
                  <c:v>2.1292085288942872</c:v>
                </c:pt>
                <c:pt idx="24">
                  <c:v>1.6757953841229227</c:v>
                </c:pt>
                <c:pt idx="25">
                  <c:v>2.0165766864526056</c:v>
                </c:pt>
                <c:pt idx="26">
                  <c:v>1.9153896229203735</c:v>
                </c:pt>
                <c:pt idx="27">
                  <c:v>2.5002033802396304</c:v>
                </c:pt>
                <c:pt idx="28">
                  <c:v>2.2055872559674023</c:v>
                </c:pt>
                <c:pt idx="29">
                  <c:v>2.1633289260327522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5.4410445781588788</c:v>
                </c:pt>
                <c:pt idx="1">
                  <c:v>5.755579772066195</c:v>
                </c:pt>
                <c:pt idx="2">
                  <c:v>6.173852936087342</c:v>
                </c:pt>
                <c:pt idx="3">
                  <c:v>6.2973614483314959</c:v>
                </c:pt>
                <c:pt idx="4">
                  <c:v>6.2777315245463159</c:v>
                </c:pt>
                <c:pt idx="5">
                  <c:v>5.9157973060965539</c:v>
                </c:pt>
                <c:pt idx="6">
                  <c:v>6.0843221235247054</c:v>
                </c:pt>
                <c:pt idx="7">
                  <c:v>5.9656940729726546</c:v>
                </c:pt>
                <c:pt idx="8">
                  <c:v>5.6618914056038747</c:v>
                </c:pt>
                <c:pt idx="9">
                  <c:v>5.7817826360367466</c:v>
                </c:pt>
                <c:pt idx="10">
                  <c:v>1.9171819239318937</c:v>
                </c:pt>
                <c:pt idx="11">
                  <c:v>2.3218597076355239</c:v>
                </c:pt>
                <c:pt idx="12">
                  <c:v>2.1092662692802717</c:v>
                </c:pt>
                <c:pt idx="13">
                  <c:v>2.2739620626344266</c:v>
                </c:pt>
                <c:pt idx="14">
                  <c:v>2.140502157837711</c:v>
                </c:pt>
                <c:pt idx="15">
                  <c:v>1.737243660135777</c:v>
                </c:pt>
                <c:pt idx="16">
                  <c:v>1.9398887528119271</c:v>
                </c:pt>
                <c:pt idx="17">
                  <c:v>2.0500345686421788</c:v>
                </c:pt>
                <c:pt idx="18">
                  <c:v>2.0338363492924296</c:v>
                </c:pt>
                <c:pt idx="19">
                  <c:v>2.0624181514933029</c:v>
                </c:pt>
                <c:pt idx="20">
                  <c:v>6.8456700541411069</c:v>
                </c:pt>
                <c:pt idx="21">
                  <c:v>6.3830927938973003</c:v>
                </c:pt>
                <c:pt idx="22">
                  <c:v>6.5725070388153783</c:v>
                </c:pt>
                <c:pt idx="23">
                  <c:v>7.8854344411575559</c:v>
                </c:pt>
                <c:pt idx="24">
                  <c:v>7.2153015454607958</c:v>
                </c:pt>
                <c:pt idx="25">
                  <c:v>7.1125527579342469</c:v>
                </c:pt>
                <c:pt idx="26">
                  <c:v>5.7580866780304252</c:v>
                </c:pt>
                <c:pt idx="27">
                  <c:v>6.3468712983663957</c:v>
                </c:pt>
                <c:pt idx="28">
                  <c:v>7.6078051251221881</c:v>
                </c:pt>
                <c:pt idx="29">
                  <c:v>7.3415498363164655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4.2197076828246196</c:v>
                </c:pt>
                <c:pt idx="1">
                  <c:v>3.5678343762427387</c:v>
                </c:pt>
                <c:pt idx="2">
                  <c:v>4.4606018407036236</c:v>
                </c:pt>
                <c:pt idx="3">
                  <c:v>3.380740369194307</c:v>
                </c:pt>
                <c:pt idx="4">
                  <c:v>4.2851382600555166</c:v>
                </c:pt>
                <c:pt idx="5">
                  <c:v>3.3347634570716509</c:v>
                </c:pt>
                <c:pt idx="6">
                  <c:v>3.3776275765813004</c:v>
                </c:pt>
                <c:pt idx="7">
                  <c:v>4.6234321178743736</c:v>
                </c:pt>
                <c:pt idx="8">
                  <c:v>3.3284880091442846</c:v>
                </c:pt>
                <c:pt idx="9">
                  <c:v>4.0036316923843716</c:v>
                </c:pt>
                <c:pt idx="10">
                  <c:v>1.9595256658832074</c:v>
                </c:pt>
                <c:pt idx="11">
                  <c:v>1.9037634483940884</c:v>
                </c:pt>
                <c:pt idx="12">
                  <c:v>2.0720512760793124</c:v>
                </c:pt>
                <c:pt idx="13">
                  <c:v>1.7321873179305671</c:v>
                </c:pt>
                <c:pt idx="14">
                  <c:v>1.9993263352959609</c:v>
                </c:pt>
                <c:pt idx="15">
                  <c:v>2.3935452555847845</c:v>
                </c:pt>
                <c:pt idx="16">
                  <c:v>1.8988564805556514</c:v>
                </c:pt>
                <c:pt idx="17">
                  <c:v>1.7680563379906324</c:v>
                </c:pt>
                <c:pt idx="18">
                  <c:v>2.0906559603903849</c:v>
                </c:pt>
                <c:pt idx="19">
                  <c:v>1.7777168783439883</c:v>
                </c:pt>
                <c:pt idx="20">
                  <c:v>1.7637942184719615</c:v>
                </c:pt>
                <c:pt idx="21">
                  <c:v>2.484036511088199</c:v>
                </c:pt>
                <c:pt idx="22">
                  <c:v>2.3951048885972352</c:v>
                </c:pt>
                <c:pt idx="23">
                  <c:v>2.1292085288942872</c:v>
                </c:pt>
                <c:pt idx="24">
                  <c:v>1.6757953841229227</c:v>
                </c:pt>
                <c:pt idx="25">
                  <c:v>2.0165766864526056</c:v>
                </c:pt>
                <c:pt idx="26">
                  <c:v>1.9153896229203735</c:v>
                </c:pt>
                <c:pt idx="27">
                  <c:v>2.5002033802396304</c:v>
                </c:pt>
                <c:pt idx="28">
                  <c:v>2.2055872559674023</c:v>
                </c:pt>
                <c:pt idx="29">
                  <c:v>2.1633289260327522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5.4410445781588788</c:v>
                </c:pt>
                <c:pt idx="1">
                  <c:v>5.755579772066195</c:v>
                </c:pt>
                <c:pt idx="2">
                  <c:v>6.173852936087342</c:v>
                </c:pt>
                <c:pt idx="3">
                  <c:v>6.2973614483314959</c:v>
                </c:pt>
                <c:pt idx="4">
                  <c:v>6.2777315245463159</c:v>
                </c:pt>
                <c:pt idx="5">
                  <c:v>5.9157973060965539</c:v>
                </c:pt>
                <c:pt idx="6">
                  <c:v>6.0843221235247054</c:v>
                </c:pt>
                <c:pt idx="7">
                  <c:v>5.9656940729726546</c:v>
                </c:pt>
                <c:pt idx="8">
                  <c:v>5.6618914056038747</c:v>
                </c:pt>
                <c:pt idx="9">
                  <c:v>5.7817826360367466</c:v>
                </c:pt>
                <c:pt idx="10">
                  <c:v>1.9171819239318937</c:v>
                </c:pt>
                <c:pt idx="11">
                  <c:v>2.3218597076355239</c:v>
                </c:pt>
                <c:pt idx="12">
                  <c:v>2.1092662692802717</c:v>
                </c:pt>
                <c:pt idx="13">
                  <c:v>2.2739620626344266</c:v>
                </c:pt>
                <c:pt idx="14">
                  <c:v>2.140502157837711</c:v>
                </c:pt>
                <c:pt idx="15">
                  <c:v>1.737243660135777</c:v>
                </c:pt>
                <c:pt idx="16">
                  <c:v>1.9398887528119271</c:v>
                </c:pt>
                <c:pt idx="17">
                  <c:v>2.0500345686421788</c:v>
                </c:pt>
                <c:pt idx="18">
                  <c:v>2.0338363492924296</c:v>
                </c:pt>
                <c:pt idx="19">
                  <c:v>2.0624181514933029</c:v>
                </c:pt>
                <c:pt idx="20">
                  <c:v>6.8456700541411069</c:v>
                </c:pt>
                <c:pt idx="21">
                  <c:v>6.3830927938973003</c:v>
                </c:pt>
                <c:pt idx="22">
                  <c:v>6.5725070388153783</c:v>
                </c:pt>
                <c:pt idx="23">
                  <c:v>7.8854344411575559</c:v>
                </c:pt>
                <c:pt idx="24">
                  <c:v>7.2153015454607958</c:v>
                </c:pt>
                <c:pt idx="25">
                  <c:v>7.1125527579342469</c:v>
                </c:pt>
                <c:pt idx="26">
                  <c:v>5.7580866780304252</c:v>
                </c:pt>
                <c:pt idx="27">
                  <c:v>6.3468712983663957</c:v>
                </c:pt>
                <c:pt idx="28">
                  <c:v>7.6078051251221881</c:v>
                </c:pt>
                <c:pt idx="29">
                  <c:v>7.3415498363164655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4.2197076828246196</c:v>
                </c:pt>
                <c:pt idx="1">
                  <c:v>3.5678343762427387</c:v>
                </c:pt>
                <c:pt idx="2">
                  <c:v>4.4606018407036236</c:v>
                </c:pt>
                <c:pt idx="3">
                  <c:v>3.380740369194307</c:v>
                </c:pt>
                <c:pt idx="4">
                  <c:v>4.2851382600555166</c:v>
                </c:pt>
                <c:pt idx="5">
                  <c:v>3.3347634570716509</c:v>
                </c:pt>
                <c:pt idx="6">
                  <c:v>3.3776275765813004</c:v>
                </c:pt>
                <c:pt idx="7">
                  <c:v>4.6234321178743736</c:v>
                </c:pt>
                <c:pt idx="8">
                  <c:v>3.3284880091442846</c:v>
                </c:pt>
                <c:pt idx="9">
                  <c:v>4.0036316923843716</c:v>
                </c:pt>
                <c:pt idx="10">
                  <c:v>1.9595256658832074</c:v>
                </c:pt>
                <c:pt idx="11">
                  <c:v>1.9037634483940884</c:v>
                </c:pt>
                <c:pt idx="12">
                  <c:v>2.0720512760793124</c:v>
                </c:pt>
                <c:pt idx="13">
                  <c:v>1.7321873179305671</c:v>
                </c:pt>
                <c:pt idx="14">
                  <c:v>1.9993263352959609</c:v>
                </c:pt>
                <c:pt idx="15">
                  <c:v>2.3935452555847845</c:v>
                </c:pt>
                <c:pt idx="16">
                  <c:v>1.8988564805556514</c:v>
                </c:pt>
                <c:pt idx="17">
                  <c:v>1.7680563379906324</c:v>
                </c:pt>
                <c:pt idx="18">
                  <c:v>2.0906559603903849</c:v>
                </c:pt>
                <c:pt idx="19">
                  <c:v>1.7777168783439883</c:v>
                </c:pt>
                <c:pt idx="20">
                  <c:v>1.7637942184719615</c:v>
                </c:pt>
                <c:pt idx="21">
                  <c:v>2.484036511088199</c:v>
                </c:pt>
                <c:pt idx="22">
                  <c:v>2.3951048885972352</c:v>
                </c:pt>
                <c:pt idx="23">
                  <c:v>2.1292085288942872</c:v>
                </c:pt>
                <c:pt idx="24">
                  <c:v>1.6757953841229227</c:v>
                </c:pt>
                <c:pt idx="25">
                  <c:v>2.0165766864526056</c:v>
                </c:pt>
                <c:pt idx="26">
                  <c:v>1.9153896229203735</c:v>
                </c:pt>
                <c:pt idx="27">
                  <c:v>2.5002033802396304</c:v>
                </c:pt>
                <c:pt idx="28">
                  <c:v>2.2055872559674023</c:v>
                </c:pt>
                <c:pt idx="29">
                  <c:v>2.1633289260327522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5.4410445781588788</c:v>
                </c:pt>
                <c:pt idx="1">
                  <c:v>5.755579772066195</c:v>
                </c:pt>
                <c:pt idx="2">
                  <c:v>6.173852936087342</c:v>
                </c:pt>
                <c:pt idx="3">
                  <c:v>6.2973614483314959</c:v>
                </c:pt>
                <c:pt idx="4">
                  <c:v>6.2777315245463159</c:v>
                </c:pt>
                <c:pt idx="5">
                  <c:v>5.9157973060965539</c:v>
                </c:pt>
                <c:pt idx="6">
                  <c:v>6.0843221235247054</c:v>
                </c:pt>
                <c:pt idx="7">
                  <c:v>5.9656940729726546</c:v>
                </c:pt>
                <c:pt idx="8">
                  <c:v>5.6618914056038747</c:v>
                </c:pt>
                <c:pt idx="9">
                  <c:v>5.7817826360367466</c:v>
                </c:pt>
                <c:pt idx="10">
                  <c:v>1.9171819239318937</c:v>
                </c:pt>
                <c:pt idx="11">
                  <c:v>2.3218597076355239</c:v>
                </c:pt>
                <c:pt idx="12">
                  <c:v>2.1092662692802717</c:v>
                </c:pt>
                <c:pt idx="13">
                  <c:v>2.2739620626344266</c:v>
                </c:pt>
                <c:pt idx="14">
                  <c:v>2.140502157837711</c:v>
                </c:pt>
                <c:pt idx="15">
                  <c:v>1.737243660135777</c:v>
                </c:pt>
                <c:pt idx="16">
                  <c:v>1.9398887528119271</c:v>
                </c:pt>
                <c:pt idx="17">
                  <c:v>2.0500345686421788</c:v>
                </c:pt>
                <c:pt idx="18">
                  <c:v>2.0338363492924296</c:v>
                </c:pt>
                <c:pt idx="19">
                  <c:v>2.0624181514933029</c:v>
                </c:pt>
                <c:pt idx="20">
                  <c:v>6.8456700541411069</c:v>
                </c:pt>
                <c:pt idx="21">
                  <c:v>6.3830927938973003</c:v>
                </c:pt>
                <c:pt idx="22">
                  <c:v>6.5725070388153783</c:v>
                </c:pt>
                <c:pt idx="23">
                  <c:v>7.8854344411575559</c:v>
                </c:pt>
                <c:pt idx="24">
                  <c:v>7.2153015454607958</c:v>
                </c:pt>
                <c:pt idx="25">
                  <c:v>7.1125527579342469</c:v>
                </c:pt>
                <c:pt idx="26">
                  <c:v>5.7580866780304252</c:v>
                </c:pt>
                <c:pt idx="27">
                  <c:v>6.3468712983663957</c:v>
                </c:pt>
                <c:pt idx="28">
                  <c:v>7.6078051251221881</c:v>
                </c:pt>
                <c:pt idx="29">
                  <c:v>7.3415498363164655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3.5448633000727749</c:v>
                </c:pt>
                <c:pt idx="1">
                  <c:v>2.4314344609500766</c:v>
                </c:pt>
                <c:pt idx="2">
                  <c:v>-2.5826216097466492E-2</c:v>
                </c:pt>
                <c:pt idx="3">
                  <c:v>2.0447621079874461</c:v>
                </c:pt>
                <c:pt idx="4">
                  <c:v>4.6153534259506612</c:v>
                </c:pt>
                <c:pt idx="5">
                  <c:v>4.9794680019880682</c:v>
                </c:pt>
                <c:pt idx="6">
                  <c:v>9.3583105963226707</c:v>
                </c:pt>
                <c:pt idx="7">
                  <c:v>8.0689771581519434</c:v>
                </c:pt>
                <c:pt idx="8">
                  <c:v>6.9284405521237833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2.7921093711867426</c:v>
                </c:pt>
                <c:pt idx="1">
                  <c:v>0.90831873254818896</c:v>
                </c:pt>
                <c:pt idx="2">
                  <c:v>2.9634742779270291</c:v>
                </c:pt>
                <c:pt idx="3">
                  <c:v>4.4217441113370741</c:v>
                </c:pt>
                <c:pt idx="4">
                  <c:v>3.0896011162220023</c:v>
                </c:pt>
                <c:pt idx="5">
                  <c:v>4.971276171640814</c:v>
                </c:pt>
                <c:pt idx="6">
                  <c:v>8.4159367072219631</c:v>
                </c:pt>
                <c:pt idx="7">
                  <c:v>9.0072286777502306</c:v>
                </c:pt>
                <c:pt idx="8">
                  <c:v>8.7239454953515239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1.2028041224263051</c:v>
                </c:pt>
                <c:pt idx="1">
                  <c:v>3.7961117089997378</c:v>
                </c:pt>
                <c:pt idx="2">
                  <c:v>8.118576102199464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1.9358965052376091</c:v>
                </c:pt>
                <c:pt idx="1">
                  <c:v>3.8186826925966582</c:v>
                </c:pt>
                <c:pt idx="2">
                  <c:v>8.7157036267745713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{A610223A-7AC1-394D-AAB2-F7B160984156}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{56517790-A040-B943-B506-94AF795F1913}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{4C37C3F7-7DB8-234C-92F7-B7D9D3BA7B36}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{AD131B5E-F74A-5442-82EB-FD4401160CD9}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{0EC273CE-4B20-7542-B133-02FEA25ABCDC}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{A58E70E2-F9E2-904D-B08B-0902C2ED8D41}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{83B148EE-6C7C-064E-9C29-F2BD1D02D9C3}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{148846D7-FC30-EE4B-8C8D-45ADAB20406E}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{5B94FCA7-9C6A-D944-B081-9CC80474AE3A}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{D7461B23-830C-B045-AAD1-CE200534FF6D}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{C8140DF3-EB51-6C4F-81D0-DF14123090A6}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{ABCC2DE0-4B02-1347-9778-CB941E6F8FC8}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5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3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5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5</c:v>
                </c:pt>
                <c:pt idx="12">
                  <c:v>2</c:v>
                </c:pt>
                <c:pt idx="13">
                  <c:v>3</c:v>
                </c:pt>
                <c:pt idx="14">
                  <c:v>5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5</c:v>
                </c:pt>
                <c:pt idx="19">
                  <c:v>3</c:v>
                </c:pt>
                <c:pt idx="20">
                  <c:v>1</c:v>
                </c:pt>
                <c:pt idx="21">
                  <c:v>5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816296</xdr:colOff>
      <xdr:row>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EA6C96-424F-FDF1-4F33-A836F8BD6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3292796" cy="1689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4</xdr:col>
      <xdr:colOff>816296</xdr:colOff>
      <xdr:row>15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FDBAF8-E85F-4C41-844C-C21AB2C8A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302000"/>
          <a:ext cx="3292796" cy="1689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EA0D241-2320-664F-AB42-32444CA49EAB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Setup ####</a:t>
          </a:r>
        </a:p>
        <a:p>
          <a:r>
            <a:rPr lang="en-US" sz="1400"/>
            <a:t>library(carData)</a:t>
          </a:r>
        </a:p>
        <a:p>
          <a:r>
            <a:rPr lang="en-US" sz="1400"/>
            <a:t>library(MASS)</a:t>
          </a:r>
        </a:p>
        <a:p>
          <a:r>
            <a:rPr lang="en-US" sz="1400"/>
            <a:t>data(WVS)</a:t>
          </a:r>
        </a:p>
        <a:p>
          <a:endParaRPr lang="en-US" sz="1400"/>
        </a:p>
        <a:p>
          <a:r>
            <a:rPr lang="en-US" sz="1400"/>
            <a:t># Inputs ####</a:t>
          </a:r>
        </a:p>
        <a:p>
          <a:r>
            <a:rPr lang="en-US" sz="1400"/>
            <a:t>d = WVS</a:t>
          </a:r>
        </a:p>
        <a:p>
          <a:r>
            <a:rPr lang="en-US" sz="1400"/>
            <a:t>INSAMPLE_FRACTION  = .5</a:t>
          </a:r>
        </a:p>
        <a:p>
          <a:r>
            <a:rPr lang="en-US" sz="1400"/>
            <a:t>SEED = 1</a:t>
          </a:r>
        </a:p>
        <a:p>
          <a:r>
            <a:rPr lang="en-US" sz="1400"/>
            <a:t>set.seed(SEED)</a:t>
          </a:r>
        </a:p>
        <a:p>
          <a:r>
            <a:rPr lang="en-US" sz="1400"/>
            <a:t>TARGET_FIELD = 'poverty'</a:t>
          </a:r>
        </a:p>
        <a:p>
          <a:endParaRPr lang="en-US" sz="1400"/>
        </a:p>
        <a:p>
          <a:r>
            <a:rPr lang="en-US" sz="1400"/>
            <a:t># Construction  ####</a:t>
          </a:r>
        </a:p>
        <a:p>
          <a:r>
            <a:rPr lang="en-US" sz="1400"/>
            <a:t>preds_names = setdiff(names(d),TARGET_FIELD)</a:t>
          </a:r>
        </a:p>
        <a:p>
          <a:r>
            <a:rPr lang="en-US" sz="1400"/>
            <a:t>n = dim(d)[1]</a:t>
          </a:r>
        </a:p>
        <a:p>
          <a:r>
            <a:rPr lang="en-US" sz="1400"/>
            <a:t>idx_iss = sample(n,n*INSAMPLE_FRACTION)</a:t>
          </a:r>
        </a:p>
        <a:p>
          <a:r>
            <a:rPr lang="en-US" sz="1400"/>
            <a:t>idx_oos = setdiff(1:n,idx_iss)</a:t>
          </a:r>
        </a:p>
        <a:p>
          <a:r>
            <a:rPr lang="en-US" sz="1400"/>
            <a:t>d_iss = d[idx_iss,]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X_iss = as.matrix(d[idx_iss,preds_names])</a:t>
          </a:r>
        </a:p>
        <a:p>
          <a:r>
            <a:rPr lang="en-US" sz="1400"/>
            <a:t>y_iss = d[idx_iss,TARGET_FIELD]</a:t>
          </a:r>
        </a:p>
        <a:p>
          <a:r>
            <a:rPr lang="en-US" sz="1400"/>
            <a:t>X_oos = as.matrix(d[idx_oos,preds_names])</a:t>
          </a:r>
        </a:p>
        <a:p>
          <a:r>
            <a:rPr lang="en-US" sz="1400"/>
            <a:t>y_oos = d[idx_oos,TARGET_FIELD]</a:t>
          </a:r>
        </a:p>
        <a:p>
          <a:r>
            <a:rPr lang="en-US" sz="1400"/>
            <a:t>p = dim(X_iss)[2]</a:t>
          </a:r>
        </a:p>
        <a:p>
          <a:r>
            <a:rPr lang="en-US" sz="1400"/>
            <a:t>fstring = paste(TARGET_FIELD,'~ .')</a:t>
          </a:r>
        </a:p>
        <a:p>
          <a:r>
            <a:rPr lang="en-US" sz="1400"/>
            <a:t>myformula = formula(fstring)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19</xdr:col>
      <xdr:colOff>787400</xdr:colOff>
      <xdr:row>19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BCFCF66-BA88-F243-8FA9-E574A1FAA6CB}"/>
            </a:ext>
          </a:extLst>
        </xdr:cNvPr>
        <xdr:cNvSpPr txBox="1"/>
      </xdr:nvSpPr>
      <xdr:spPr>
        <a:xfrm>
          <a:off x="9080500" y="3302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fit_OrgLogReg &lt;- polr(myformula, data = d_iss, Hess = TRUE)</a:t>
          </a:r>
        </a:p>
        <a:p>
          <a:r>
            <a:rPr lang="en-US" sz="1400"/>
            <a:t>summary(fit_OrgLogReg)</a:t>
          </a:r>
        </a:p>
        <a:p>
          <a:endParaRPr lang="en-US" sz="1400"/>
        </a:p>
        <a:p>
          <a:r>
            <a:rPr lang="en-US" sz="1400"/>
            <a:t># Forecast ####</a:t>
          </a:r>
        </a:p>
        <a:p>
          <a:r>
            <a:rPr lang="en-US" sz="1400"/>
            <a:t>phat = predict(fit_OrgLogReg,new_data=d_oos,type = "p")</a:t>
          </a:r>
        </a:p>
        <a:p>
          <a:r>
            <a:rPr lang="en-US" sz="1400"/>
            <a:t>chat = predict(fit_OrgLogReg,new_data=d_oos,type = "class")</a:t>
          </a:r>
        </a:p>
        <a:p>
          <a:endParaRPr lang="en-US" sz="1400"/>
        </a:p>
        <a:p>
          <a:r>
            <a:rPr lang="en-US" sz="1400"/>
            <a:t># Interpret ####</a:t>
          </a:r>
        </a:p>
        <a:p>
          <a:r>
            <a:rPr lang="en-US" sz="1400"/>
            <a:t>level_list = lapply(X = d[,preds_names],levels)</a:t>
          </a:r>
        </a:p>
        <a:p>
          <a:r>
            <a:rPr lang="en-US" sz="1400"/>
            <a:t>ind_non0 = unlist(lapply(level_list,length)) != 0</a:t>
          </a:r>
        </a:p>
        <a:p>
          <a:r>
            <a:rPr lang="en-US" sz="1400"/>
            <a:t>df_combinations = expand.grid(level_list[ind_non0])</a:t>
          </a:r>
        </a:p>
        <a:p>
          <a:r>
            <a:rPr lang="en-US" sz="1400"/>
            <a:t>phat_combinations = predict(fit_OrgLogReg, new_data=df_combinations, type = "p")</a:t>
          </a:r>
        </a:p>
        <a:p>
          <a:r>
            <a:rPr lang="en-US" sz="1400"/>
            <a:t>chat_combinations = predict(fit_OrgLogReg, new_data=df_combinations, type = "class")</a:t>
          </a:r>
        </a:p>
        <a:p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12</xdr:col>
      <xdr:colOff>660400</xdr:colOff>
      <xdr:row>19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44263C-5EEE-1E4A-2A34-6F21D0D4BDD1}"/>
            </a:ext>
          </a:extLst>
        </xdr:cNvPr>
        <xdr:cNvSpPr txBox="1"/>
      </xdr:nvSpPr>
      <xdr:spPr>
        <a:xfrm>
          <a:off x="838200" y="330200"/>
          <a:ext cx="9728200" cy="601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fit_hclust &lt;- hclust(dist(iris[, 3:4]), method = 'average')</a:t>
          </a:r>
        </a:p>
        <a:p>
          <a:endParaRPr lang="en-US" sz="2000"/>
        </a:p>
        <a:p>
          <a:r>
            <a:rPr lang="en-US" sz="2000"/>
            <a:t>plot(fit_hclust)</a:t>
          </a:r>
        </a:p>
        <a:p>
          <a:endParaRPr lang="en-US" sz="2000"/>
        </a:p>
        <a:p>
          <a:r>
            <a:rPr lang="en-US" sz="2000"/>
            <a:t>fit_hclust_cuts &lt;- cutree(fit_hclust, 3)</a:t>
          </a:r>
        </a:p>
        <a:p>
          <a:endParaRPr lang="en-US" sz="2000"/>
        </a:p>
        <a:p>
          <a:r>
            <a:rPr lang="en-US" sz="2000"/>
            <a:t>table(fit_hclust_cuts, iris$Species)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en.wikipedia.org/wiki/Ordered_logit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9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305</v>
      </c>
    </row>
    <row r="4" spans="2:2" x14ac:dyDescent="0.3">
      <c r="B4" s="1" t="s">
        <v>306</v>
      </c>
    </row>
    <row r="6" spans="2:2" x14ac:dyDescent="0.3">
      <c r="B6" s="1" t="s">
        <v>307</v>
      </c>
    </row>
    <row r="8" spans="2:2" x14ac:dyDescent="0.3">
      <c r="B8" s="1" t="s">
        <v>257</v>
      </c>
    </row>
    <row r="10" spans="2:2" x14ac:dyDescent="0.3">
      <c r="B10" s="1" t="s">
        <v>256</v>
      </c>
    </row>
    <row r="12" spans="2:2" x14ac:dyDescent="0.3">
      <c r="B12" s="1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255</v>
      </c>
    </row>
    <row r="2" spans="1:1" x14ac:dyDescent="0.25">
      <c r="A2" s="2" t="s">
        <v>258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64</v>
      </c>
    </row>
    <row r="4" spans="2:4" x14ac:dyDescent="0.3">
      <c r="B4" s="1" t="s">
        <v>65</v>
      </c>
    </row>
    <row r="6" spans="2:4" x14ac:dyDescent="0.3">
      <c r="C6" s="15" t="s">
        <v>66</v>
      </c>
      <c r="D6" s="15" t="s">
        <v>67</v>
      </c>
    </row>
    <row r="7" spans="2:4" x14ac:dyDescent="0.3">
      <c r="C7" s="19">
        <v>1</v>
      </c>
      <c r="D7" s="19" t="s">
        <v>68</v>
      </c>
    </row>
    <row r="8" spans="2:4" x14ac:dyDescent="0.3">
      <c r="C8" s="19">
        <v>0</v>
      </c>
      <c r="D8" s="19" t="s">
        <v>69</v>
      </c>
    </row>
    <row r="11" spans="2:4" x14ac:dyDescent="0.3">
      <c r="B11" s="1" t="s">
        <v>70</v>
      </c>
      <c r="C11" s="20" t="s">
        <v>71</v>
      </c>
    </row>
    <row r="12" spans="2:4" ht="29" x14ac:dyDescent="0.3">
      <c r="B12" s="1" t="s">
        <v>72</v>
      </c>
      <c r="C12" s="20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 codeName="Sheet3"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3" t="s">
        <v>300</v>
      </c>
    </row>
    <row r="2" spans="1:36" x14ac:dyDescent="0.3">
      <c r="C2"/>
    </row>
    <row r="8" spans="1:36" x14ac:dyDescent="0.3">
      <c r="C8" s="15" t="s">
        <v>337</v>
      </c>
      <c r="D8" s="15" t="s">
        <v>337</v>
      </c>
      <c r="E8" s="15" t="s">
        <v>337</v>
      </c>
      <c r="F8" s="15" t="s">
        <v>338</v>
      </c>
      <c r="G8" s="15" t="s">
        <v>338</v>
      </c>
      <c r="H8" s="15" t="s">
        <v>339</v>
      </c>
      <c r="I8" s="15" t="s">
        <v>339</v>
      </c>
      <c r="J8" s="15" t="s">
        <v>339</v>
      </c>
      <c r="K8" s="15" t="s">
        <v>339</v>
      </c>
      <c r="L8" s="15" t="s">
        <v>339</v>
      </c>
      <c r="O8" s="127" t="s">
        <v>337</v>
      </c>
      <c r="P8" s="127" t="s">
        <v>338</v>
      </c>
      <c r="Q8" s="127" t="s">
        <v>339</v>
      </c>
      <c r="R8" s="127" t="s">
        <v>340</v>
      </c>
      <c r="S8" s="127" t="s">
        <v>341</v>
      </c>
      <c r="T8" s="127" t="s">
        <v>342</v>
      </c>
      <c r="U8" s="127" t="s">
        <v>343</v>
      </c>
      <c r="V8" s="127" t="s">
        <v>344</v>
      </c>
      <c r="W8" s="127" t="s">
        <v>345</v>
      </c>
      <c r="X8" s="127" t="s">
        <v>346</v>
      </c>
      <c r="AA8" s="127" t="s">
        <v>337</v>
      </c>
      <c r="AB8" s="127" t="s">
        <v>337</v>
      </c>
      <c r="AC8" s="127" t="s">
        <v>337</v>
      </c>
      <c r="AD8" s="127" t="s">
        <v>337</v>
      </c>
      <c r="AE8" s="127" t="s">
        <v>337</v>
      </c>
      <c r="AF8" s="127" t="s">
        <v>337</v>
      </c>
      <c r="AG8" s="127" t="s">
        <v>337</v>
      </c>
      <c r="AH8" s="127" t="s">
        <v>337</v>
      </c>
      <c r="AI8" s="127" t="s">
        <v>337</v>
      </c>
      <c r="AJ8" s="127" t="s">
        <v>337</v>
      </c>
    </row>
    <row r="9" spans="1:36" x14ac:dyDescent="0.3">
      <c r="B9" s="15" t="s">
        <v>337</v>
      </c>
      <c r="C9" s="125"/>
      <c r="D9" s="125"/>
      <c r="E9" s="125"/>
      <c r="F9" s="124"/>
      <c r="G9" s="124"/>
      <c r="H9" s="124"/>
      <c r="I9" s="124"/>
      <c r="J9" s="124"/>
      <c r="K9" s="124"/>
      <c r="L9" s="124"/>
      <c r="N9" s="15" t="s">
        <v>337</v>
      </c>
      <c r="O9" s="125"/>
      <c r="P9" s="124"/>
      <c r="Q9" s="124"/>
      <c r="R9" s="124"/>
      <c r="S9" s="124"/>
      <c r="T9" s="124"/>
      <c r="U9" s="124"/>
      <c r="V9" s="124"/>
      <c r="W9" s="124"/>
      <c r="X9" s="124"/>
      <c r="Z9" s="15" t="s">
        <v>337</v>
      </c>
      <c r="AA9" s="125"/>
      <c r="AB9" s="125"/>
      <c r="AC9" s="125"/>
      <c r="AD9" s="125"/>
      <c r="AE9" s="125"/>
      <c r="AF9" s="125"/>
      <c r="AG9" s="125"/>
      <c r="AH9" s="125"/>
      <c r="AI9" s="125"/>
      <c r="AJ9" s="125"/>
    </row>
    <row r="10" spans="1:36" x14ac:dyDescent="0.3">
      <c r="B10" s="15" t="s">
        <v>337</v>
      </c>
      <c r="C10" s="125"/>
      <c r="D10" s="125"/>
      <c r="E10" s="125"/>
      <c r="F10" s="124"/>
      <c r="G10" s="124"/>
      <c r="H10" s="124"/>
      <c r="I10" s="124"/>
      <c r="J10" s="124"/>
      <c r="K10" s="124"/>
      <c r="L10" s="124"/>
      <c r="N10" s="15" t="s">
        <v>338</v>
      </c>
      <c r="O10" s="124"/>
      <c r="P10" s="125"/>
      <c r="Q10" s="124"/>
      <c r="R10" s="124"/>
      <c r="S10" s="124"/>
      <c r="T10" s="124"/>
      <c r="U10" s="124"/>
      <c r="V10" s="124"/>
      <c r="W10" s="124"/>
      <c r="X10" s="124"/>
      <c r="Z10" s="127" t="s">
        <v>337</v>
      </c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</row>
    <row r="11" spans="1:36" x14ac:dyDescent="0.3">
      <c r="B11" s="15" t="s">
        <v>337</v>
      </c>
      <c r="C11" s="125"/>
      <c r="D11" s="125"/>
      <c r="E11" s="125"/>
      <c r="F11" s="124"/>
      <c r="G11" s="124"/>
      <c r="H11" s="124"/>
      <c r="I11" s="124"/>
      <c r="J11" s="124"/>
      <c r="K11" s="124"/>
      <c r="L11" s="124"/>
      <c r="N11" s="15" t="s">
        <v>339</v>
      </c>
      <c r="O11" s="124"/>
      <c r="P11" s="124"/>
      <c r="Q11" s="125"/>
      <c r="R11" s="124"/>
      <c r="S11" s="124"/>
      <c r="T11" s="124"/>
      <c r="U11" s="124"/>
      <c r="V11" s="124"/>
      <c r="W11" s="124"/>
      <c r="X11" s="124"/>
      <c r="Z11" s="127" t="s">
        <v>337</v>
      </c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</row>
    <row r="12" spans="1:36" x14ac:dyDescent="0.3">
      <c r="B12" s="15" t="s">
        <v>338</v>
      </c>
      <c r="C12" s="124"/>
      <c r="D12" s="124"/>
      <c r="E12" s="124"/>
      <c r="F12" s="125"/>
      <c r="G12" s="125"/>
      <c r="H12" s="124"/>
      <c r="I12" s="124"/>
      <c r="J12" s="124"/>
      <c r="K12" s="124"/>
      <c r="L12" s="124"/>
      <c r="N12" s="15" t="s">
        <v>340</v>
      </c>
      <c r="O12" s="124"/>
      <c r="P12" s="124"/>
      <c r="Q12" s="124"/>
      <c r="R12" s="125"/>
      <c r="S12" s="124"/>
      <c r="T12" s="124"/>
      <c r="U12" s="124"/>
      <c r="V12" s="124"/>
      <c r="W12" s="124"/>
      <c r="X12" s="124"/>
      <c r="Z12" s="127" t="s">
        <v>337</v>
      </c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</row>
    <row r="13" spans="1:36" x14ac:dyDescent="0.3">
      <c r="B13" s="15" t="s">
        <v>338</v>
      </c>
      <c r="C13" s="124"/>
      <c r="D13" s="124"/>
      <c r="E13" s="124"/>
      <c r="F13" s="125"/>
      <c r="G13" s="125"/>
      <c r="H13" s="124"/>
      <c r="I13" s="124"/>
      <c r="J13" s="124"/>
      <c r="K13" s="124"/>
      <c r="L13" s="124"/>
      <c r="N13" s="15" t="s">
        <v>341</v>
      </c>
      <c r="O13" s="124"/>
      <c r="P13" s="124"/>
      <c r="Q13" s="124"/>
      <c r="R13" s="124"/>
      <c r="S13" s="125"/>
      <c r="T13" s="124"/>
      <c r="U13" s="124"/>
      <c r="V13" s="124"/>
      <c r="W13" s="124"/>
      <c r="X13" s="124"/>
      <c r="Z13" s="127" t="s">
        <v>337</v>
      </c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</row>
    <row r="14" spans="1:36" x14ac:dyDescent="0.3">
      <c r="B14" s="15" t="s">
        <v>339</v>
      </c>
      <c r="C14" s="124"/>
      <c r="D14" s="124"/>
      <c r="E14" s="124"/>
      <c r="F14" s="124"/>
      <c r="G14" s="124"/>
      <c r="H14" s="125"/>
      <c r="I14" s="125"/>
      <c r="J14" s="125"/>
      <c r="K14" s="125"/>
      <c r="L14" s="125"/>
      <c r="N14" s="15" t="s">
        <v>342</v>
      </c>
      <c r="O14" s="124"/>
      <c r="P14" s="124"/>
      <c r="Q14" s="124"/>
      <c r="R14" s="124"/>
      <c r="S14" s="124"/>
      <c r="T14" s="125"/>
      <c r="U14" s="124"/>
      <c r="V14" s="124"/>
      <c r="W14" s="124"/>
      <c r="X14" s="124"/>
      <c r="Z14" s="127" t="s">
        <v>337</v>
      </c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</row>
    <row r="15" spans="1:36" x14ac:dyDescent="0.3">
      <c r="B15" s="15" t="s">
        <v>339</v>
      </c>
      <c r="C15" s="124"/>
      <c r="D15" s="124"/>
      <c r="E15" s="124"/>
      <c r="F15" s="124"/>
      <c r="G15" s="124"/>
      <c r="H15" s="125"/>
      <c r="I15" s="125"/>
      <c r="J15" s="125"/>
      <c r="K15" s="125"/>
      <c r="L15" s="125"/>
      <c r="N15" s="15" t="s">
        <v>343</v>
      </c>
      <c r="O15" s="124"/>
      <c r="P15" s="124"/>
      <c r="Q15" s="124"/>
      <c r="R15" s="124"/>
      <c r="S15" s="124"/>
      <c r="T15" s="124"/>
      <c r="U15" s="125"/>
      <c r="V15" s="124"/>
      <c r="W15" s="124"/>
      <c r="X15" s="124"/>
      <c r="Z15" s="127" t="s">
        <v>337</v>
      </c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</row>
    <row r="16" spans="1:36" x14ac:dyDescent="0.3">
      <c r="B16" s="15" t="s">
        <v>339</v>
      </c>
      <c r="C16" s="124"/>
      <c r="D16" s="124"/>
      <c r="E16" s="124"/>
      <c r="F16" s="124"/>
      <c r="G16" s="124"/>
      <c r="H16" s="125"/>
      <c r="I16" s="125"/>
      <c r="J16" s="125"/>
      <c r="K16" s="125"/>
      <c r="L16" s="125"/>
      <c r="N16" s="15" t="s">
        <v>344</v>
      </c>
      <c r="O16" s="124"/>
      <c r="P16" s="124"/>
      <c r="Q16" s="124"/>
      <c r="R16" s="124"/>
      <c r="S16" s="124"/>
      <c r="T16" s="124"/>
      <c r="U16" s="124"/>
      <c r="V16" s="125"/>
      <c r="W16" s="124"/>
      <c r="X16" s="124"/>
      <c r="Z16" s="127" t="s">
        <v>337</v>
      </c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</row>
    <row r="17" spans="2:37" x14ac:dyDescent="0.3">
      <c r="B17" s="15" t="s">
        <v>339</v>
      </c>
      <c r="C17" s="124"/>
      <c r="D17" s="124"/>
      <c r="E17" s="124"/>
      <c r="F17" s="124"/>
      <c r="G17" s="124"/>
      <c r="H17" s="125"/>
      <c r="I17" s="125"/>
      <c r="J17" s="125"/>
      <c r="K17" s="125"/>
      <c r="L17" s="125"/>
      <c r="N17" s="15" t="s">
        <v>345</v>
      </c>
      <c r="O17" s="124"/>
      <c r="P17" s="124"/>
      <c r="Q17" s="124"/>
      <c r="R17" s="124"/>
      <c r="S17" s="124"/>
      <c r="T17" s="124"/>
      <c r="U17" s="124"/>
      <c r="V17" s="124"/>
      <c r="W17" s="125"/>
      <c r="X17" s="124"/>
      <c r="Z17" s="127" t="s">
        <v>337</v>
      </c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</row>
    <row r="18" spans="2:37" x14ac:dyDescent="0.3">
      <c r="B18" s="15" t="s">
        <v>339</v>
      </c>
      <c r="C18" s="124"/>
      <c r="D18" s="124"/>
      <c r="E18" s="124"/>
      <c r="F18" s="124"/>
      <c r="G18" s="124"/>
      <c r="H18" s="125"/>
      <c r="I18" s="125"/>
      <c r="J18" s="125"/>
      <c r="K18" s="125"/>
      <c r="L18" s="125"/>
      <c r="N18" s="15" t="s">
        <v>346</v>
      </c>
      <c r="O18" s="124"/>
      <c r="P18" s="124"/>
      <c r="Q18" s="124"/>
      <c r="R18" s="124"/>
      <c r="S18" s="124"/>
      <c r="T18" s="124"/>
      <c r="U18" s="124"/>
      <c r="V18" s="124"/>
      <c r="W18" s="124"/>
      <c r="X18" s="125"/>
      <c r="Z18" s="127" t="s">
        <v>337</v>
      </c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</row>
    <row r="20" spans="2:37" ht="29" x14ac:dyDescent="0.3">
      <c r="C20" s="170" t="s">
        <v>347</v>
      </c>
      <c r="D20" s="170"/>
      <c r="E20" s="170"/>
      <c r="F20" s="170"/>
      <c r="G20" s="170"/>
      <c r="H20" s="170"/>
      <c r="I20" s="170"/>
      <c r="J20" s="170"/>
      <c r="K20" s="170"/>
      <c r="L20" s="170"/>
      <c r="O20" s="170" t="s">
        <v>348</v>
      </c>
      <c r="P20" s="170"/>
      <c r="Q20" s="170"/>
      <c r="R20" s="170"/>
      <c r="S20" s="170"/>
      <c r="T20" s="170"/>
      <c r="U20" s="170"/>
      <c r="V20" s="170"/>
      <c r="W20" s="170"/>
      <c r="X20" s="170"/>
      <c r="AB20" s="170" t="s">
        <v>349</v>
      </c>
      <c r="AC20" s="170"/>
      <c r="AD20" s="170"/>
      <c r="AE20" s="170"/>
      <c r="AF20" s="170"/>
      <c r="AG20" s="170"/>
      <c r="AH20" s="170"/>
      <c r="AI20" s="170"/>
      <c r="AJ20" s="170"/>
      <c r="AK20" s="170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9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</v>
      </c>
    </row>
    <row r="2" spans="1:4" x14ac:dyDescent="0.25">
      <c r="A2" s="2" t="s">
        <v>5</v>
      </c>
      <c r="B2" s="3"/>
    </row>
    <row r="3" spans="1:4" x14ac:dyDescent="0.25">
      <c r="A3" s="2" t="s">
        <v>6</v>
      </c>
    </row>
    <row r="4" spans="1:4" x14ac:dyDescent="0.25">
      <c r="A4" s="2" t="s">
        <v>7</v>
      </c>
    </row>
    <row r="5" spans="1:4" x14ac:dyDescent="0.25">
      <c r="A5" s="2" t="s">
        <v>8</v>
      </c>
    </row>
    <row r="6" spans="1:4" x14ac:dyDescent="0.25">
      <c r="A6" s="2" t="s">
        <v>259</v>
      </c>
      <c r="B6" s="4"/>
      <c r="D6" s="4"/>
    </row>
    <row r="7" spans="1:4" x14ac:dyDescent="0.25">
      <c r="A7" s="2" t="s">
        <v>357</v>
      </c>
    </row>
    <row r="8" spans="1:4" x14ac:dyDescent="0.25">
      <c r="A8" s="2" t="s">
        <v>457</v>
      </c>
    </row>
    <row r="9" spans="1:4" x14ac:dyDescent="0.25">
      <c r="A9" s="2" t="s">
        <v>458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9</v>
      </c>
    </row>
    <row r="4" spans="2:4" x14ac:dyDescent="0.3">
      <c r="C4" s="5" t="s">
        <v>10</v>
      </c>
    </row>
    <row r="5" spans="2:4" x14ac:dyDescent="0.3">
      <c r="D5" s="6" t="s">
        <v>11</v>
      </c>
    </row>
    <row r="6" spans="2:4" x14ac:dyDescent="0.3">
      <c r="D6" s="6" t="s">
        <v>12</v>
      </c>
    </row>
    <row r="7" spans="2:4" x14ac:dyDescent="0.3">
      <c r="D7" s="6" t="s">
        <v>13</v>
      </c>
    </row>
    <row r="8" spans="2:4" x14ac:dyDescent="0.3">
      <c r="C8" s="5" t="s">
        <v>14</v>
      </c>
    </row>
    <row r="9" spans="2:4" x14ac:dyDescent="0.3">
      <c r="D9" s="6" t="s">
        <v>15</v>
      </c>
    </row>
    <row r="10" spans="2:4" x14ac:dyDescent="0.3">
      <c r="D10" s="6" t="s">
        <v>16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27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27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27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27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27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27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27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27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27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27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27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27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27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27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27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27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27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27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27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27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27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27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27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27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27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27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27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27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27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27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27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27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27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27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27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27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27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27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27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27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27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27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27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27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27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27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27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27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27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27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28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28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28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28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28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28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28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28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28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28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28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28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28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28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28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28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28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28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28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28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28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28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28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28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28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28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28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28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28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28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28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28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28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28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28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28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28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28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28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28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28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28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28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28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28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28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28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28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28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28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29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29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29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29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29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29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29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29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29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29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29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29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29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29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29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29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29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29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29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29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29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29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29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29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29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29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29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29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29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29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29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29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29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29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29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29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29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29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29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29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29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29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29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29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29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29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29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29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29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29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8" t="s">
        <v>21</v>
      </c>
    </row>
    <row r="4" spans="2:12" x14ac:dyDescent="0.3">
      <c r="G4" s="9" t="s">
        <v>31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9"/>
    </row>
    <row r="4" spans="2:12" x14ac:dyDescent="0.3">
      <c r="G4" s="9" t="s">
        <v>31</v>
      </c>
      <c r="H4" s="9" cm="1">
        <f t="array" ref="H4:H8">Iris_Fit!H4:H8</f>
        <v>0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 codeName="Sheet4">
    <tabColor rgb="FFC00000"/>
  </sheetPr>
  <dimension ref="A1:B2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358</v>
      </c>
    </row>
    <row r="2" spans="1:2" x14ac:dyDescent="0.3">
      <c r="B2" s="3" t="s">
        <v>298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 codeName="Sheet5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8A655-BC1F-9449-8AFB-2D5B39F2781D}">
  <sheetPr codeName="Sheet7">
    <tabColor rgb="FFFF0000"/>
  </sheetPr>
  <dimension ref="A1:S21"/>
  <sheetViews>
    <sheetView workbookViewId="0"/>
  </sheetViews>
  <sheetFormatPr baseColWidth="10" defaultRowHeight="26" x14ac:dyDescent="0.3"/>
  <cols>
    <col min="1" max="7" width="10.83203125" style="1"/>
    <col min="8" max="8" width="19" style="1" bestFit="1" customWidth="1"/>
    <col min="9" max="9" width="2.83203125" style="1" customWidth="1"/>
    <col min="10" max="10" width="11.5" style="1" bestFit="1" customWidth="1"/>
    <col min="11" max="11" width="13.1640625" style="1" bestFit="1" customWidth="1"/>
    <col min="12" max="12" width="2.83203125" style="1" customWidth="1"/>
    <col min="13" max="14" width="20" style="1" bestFit="1" customWidth="1"/>
    <col min="15" max="15" width="2.83203125" style="1" customWidth="1"/>
    <col min="16" max="16" width="34.6640625" style="1" bestFit="1" customWidth="1"/>
    <col min="17" max="16384" width="10.83203125" style="1"/>
  </cols>
  <sheetData>
    <row r="1" spans="1:19" x14ac:dyDescent="0.3">
      <c r="A1" s="3"/>
    </row>
    <row r="2" spans="1:19" x14ac:dyDescent="0.3">
      <c r="B2" s="3" t="s">
        <v>368</v>
      </c>
    </row>
    <row r="4" spans="1:19" x14ac:dyDescent="0.3">
      <c r="H4" s="158" t="s">
        <v>492</v>
      </c>
      <c r="I4" s="157"/>
      <c r="J4" s="158" t="s">
        <v>493</v>
      </c>
      <c r="K4" s="158" t="s">
        <v>494</v>
      </c>
      <c r="L4" s="157"/>
      <c r="M4" s="160" t="s">
        <v>495</v>
      </c>
      <c r="N4" s="160" t="s">
        <v>496</v>
      </c>
      <c r="O4" s="157"/>
      <c r="P4" s="161" t="s">
        <v>497</v>
      </c>
      <c r="Q4" s="2"/>
      <c r="R4" s="2"/>
      <c r="S4" s="2"/>
    </row>
    <row r="5" spans="1:19" x14ac:dyDescent="0.3">
      <c r="H5" s="158" t="s">
        <v>498</v>
      </c>
      <c r="I5" s="2"/>
      <c r="J5" s="159" t="s">
        <v>499</v>
      </c>
      <c r="K5" s="159" t="s">
        <v>500</v>
      </c>
      <c r="L5" s="2"/>
      <c r="M5" s="161" t="s">
        <v>501</v>
      </c>
      <c r="N5" s="161" t="s">
        <v>502</v>
      </c>
      <c r="O5" s="2"/>
      <c r="P5" s="161" t="str">
        <f>"log(("&amp;M5&amp;") / ("&amp;N5&amp;")))"</f>
        <v>log((p1) / (p2 + p3 + p4 + p5)))</v>
      </c>
      <c r="Q5" s="2"/>
      <c r="R5" s="2"/>
      <c r="S5" s="2"/>
    </row>
    <row r="6" spans="1:19" x14ac:dyDescent="0.3">
      <c r="H6" s="158" t="s">
        <v>503</v>
      </c>
      <c r="I6" s="2"/>
      <c r="J6" s="159" t="s">
        <v>504</v>
      </c>
      <c r="K6" s="159" t="s">
        <v>505</v>
      </c>
      <c r="L6" s="2"/>
      <c r="M6" s="161" t="s">
        <v>506</v>
      </c>
      <c r="N6" s="161" t="s">
        <v>507</v>
      </c>
      <c r="O6" s="2"/>
      <c r="P6" s="161" t="str">
        <f>"log(("&amp;M6&amp;") / ("&amp;N6&amp;")))"</f>
        <v>log((p1 + p2) / (p3 + p4 + p5)))</v>
      </c>
      <c r="Q6" s="2"/>
      <c r="R6" s="2"/>
      <c r="S6" s="2"/>
    </row>
    <row r="7" spans="1:19" x14ac:dyDescent="0.3">
      <c r="H7" s="158" t="s">
        <v>508</v>
      </c>
      <c r="I7" s="2"/>
      <c r="J7" s="159" t="s">
        <v>509</v>
      </c>
      <c r="K7" s="159" t="s">
        <v>510</v>
      </c>
      <c r="L7" s="2"/>
      <c r="M7" s="161" t="s">
        <v>511</v>
      </c>
      <c r="N7" s="161" t="s">
        <v>512</v>
      </c>
      <c r="O7" s="2"/>
      <c r="P7" s="161" t="str">
        <f>"log(("&amp;M7&amp;") / ("&amp;N7&amp;")))"</f>
        <v>log((p1 + p2 + p3) / (p4 + p5)))</v>
      </c>
      <c r="Q7" s="2"/>
      <c r="R7" s="2"/>
      <c r="S7" s="2"/>
    </row>
    <row r="8" spans="1:19" x14ac:dyDescent="0.3">
      <c r="H8" s="158" t="s">
        <v>513</v>
      </c>
      <c r="I8" s="2"/>
      <c r="J8" s="159" t="s">
        <v>514</v>
      </c>
      <c r="K8" s="159" t="s">
        <v>515</v>
      </c>
      <c r="L8" s="2"/>
      <c r="M8" s="161" t="s">
        <v>516</v>
      </c>
      <c r="N8" s="161" t="s">
        <v>517</v>
      </c>
      <c r="O8" s="2"/>
      <c r="P8" s="161" t="str">
        <f>"log(("&amp;M8&amp;") / ("&amp;N8&amp;")))"</f>
        <v>log((p1 + p2 + p3 + p4) / (p5)))</v>
      </c>
      <c r="Q8" s="2"/>
      <c r="R8" s="2"/>
      <c r="S8" s="2"/>
    </row>
    <row r="11" spans="1:19" x14ac:dyDescent="0.3">
      <c r="H11" s="158" t="s">
        <v>492</v>
      </c>
      <c r="I11" s="157"/>
      <c r="J11" s="158" t="s">
        <v>493</v>
      </c>
      <c r="K11" s="158" t="s">
        <v>494</v>
      </c>
      <c r="L11" s="157"/>
      <c r="M11" s="160" t="s">
        <v>495</v>
      </c>
      <c r="N11" s="160" t="s">
        <v>496</v>
      </c>
      <c r="O11" s="157"/>
      <c r="P11" s="161" t="s">
        <v>497</v>
      </c>
      <c r="Q11" s="2"/>
      <c r="R11" s="2"/>
      <c r="S11" s="2"/>
    </row>
    <row r="12" spans="1:19" x14ac:dyDescent="0.3">
      <c r="H12" s="158" t="s">
        <v>498</v>
      </c>
      <c r="I12" s="2"/>
      <c r="J12" s="159" t="s">
        <v>499</v>
      </c>
      <c r="K12" s="159" t="s">
        <v>500</v>
      </c>
      <c r="L12" s="2"/>
      <c r="M12" s="161" t="s">
        <v>519</v>
      </c>
      <c r="N12" s="161" t="str">
        <f>"1 - "&amp;M12</f>
        <v>1 - P1</v>
      </c>
      <c r="O12" s="2"/>
      <c r="P12" s="161" t="str">
        <f>"log(("&amp;M12&amp;") / ("&amp;N12&amp;")))"</f>
        <v>log((P1) / (1 - P1)))</v>
      </c>
      <c r="Q12" s="2"/>
      <c r="R12" s="2"/>
      <c r="S12" s="2"/>
    </row>
    <row r="13" spans="1:19" x14ac:dyDescent="0.3">
      <c r="H13" s="158" t="s">
        <v>503</v>
      </c>
      <c r="I13" s="2"/>
      <c r="J13" s="159" t="s">
        <v>504</v>
      </c>
      <c r="K13" s="159" t="s">
        <v>505</v>
      </c>
      <c r="L13" s="2"/>
      <c r="M13" s="161" t="s">
        <v>518</v>
      </c>
      <c r="N13" s="161" t="str">
        <f t="shared" ref="N13:N15" si="0">"1 - "&amp;M13</f>
        <v>1 - P2</v>
      </c>
      <c r="O13" s="2"/>
      <c r="P13" s="161" t="str">
        <f>"log(("&amp;M13&amp;") / ("&amp;N13&amp;")))"</f>
        <v>log((P2) / (1 - P2)))</v>
      </c>
      <c r="Q13" s="2"/>
      <c r="R13" s="2"/>
      <c r="S13" s="2"/>
    </row>
    <row r="14" spans="1:19" x14ac:dyDescent="0.3">
      <c r="H14" s="158" t="s">
        <v>508</v>
      </c>
      <c r="I14" s="2"/>
      <c r="J14" s="159" t="s">
        <v>509</v>
      </c>
      <c r="K14" s="159" t="s">
        <v>510</v>
      </c>
      <c r="L14" s="2"/>
      <c r="M14" s="161" t="s">
        <v>520</v>
      </c>
      <c r="N14" s="161" t="str">
        <f t="shared" si="0"/>
        <v>1 - P3</v>
      </c>
      <c r="O14" s="2"/>
      <c r="P14" s="161" t="str">
        <f>"log(("&amp;M14&amp;") / ("&amp;N14&amp;")))"</f>
        <v>log((P3) / (1 - P3)))</v>
      </c>
      <c r="Q14" s="2"/>
      <c r="R14" s="2"/>
      <c r="S14" s="2"/>
    </row>
    <row r="15" spans="1:19" x14ac:dyDescent="0.3">
      <c r="H15" s="158" t="s">
        <v>513</v>
      </c>
      <c r="I15" s="2"/>
      <c r="J15" s="159" t="s">
        <v>514</v>
      </c>
      <c r="K15" s="159" t="s">
        <v>515</v>
      </c>
      <c r="L15" s="2"/>
      <c r="M15" s="161" t="s">
        <v>521</v>
      </c>
      <c r="N15" s="161" t="str">
        <f t="shared" si="0"/>
        <v>1 - P4</v>
      </c>
      <c r="O15" s="2"/>
      <c r="P15" s="161" t="str">
        <f>"log(("&amp;M15&amp;") / ("&amp;N15&amp;")))"</f>
        <v>log((P4) / (1 - P4)))</v>
      </c>
      <c r="Q15" s="2"/>
      <c r="R15" s="2"/>
      <c r="S15" s="2"/>
    </row>
    <row r="17" spans="8:10" x14ac:dyDescent="0.3">
      <c r="H17" s="162" t="s">
        <v>517</v>
      </c>
      <c r="I17" s="2" t="s">
        <v>107</v>
      </c>
      <c r="J17" s="2" t="s">
        <v>528</v>
      </c>
    </row>
    <row r="18" spans="8:10" x14ac:dyDescent="0.3">
      <c r="H18" s="162" t="s">
        <v>522</v>
      </c>
      <c r="I18" s="2" t="s">
        <v>107</v>
      </c>
      <c r="J18" s="2" t="s">
        <v>525</v>
      </c>
    </row>
    <row r="19" spans="8:10" x14ac:dyDescent="0.3">
      <c r="H19" s="162" t="s">
        <v>523</v>
      </c>
      <c r="I19" s="2" t="s">
        <v>107</v>
      </c>
      <c r="J19" s="2" t="s">
        <v>527</v>
      </c>
    </row>
    <row r="20" spans="8:10" x14ac:dyDescent="0.3">
      <c r="H20" s="162" t="s">
        <v>524</v>
      </c>
      <c r="I20" s="2" t="s">
        <v>107</v>
      </c>
      <c r="J20" s="2" t="s">
        <v>526</v>
      </c>
    </row>
    <row r="21" spans="8:10" x14ac:dyDescent="0.3">
      <c r="H21" s="162" t="s">
        <v>501</v>
      </c>
      <c r="I21" s="2" t="s">
        <v>107</v>
      </c>
      <c r="J21" s="2" t="s">
        <v>519</v>
      </c>
    </row>
  </sheetData>
  <phoneticPr fontId="7" type="noConversion"/>
  <hyperlinks>
    <hyperlink ref="B2" r:id="rId1" xr:uid="{B839BBAB-EA4A-424F-A011-4BA3D4C0BFC0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DF3E-2756-8040-A09F-7D91136F3E96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61</v>
      </c>
    </row>
    <row r="2" spans="1:1" x14ac:dyDescent="0.3">
      <c r="A2" s="1" t="s">
        <v>62</v>
      </c>
    </row>
    <row r="3" spans="1:1" x14ac:dyDescent="0.3">
      <c r="A3" s="1" t="s">
        <v>63</v>
      </c>
    </row>
    <row r="4" spans="1:1" x14ac:dyDescent="0.3">
      <c r="A4" s="1" t="s">
        <v>350</v>
      </c>
    </row>
    <row r="5" spans="1:1" x14ac:dyDescent="0.3">
      <c r="A5" s="1" t="s">
        <v>260</v>
      </c>
    </row>
    <row r="6" spans="1:1" x14ac:dyDescent="0.3">
      <c r="A6" s="1" t="s">
        <v>455</v>
      </c>
    </row>
    <row r="7" spans="1:1" x14ac:dyDescent="0.3">
      <c r="A7" s="1" t="s">
        <v>456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41</v>
      </c>
    </row>
    <row r="3" spans="1:8" x14ac:dyDescent="0.3">
      <c r="B3" s="13" t="s">
        <v>19</v>
      </c>
      <c r="C3" s="13" t="s">
        <v>42</v>
      </c>
      <c r="D3" s="13" t="s">
        <v>43</v>
      </c>
      <c r="E3" s="13" t="s">
        <v>44</v>
      </c>
      <c r="F3" s="13" t="s">
        <v>45</v>
      </c>
      <c r="G3" s="13" t="s">
        <v>46</v>
      </c>
      <c r="H3" s="13" t="s">
        <v>47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4.2197076828246196</v>
      </c>
      <c r="H4" s="1">
        <f ca="1">_xlfn.NORM.INV(RAND(),E4,F4)</f>
        <v>5.4410445781588788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3.5678343762427387</v>
      </c>
      <c r="H5" s="1">
        <f t="shared" ref="H5:H33" ca="1" si="1">_xlfn.NORM.INV(RAND(),E5,F5)</f>
        <v>5.755579772066195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4.4606018407036236</v>
      </c>
      <c r="H6" s="1">
        <f t="shared" ca="1" si="1"/>
        <v>6.173852936087342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3.380740369194307</v>
      </c>
      <c r="H7" s="1">
        <f t="shared" ca="1" si="1"/>
        <v>6.2973614483314959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4.2851382600555166</v>
      </c>
      <c r="H8" s="1">
        <f t="shared" ca="1" si="1"/>
        <v>6.2777315245463159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3.3347634570716509</v>
      </c>
      <c r="H9" s="1">
        <f t="shared" ca="1" si="1"/>
        <v>5.9157973060965539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3.3776275765813004</v>
      </c>
      <c r="H10" s="1">
        <f t="shared" ca="1" si="1"/>
        <v>6.0843221235247054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4.6234321178743736</v>
      </c>
      <c r="H11" s="1">
        <f t="shared" ca="1" si="1"/>
        <v>5.9656940729726546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3.3284880091442846</v>
      </c>
      <c r="H12" s="1">
        <f t="shared" ca="1" si="1"/>
        <v>5.6618914056038747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4.0036316923843716</v>
      </c>
      <c r="H13" s="1">
        <f t="shared" ca="1" si="1"/>
        <v>5.7817826360367466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1.9595256658832074</v>
      </c>
      <c r="H14" s="1">
        <f t="shared" ca="1" si="1"/>
        <v>1.9171819239318937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1.9037634483940884</v>
      </c>
      <c r="H15" s="1">
        <f t="shared" ca="1" si="1"/>
        <v>2.3218597076355239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2.0720512760793124</v>
      </c>
      <c r="H16" s="1">
        <f t="shared" ca="1" si="1"/>
        <v>2.1092662692802717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1.7321873179305671</v>
      </c>
      <c r="H17" s="1">
        <f t="shared" ca="1" si="1"/>
        <v>2.2739620626344266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1.9993263352959609</v>
      </c>
      <c r="H18" s="1">
        <f t="shared" ca="1" si="1"/>
        <v>2.140502157837711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2.3935452555847845</v>
      </c>
      <c r="H19" s="1">
        <f t="shared" ca="1" si="1"/>
        <v>1.737243660135777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1.8988564805556514</v>
      </c>
      <c r="H20" s="1">
        <f t="shared" ca="1" si="1"/>
        <v>1.9398887528119271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1.7680563379906324</v>
      </c>
      <c r="H21" s="1">
        <f t="shared" ca="1" si="1"/>
        <v>2.0500345686421788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2.0906559603903849</v>
      </c>
      <c r="H22" s="1">
        <f t="shared" ca="1" si="1"/>
        <v>2.0338363492924296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1.7777168783439883</v>
      </c>
      <c r="H23" s="1">
        <f t="shared" ca="1" si="1"/>
        <v>2.0624181514933029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1.7637942184719615</v>
      </c>
      <c r="H24" s="1">
        <f t="shared" ca="1" si="1"/>
        <v>6.8456700541411069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2.484036511088199</v>
      </c>
      <c r="H25" s="1">
        <f t="shared" ca="1" si="1"/>
        <v>6.3830927938973003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2.3951048885972352</v>
      </c>
      <c r="H26" s="1">
        <f t="shared" ca="1" si="1"/>
        <v>6.5725070388153783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2.1292085288942872</v>
      </c>
      <c r="H27" s="1">
        <f t="shared" ca="1" si="1"/>
        <v>7.8854344411575559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1.6757953841229227</v>
      </c>
      <c r="H28" s="1">
        <f t="shared" ca="1" si="1"/>
        <v>7.2153015454607958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2.0165766864526056</v>
      </c>
      <c r="H29" s="1">
        <f t="shared" ca="1" si="1"/>
        <v>7.1125527579342469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1.9153896229203735</v>
      </c>
      <c r="H30" s="1">
        <f t="shared" ca="1" si="1"/>
        <v>5.7580866780304252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2.5002033802396304</v>
      </c>
      <c r="H31" s="1">
        <f t="shared" ca="1" si="1"/>
        <v>6.3468712983663957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2.2055872559674023</v>
      </c>
      <c r="H32" s="1">
        <f t="shared" ca="1" si="1"/>
        <v>7.6078051251221881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2.1633289260327522</v>
      </c>
      <c r="H33" s="1">
        <f t="shared" ca="1" si="1"/>
        <v>7.3415498363164655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48</v>
      </c>
    </row>
    <row r="5" spans="2:8" x14ac:dyDescent="0.3">
      <c r="B5" s="16" t="s">
        <v>49</v>
      </c>
      <c r="C5" s="15">
        <v>1</v>
      </c>
      <c r="D5" s="15">
        <v>1</v>
      </c>
    </row>
    <row r="6" spans="2:8" x14ac:dyDescent="0.3">
      <c r="B6" s="16" t="s">
        <v>50</v>
      </c>
      <c r="C6" s="15">
        <v>5</v>
      </c>
      <c r="D6" s="15">
        <v>5</v>
      </c>
    </row>
    <row r="7" spans="2:8" x14ac:dyDescent="0.3">
      <c r="B7" s="16" t="s">
        <v>51</v>
      </c>
      <c r="C7" s="15">
        <v>10</v>
      </c>
      <c r="D7" s="15">
        <v>10</v>
      </c>
    </row>
    <row r="9" spans="2:8" x14ac:dyDescent="0.3">
      <c r="B9" s="15" t="s">
        <v>52</v>
      </c>
      <c r="C9" s="15">
        <f ca="1">_xlfn.NORM.INV(RAND(),2,1)</f>
        <v>3.5448633000727749</v>
      </c>
      <c r="D9" s="15">
        <f ca="1">_xlfn.NORM.INV(RAND(),2,1)</f>
        <v>2.7921093711867426</v>
      </c>
      <c r="E9" s="15" cm="1">
        <f t="array" aca="1" ref="E9" ca="1">SUMSQ(C9:D9-C$5:D$5)</f>
        <v>9.6879852143526364</v>
      </c>
      <c r="F9" s="15" cm="1">
        <f t="array" aca="1" ref="F9" ca="1">SUMSQ(C9:D9-C$6:D$6)</f>
        <v>6.9922038442764958</v>
      </c>
      <c r="G9" s="15" cm="1">
        <f t="array" aca="1" ref="G9" ca="1">SUMSQ(C9:D9-C$7:D$7)</f>
        <v>93.622477131681322</v>
      </c>
      <c r="H9" s="15">
        <f ca="1">MATCH(MIN(E9:G9),E9:G9,0)</f>
        <v>2</v>
      </c>
    </row>
    <row r="10" spans="2:8" x14ac:dyDescent="0.3">
      <c r="B10" s="15" t="s">
        <v>53</v>
      </c>
      <c r="C10" s="15">
        <f t="shared" ref="C10:D11" ca="1" si="0">_xlfn.NORM.INV(RAND(),2,1)</f>
        <v>2.4314344609500766</v>
      </c>
      <c r="D10" s="15">
        <f t="shared" ca="1" si="0"/>
        <v>0.90831873254818896</v>
      </c>
      <c r="E10" s="15" cm="1">
        <f t="array" aca="1" ref="E10" ca="1">SUMSQ(C10:D10-C$5:D$5)</f>
        <v>2.0574100707970069</v>
      </c>
      <c r="F10" s="15" cm="1">
        <f t="array" aca="1" ref="F10" ca="1">SUMSQ(C10:D10-C$6:D$6)</f>
        <v>23.339384522810885</v>
      </c>
      <c r="G10" s="15" cm="1">
        <f t="array" aca="1" ref="G10" ca="1">SUMSQ(C10:D10-C$7:D$7)</f>
        <v>139.94185258782824</v>
      </c>
      <c r="H10" s="15">
        <f t="shared" ref="H10:H17" ca="1" si="1">MATCH(MIN(E10:G10),E10:G10,0)</f>
        <v>1</v>
      </c>
    </row>
    <row r="11" spans="2:8" x14ac:dyDescent="0.3">
      <c r="B11" s="15" t="s">
        <v>54</v>
      </c>
      <c r="C11" s="15">
        <f t="shared" ca="1" si="0"/>
        <v>-2.5826216097466492E-2</v>
      </c>
      <c r="D11" s="15">
        <f t="shared" ca="1" si="0"/>
        <v>2.9634742779270291</v>
      </c>
      <c r="E11" s="15" cm="1">
        <f t="array" aca="1" ref="E11" ca="1">SUMSQ(C11:D11-C$5:D$5)</f>
        <v>4.9075506657139147</v>
      </c>
      <c r="F11" s="15" cm="1">
        <f t="array" aca="1" ref="F11" ca="1">SUMSQ(C11:D11-C$6:D$6)</f>
        <v>29.406366171077412</v>
      </c>
      <c r="G11" s="15" cm="1">
        <f t="array" aca="1" ref="G11" ca="1">SUMSQ(C11:D11-C$7:D$7)</f>
        <v>150.02988555278182</v>
      </c>
      <c r="H11" s="15">
        <f t="shared" ca="1" si="1"/>
        <v>1</v>
      </c>
    </row>
    <row r="12" spans="2:8" x14ac:dyDescent="0.3">
      <c r="B12" s="15" t="s">
        <v>55</v>
      </c>
      <c r="C12" s="15">
        <f ca="1">_xlfn.NORM.INV(RAND(),4,1)</f>
        <v>2.0447621079874461</v>
      </c>
      <c r="D12" s="15">
        <f ca="1">_xlfn.NORM.INV(RAND(),4,1)</f>
        <v>4.4217441113370741</v>
      </c>
      <c r="E12" s="15" cm="1">
        <f t="array" aca="1" ref="E12" ca="1">SUMSQ(C12:D12-C$5:D$5)</f>
        <v>12.799860625756315</v>
      </c>
      <c r="F12" s="15" cm="1">
        <f t="array" aca="1" ref="F12" ca="1">SUMSQ(C12:D12-C$6:D$6)</f>
        <v>9.0678108711601535</v>
      </c>
      <c r="G12" s="15" cm="1">
        <f t="array" aca="1" ref="G12" ca="1">SUMSQ(C12:D12-C$7:D$7)</f>
        <v>94.402748677914957</v>
      </c>
      <c r="H12" s="15">
        <f t="shared" ca="1" si="1"/>
        <v>2</v>
      </c>
    </row>
    <row r="13" spans="2:8" x14ac:dyDescent="0.3">
      <c r="B13" s="15" t="s">
        <v>56</v>
      </c>
      <c r="C13" s="15">
        <f t="shared" ref="C13:D14" ca="1" si="2">_xlfn.NORM.INV(RAND(),4,1)</f>
        <v>4.6153534259506612</v>
      </c>
      <c r="D13" s="15">
        <f t="shared" ca="1" si="2"/>
        <v>3.0896011162220023</v>
      </c>
      <c r="E13" s="15" cm="1">
        <f t="array" aca="1" ref="E13" ca="1">SUMSQ(C13:D13-C$5:D$5)</f>
        <v>17.437213219449422</v>
      </c>
      <c r="F13" s="15" cm="1">
        <f t="array" aca="1" ref="F13" ca="1">SUMSQ(C13:D13-C$6:D$6)</f>
        <v>3.7975768820681131</v>
      </c>
      <c r="G13" s="15" cm="1">
        <f t="array" aca="1" ref="G13" ca="1">SUMSQ(C13:D13-C$7:D$7)</f>
        <v>76.748031460341466</v>
      </c>
      <c r="H13" s="15">
        <f t="shared" ca="1" si="1"/>
        <v>2</v>
      </c>
    </row>
    <row r="14" spans="2:8" x14ac:dyDescent="0.3">
      <c r="B14" s="15" t="s">
        <v>57</v>
      </c>
      <c r="C14" s="15">
        <f t="shared" ca="1" si="2"/>
        <v>4.9794680019880682</v>
      </c>
      <c r="D14" s="15">
        <f t="shared" ca="1" si="2"/>
        <v>4.971276171640814</v>
      </c>
      <c r="E14" s="15" cm="1">
        <f t="array" aca="1" ref="E14" ca="1">SUMSQ(C14:D14-C$5:D$5)</f>
        <v>31.607200010289027</v>
      </c>
      <c r="F14" s="15" cm="1">
        <f t="array" aca="1" ref="F14" ca="1">SUMSQ(C14:D14-C$6:D$6)</f>
        <v>1.2466212579699488E-3</v>
      </c>
      <c r="G14" s="15" cm="1">
        <f t="array" aca="1" ref="G14" ca="1">SUMSQ(C14:D14-C$7:D$7)</f>
        <v>50.493804884969151</v>
      </c>
      <c r="H14" s="15">
        <f t="shared" ca="1" si="1"/>
        <v>2</v>
      </c>
    </row>
    <row r="15" spans="2:8" x14ac:dyDescent="0.3">
      <c r="B15" s="15" t="s">
        <v>58</v>
      </c>
      <c r="C15" s="15">
        <f ca="1">_xlfn.NORM.INV(RAND(),8,1)</f>
        <v>9.3583105963226707</v>
      </c>
      <c r="D15" s="15">
        <f ca="1">_xlfn.NORM.INV(RAND(),8,1)</f>
        <v>8.4159367072219631</v>
      </c>
      <c r="E15" s="15" cm="1">
        <f t="array" aca="1" ref="E15" ca="1">SUMSQ(C15:D15-C$5:D$5)</f>
        <v>124.85747327012197</v>
      </c>
      <c r="F15" s="15" cm="1">
        <f t="array" aca="1" ref="F15" ca="1">SUMSQ(C15:D15-C$6:D$6)</f>
        <v>30.663494841764901</v>
      </c>
      <c r="G15" s="15" cm="1">
        <f t="array" aca="1" ref="G15" ca="1">SUMSQ(C15:D15-C$7:D$7)</f>
        <v>2.9210218063185631</v>
      </c>
      <c r="H15" s="15">
        <f t="shared" ca="1" si="1"/>
        <v>3</v>
      </c>
    </row>
    <row r="16" spans="2:8" x14ac:dyDescent="0.3">
      <c r="B16" s="15" t="s">
        <v>59</v>
      </c>
      <c r="C16" s="15">
        <f t="shared" ref="C16:D17" ca="1" si="3">_xlfn.NORM.INV(RAND(),8,1)</f>
        <v>8.0689771581519434</v>
      </c>
      <c r="D16" s="15">
        <f t="shared" ca="1" si="3"/>
        <v>9.0072286777502306</v>
      </c>
      <c r="E16" s="15" cm="1">
        <f t="array" aca="1" ref="E16" ca="1">SUMSQ(C16:D16-C$5:D$5)</f>
        <v>114.08614916025962</v>
      </c>
      <c r="F16" s="15" cm="1">
        <f t="array" aca="1" ref="F16" ca="1">SUMSQ(C16:D16-C$6:D$6)</f>
        <v>25.476502473042238</v>
      </c>
      <c r="G16" s="15" cm="1">
        <f t="array" aca="1" ref="G16" ca="1">SUMSQ(C16:D16-C$7:D$7)</f>
        <v>4.7144441140205</v>
      </c>
      <c r="H16" s="15">
        <f t="shared" ca="1" si="1"/>
        <v>3</v>
      </c>
    </row>
    <row r="17" spans="1:8" x14ac:dyDescent="0.3">
      <c r="B17" s="15" t="s">
        <v>60</v>
      </c>
      <c r="C17" s="15">
        <f t="shared" ca="1" si="3"/>
        <v>6.9284405521237833</v>
      </c>
      <c r="D17" s="15">
        <f t="shared" ca="1" si="3"/>
        <v>8.7239454953515239</v>
      </c>
      <c r="E17" s="15" cm="1">
        <f t="array" aca="1" ref="E17" ca="1">SUMSQ(C17:D17-C$5:D$5)</f>
        <v>94.805741395226846</v>
      </c>
      <c r="F17" s="15" cm="1">
        <f t="array" aca="1" ref="F17" ca="1">SUMSQ(C17:D17-C$6:D$6)</f>
        <v>17.586653015424389</v>
      </c>
      <c r="G17" s="15" cm="1">
        <f t="array" aca="1" ref="G17" ca="1">SUMSQ(C17:D17-C$7:D$7)</f>
        <v>11.062792540671316</v>
      </c>
      <c r="H17" s="15">
        <f t="shared" ca="1" si="1"/>
        <v>3</v>
      </c>
    </row>
    <row r="19" spans="1:8" x14ac:dyDescent="0.3">
      <c r="A19" s="15">
        <v>1</v>
      </c>
      <c r="B19" s="17" t="s">
        <v>49</v>
      </c>
      <c r="C19" s="15">
        <f ca="1">AVERAGEIF($H$9:$H$17,A19,$C$9:$C$17)</f>
        <v>1.2028041224263051</v>
      </c>
      <c r="D19" s="15">
        <f ca="1">AVERAGEIF($H$9:$H$17,A19,$D$9:$D$17)</f>
        <v>1.9358965052376091</v>
      </c>
    </row>
    <row r="20" spans="1:8" x14ac:dyDescent="0.3">
      <c r="A20" s="15">
        <v>2</v>
      </c>
      <c r="B20" s="17" t="s">
        <v>50</v>
      </c>
      <c r="C20" s="15">
        <f ca="1">AVERAGEIF($H$9:$H$17,A20,$C$9:$C$17)</f>
        <v>3.7961117089997378</v>
      </c>
      <c r="D20" s="15">
        <f ca="1">AVERAGEIF($H$9:$H$17,A20,$D$9:$D$17)</f>
        <v>3.8186826925966582</v>
      </c>
    </row>
    <row r="21" spans="1:8" x14ac:dyDescent="0.3">
      <c r="A21" s="15">
        <v>3</v>
      </c>
      <c r="B21" s="17" t="s">
        <v>51</v>
      </c>
      <c r="C21" s="15">
        <f ca="1">AVERAGEIF($H$9:$H$17,A21,$C$9:$C$17)</f>
        <v>8.118576102199464</v>
      </c>
      <c r="D21" s="15">
        <f ca="1">AVERAGEIF($H$9:$H$17,A21,$D$9:$D$17)</f>
        <v>8.7157036267745713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 codeName="Sheet13">
    <tabColor rgb="FFC00000"/>
  </sheetPr>
  <dimension ref="A1:B11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350</v>
      </c>
    </row>
    <row r="2" spans="1:2" x14ac:dyDescent="0.3">
      <c r="B2" s="3" t="s">
        <v>356</v>
      </c>
    </row>
    <row r="4" spans="1:2" ht="92" x14ac:dyDescent="1">
      <c r="B4" s="126" t="s">
        <v>350</v>
      </c>
    </row>
    <row r="5" spans="1:2" ht="92" x14ac:dyDescent="1">
      <c r="B5" s="126" t="s">
        <v>351</v>
      </c>
    </row>
    <row r="7" spans="1:2" x14ac:dyDescent="0.3">
      <c r="B7" s="1" t="s">
        <v>352</v>
      </c>
    </row>
    <row r="8" spans="1:2" x14ac:dyDescent="0.3">
      <c r="B8" s="1" t="s">
        <v>354</v>
      </c>
    </row>
    <row r="10" spans="1:2" x14ac:dyDescent="0.3">
      <c r="B10" s="1" t="s">
        <v>353</v>
      </c>
    </row>
    <row r="11" spans="1:2" x14ac:dyDescent="0.3">
      <c r="B11" s="1" t="s">
        <v>355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 codeName="Sheet14">
    <tabColor rgb="FFC0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366</v>
      </c>
    </row>
    <row r="2" spans="1:3" x14ac:dyDescent="0.3">
      <c r="A2" s="3" t="s">
        <v>367</v>
      </c>
    </row>
    <row r="3" spans="1:3" x14ac:dyDescent="0.3">
      <c r="A3" s="3" t="s">
        <v>359</v>
      </c>
      <c r="B3" s="3"/>
      <c r="C3" s="3" t="s">
        <v>299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79E3D-BCC3-E846-A15C-D67BB40F5680}">
  <sheetPr codeName="Sheet15">
    <tabColor rgb="FFFF00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7421-8773-A340-A93E-94EB2BB3834D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239</v>
      </c>
    </row>
    <row r="2" spans="1:1" x14ac:dyDescent="0.3">
      <c r="A2" s="95" t="s">
        <v>240</v>
      </c>
    </row>
    <row r="3" spans="1:1" x14ac:dyDescent="0.3">
      <c r="A3" s="95" t="s">
        <v>241</v>
      </c>
    </row>
    <row r="4" spans="1:1" x14ac:dyDescent="0.3">
      <c r="A4" s="95" t="s">
        <v>242</v>
      </c>
    </row>
    <row r="5" spans="1:1" x14ac:dyDescent="0.3">
      <c r="A5" s="95" t="s">
        <v>243</v>
      </c>
    </row>
    <row r="6" spans="1:1" x14ac:dyDescent="0.3">
      <c r="A6" s="95" t="s">
        <v>244</v>
      </c>
    </row>
    <row r="7" spans="1:1" x14ac:dyDescent="0.3">
      <c r="A7" s="95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257</v>
      </c>
    </row>
    <row r="2" spans="1:3" x14ac:dyDescent="0.25">
      <c r="B2" s="21" t="s">
        <v>74</v>
      </c>
      <c r="C2" s="21" t="s">
        <v>2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74</v>
      </c>
      <c r="C2" s="21" t="s">
        <v>1</v>
      </c>
      <c r="D2" s="21" t="s">
        <v>3</v>
      </c>
      <c r="E2" s="21" t="s">
        <v>2</v>
      </c>
      <c r="F2" s="21" t="s">
        <v>0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2</v>
      </c>
      <c r="G2" s="22" t="s">
        <v>0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86</v>
      </c>
      <c r="G2" s="22" t="s">
        <v>85</v>
      </c>
      <c r="H2" s="22" t="s">
        <v>84</v>
      </c>
      <c r="I2" s="22" t="s">
        <v>80</v>
      </c>
      <c r="J2" s="22" t="s">
        <v>79</v>
      </c>
      <c r="K2" s="22" t="s">
        <v>78</v>
      </c>
      <c r="L2" s="22" t="s">
        <v>83</v>
      </c>
      <c r="M2" s="22" t="s">
        <v>82</v>
      </c>
      <c r="N2" s="22" t="s">
        <v>81</v>
      </c>
      <c r="O2" s="22" t="s">
        <v>2</v>
      </c>
      <c r="P2" s="22" t="s">
        <v>0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80</v>
      </c>
      <c r="F2" s="22" t="s">
        <v>79</v>
      </c>
      <c r="G2" s="22" t="s">
        <v>88</v>
      </c>
      <c r="H2" s="22" t="s">
        <v>87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246</v>
      </c>
    </row>
    <row r="2" spans="1:1" x14ac:dyDescent="0.3">
      <c r="A2" s="95" t="s">
        <v>247</v>
      </c>
    </row>
    <row r="3" spans="1:1" x14ac:dyDescent="0.3">
      <c r="A3" s="95" t="s">
        <v>248</v>
      </c>
    </row>
    <row r="4" spans="1:1" x14ac:dyDescent="0.3">
      <c r="A4" s="95" t="s">
        <v>249</v>
      </c>
    </row>
    <row r="5" spans="1:1" x14ac:dyDescent="0.3">
      <c r="A5" s="95" t="s">
        <v>250</v>
      </c>
    </row>
    <row r="6" spans="1:1" x14ac:dyDescent="0.3">
      <c r="A6" s="95" t="s">
        <v>251</v>
      </c>
    </row>
    <row r="7" spans="1:1" x14ac:dyDescent="0.3">
      <c r="A7" s="95" t="s">
        <v>252</v>
      </c>
    </row>
    <row r="8" spans="1:1" x14ac:dyDescent="0.3">
      <c r="A8" s="95" t="s">
        <v>253</v>
      </c>
    </row>
    <row r="9" spans="1:1" x14ac:dyDescent="0.3">
      <c r="A9" s="95" t="s">
        <v>254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360</v>
      </c>
    </row>
    <row r="2" spans="1:6" x14ac:dyDescent="0.2">
      <c r="A2" s="134" t="s">
        <v>361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95</v>
      </c>
    </row>
    <row r="31" spans="3:20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20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109</v>
      </c>
      <c r="O34" s="35">
        <v>6</v>
      </c>
    </row>
    <row r="35" spans="3:20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9</v>
      </c>
    </row>
    <row r="39" spans="3:20" x14ac:dyDescent="0.2">
      <c r="L39" s="23" t="s">
        <v>102</v>
      </c>
      <c r="O39" s="23" t="s">
        <v>102</v>
      </c>
    </row>
    <row r="40" spans="3:20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20" ht="18" x14ac:dyDescent="0.25">
      <c r="L41" s="34" t="s">
        <v>106</v>
      </c>
      <c r="N41" s="24" t="s">
        <v>107</v>
      </c>
      <c r="O41" s="35">
        <v>3</v>
      </c>
    </row>
    <row r="42" spans="3:20" ht="18" x14ac:dyDescent="0.25">
      <c r="L42" s="34" t="s">
        <v>109</v>
      </c>
      <c r="O42" s="35">
        <v>3</v>
      </c>
    </row>
    <row r="43" spans="3:20" ht="18" x14ac:dyDescent="0.25">
      <c r="L43" s="39" t="s">
        <v>110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363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</row>
    <row r="34" spans="3:15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362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106</v>
      </c>
      <c r="N33" s="24" t="s">
        <v>107</v>
      </c>
      <c r="O33" s="35">
        <v>0</v>
      </c>
    </row>
    <row r="34" spans="3:15" ht="18" x14ac:dyDescent="0.25">
      <c r="C34" s="24" t="s">
        <v>108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4" t="s">
        <v>364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114</v>
      </c>
      <c r="C23" s="26" t="s">
        <v>115</v>
      </c>
      <c r="D23" s="26" t="s">
        <v>97</v>
      </c>
      <c r="F23" s="23" t="s">
        <v>116</v>
      </c>
      <c r="G23" s="23" t="s">
        <v>117</v>
      </c>
      <c r="H23" s="23" t="s">
        <v>98</v>
      </c>
      <c r="I23" s="23" t="s">
        <v>99</v>
      </c>
      <c r="J23" s="23" t="s">
        <v>118</v>
      </c>
      <c r="K23" s="23" t="s">
        <v>119</v>
      </c>
      <c r="L23" s="23" t="s">
        <v>100</v>
      </c>
      <c r="M23" s="23" t="s">
        <v>101</v>
      </c>
      <c r="N23" s="23" t="s">
        <v>120</v>
      </c>
      <c r="O23" s="23" t="s">
        <v>121</v>
      </c>
      <c r="P23" s="23" t="s">
        <v>122</v>
      </c>
      <c r="Q23" s="23" t="s">
        <v>123</v>
      </c>
      <c r="R23" s="23" t="s">
        <v>124</v>
      </c>
      <c r="S23" s="23" t="s">
        <v>125</v>
      </c>
      <c r="T23" s="23" t="s">
        <v>126</v>
      </c>
      <c r="U23" s="23" t="s">
        <v>127</v>
      </c>
      <c r="V23" s="23" t="s">
        <v>128</v>
      </c>
      <c r="W23" s="23" t="s">
        <v>129</v>
      </c>
      <c r="X23" s="23" t="s">
        <v>130</v>
      </c>
      <c r="Y23" s="23" t="s">
        <v>131</v>
      </c>
    </row>
    <row r="24" spans="2:25" x14ac:dyDescent="0.2">
      <c r="B24" s="26" t="s">
        <v>132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132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133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134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4" t="s">
        <v>365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132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MMULT(MINVERSE(F25:Q36),C25:C36)</f>
        <v>0.86666666666666714</v>
      </c>
    </row>
    <row r="26" spans="2:25" ht="18" x14ac:dyDescent="0.25">
      <c r="B26" s="26" t="s">
        <v>132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-5.1999999999999922</v>
      </c>
    </row>
    <row r="27" spans="2:25" ht="18" x14ac:dyDescent="0.25">
      <c r="B27" s="26" t="s">
        <v>133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10.533333333333299</v>
      </c>
    </row>
    <row r="28" spans="2:25" ht="18" x14ac:dyDescent="0.25">
      <c r="B28" s="26" t="s">
        <v>134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-6.1999999999999789</v>
      </c>
    </row>
    <row r="29" spans="2:25" ht="18" x14ac:dyDescent="0.25">
      <c r="B29" s="26" t="s">
        <v>149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-1.3333333333333339</v>
      </c>
    </row>
    <row r="30" spans="2:25" ht="18" x14ac:dyDescent="0.25">
      <c r="B30" s="26" t="s">
        <v>149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14.600000000000019</v>
      </c>
    </row>
    <row r="31" spans="2:25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-48.86666666666676</v>
      </c>
    </row>
    <row r="32" spans="2:25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53.200000000000088</v>
      </c>
    </row>
    <row r="33" spans="2:20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0.4666666666666659</v>
      </c>
    </row>
    <row r="34" spans="2:20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-6.9999999999999929</v>
      </c>
    </row>
    <row r="35" spans="2:20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37.533333333333303</v>
      </c>
    </row>
    <row r="36" spans="2:20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162</v>
      </c>
    </row>
    <row r="2" spans="1:29" s="44" customFormat="1" ht="26" x14ac:dyDescent="0.3"/>
    <row r="3" spans="1:29" ht="29" x14ac:dyDescent="0.3">
      <c r="C3" s="44" t="s">
        <v>111</v>
      </c>
    </row>
    <row r="4" spans="1:29" ht="26" x14ac:dyDescent="0.3">
      <c r="C4" s="44"/>
    </row>
    <row r="5" spans="1:29" ht="29" x14ac:dyDescent="0.3">
      <c r="C5" s="44" t="s">
        <v>112</v>
      </c>
    </row>
    <row r="6" spans="1:29" ht="26" x14ac:dyDescent="0.3">
      <c r="C6" s="44"/>
    </row>
    <row r="7" spans="1:29" ht="26" x14ac:dyDescent="0.3">
      <c r="C7" s="44" t="s">
        <v>113</v>
      </c>
      <c r="AA7" s="26" t="s">
        <v>163</v>
      </c>
      <c r="AB7" s="26" t="s">
        <v>89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89</v>
      </c>
      <c r="C11" s="26" t="s">
        <v>90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132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132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133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134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149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149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63" t="s">
        <v>164</v>
      </c>
      <c r="G27" s="63" t="s">
        <v>165</v>
      </c>
      <c r="H27" s="63" t="s">
        <v>166</v>
      </c>
      <c r="I27" s="63" t="s">
        <v>167</v>
      </c>
      <c r="J27" s="63" t="s">
        <v>168</v>
      </c>
      <c r="K27" s="63" t="s">
        <v>169</v>
      </c>
      <c r="L27" s="63" t="s">
        <v>170</v>
      </c>
      <c r="M27" s="63" t="s">
        <v>171</v>
      </c>
      <c r="N27" s="63" t="s">
        <v>172</v>
      </c>
      <c r="O27" s="63" t="s">
        <v>173</v>
      </c>
      <c r="P27" s="63" t="s">
        <v>174</v>
      </c>
      <c r="Q27" s="63" t="s">
        <v>175</v>
      </c>
      <c r="R27" s="63" t="s">
        <v>176</v>
      </c>
      <c r="S27" s="63" t="s">
        <v>177</v>
      </c>
      <c r="T27" s="63" t="s">
        <v>178</v>
      </c>
      <c r="U27" s="63" t="s">
        <v>179</v>
      </c>
      <c r="V27" s="63" t="s">
        <v>180</v>
      </c>
      <c r="W27" s="63" t="s">
        <v>181</v>
      </c>
      <c r="X27" s="63" t="s">
        <v>182</v>
      </c>
      <c r="Y27" s="63" t="s">
        <v>183</v>
      </c>
      <c r="Z27" s="63" t="s">
        <v>184</v>
      </c>
      <c r="AA27" s="63" t="s">
        <v>185</v>
      </c>
      <c r="AB27" s="63" t="s">
        <v>186</v>
      </c>
      <c r="AC27" s="63" t="s">
        <v>187</v>
      </c>
      <c r="AD27" s="63" t="s">
        <v>188</v>
      </c>
      <c r="AE27" s="63" t="s">
        <v>189</v>
      </c>
      <c r="AF27" s="63" t="s">
        <v>190</v>
      </c>
      <c r="AG27" s="63" t="s">
        <v>191</v>
      </c>
      <c r="AH27" s="63" t="s">
        <v>192</v>
      </c>
      <c r="AI27" s="63" t="s">
        <v>193</v>
      </c>
      <c r="AJ27" s="63" t="s">
        <v>194</v>
      </c>
      <c r="AK27" s="63" t="s">
        <v>195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232</v>
      </c>
      <c r="L100" s="89"/>
      <c r="M100" s="45" t="s">
        <v>232</v>
      </c>
      <c r="O100" s="45" t="s">
        <v>232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233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233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233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233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233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233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233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233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233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233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233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233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233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233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233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233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233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233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233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233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233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233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233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233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233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233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233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233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233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233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233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233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233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233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233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233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233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233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233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233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233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233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233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233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233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233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233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233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233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233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233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233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233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233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233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233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233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233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233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233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233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233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233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233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233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233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233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233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233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233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233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233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233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233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233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233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233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233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233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233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233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233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233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233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233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233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233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233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233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233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233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233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233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233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233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233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233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233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233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233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233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233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233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233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233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233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233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233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233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233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233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233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233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233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233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233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233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233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233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233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233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233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233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233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233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233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233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233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233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233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233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233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233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233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233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233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233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233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233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233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233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233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233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233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233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233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233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233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233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233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233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233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233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233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233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233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233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233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233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233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233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233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233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233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233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233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233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233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233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233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233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233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233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233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233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233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233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233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233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233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233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233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233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233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233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233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233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233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233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233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233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233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233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233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233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233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233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233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233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233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233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233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233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233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233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233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233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233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233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233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233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233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233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233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233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233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233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233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233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233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233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233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233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233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233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233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233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233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233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233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233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233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233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233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233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233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233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233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233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233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233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233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233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233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233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233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233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233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233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233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233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233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233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233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233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233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233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233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233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233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233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233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233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233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233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233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233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233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233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233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233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233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233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233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233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233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233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233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233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233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233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233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233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233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233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233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233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233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233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233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233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233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R99" s="26" t="s">
        <v>200</v>
      </c>
      <c r="S99" s="26" t="s">
        <v>234</v>
      </c>
      <c r="T99" s="26" t="s">
        <v>235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232</v>
      </c>
      <c r="L100" s="89"/>
      <c r="M100" s="45" t="s">
        <v>232</v>
      </c>
      <c r="O100" s="45" t="s">
        <v>232</v>
      </c>
      <c r="Q100" s="90"/>
      <c r="R100" s="91">
        <f t="array" aca="1" ref="R100" ca="1">E100:E400</f>
        <v>9.0339808310368851E-5</v>
      </c>
      <c r="X100" s="45" t="s">
        <v>232</v>
      </c>
      <c r="Y100" s="26"/>
      <c r="AA100" s="45" t="s">
        <v>236</v>
      </c>
      <c r="AD100" s="45" t="s">
        <v>237</v>
      </c>
      <c r="AF100" s="45" t="s">
        <v>238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233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233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233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233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233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233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233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233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233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233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233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233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233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233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233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233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233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233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233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233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233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233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233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233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233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233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233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233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233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233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233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233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233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233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233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233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233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233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233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233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233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233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233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233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233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233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233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233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233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233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233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233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233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233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233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233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233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233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233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233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233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233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233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233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233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233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233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233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233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233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233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233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233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233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233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233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233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233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233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233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233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233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233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233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233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233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233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233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233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233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233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233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233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233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233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233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233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233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233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233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233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233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233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233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233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233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233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233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233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233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233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233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233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233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233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233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233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233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233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233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233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233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233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233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233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233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233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233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233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233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233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233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233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233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233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233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233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233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233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233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233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233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233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233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233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233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233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233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233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233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233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233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233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233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233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233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233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233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233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233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233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233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233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233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233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233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233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233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233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233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233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233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233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233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233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233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233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233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233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233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233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233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233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233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233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233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233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233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233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233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233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233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233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233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233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233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233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233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233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233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233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233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233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233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233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233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233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233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233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233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233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233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233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233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233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233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233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233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233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233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233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233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233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233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233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233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233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233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233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233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233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233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233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233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233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233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233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233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233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233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233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233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233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233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233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233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233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233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233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233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233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233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233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233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233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233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233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233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233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233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233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233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233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233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233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233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233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233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233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233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233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233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233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233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233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233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233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233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233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233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233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233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233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233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233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233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233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233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233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233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233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233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293</v>
      </c>
    </row>
    <row r="2" spans="1:1" x14ac:dyDescent="0.3">
      <c r="A2" s="95" t="s">
        <v>294</v>
      </c>
    </row>
    <row r="3" spans="1:1" x14ac:dyDescent="0.3">
      <c r="A3" s="95" t="s">
        <v>295</v>
      </c>
    </row>
    <row r="4" spans="1:1" x14ac:dyDescent="0.3">
      <c r="A4" s="95" t="s">
        <v>296</v>
      </c>
    </row>
    <row r="5" spans="1:1" x14ac:dyDescent="0.3">
      <c r="A5" s="95" t="s">
        <v>297</v>
      </c>
    </row>
    <row r="6" spans="1:1" x14ac:dyDescent="0.3">
      <c r="A6" s="95" t="s">
        <v>551</v>
      </c>
    </row>
    <row r="7" spans="1:1" x14ac:dyDescent="0.3">
      <c r="A7" s="95" t="s">
        <v>552</v>
      </c>
    </row>
    <row r="8" spans="1:1" x14ac:dyDescent="0.3">
      <c r="A8" s="95" t="s">
        <v>553</v>
      </c>
    </row>
    <row r="9" spans="1:1" x14ac:dyDescent="0.3">
      <c r="A9" s="95" t="s">
        <v>554</v>
      </c>
    </row>
    <row r="10" spans="1:1" x14ac:dyDescent="0.3">
      <c r="A10" s="95" t="s">
        <v>555</v>
      </c>
    </row>
    <row r="11" spans="1:1" x14ac:dyDescent="0.3">
      <c r="A11" s="95" t="s">
        <v>556</v>
      </c>
    </row>
    <row r="12" spans="1:1" x14ac:dyDescent="0.3">
      <c r="A12" s="95" t="s">
        <v>557</v>
      </c>
    </row>
    <row r="13" spans="1:1" x14ac:dyDescent="0.3">
      <c r="A13" s="95" t="s">
        <v>558</v>
      </c>
    </row>
    <row r="14" spans="1:1" x14ac:dyDescent="0.3">
      <c r="A14" s="95" t="s">
        <v>559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 t="s">
        <v>266</v>
      </c>
      <c r="C6" s="1">
        <f>C2</f>
        <v>20</v>
      </c>
      <c r="E6" s="96" t="s">
        <v>265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  <row r="12" spans="2:9" x14ac:dyDescent="0.3">
      <c r="B12" s="1" t="s">
        <v>269</v>
      </c>
      <c r="C12" s="97">
        <v>20</v>
      </c>
    </row>
    <row r="13" spans="2:9" x14ac:dyDescent="0.3">
      <c r="B13" s="1" t="s">
        <v>268</v>
      </c>
      <c r="C13" s="97">
        <v>30</v>
      </c>
    </row>
    <row r="14" spans="2:9" x14ac:dyDescent="0.3">
      <c r="B14" s="1" t="s">
        <v>267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264</v>
      </c>
      <c r="C17" s="1">
        <f>C14-C13</f>
        <v>50</v>
      </c>
      <c r="E17" s="1" t="s">
        <v>263</v>
      </c>
      <c r="F17" s="1">
        <f>C14-C12</f>
        <v>60</v>
      </c>
    </row>
    <row r="19" spans="2:9" x14ac:dyDescent="0.3">
      <c r="B19" s="1" t="s">
        <v>262</v>
      </c>
      <c r="C19" s="1">
        <f>AVERAGE(C16:C17)</f>
        <v>35</v>
      </c>
      <c r="E19" s="1" t="s">
        <v>262</v>
      </c>
      <c r="F19" s="1">
        <f>AVERAGE(F16:F17)</f>
        <v>45</v>
      </c>
      <c r="H19" s="1" t="s">
        <v>261</v>
      </c>
      <c r="I19" s="1">
        <f>C19+F19</f>
        <v>80</v>
      </c>
    </row>
    <row r="22" spans="2:9" x14ac:dyDescent="0.3">
      <c r="B22" s="1" t="s">
        <v>269</v>
      </c>
      <c r="C22" s="97">
        <v>20</v>
      </c>
    </row>
    <row r="23" spans="2:9" x14ac:dyDescent="0.3">
      <c r="B23" s="1" t="s">
        <v>268</v>
      </c>
      <c r="C23" s="97">
        <v>30</v>
      </c>
    </row>
    <row r="24" spans="2:9" x14ac:dyDescent="0.3">
      <c r="B24" s="1" t="s">
        <v>267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264</v>
      </c>
      <c r="C27" s="1">
        <f>C24-C23</f>
        <v>10</v>
      </c>
      <c r="E27" s="1" t="s">
        <v>263</v>
      </c>
      <c r="F27" s="1">
        <f>C24-C22</f>
        <v>20</v>
      </c>
    </row>
    <row r="29" spans="2:9" x14ac:dyDescent="0.3">
      <c r="B29" s="1" t="s">
        <v>262</v>
      </c>
      <c r="C29" s="1">
        <f>AVERAGE(C26:C27)</f>
        <v>15</v>
      </c>
      <c r="E29" s="1" t="s">
        <v>262</v>
      </c>
      <c r="F29" s="1">
        <f>AVERAGE(F26:F27)</f>
        <v>25</v>
      </c>
      <c r="H29" s="1" t="s">
        <v>261</v>
      </c>
      <c r="I29" s="1">
        <f>C29+F29</f>
        <v>40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40</v>
      </c>
    </row>
    <row r="5" spans="2:9" x14ac:dyDescent="0.3">
      <c r="B5" s="1" t="s">
        <v>270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264</v>
      </c>
      <c r="C10" s="1">
        <f>C4-C3</f>
        <v>10</v>
      </c>
      <c r="E10" s="1" t="s">
        <v>263</v>
      </c>
      <c r="F10" s="1">
        <f>C4-C2</f>
        <v>20</v>
      </c>
    </row>
    <row r="12" spans="2:9" x14ac:dyDescent="0.3">
      <c r="B12" s="1" t="s">
        <v>262</v>
      </c>
      <c r="C12" s="1">
        <f>AVERAGE(C9:C10)</f>
        <v>10</v>
      </c>
      <c r="E12" s="1" t="s">
        <v>262</v>
      </c>
      <c r="F12" s="1">
        <f>AVERAGE(F9:F10)</f>
        <v>20</v>
      </c>
      <c r="H12" s="1" t="s">
        <v>261</v>
      </c>
      <c r="I12" s="1">
        <f>C12+F12</f>
        <v>30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271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>
        <v>1</v>
      </c>
    </row>
    <row r="3" spans="1:10" x14ac:dyDescent="0.3">
      <c r="C3" s="1" t="s">
        <v>269</v>
      </c>
      <c r="D3" s="97">
        <v>3</v>
      </c>
    </row>
    <row r="4" spans="1:10" x14ac:dyDescent="0.3">
      <c r="C4" s="1" t="s">
        <v>268</v>
      </c>
      <c r="D4" s="97">
        <v>9</v>
      </c>
    </row>
    <row r="5" spans="1:10" x14ac:dyDescent="0.3">
      <c r="C5" s="1" t="s">
        <v>282</v>
      </c>
      <c r="D5" s="97">
        <v>17</v>
      </c>
    </row>
    <row r="6" spans="1:10" x14ac:dyDescent="0.3">
      <c r="C6" s="1" t="s">
        <v>281</v>
      </c>
      <c r="D6" s="97">
        <v>45</v>
      </c>
    </row>
    <row r="7" spans="1:10" x14ac:dyDescent="0.3">
      <c r="C7" s="1" t="s">
        <v>280</v>
      </c>
      <c r="D7" s="97">
        <v>55</v>
      </c>
    </row>
    <row r="8" spans="1:10" x14ac:dyDescent="0.3">
      <c r="C8" s="1" t="s">
        <v>279</v>
      </c>
      <c r="D8" s="97">
        <v>77</v>
      </c>
    </row>
    <row r="9" spans="1:10" x14ac:dyDescent="0.3">
      <c r="C9" s="1" t="s">
        <v>278</v>
      </c>
      <c r="D9" s="97">
        <v>100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1</v>
      </c>
      <c r="C12" s="98" t="s">
        <v>266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f>1/2</f>
        <v>0.5</v>
      </c>
      <c r="C13" s="98" t="s">
        <v>274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f>1/2</f>
        <v>0.5</v>
      </c>
      <c r="C14" s="98" t="s">
        <v>273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1</v>
      </c>
      <c r="C15" s="98" t="s">
        <v>272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262</v>
      </c>
      <c r="D17" s="1">
        <f>SUMPRODUCT(D12:D15,$A$12:$A$15)/SUM($A$12:$A$15)</f>
        <v>20.666666666666668</v>
      </c>
      <c r="F17" s="1" t="s">
        <v>262</v>
      </c>
      <c r="G17" s="1">
        <f>SUMPRODUCT(G12:G15,$A$12:$A$15)/SUM($A$12:$A$15)</f>
        <v>34.666666666666664</v>
      </c>
      <c r="I17" s="1" t="s">
        <v>262</v>
      </c>
      <c r="J17" s="1">
        <f>SUMPRODUCT(J12:J15,$A$12:$A$15)/SUM($A$12:$A$15)</f>
        <v>43.666666666666664</v>
      </c>
      <c r="M17" s="1" t="s">
        <v>261</v>
      </c>
      <c r="N17" s="1">
        <f>D17+G17+J17</f>
        <v>99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283</v>
      </c>
      <c r="E2" s="1" t="s">
        <v>286</v>
      </c>
    </row>
    <row r="3" spans="3:5" x14ac:dyDescent="0.3">
      <c r="C3" s="1" t="s">
        <v>269</v>
      </c>
      <c r="E3" s="1" t="s">
        <v>291</v>
      </c>
    </row>
    <row r="4" spans="3:5" x14ac:dyDescent="0.3">
      <c r="C4" s="1" t="s">
        <v>268</v>
      </c>
      <c r="E4" s="1" t="s">
        <v>290</v>
      </c>
    </row>
    <row r="5" spans="3:5" x14ac:dyDescent="0.3">
      <c r="C5" s="1" t="s">
        <v>282</v>
      </c>
      <c r="E5" s="1" t="s">
        <v>289</v>
      </c>
    </row>
    <row r="6" spans="3:5" x14ac:dyDescent="0.3">
      <c r="C6" s="1" t="s">
        <v>281</v>
      </c>
      <c r="E6" s="1" t="s">
        <v>288</v>
      </c>
    </row>
    <row r="7" spans="3:5" x14ac:dyDescent="0.3">
      <c r="C7" s="1" t="s">
        <v>280</v>
      </c>
      <c r="E7" s="1" t="s">
        <v>287</v>
      </c>
    </row>
    <row r="8" spans="3:5" x14ac:dyDescent="0.3">
      <c r="C8" s="1" t="s">
        <v>279</v>
      </c>
      <c r="E8" s="1" t="s">
        <v>285</v>
      </c>
    </row>
    <row r="9" spans="3:5" x14ac:dyDescent="0.3">
      <c r="C9" s="1" t="s">
        <v>278</v>
      </c>
      <c r="E9" s="1" t="s">
        <v>284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283</v>
      </c>
      <c r="E2" s="1" t="s">
        <v>286</v>
      </c>
      <c r="G2" s="1" t="s">
        <v>546</v>
      </c>
    </row>
    <row r="3" spans="3:7" x14ac:dyDescent="0.3">
      <c r="C3" s="1" t="s">
        <v>269</v>
      </c>
      <c r="E3" s="1" t="s">
        <v>291</v>
      </c>
      <c r="G3" s="1" t="s">
        <v>539</v>
      </c>
    </row>
    <row r="4" spans="3:7" x14ac:dyDescent="0.3">
      <c r="C4" s="1" t="s">
        <v>268</v>
      </c>
      <c r="E4" s="1" t="s">
        <v>290</v>
      </c>
      <c r="G4" s="1" t="s">
        <v>540</v>
      </c>
    </row>
    <row r="5" spans="3:7" x14ac:dyDescent="0.3">
      <c r="C5" s="1" t="s">
        <v>282</v>
      </c>
      <c r="E5" s="1" t="s">
        <v>289</v>
      </c>
      <c r="G5" s="1" t="s">
        <v>541</v>
      </c>
    </row>
    <row r="6" spans="3:7" x14ac:dyDescent="0.3">
      <c r="C6" s="1" t="s">
        <v>281</v>
      </c>
      <c r="E6" s="1" t="s">
        <v>288</v>
      </c>
      <c r="G6" s="1" t="s">
        <v>542</v>
      </c>
    </row>
    <row r="7" spans="3:7" x14ac:dyDescent="0.3">
      <c r="C7" s="1" t="s">
        <v>280</v>
      </c>
      <c r="E7" s="1" t="s">
        <v>287</v>
      </c>
      <c r="G7" s="1" t="s">
        <v>543</v>
      </c>
    </row>
    <row r="8" spans="3:7" x14ac:dyDescent="0.3">
      <c r="C8" s="1" t="s">
        <v>279</v>
      </c>
      <c r="E8" s="1" t="s">
        <v>285</v>
      </c>
      <c r="G8" s="1" t="s">
        <v>544</v>
      </c>
    </row>
    <row r="9" spans="3:7" x14ac:dyDescent="0.3">
      <c r="C9" s="1" t="s">
        <v>278</v>
      </c>
      <c r="E9" s="1" t="s">
        <v>284</v>
      </c>
      <c r="G9" s="1" t="s">
        <v>545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283</v>
      </c>
      <c r="E2" s="1" t="s">
        <v>286</v>
      </c>
      <c r="G2" s="1" t="s">
        <v>546</v>
      </c>
      <c r="I2" s="1">
        <v>0</v>
      </c>
      <c r="J2" s="1">
        <v>0</v>
      </c>
      <c r="K2" s="1">
        <v>0</v>
      </c>
    </row>
    <row r="3" spans="3:11" x14ac:dyDescent="0.3">
      <c r="C3" s="1" t="s">
        <v>269</v>
      </c>
      <c r="E3" s="1" t="s">
        <v>291</v>
      </c>
      <c r="G3" s="1" t="s">
        <v>539</v>
      </c>
      <c r="I3" s="1">
        <v>1</v>
      </c>
      <c r="J3" s="1">
        <v>0</v>
      </c>
      <c r="K3" s="1">
        <v>0</v>
      </c>
    </row>
    <row r="4" spans="3:11" x14ac:dyDescent="0.3">
      <c r="C4" s="1" t="s">
        <v>268</v>
      </c>
      <c r="E4" s="1" t="s">
        <v>290</v>
      </c>
      <c r="G4" s="1" t="s">
        <v>540</v>
      </c>
      <c r="I4" s="1">
        <v>0</v>
      </c>
      <c r="J4" s="1">
        <v>1</v>
      </c>
      <c r="K4" s="1">
        <v>0</v>
      </c>
    </row>
    <row r="5" spans="3:11" x14ac:dyDescent="0.3">
      <c r="C5" s="1" t="s">
        <v>282</v>
      </c>
      <c r="E5" s="1" t="s">
        <v>289</v>
      </c>
      <c r="G5" s="1" t="s">
        <v>541</v>
      </c>
      <c r="I5" s="1">
        <v>0</v>
      </c>
      <c r="J5" s="1">
        <v>0</v>
      </c>
      <c r="K5" s="1">
        <v>1</v>
      </c>
    </row>
    <row r="6" spans="3:11" x14ac:dyDescent="0.3">
      <c r="C6" s="1" t="s">
        <v>281</v>
      </c>
      <c r="E6" s="1" t="s">
        <v>288</v>
      </c>
      <c r="G6" s="1" t="s">
        <v>542</v>
      </c>
      <c r="I6" s="1">
        <v>1</v>
      </c>
      <c r="J6" s="1">
        <v>1</v>
      </c>
      <c r="K6" s="1">
        <v>0</v>
      </c>
    </row>
    <row r="7" spans="3:11" x14ac:dyDescent="0.3">
      <c r="C7" s="1" t="s">
        <v>280</v>
      </c>
      <c r="E7" s="1" t="s">
        <v>287</v>
      </c>
      <c r="G7" s="1" t="s">
        <v>543</v>
      </c>
      <c r="I7" s="1">
        <v>1</v>
      </c>
      <c r="J7" s="1">
        <v>0</v>
      </c>
      <c r="K7" s="1">
        <v>1</v>
      </c>
    </row>
    <row r="8" spans="3:11" x14ac:dyDescent="0.3">
      <c r="C8" s="1" t="s">
        <v>279</v>
      </c>
      <c r="E8" s="1" t="s">
        <v>285</v>
      </c>
      <c r="G8" s="1" t="s">
        <v>544</v>
      </c>
      <c r="I8" s="1">
        <v>0</v>
      </c>
      <c r="J8" s="1">
        <v>1</v>
      </c>
      <c r="K8" s="1">
        <v>1</v>
      </c>
    </row>
    <row r="9" spans="3:11" x14ac:dyDescent="0.3">
      <c r="C9" s="1" t="s">
        <v>278</v>
      </c>
      <c r="E9" s="1" t="s">
        <v>284</v>
      </c>
      <c r="G9" s="1" t="s">
        <v>545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13" t="s">
        <v>550</v>
      </c>
      <c r="D25" s="13" t="s">
        <v>548</v>
      </c>
      <c r="E25" s="13" t="s">
        <v>549</v>
      </c>
      <c r="F25" s="13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13" t="s">
        <v>20</v>
      </c>
      <c r="L13" s="13" t="s">
        <v>1</v>
      </c>
      <c r="M13" s="13" t="s">
        <v>3</v>
      </c>
      <c r="N13" s="11"/>
      <c r="O13" s="163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13">
        <v>0</v>
      </c>
      <c r="L14" s="13">
        <v>0</v>
      </c>
      <c r="M14" s="13">
        <v>0</v>
      </c>
      <c r="O14" s="1" t="s">
        <v>546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539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540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541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542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543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544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545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13" t="s">
        <v>550</v>
      </c>
      <c r="D25" s="13" t="s">
        <v>548</v>
      </c>
      <c r="E25" s="13" t="s">
        <v>549</v>
      </c>
      <c r="F25" s="13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13" t="s">
        <v>20</v>
      </c>
      <c r="L13" s="13" t="s">
        <v>1</v>
      </c>
      <c r="M13" s="13" t="s">
        <v>3</v>
      </c>
      <c r="N13" s="11"/>
      <c r="O13" s="163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13">
        <v>0</v>
      </c>
      <c r="L14" s="13">
        <v>0</v>
      </c>
      <c r="M14" s="13">
        <v>0</v>
      </c>
      <c r="O14" s="1" t="s">
        <v>546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539</v>
      </c>
    </row>
    <row r="16" spans="2:15" x14ac:dyDescent="0.3">
      <c r="B16" s="1">
        <v>13</v>
      </c>
      <c r="C16" s="97">
        <v>0.37317636041366276</v>
      </c>
      <c r="D16" s="97">
        <v>0.90976865733306223</v>
      </c>
      <c r="E16" s="97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540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541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542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543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544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545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13" t="s">
        <v>20</v>
      </c>
      <c r="L23" s="13" t="s">
        <v>1</v>
      </c>
      <c r="M23" s="13" t="s">
        <v>3</v>
      </c>
      <c r="N23" s="11"/>
      <c r="O23" s="163" t="s">
        <v>0</v>
      </c>
    </row>
    <row r="24" spans="2:15" x14ac:dyDescent="0.3">
      <c r="K24" s="13" cm="1">
        <f t="array" ref="K24:M24">IF(K14:M14,C$16:E$16,C$26:E$26)</f>
        <v>0.4521504966602567</v>
      </c>
      <c r="L24" s="13">
        <v>0.54833849239578614</v>
      </c>
      <c r="M24" s="13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13" t="s">
        <v>550</v>
      </c>
      <c r="D25" s="13" t="s">
        <v>548</v>
      </c>
      <c r="E25" s="13" t="s">
        <v>549</v>
      </c>
      <c r="F25" s="13"/>
      <c r="K25" s="13" cm="1">
        <f t="array" ref="K25:M25">IF(K15:M15,C$16:E$16,C$26:E$26)</f>
        <v>0.37317636041366276</v>
      </c>
      <c r="L25" s="13">
        <v>0.54833849239578614</v>
      </c>
      <c r="M25" s="13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97">
        <f>AVERAGE(C4:C23)</f>
        <v>0.4521504966602567</v>
      </c>
      <c r="D26" s="97">
        <f t="shared" ref="D26:E26" si="0">AVERAGE(D4:D23)</f>
        <v>0.54833849239578614</v>
      </c>
      <c r="E26" s="97">
        <f t="shared" si="0"/>
        <v>0.54774315416232866</v>
      </c>
      <c r="K26" s="13" cm="1">
        <f t="array" ref="K26:M26">IF(K16:M16,C$16:E$16,C$26:E$26)</f>
        <v>0.4521504966602567</v>
      </c>
      <c r="L26" s="13">
        <v>0.90976865733306223</v>
      </c>
      <c r="M26" s="13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13" cm="1">
        <f t="array" ref="K27:M27">IF(K17:M17,C$16:E$16,C$26:E$26)</f>
        <v>0.4521504966602567</v>
      </c>
      <c r="L27" s="13">
        <v>0.54833849239578614</v>
      </c>
      <c r="M27" s="13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13" cm="1">
        <f t="array" ref="K28:M28">IF(K18:M18,C$16:E$16,C$26:E$26)</f>
        <v>0.37317636041366276</v>
      </c>
      <c r="L28" s="13">
        <v>0.90976865733306223</v>
      </c>
      <c r="M28" s="13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13" cm="1">
        <f t="array" ref="K29:M29">IF(K19:M19,C$16:E$16,C$26:E$26)</f>
        <v>0.37317636041366276</v>
      </c>
      <c r="L29" s="13">
        <v>0.54833849239578614</v>
      </c>
      <c r="M29" s="13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13" cm="1">
        <f t="array" ref="K30:M30">IF(K20:M20,C$16:E$16,C$26:E$26)</f>
        <v>0.4521504966602567</v>
      </c>
      <c r="L30" s="13">
        <v>0.90976865733306223</v>
      </c>
      <c r="M30" s="13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13" cm="1">
        <f t="array" ref="K31:M31">IF(K21:M21,C$16:E$16,C$26:E$26)</f>
        <v>0.37317636041366276</v>
      </c>
      <c r="L31" s="13">
        <v>0.90976865733306223</v>
      </c>
      <c r="M31" s="13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 cm="1">
        <f t="array" ref="D2:D9">Example1_Values!O24:O31</f>
        <v>31.920569439388153</v>
      </c>
    </row>
    <row r="3" spans="1:10" x14ac:dyDescent="0.3">
      <c r="C3" s="1" t="s">
        <v>269</v>
      </c>
      <c r="D3" s="97">
        <v>31.130828076922214</v>
      </c>
    </row>
    <row r="4" spans="1:10" x14ac:dyDescent="0.3">
      <c r="C4" s="1" t="s">
        <v>268</v>
      </c>
      <c r="D4" s="97">
        <v>39.149172738133672</v>
      </c>
    </row>
    <row r="5" spans="1:10" x14ac:dyDescent="0.3">
      <c r="C5" s="1" t="s">
        <v>282</v>
      </c>
      <c r="D5" s="97">
        <v>21.844592859502004</v>
      </c>
    </row>
    <row r="6" spans="1:10" x14ac:dyDescent="0.3">
      <c r="C6" s="1" t="s">
        <v>281</v>
      </c>
      <c r="D6" s="97">
        <v>38.359431375667732</v>
      </c>
    </row>
    <row r="7" spans="1:10" x14ac:dyDescent="0.3">
      <c r="C7" s="1" t="s">
        <v>280</v>
      </c>
      <c r="D7" s="97">
        <v>21.054851497036065</v>
      </c>
    </row>
    <row r="8" spans="1:10" x14ac:dyDescent="0.3">
      <c r="C8" s="1" t="s">
        <v>279</v>
      </c>
      <c r="D8" s="97">
        <v>29.073196158247526</v>
      </c>
    </row>
    <row r="9" spans="1:10" x14ac:dyDescent="0.3">
      <c r="C9" s="1" t="s">
        <v>278</v>
      </c>
      <c r="D9" s="97">
        <v>28.283454795781587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1</v>
      </c>
      <c r="C12" s="98" t="s">
        <v>266</v>
      </c>
      <c r="D12" s="95">
        <f>D3-D2</f>
        <v>-0.78974136246593929</v>
      </c>
      <c r="F12" s="98">
        <v>2</v>
      </c>
      <c r="G12" s="95">
        <f>D4-D2</f>
        <v>7.2286032987455187</v>
      </c>
      <c r="I12" s="95">
        <v>3</v>
      </c>
      <c r="J12" s="95">
        <f>D5-D2</f>
        <v>-10.075976579886149</v>
      </c>
    </row>
    <row r="13" spans="1:10" x14ac:dyDescent="0.3">
      <c r="A13" s="1">
        <f>1/2</f>
        <v>0.5</v>
      </c>
      <c r="C13" s="98" t="s">
        <v>274</v>
      </c>
      <c r="D13" s="95">
        <f>D6-D4</f>
        <v>-0.78974136246593929</v>
      </c>
      <c r="F13" s="98">
        <v>21</v>
      </c>
      <c r="G13" s="95">
        <f>D6-D3</f>
        <v>7.2286032987455187</v>
      </c>
      <c r="I13" s="95">
        <v>31</v>
      </c>
      <c r="J13" s="95">
        <f>D7-D3</f>
        <v>-10.075976579886149</v>
      </c>
    </row>
    <row r="14" spans="1:10" x14ac:dyDescent="0.3">
      <c r="A14" s="1">
        <f>1/2</f>
        <v>0.5</v>
      </c>
      <c r="C14" s="98" t="s">
        <v>273</v>
      </c>
      <c r="D14" s="95">
        <f>D7-D5</f>
        <v>-0.78974136246593929</v>
      </c>
      <c r="F14" s="98">
        <v>23</v>
      </c>
      <c r="G14" s="95">
        <f>D8-D5</f>
        <v>7.2286032987455222</v>
      </c>
      <c r="I14" s="95">
        <v>32</v>
      </c>
      <c r="J14" s="95">
        <f>D8-D4</f>
        <v>-10.075976579886145</v>
      </c>
    </row>
    <row r="15" spans="1:10" x14ac:dyDescent="0.3">
      <c r="A15" s="1">
        <v>1</v>
      </c>
      <c r="C15" s="98" t="s">
        <v>272</v>
      </c>
      <c r="D15" s="95">
        <f>D9-D8</f>
        <v>-0.78974136246593929</v>
      </c>
      <c r="F15" s="98">
        <v>213</v>
      </c>
      <c r="G15" s="95">
        <f>D9-D7</f>
        <v>7.2286032987455222</v>
      </c>
      <c r="I15" s="95">
        <v>312</v>
      </c>
      <c r="J15" s="95">
        <f>D9-D6</f>
        <v>-10.075976579886145</v>
      </c>
    </row>
    <row r="17" spans="3:14" x14ac:dyDescent="0.3">
      <c r="C17" s="1" t="s">
        <v>262</v>
      </c>
      <c r="D17" s="1">
        <f>SUMPRODUCT(D12:D15,$A$12:$A$15)/SUM($A$12:$A$15)</f>
        <v>-0.78974136246593929</v>
      </c>
      <c r="F17" s="1" t="s">
        <v>262</v>
      </c>
      <c r="G17" s="1">
        <f>SUMPRODUCT(G12:G15,$A$12:$A$15)/SUM($A$12:$A$15)</f>
        <v>7.2286032987455213</v>
      </c>
      <c r="I17" s="1" t="s">
        <v>262</v>
      </c>
      <c r="J17" s="1">
        <f>SUMPRODUCT(J12:J15,$A$12:$A$15)/SUM($A$12:$A$15)</f>
        <v>-10.075976579886147</v>
      </c>
      <c r="M17" s="1" t="s">
        <v>261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283</v>
      </c>
      <c r="D2" s="97" cm="1">
        <f t="array" ref="D2:D9">Example1_Values!O24:O31</f>
        <v>31.920569439388153</v>
      </c>
    </row>
    <row r="3" spans="1:17" x14ac:dyDescent="0.3">
      <c r="C3" s="1" t="s">
        <v>269</v>
      </c>
      <c r="D3" s="97">
        <v>31.130828076922214</v>
      </c>
    </row>
    <row r="4" spans="1:17" x14ac:dyDescent="0.3">
      <c r="C4" s="1" t="s">
        <v>268</v>
      </c>
      <c r="D4" s="97">
        <v>39.149172738133672</v>
      </c>
    </row>
    <row r="5" spans="1:17" x14ac:dyDescent="0.3">
      <c r="C5" s="1" t="s">
        <v>282</v>
      </c>
      <c r="D5" s="97">
        <v>21.844592859502004</v>
      </c>
    </row>
    <row r="6" spans="1:17" x14ac:dyDescent="0.3">
      <c r="C6" s="1" t="s">
        <v>281</v>
      </c>
      <c r="D6" s="97">
        <v>38.359431375667732</v>
      </c>
    </row>
    <row r="7" spans="1:17" x14ac:dyDescent="0.3">
      <c r="C7" s="1" t="s">
        <v>280</v>
      </c>
      <c r="D7" s="97">
        <v>21.054851497036065</v>
      </c>
    </row>
    <row r="8" spans="1:17" x14ac:dyDescent="0.3">
      <c r="C8" s="1" t="s">
        <v>279</v>
      </c>
      <c r="D8" s="97">
        <v>29.073196158247526</v>
      </c>
    </row>
    <row r="9" spans="1:17" x14ac:dyDescent="0.3">
      <c r="C9" s="1" t="s">
        <v>278</v>
      </c>
      <c r="D9" s="97">
        <v>28.283454795781587</v>
      </c>
    </row>
    <row r="11" spans="1:17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7" x14ac:dyDescent="0.3">
      <c r="A12" s="1">
        <v>1</v>
      </c>
      <c r="C12" s="98" t="s">
        <v>266</v>
      </c>
      <c r="D12" s="95">
        <f>D3-D2</f>
        <v>-0.78974136246593929</v>
      </c>
      <c r="F12" s="98">
        <v>2</v>
      </c>
      <c r="G12" s="95">
        <f>D4-D2</f>
        <v>7.2286032987455187</v>
      </c>
      <c r="I12" s="95">
        <v>3</v>
      </c>
      <c r="J12" s="95">
        <f>D5-D2</f>
        <v>-10.075976579886149</v>
      </c>
      <c r="N12" s="164" t="s">
        <v>286</v>
      </c>
      <c r="O12" s="165" t="s">
        <v>20</v>
      </c>
      <c r="P12" s="165" t="s">
        <v>1</v>
      </c>
      <c r="Q12" s="166" t="s">
        <v>3</v>
      </c>
    </row>
    <row r="13" spans="1:17" x14ac:dyDescent="0.3">
      <c r="A13" s="1">
        <f>1/2</f>
        <v>0.5</v>
      </c>
      <c r="C13" s="98" t="s">
        <v>274</v>
      </c>
      <c r="D13" s="95">
        <f>D6-D4</f>
        <v>-0.78974136246593929</v>
      </c>
      <c r="F13" s="98">
        <v>21</v>
      </c>
      <c r="G13" s="95">
        <f>D6-D3</f>
        <v>7.2286032987455187</v>
      </c>
      <c r="I13" s="95">
        <v>31</v>
      </c>
      <c r="J13" s="95">
        <f>D7-D3</f>
        <v>-10.075976579886149</v>
      </c>
      <c r="N13" s="167">
        <f>D2</f>
        <v>31.920569439388153</v>
      </c>
      <c r="O13" s="168">
        <f>D17</f>
        <v>-0.78974136246593929</v>
      </c>
      <c r="P13" s="168">
        <f>G17</f>
        <v>7.2286032987455213</v>
      </c>
      <c r="Q13" s="169">
        <f>J17</f>
        <v>-10.075976579886147</v>
      </c>
    </row>
    <row r="14" spans="1:17" x14ac:dyDescent="0.3">
      <c r="A14" s="1">
        <f>1/2</f>
        <v>0.5</v>
      </c>
      <c r="C14" s="98" t="s">
        <v>273</v>
      </c>
      <c r="D14" s="95">
        <f>D7-D5</f>
        <v>-0.78974136246593929</v>
      </c>
      <c r="F14" s="98">
        <v>23</v>
      </c>
      <c r="G14" s="95">
        <f>D8-D5</f>
        <v>7.2286032987455222</v>
      </c>
      <c r="I14" s="95">
        <v>32</v>
      </c>
      <c r="J14" s="95">
        <f>D8-D4</f>
        <v>-10.075976579886145</v>
      </c>
    </row>
    <row r="15" spans="1:17" x14ac:dyDescent="0.3">
      <c r="A15" s="1">
        <v>1</v>
      </c>
      <c r="C15" s="98" t="s">
        <v>272</v>
      </c>
      <c r="D15" s="95">
        <f>D9-D8</f>
        <v>-0.78974136246593929</v>
      </c>
      <c r="F15" s="98">
        <v>213</v>
      </c>
      <c r="G15" s="95">
        <f>D9-D7</f>
        <v>7.2286032987455222</v>
      </c>
      <c r="I15" s="95">
        <v>312</v>
      </c>
      <c r="J15" s="95">
        <f>D9-D6</f>
        <v>-10.075976579886145</v>
      </c>
    </row>
    <row r="17" spans="3:14" x14ac:dyDescent="0.3">
      <c r="C17" s="1" t="s">
        <v>262</v>
      </c>
      <c r="D17" s="1">
        <f>SUMPRODUCT(D12:D15,$A$12:$A$15)/SUM($A$12:$A$15)</f>
        <v>-0.78974136246593929</v>
      </c>
      <c r="F17" s="1" t="s">
        <v>262</v>
      </c>
      <c r="G17" s="1">
        <f>SUMPRODUCT(G12:G15,$A$12:$A$15)/SUM($A$12:$A$15)</f>
        <v>7.2286032987455213</v>
      </c>
      <c r="I17" s="1" t="s">
        <v>262</v>
      </c>
      <c r="J17" s="1">
        <f>SUMPRODUCT(J12:J15,$A$12:$A$15)/SUM($A$12:$A$15)</f>
        <v>-10.075976579886147</v>
      </c>
      <c r="M17" s="1" t="s">
        <v>261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332</v>
      </c>
    </row>
    <row r="2" spans="1:1" x14ac:dyDescent="0.3">
      <c r="A2" s="95" t="s">
        <v>333</v>
      </c>
    </row>
    <row r="3" spans="1:1" x14ac:dyDescent="0.3">
      <c r="A3" s="95" t="s">
        <v>334</v>
      </c>
    </row>
    <row r="4" spans="1:1" x14ac:dyDescent="0.3">
      <c r="A4" s="95" t="s">
        <v>335</v>
      </c>
    </row>
    <row r="5" spans="1:1" x14ac:dyDescent="0.3">
      <c r="A5" s="95" t="s">
        <v>451</v>
      </c>
    </row>
    <row r="6" spans="1:1" x14ac:dyDescent="0.3">
      <c r="A6" s="95" t="s">
        <v>452</v>
      </c>
    </row>
    <row r="7" spans="1:1" x14ac:dyDescent="0.3">
      <c r="A7" s="95" t="s">
        <v>453</v>
      </c>
    </row>
    <row r="8" spans="1:1" x14ac:dyDescent="0.3">
      <c r="A8" s="95" t="s">
        <v>454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28" bestFit="1" customWidth="1"/>
    <col min="2" max="2" width="14.33203125" style="128" bestFit="1" customWidth="1"/>
    <col min="3" max="3" width="21.5" style="128" bestFit="1" customWidth="1"/>
    <col min="4" max="16384" width="10.83203125" style="128"/>
  </cols>
  <sheetData>
    <row r="1" spans="1:3" x14ac:dyDescent="0.3">
      <c r="A1" s="128" t="s">
        <v>313</v>
      </c>
      <c r="B1" s="128" t="s">
        <v>314</v>
      </c>
      <c r="C1" s="128" t="s">
        <v>315</v>
      </c>
    </row>
    <row r="2" spans="1:3" x14ac:dyDescent="0.3">
      <c r="A2" s="129" t="s">
        <v>316</v>
      </c>
      <c r="B2" s="130" t="s">
        <v>317</v>
      </c>
      <c r="C2" s="130" t="s">
        <v>318</v>
      </c>
    </row>
    <row r="3" spans="1:3" x14ac:dyDescent="0.3">
      <c r="A3" s="129" t="s">
        <v>316</v>
      </c>
      <c r="B3" s="130" t="s">
        <v>317</v>
      </c>
      <c r="C3" s="130" t="s">
        <v>318</v>
      </c>
    </row>
    <row r="4" spans="1:3" x14ac:dyDescent="0.3">
      <c r="A4" s="129" t="s">
        <v>316</v>
      </c>
      <c r="B4" s="130" t="s">
        <v>317</v>
      </c>
      <c r="C4" s="130" t="s">
        <v>318</v>
      </c>
    </row>
    <row r="5" spans="1:3" x14ac:dyDescent="0.3">
      <c r="A5" s="129" t="s">
        <v>316</v>
      </c>
      <c r="B5" s="130" t="s">
        <v>317</v>
      </c>
      <c r="C5" s="130" t="s">
        <v>319</v>
      </c>
    </row>
    <row r="6" spans="1:3" x14ac:dyDescent="0.3">
      <c r="A6" s="129" t="s">
        <v>316</v>
      </c>
      <c r="B6" s="130" t="s">
        <v>320</v>
      </c>
      <c r="C6" s="130" t="s">
        <v>319</v>
      </c>
    </row>
    <row r="7" spans="1:3" x14ac:dyDescent="0.3">
      <c r="A7" s="129" t="s">
        <v>321</v>
      </c>
      <c r="B7" s="130" t="s">
        <v>320</v>
      </c>
      <c r="C7" s="130" t="s">
        <v>318</v>
      </c>
    </row>
    <row r="8" spans="1:3" x14ac:dyDescent="0.3">
      <c r="A8" s="129" t="s">
        <v>321</v>
      </c>
      <c r="B8" s="130" t="s">
        <v>320</v>
      </c>
      <c r="C8" s="130" t="s">
        <v>319</v>
      </c>
    </row>
    <row r="9" spans="1:3" x14ac:dyDescent="0.3">
      <c r="A9" s="129" t="s">
        <v>321</v>
      </c>
      <c r="B9" s="130" t="s">
        <v>320</v>
      </c>
      <c r="C9" s="130" t="s">
        <v>319</v>
      </c>
    </row>
    <row r="10" spans="1:3" x14ac:dyDescent="0.3">
      <c r="A10" s="129" t="s">
        <v>321</v>
      </c>
      <c r="B10" s="130" t="s">
        <v>317</v>
      </c>
      <c r="C10" s="130" t="s">
        <v>319</v>
      </c>
    </row>
    <row r="11" spans="1:3" x14ac:dyDescent="0.3">
      <c r="A11" s="129" t="s">
        <v>321</v>
      </c>
      <c r="B11" s="130" t="s">
        <v>317</v>
      </c>
      <c r="C11" s="130" t="s">
        <v>319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1" bestFit="1" customWidth="1"/>
    <col min="2" max="2" width="21.5" style="131" bestFit="1" customWidth="1"/>
    <col min="3" max="16384" width="10.83203125" style="131"/>
  </cols>
  <sheetData>
    <row r="1" spans="1:2" x14ac:dyDescent="0.3">
      <c r="A1" s="128" t="s">
        <v>314</v>
      </c>
      <c r="B1" s="128" t="s">
        <v>315</v>
      </c>
    </row>
    <row r="2" spans="1:2" x14ac:dyDescent="0.3">
      <c r="A2" s="132" t="s">
        <v>317</v>
      </c>
      <c r="B2" s="132" t="s">
        <v>318</v>
      </c>
    </row>
    <row r="3" spans="1:2" x14ac:dyDescent="0.3">
      <c r="A3" s="132" t="s">
        <v>317</v>
      </c>
      <c r="B3" s="132" t="s">
        <v>319</v>
      </c>
    </row>
    <row r="4" spans="1:2" x14ac:dyDescent="0.3">
      <c r="A4" s="132" t="s">
        <v>320</v>
      </c>
      <c r="B4" s="132" t="s">
        <v>318</v>
      </c>
    </row>
    <row r="5" spans="1:2" x14ac:dyDescent="0.3">
      <c r="A5" s="132" t="s">
        <v>320</v>
      </c>
      <c r="B5" s="132" t="s">
        <v>319</v>
      </c>
    </row>
    <row r="6" spans="1:2" x14ac:dyDescent="0.3">
      <c r="A6" s="128"/>
      <c r="B6" s="128"/>
    </row>
    <row r="7" spans="1:2" x14ac:dyDescent="0.3">
      <c r="A7" s="128"/>
      <c r="B7" s="128"/>
    </row>
    <row r="8" spans="1:2" x14ac:dyDescent="0.3">
      <c r="A8" s="128"/>
      <c r="B8" s="128"/>
    </row>
    <row r="9" spans="1:2" x14ac:dyDescent="0.3">
      <c r="A9" s="128"/>
      <c r="B9" s="128"/>
    </row>
    <row r="10" spans="1:2" x14ac:dyDescent="0.3">
      <c r="A10" s="128"/>
      <c r="B10" s="128"/>
    </row>
    <row r="11" spans="1:2" x14ac:dyDescent="0.3">
      <c r="A11" s="128"/>
      <c r="B11" s="12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322</v>
      </c>
      <c r="I1" s="15" t="s">
        <v>323</v>
      </c>
    </row>
    <row r="2" spans="1:9" x14ac:dyDescent="0.3">
      <c r="A2" s="101" t="s">
        <v>316</v>
      </c>
      <c r="B2" s="102"/>
      <c r="D2" s="103" t="s">
        <v>317</v>
      </c>
      <c r="E2" s="104" t="s">
        <v>318</v>
      </c>
      <c r="F2" s="104"/>
      <c r="G2" s="105"/>
      <c r="H2" s="1">
        <v>1</v>
      </c>
      <c r="I2" s="1">
        <v>1</v>
      </c>
    </row>
    <row r="3" spans="1:9" x14ac:dyDescent="0.3">
      <c r="A3" s="101" t="s">
        <v>316</v>
      </c>
      <c r="B3" s="102"/>
      <c r="D3" s="106" t="s">
        <v>317</v>
      </c>
      <c r="E3" s="102" t="s">
        <v>318</v>
      </c>
      <c r="F3" s="102"/>
      <c r="G3" s="107"/>
      <c r="H3" s="1">
        <v>1</v>
      </c>
      <c r="I3" s="1">
        <v>1</v>
      </c>
    </row>
    <row r="4" spans="1:9" x14ac:dyDescent="0.3">
      <c r="A4" s="101" t="s">
        <v>316</v>
      </c>
      <c r="B4" s="102"/>
      <c r="D4" s="106" t="s">
        <v>317</v>
      </c>
      <c r="E4" s="102" t="s">
        <v>318</v>
      </c>
      <c r="F4" s="102"/>
      <c r="G4" s="107"/>
      <c r="H4" s="1">
        <v>1</v>
      </c>
      <c r="I4" s="1">
        <v>1</v>
      </c>
    </row>
    <row r="5" spans="1:9" x14ac:dyDescent="0.3">
      <c r="A5" s="101" t="s">
        <v>316</v>
      </c>
      <c r="B5" s="102"/>
      <c r="D5" s="106" t="s">
        <v>317</v>
      </c>
      <c r="E5" s="102" t="s">
        <v>319</v>
      </c>
      <c r="F5" s="102"/>
      <c r="G5" s="107"/>
      <c r="H5" s="1">
        <v>1</v>
      </c>
      <c r="I5" s="1">
        <f t="shared" ref="I5:I11" si="0">COUNTIF($D5:$G5,I$1)</f>
        <v>0</v>
      </c>
    </row>
    <row r="6" spans="1:9" x14ac:dyDescent="0.3">
      <c r="A6" s="101" t="s">
        <v>316</v>
      </c>
      <c r="B6" s="102"/>
      <c r="D6" s="106" t="s">
        <v>320</v>
      </c>
      <c r="E6" s="102" t="s">
        <v>319</v>
      </c>
      <c r="F6" s="102"/>
      <c r="G6" s="107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1" t="s">
        <v>321</v>
      </c>
      <c r="B7" s="102"/>
      <c r="D7" s="106" t="s">
        <v>320</v>
      </c>
      <c r="E7" s="102" t="s">
        <v>318</v>
      </c>
      <c r="F7" s="102"/>
      <c r="G7" s="107"/>
      <c r="H7" s="1">
        <f t="shared" si="1"/>
        <v>0</v>
      </c>
      <c r="I7" s="1">
        <v>1</v>
      </c>
    </row>
    <row r="8" spans="1:9" x14ac:dyDescent="0.3">
      <c r="A8" s="101" t="s">
        <v>321</v>
      </c>
      <c r="B8" s="102"/>
      <c r="D8" s="106" t="s">
        <v>320</v>
      </c>
      <c r="E8" s="102" t="s">
        <v>319</v>
      </c>
      <c r="F8" s="102"/>
      <c r="G8" s="107"/>
      <c r="H8" s="1">
        <f t="shared" si="1"/>
        <v>0</v>
      </c>
      <c r="I8" s="1">
        <f t="shared" si="0"/>
        <v>0</v>
      </c>
    </row>
    <row r="9" spans="1:9" x14ac:dyDescent="0.3">
      <c r="A9" s="101" t="s">
        <v>321</v>
      </c>
      <c r="B9" s="102"/>
      <c r="D9" s="106" t="s">
        <v>320</v>
      </c>
      <c r="E9" s="102" t="s">
        <v>319</v>
      </c>
      <c r="F9" s="102"/>
      <c r="G9" s="107"/>
      <c r="H9" s="1">
        <f t="shared" si="1"/>
        <v>0</v>
      </c>
      <c r="I9" s="1">
        <f t="shared" si="0"/>
        <v>0</v>
      </c>
    </row>
    <row r="10" spans="1:9" x14ac:dyDescent="0.3">
      <c r="A10" s="101" t="s">
        <v>321</v>
      </c>
      <c r="B10" s="102"/>
      <c r="D10" s="106" t="s">
        <v>317</v>
      </c>
      <c r="E10" s="102" t="s">
        <v>319</v>
      </c>
      <c r="F10" s="102"/>
      <c r="G10" s="107"/>
      <c r="H10" s="1">
        <v>1</v>
      </c>
      <c r="I10" s="1">
        <f t="shared" si="0"/>
        <v>0</v>
      </c>
    </row>
    <row r="11" spans="1:9" x14ac:dyDescent="0.3">
      <c r="A11" s="101" t="s">
        <v>321</v>
      </c>
      <c r="B11" s="102"/>
      <c r="D11" s="108" t="s">
        <v>317</v>
      </c>
      <c r="E11" s="109" t="s">
        <v>319</v>
      </c>
      <c r="F11" s="109"/>
      <c r="G11" s="110"/>
      <c r="H11" s="1">
        <v>1</v>
      </c>
      <c r="I11" s="1">
        <f t="shared" si="0"/>
        <v>0</v>
      </c>
    </row>
    <row r="13" spans="1:9" ht="30" x14ac:dyDescent="0.4">
      <c r="G13" s="100" t="s">
        <v>324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325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326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327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328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1"/>
      <c r="I18" s="111"/>
    </row>
    <row r="19" spans="1:16" x14ac:dyDescent="0.3">
      <c r="H19" s="15" t="s">
        <v>322</v>
      </c>
      <c r="I19" s="15" t="s">
        <v>323</v>
      </c>
      <c r="K19" s="15" t="s">
        <v>329</v>
      </c>
      <c r="L19" s="15" t="s">
        <v>330</v>
      </c>
      <c r="M19" s="15" t="s">
        <v>331</v>
      </c>
      <c r="N19" s="15"/>
      <c r="O19" s="15" t="s">
        <v>325</v>
      </c>
      <c r="P19" s="15" t="s">
        <v>326</v>
      </c>
    </row>
    <row r="20" spans="1:16" x14ac:dyDescent="0.3">
      <c r="A20" s="112"/>
      <c r="B20" s="113"/>
      <c r="D20" s="114" t="s">
        <v>317</v>
      </c>
      <c r="E20" s="115" t="s">
        <v>318</v>
      </c>
      <c r="F20" s="115"/>
      <c r="G20" s="116"/>
      <c r="H20" s="1">
        <v>1</v>
      </c>
      <c r="I20" s="1">
        <v>1</v>
      </c>
      <c r="K20" s="117" cm="1">
        <f t="array" ref="K20">PRODUCT(IF(H20:I20,$H$16:$I$16,1-$H$16:$I$16))</f>
        <v>0.48</v>
      </c>
      <c r="L20" s="117" cm="1">
        <f t="array" ref="L20">PRODUCT(IF(H20:I20,$H$17:$I$17,1-$H$17:$I$17))</f>
        <v>8.0000000000000016E-2</v>
      </c>
      <c r="M20" s="117">
        <f>K20*$H$14+L20*$H$15</f>
        <v>0.28000000000000003</v>
      </c>
      <c r="N20" s="117"/>
      <c r="O20" s="118">
        <f>K20*$H$14/M20</f>
        <v>0.85714285714285698</v>
      </c>
      <c r="P20" s="118">
        <f>L20*$H$14/M20</f>
        <v>0.14285714285714288</v>
      </c>
    </row>
    <row r="21" spans="1:16" x14ac:dyDescent="0.3">
      <c r="A21" s="112"/>
      <c r="B21" s="113"/>
      <c r="D21" s="119" t="s">
        <v>317</v>
      </c>
      <c r="E21" s="113" t="s">
        <v>319</v>
      </c>
      <c r="F21" s="113"/>
      <c r="G21" s="120"/>
      <c r="H21" s="1">
        <v>1</v>
      </c>
      <c r="I21" s="1">
        <v>0</v>
      </c>
      <c r="K21" s="117" cm="1">
        <f t="array" ref="K21">PRODUCT(IF(H21:I21,$H$16:$I$16,1-$H$16:$I$16))</f>
        <v>0.32000000000000006</v>
      </c>
      <c r="L21" s="117" cm="1">
        <f t="array" ref="L21">PRODUCT(IF(H21:I21,$H$17:$I$17,1-$H$17:$I$17))</f>
        <v>0.32000000000000006</v>
      </c>
      <c r="M21" s="117">
        <f t="shared" ref="M21:M23" si="2">K21*$H$14+L21*$H$15</f>
        <v>0.32000000000000006</v>
      </c>
      <c r="N21" s="117"/>
      <c r="O21" s="118">
        <f t="shared" ref="O21:O23" si="3">K21*$H$14/M21</f>
        <v>0.5</v>
      </c>
      <c r="P21" s="118">
        <f>L21*$H$14/M21</f>
        <v>0.5</v>
      </c>
    </row>
    <row r="22" spans="1:16" x14ac:dyDescent="0.3">
      <c r="A22" s="112"/>
      <c r="B22" s="113"/>
      <c r="D22" s="119" t="s">
        <v>320</v>
      </c>
      <c r="E22" s="113" t="s">
        <v>318</v>
      </c>
      <c r="F22" s="113"/>
      <c r="G22" s="120"/>
      <c r="H22" s="1">
        <v>0</v>
      </c>
      <c r="I22" s="1">
        <v>1</v>
      </c>
      <c r="K22" s="117" cm="1">
        <f t="array" ref="K22">PRODUCT(IF(H22:I22,$H$16:$I$16,1-$H$16:$I$16))</f>
        <v>0.11999999999999997</v>
      </c>
      <c r="L22" s="117" cm="1">
        <f t="array" ref="L22">PRODUCT(IF(H22:I22,$H$17:$I$17,1-$H$17:$I$17))</f>
        <v>0.12</v>
      </c>
      <c r="M22" s="117">
        <f t="shared" si="2"/>
        <v>0.11999999999999998</v>
      </c>
      <c r="N22" s="117"/>
      <c r="O22" s="118">
        <f t="shared" si="3"/>
        <v>0.49999999999999994</v>
      </c>
      <c r="P22" s="118">
        <f>L22*$H$14/M22</f>
        <v>0.50000000000000011</v>
      </c>
    </row>
    <row r="23" spans="1:16" x14ac:dyDescent="0.3">
      <c r="A23" s="112"/>
      <c r="B23" s="113"/>
      <c r="D23" s="119" t="s">
        <v>320</v>
      </c>
      <c r="E23" s="113" t="s">
        <v>319</v>
      </c>
      <c r="F23" s="113"/>
      <c r="G23" s="120"/>
      <c r="H23" s="1">
        <v>0</v>
      </c>
      <c r="I23" s="1">
        <v>0</v>
      </c>
      <c r="K23" s="117" cm="1">
        <f t="array" ref="K23">PRODUCT(IF(H23:I23,$H$16:$I$16,1-$H$16:$I$16))</f>
        <v>7.9999999999999988E-2</v>
      </c>
      <c r="L23" s="117" cm="1">
        <f t="array" ref="L23">PRODUCT(IF(H23:I23,$H$17:$I$17,1-$H$17:$I$17))</f>
        <v>0.48</v>
      </c>
      <c r="M23" s="117">
        <f t="shared" si="2"/>
        <v>0.27999999999999997</v>
      </c>
      <c r="N23" s="117"/>
      <c r="O23" s="118">
        <f t="shared" si="3"/>
        <v>0.14285714285714285</v>
      </c>
      <c r="P23" s="118">
        <f>L23*$H$14/M23</f>
        <v>0.85714285714285721</v>
      </c>
    </row>
    <row r="24" spans="1:16" x14ac:dyDescent="0.3">
      <c r="A24" s="112"/>
      <c r="B24" s="113"/>
      <c r="D24" s="119"/>
      <c r="E24" s="113"/>
      <c r="F24" s="113"/>
      <c r="G24" s="120"/>
      <c r="K24" s="117"/>
      <c r="L24" s="117"/>
      <c r="M24" s="117"/>
      <c r="N24" s="117"/>
      <c r="O24" s="118"/>
      <c r="P24" s="118"/>
    </row>
    <row r="25" spans="1:16" x14ac:dyDescent="0.3">
      <c r="A25" s="112"/>
      <c r="B25" s="113"/>
      <c r="D25" s="119"/>
      <c r="E25" s="113"/>
      <c r="F25" s="113"/>
      <c r="G25" s="120"/>
      <c r="K25" s="117"/>
      <c r="L25" s="117"/>
      <c r="M25" s="117"/>
      <c r="N25" s="117"/>
      <c r="O25" s="118"/>
      <c r="P25" s="118"/>
    </row>
    <row r="26" spans="1:16" x14ac:dyDescent="0.3">
      <c r="A26" s="112"/>
      <c r="B26" s="113"/>
      <c r="D26" s="119"/>
      <c r="E26" s="113"/>
      <c r="F26" s="113"/>
      <c r="G26" s="120"/>
      <c r="K26" s="117"/>
      <c r="L26" s="117"/>
      <c r="M26" s="117"/>
      <c r="N26" s="117"/>
      <c r="O26" s="118"/>
      <c r="P26" s="118"/>
    </row>
    <row r="27" spans="1:16" x14ac:dyDescent="0.3">
      <c r="A27" s="112"/>
      <c r="B27" s="113"/>
      <c r="D27" s="119"/>
      <c r="E27" s="113"/>
      <c r="F27" s="113"/>
      <c r="G27" s="120"/>
      <c r="K27" s="117"/>
      <c r="L27" s="117"/>
      <c r="M27" s="117"/>
      <c r="N27" s="117"/>
      <c r="O27" s="118"/>
      <c r="P27" s="118"/>
    </row>
    <row r="28" spans="1:16" x14ac:dyDescent="0.3">
      <c r="A28" s="112"/>
      <c r="B28" s="113"/>
      <c r="D28" s="119"/>
      <c r="E28" s="113"/>
      <c r="F28" s="113"/>
      <c r="G28" s="120"/>
      <c r="K28" s="117"/>
      <c r="L28" s="117"/>
      <c r="M28" s="117"/>
      <c r="N28" s="117"/>
      <c r="O28" s="118"/>
      <c r="P28" s="118"/>
    </row>
    <row r="29" spans="1:16" x14ac:dyDescent="0.3">
      <c r="A29" s="112"/>
      <c r="B29" s="113"/>
      <c r="D29" s="121"/>
      <c r="E29" s="122"/>
      <c r="F29" s="122"/>
      <c r="G29" s="123"/>
      <c r="K29" s="117"/>
      <c r="L29" s="117"/>
      <c r="M29" s="117"/>
      <c r="N29" s="117"/>
      <c r="O29" s="118"/>
      <c r="P29" s="118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369</v>
      </c>
      <c r="B1" s="1" t="s">
        <v>370</v>
      </c>
    </row>
    <row r="2" spans="1:2" x14ac:dyDescent="0.3">
      <c r="A2" s="101" t="s">
        <v>371</v>
      </c>
      <c r="B2" s="102" t="s">
        <v>372</v>
      </c>
    </row>
    <row r="3" spans="1:2" x14ac:dyDescent="0.3">
      <c r="A3" s="101" t="s">
        <v>371</v>
      </c>
      <c r="B3" s="102" t="s">
        <v>373</v>
      </c>
    </row>
    <row r="4" spans="1:2" x14ac:dyDescent="0.3">
      <c r="A4" s="101" t="s">
        <v>371</v>
      </c>
      <c r="B4" s="102" t="s">
        <v>374</v>
      </c>
    </row>
    <row r="5" spans="1:2" x14ac:dyDescent="0.3">
      <c r="A5" s="101" t="s">
        <v>371</v>
      </c>
      <c r="B5" s="102" t="s">
        <v>375</v>
      </c>
    </row>
    <row r="6" spans="1:2" x14ac:dyDescent="0.3">
      <c r="A6" s="101" t="s">
        <v>371</v>
      </c>
      <c r="B6" s="102" t="s">
        <v>376</v>
      </c>
    </row>
    <row r="7" spans="1:2" x14ac:dyDescent="0.3">
      <c r="A7" s="101" t="s">
        <v>377</v>
      </c>
      <c r="B7" s="102" t="s">
        <v>378</v>
      </c>
    </row>
    <row r="8" spans="1:2" x14ac:dyDescent="0.3">
      <c r="A8" s="101" t="s">
        <v>377</v>
      </c>
      <c r="B8" s="102" t="s">
        <v>379</v>
      </c>
    </row>
    <row r="9" spans="1:2" x14ac:dyDescent="0.3">
      <c r="A9" s="101" t="s">
        <v>377</v>
      </c>
      <c r="B9" s="102" t="s">
        <v>380</v>
      </c>
    </row>
    <row r="10" spans="1:2" x14ac:dyDescent="0.3">
      <c r="A10" s="101" t="s">
        <v>377</v>
      </c>
      <c r="B10" s="102" t="s">
        <v>374</v>
      </c>
    </row>
    <row r="11" spans="1:2" x14ac:dyDescent="0.3">
      <c r="A11" s="101" t="s">
        <v>377</v>
      </c>
      <c r="B11" s="102" t="s">
        <v>381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369</v>
      </c>
      <c r="B1" s="1" t="s">
        <v>370</v>
      </c>
    </row>
    <row r="2" spans="1:2" x14ac:dyDescent="0.3">
      <c r="A2" s="112" t="s">
        <v>377</v>
      </c>
      <c r="B2" s="113" t="s">
        <v>382</v>
      </c>
    </row>
    <row r="3" spans="1:2" x14ac:dyDescent="0.3">
      <c r="A3" s="112" t="s">
        <v>377</v>
      </c>
      <c r="B3" s="113" t="s">
        <v>375</v>
      </c>
    </row>
    <row r="4" spans="1:2" x14ac:dyDescent="0.3">
      <c r="A4" s="112" t="s">
        <v>377</v>
      </c>
      <c r="B4" s="113" t="s">
        <v>383</v>
      </c>
    </row>
    <row r="5" spans="1:2" x14ac:dyDescent="0.3">
      <c r="A5" s="112" t="s">
        <v>377</v>
      </c>
      <c r="B5" s="113" t="s">
        <v>384</v>
      </c>
    </row>
    <row r="6" spans="1:2" x14ac:dyDescent="0.3">
      <c r="A6" s="112" t="s">
        <v>377</v>
      </c>
      <c r="B6" s="113" t="s">
        <v>385</v>
      </c>
    </row>
    <row r="7" spans="1:2" x14ac:dyDescent="0.3">
      <c r="A7" s="112" t="s">
        <v>377</v>
      </c>
      <c r="B7" s="113" t="s">
        <v>383</v>
      </c>
    </row>
    <row r="8" spans="1:2" x14ac:dyDescent="0.3">
      <c r="A8" s="112" t="s">
        <v>377</v>
      </c>
      <c r="B8" s="113" t="s">
        <v>376</v>
      </c>
    </row>
    <row r="9" spans="1:2" x14ac:dyDescent="0.3">
      <c r="A9" s="112" t="s">
        <v>386</v>
      </c>
      <c r="B9" s="113" t="s">
        <v>387</v>
      </c>
    </row>
    <row r="10" spans="1:2" x14ac:dyDescent="0.3">
      <c r="A10" s="112" t="s">
        <v>386</v>
      </c>
      <c r="B10" s="113" t="s">
        <v>388</v>
      </c>
    </row>
    <row r="11" spans="1:2" x14ac:dyDescent="0.3">
      <c r="A11" s="112" t="s">
        <v>386</v>
      </c>
      <c r="B11" s="113" t="s">
        <v>389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369</v>
      </c>
      <c r="B1" s="1" t="s">
        <v>370</v>
      </c>
      <c r="D1" s="1" t="s">
        <v>370</v>
      </c>
      <c r="H1" s="13" t="s">
        <v>383</v>
      </c>
      <c r="I1" s="13" t="s">
        <v>390</v>
      </c>
      <c r="J1" s="13" t="s">
        <v>391</v>
      </c>
      <c r="K1" s="13" t="s">
        <v>392</v>
      </c>
      <c r="L1" s="13" t="s">
        <v>385</v>
      </c>
      <c r="M1" s="13" t="s">
        <v>384</v>
      </c>
    </row>
    <row r="2" spans="1:13" x14ac:dyDescent="0.3">
      <c r="A2" s="101" t="s">
        <v>371</v>
      </c>
      <c r="B2" s="102" t="s">
        <v>372</v>
      </c>
      <c r="D2" s="103" t="s">
        <v>385</v>
      </c>
      <c r="E2" s="104" t="s">
        <v>393</v>
      </c>
      <c r="F2" s="104"/>
      <c r="G2" s="105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101" t="s">
        <v>371</v>
      </c>
      <c r="B3" s="102" t="s">
        <v>373</v>
      </c>
      <c r="D3" s="106" t="s">
        <v>385</v>
      </c>
      <c r="E3" s="102" t="s">
        <v>394</v>
      </c>
      <c r="F3" s="102"/>
      <c r="G3" s="107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101" t="s">
        <v>371</v>
      </c>
      <c r="B4" s="102" t="s">
        <v>374</v>
      </c>
      <c r="D4" s="106" t="s">
        <v>383</v>
      </c>
      <c r="E4" s="102" t="s">
        <v>395</v>
      </c>
      <c r="F4" s="102" t="s">
        <v>292</v>
      </c>
      <c r="G4" s="107" t="s">
        <v>392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101" t="s">
        <v>371</v>
      </c>
      <c r="B5" s="102" t="s">
        <v>375</v>
      </c>
      <c r="D5" s="106" t="s">
        <v>390</v>
      </c>
      <c r="E5" s="102" t="s">
        <v>396</v>
      </c>
      <c r="F5" s="102" t="s">
        <v>397</v>
      </c>
      <c r="G5" s="107" t="s">
        <v>392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101" t="s">
        <v>371</v>
      </c>
      <c r="B6" s="102" t="s">
        <v>376</v>
      </c>
      <c r="D6" s="106" t="s">
        <v>391</v>
      </c>
      <c r="E6" s="102" t="s">
        <v>390</v>
      </c>
      <c r="F6" s="102"/>
      <c r="G6" s="107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101" t="s">
        <v>377</v>
      </c>
      <c r="B7" s="102" t="s">
        <v>378</v>
      </c>
      <c r="D7" s="106" t="s">
        <v>383</v>
      </c>
      <c r="E7" s="102" t="s">
        <v>393</v>
      </c>
      <c r="F7" s="102"/>
      <c r="G7" s="107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101" t="s">
        <v>377</v>
      </c>
      <c r="B8" s="102" t="s">
        <v>379</v>
      </c>
      <c r="D8" s="106" t="s">
        <v>385</v>
      </c>
      <c r="E8" s="102" t="s">
        <v>393</v>
      </c>
      <c r="F8" s="102" t="s">
        <v>383</v>
      </c>
      <c r="G8" s="107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101" t="s">
        <v>377</v>
      </c>
      <c r="B9" s="102" t="s">
        <v>380</v>
      </c>
      <c r="D9" s="106" t="s">
        <v>383</v>
      </c>
      <c r="E9" s="102" t="s">
        <v>398</v>
      </c>
      <c r="F9" s="102"/>
      <c r="G9" s="107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101" t="s">
        <v>377</v>
      </c>
      <c r="B10" s="102" t="s">
        <v>374</v>
      </c>
      <c r="D10" s="106" t="s">
        <v>383</v>
      </c>
      <c r="E10" s="102" t="s">
        <v>395</v>
      </c>
      <c r="F10" s="102" t="s">
        <v>292</v>
      </c>
      <c r="G10" s="107" t="s">
        <v>392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101" t="s">
        <v>377</v>
      </c>
      <c r="B11" s="102" t="s">
        <v>381</v>
      </c>
      <c r="D11" s="108" t="s">
        <v>384</v>
      </c>
      <c r="E11" s="109" t="s">
        <v>399</v>
      </c>
      <c r="F11" s="109" t="s">
        <v>390</v>
      </c>
      <c r="G11" s="110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100" t="s">
        <v>324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100" t="s">
        <v>400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100" t="s">
        <v>401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100" t="s">
        <v>402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100" t="s">
        <v>403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100"/>
      <c r="H18" s="111"/>
      <c r="I18" s="111"/>
      <c r="J18" s="111"/>
      <c r="K18" s="111"/>
      <c r="L18" s="111"/>
      <c r="M18" s="111"/>
    </row>
    <row r="19" spans="1:20" ht="30" x14ac:dyDescent="0.4">
      <c r="A19" s="1" t="s">
        <v>369</v>
      </c>
      <c r="B19" s="1" t="s">
        <v>370</v>
      </c>
      <c r="D19" s="1" t="s">
        <v>370</v>
      </c>
      <c r="H19" s="13" t="s">
        <v>383</v>
      </c>
      <c r="I19" s="13" t="s">
        <v>390</v>
      </c>
      <c r="J19" s="13" t="s">
        <v>391</v>
      </c>
      <c r="K19" s="13" t="s">
        <v>392</v>
      </c>
      <c r="L19" s="13" t="s">
        <v>385</v>
      </c>
      <c r="M19" s="13" t="s">
        <v>384</v>
      </c>
      <c r="O19" s="135" t="s">
        <v>404</v>
      </c>
      <c r="P19" s="135" t="s">
        <v>405</v>
      </c>
      <c r="Q19" s="135" t="s">
        <v>331</v>
      </c>
      <c r="R19" s="135"/>
      <c r="S19" s="135" t="s">
        <v>406</v>
      </c>
      <c r="T19" s="135" t="s">
        <v>407</v>
      </c>
    </row>
    <row r="20" spans="1:20" x14ac:dyDescent="0.3">
      <c r="A20" s="112" t="s">
        <v>377</v>
      </c>
      <c r="B20" s="113" t="s">
        <v>382</v>
      </c>
      <c r="D20" s="114" t="s">
        <v>383</v>
      </c>
      <c r="E20" s="115" t="s">
        <v>395</v>
      </c>
      <c r="F20" s="115" t="s">
        <v>292</v>
      </c>
      <c r="G20" s="116" t="s">
        <v>390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17" cm="1">
        <f t="array" ref="O20">PRODUCT(IF(H20:M20,$H$16:$M$16,1-$H$16:$M$16))</f>
        <v>2.3040000000000005E-2</v>
      </c>
      <c r="P20" s="117" cm="1">
        <f t="array" ref="P20">PRODUCT(IF(H20:M20,$H$17:$M$17,1-$H$17:$M$17))</f>
        <v>8.1920000000000034E-2</v>
      </c>
      <c r="Q20" s="117">
        <f>O20*$H$14+P20*$H$15</f>
        <v>5.248000000000002E-2</v>
      </c>
      <c r="R20" s="117"/>
      <c r="S20" s="136">
        <f t="shared" ref="S20:S29" si="8">O20*$H$14/Q20</f>
        <v>0.21951219512195119</v>
      </c>
      <c r="T20" s="118">
        <f t="shared" ref="T20:T29" si="9">P20*$H$14/Q20</f>
        <v>0.78048780487804881</v>
      </c>
    </row>
    <row r="21" spans="1:20" x14ac:dyDescent="0.3">
      <c r="A21" s="112" t="s">
        <v>377</v>
      </c>
      <c r="B21" s="113" t="s">
        <v>375</v>
      </c>
      <c r="D21" s="119" t="s">
        <v>390</v>
      </c>
      <c r="E21" s="113" t="s">
        <v>396</v>
      </c>
      <c r="F21" s="113" t="s">
        <v>397</v>
      </c>
      <c r="G21" s="120" t="s">
        <v>392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17" cm="1">
        <f t="array" ref="O21">PRODUCT(IF(H21:M21,$H$16:$M$16,1-$H$16:$M$16))</f>
        <v>6.1440000000000015E-2</v>
      </c>
      <c r="P21" s="117" cm="1">
        <f t="array" ref="P21">PRODUCT(IF(H21:M21,$H$17:$M$17,1-$H$17:$M$17))</f>
        <v>5.1199999999999996E-3</v>
      </c>
      <c r="Q21" s="117">
        <f t="shared" ref="Q21:Q29" si="11">O21*$H$14+P21*$H$15</f>
        <v>3.3280000000000004E-2</v>
      </c>
      <c r="R21" s="117"/>
      <c r="S21" s="136">
        <f t="shared" si="8"/>
        <v>0.92307692307692324</v>
      </c>
      <c r="T21" s="118">
        <f t="shared" si="9"/>
        <v>7.6923076923076913E-2</v>
      </c>
    </row>
    <row r="22" spans="1:20" x14ac:dyDescent="0.3">
      <c r="A22" s="112" t="s">
        <v>377</v>
      </c>
      <c r="B22" s="113" t="s">
        <v>383</v>
      </c>
      <c r="D22" s="119" t="s">
        <v>383</v>
      </c>
      <c r="E22" s="113"/>
      <c r="F22" s="113"/>
      <c r="G22" s="120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17" cm="1">
        <f t="array" ref="O22">PRODUCT(IF(H22:M22,$H$16:$M$16,1-$H$16:$M$16))</f>
        <v>3.456E-2</v>
      </c>
      <c r="P22" s="117" cm="1">
        <f t="array" ref="P22">PRODUCT(IF(H22:M22,$H$17:$M$17,1-$H$17:$M$17))</f>
        <v>0.32768000000000014</v>
      </c>
      <c r="Q22" s="117">
        <f t="shared" si="11"/>
        <v>0.18112000000000006</v>
      </c>
      <c r="R22" s="117"/>
      <c r="S22" s="136">
        <f t="shared" si="8"/>
        <v>9.5406360424028239E-2</v>
      </c>
      <c r="T22" s="118">
        <f t="shared" si="9"/>
        <v>0.90459363957597183</v>
      </c>
    </row>
    <row r="23" spans="1:20" x14ac:dyDescent="0.3">
      <c r="A23" s="112" t="s">
        <v>377</v>
      </c>
      <c r="B23" s="113" t="s">
        <v>384</v>
      </c>
      <c r="D23" s="119" t="s">
        <v>384</v>
      </c>
      <c r="E23" s="113"/>
      <c r="F23" s="113"/>
      <c r="G23" s="120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17" cm="1">
        <f t="array" ref="O23">PRODUCT(IF(H23:M23,$H$16:$M$16,1-$H$16:$M$16))</f>
        <v>0</v>
      </c>
      <c r="P23" s="117" cm="1">
        <f t="array" ref="P23">PRODUCT(IF(H23:M23,$H$17:$M$17,1-$H$17:$M$17))</f>
        <v>2.0479999999999998E-2</v>
      </c>
      <c r="Q23" s="117">
        <f t="shared" si="11"/>
        <v>1.0239999999999999E-2</v>
      </c>
      <c r="R23" s="117"/>
      <c r="S23" s="136">
        <f t="shared" si="8"/>
        <v>0</v>
      </c>
      <c r="T23" s="118">
        <f t="shared" si="9"/>
        <v>1</v>
      </c>
    </row>
    <row r="24" spans="1:20" x14ac:dyDescent="0.3">
      <c r="A24" s="112" t="s">
        <v>377</v>
      </c>
      <c r="B24" s="113" t="s">
        <v>385</v>
      </c>
      <c r="D24" s="119" t="s">
        <v>385</v>
      </c>
      <c r="E24" s="113"/>
      <c r="F24" s="113"/>
      <c r="G24" s="120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17" cm="1">
        <f t="array" ref="O24">PRODUCT(IF(H24:M24,$H$16:$M$16,1-$H$16:$M$16))</f>
        <v>9.2160000000000006E-2</v>
      </c>
      <c r="P24" s="117" cm="1">
        <f t="array" ref="P24">PRODUCT(IF(H24:M24,$H$17:$M$17,1-$H$17:$M$17))</f>
        <v>2.0479999999999998E-2</v>
      </c>
      <c r="Q24" s="117">
        <f t="shared" si="11"/>
        <v>5.6320000000000002E-2</v>
      </c>
      <c r="R24" s="117"/>
      <c r="S24" s="136">
        <f t="shared" si="8"/>
        <v>0.81818181818181823</v>
      </c>
      <c r="T24" s="118">
        <f t="shared" si="9"/>
        <v>0.1818181818181818</v>
      </c>
    </row>
    <row r="25" spans="1:20" x14ac:dyDescent="0.3">
      <c r="A25" s="112" t="s">
        <v>377</v>
      </c>
      <c r="B25" s="113" t="s">
        <v>383</v>
      </c>
      <c r="D25" s="119" t="s">
        <v>383</v>
      </c>
      <c r="E25" s="113"/>
      <c r="F25" s="113"/>
      <c r="G25" s="120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17" cm="1">
        <f t="array" ref="O25">PRODUCT(IF(H25:M25,$H$16:$M$16,1-$H$16:$M$16))</f>
        <v>3.456E-2</v>
      </c>
      <c r="P25" s="117" cm="1">
        <f t="array" ref="P25">PRODUCT(IF(H25:M25,$H$17:$M$17,1-$H$17:$M$17))</f>
        <v>0.32768000000000014</v>
      </c>
      <c r="Q25" s="117">
        <f t="shared" si="11"/>
        <v>0.18112000000000006</v>
      </c>
      <c r="R25" s="117"/>
      <c r="S25" s="136">
        <f t="shared" si="8"/>
        <v>9.5406360424028239E-2</v>
      </c>
      <c r="T25" s="118">
        <f t="shared" si="9"/>
        <v>0.90459363957597183</v>
      </c>
    </row>
    <row r="26" spans="1:20" x14ac:dyDescent="0.3">
      <c r="A26" s="112" t="s">
        <v>377</v>
      </c>
      <c r="B26" s="113" t="s">
        <v>376</v>
      </c>
      <c r="D26" s="119" t="s">
        <v>391</v>
      </c>
      <c r="E26" s="113" t="s">
        <v>390</v>
      </c>
      <c r="F26" s="113"/>
      <c r="G26" s="120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17" cm="1">
        <f t="array" ref="O26">PRODUCT(IF(H26:M26,$H$16:$M$16,1-$H$16:$M$16))</f>
        <v>2.3040000000000005E-2</v>
      </c>
      <c r="P26" s="117" cm="1">
        <f t="array" ref="P26">PRODUCT(IF(H26:M26,$H$17:$M$17,1-$H$17:$M$17))</f>
        <v>0</v>
      </c>
      <c r="Q26" s="117">
        <f t="shared" si="11"/>
        <v>1.1520000000000002E-2</v>
      </c>
      <c r="R26" s="117"/>
      <c r="S26" s="136">
        <f t="shared" si="8"/>
        <v>1</v>
      </c>
      <c r="T26" s="118">
        <f t="shared" si="9"/>
        <v>0</v>
      </c>
    </row>
    <row r="27" spans="1:20" x14ac:dyDescent="0.3">
      <c r="A27" s="112" t="s">
        <v>386</v>
      </c>
      <c r="B27" s="113" t="s">
        <v>387</v>
      </c>
      <c r="D27" s="119" t="s">
        <v>383</v>
      </c>
      <c r="E27" s="113" t="s">
        <v>292</v>
      </c>
      <c r="F27" s="113" t="s">
        <v>392</v>
      </c>
      <c r="G27" s="120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17" cm="1">
        <f t="array" ref="O27">PRODUCT(IF(H27:M27,$H$16:$M$16,1-$H$16:$M$16))</f>
        <v>2.3040000000000001E-2</v>
      </c>
      <c r="P27" s="117" cm="1">
        <f t="array" ref="P27">PRODUCT(IF(H27:M27,$H$17:$M$17,1-$H$17:$M$17))</f>
        <v>8.1920000000000034E-2</v>
      </c>
      <c r="Q27" s="117">
        <f t="shared" si="11"/>
        <v>5.248000000000002E-2</v>
      </c>
      <c r="R27" s="117"/>
      <c r="S27" s="136">
        <f t="shared" si="8"/>
        <v>0.21951219512195116</v>
      </c>
      <c r="T27" s="118">
        <f t="shared" si="9"/>
        <v>0.78048780487804881</v>
      </c>
    </row>
    <row r="28" spans="1:20" x14ac:dyDescent="0.3">
      <c r="A28" s="112" t="s">
        <v>386</v>
      </c>
      <c r="B28" s="113" t="s">
        <v>388</v>
      </c>
      <c r="D28" s="119" t="s">
        <v>385</v>
      </c>
      <c r="E28" s="113" t="s">
        <v>397</v>
      </c>
      <c r="F28" s="113" t="s">
        <v>390</v>
      </c>
      <c r="G28" s="120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17" cm="1">
        <f t="array" ref="O28">PRODUCT(IF(H28:M28,$H$16:$M$16,1-$H$16:$M$16))</f>
        <v>6.1440000000000022E-2</v>
      </c>
      <c r="P28" s="117" cm="1">
        <f t="array" ref="P28">PRODUCT(IF(H28:M28,$H$17:$M$17,1-$H$17:$M$17))</f>
        <v>5.1199999999999996E-3</v>
      </c>
      <c r="Q28" s="117">
        <f t="shared" si="11"/>
        <v>3.3280000000000011E-2</v>
      </c>
      <c r="R28" s="117"/>
      <c r="S28" s="136">
        <f t="shared" si="8"/>
        <v>0.92307692307692313</v>
      </c>
      <c r="T28" s="118">
        <f t="shared" si="9"/>
        <v>7.6923076923076886E-2</v>
      </c>
    </row>
    <row r="29" spans="1:20" x14ac:dyDescent="0.3">
      <c r="A29" s="112" t="s">
        <v>386</v>
      </c>
      <c r="B29" s="113" t="s">
        <v>389</v>
      </c>
      <c r="D29" s="121" t="s">
        <v>385</v>
      </c>
      <c r="E29" s="122" t="s">
        <v>397</v>
      </c>
      <c r="F29" s="122" t="s">
        <v>392</v>
      </c>
      <c r="G29" s="123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17" cm="1">
        <f t="array" ref="O29">PRODUCT(IF(H29:M29,$H$16:$M$16,1-$H$16:$M$16))</f>
        <v>6.1440000000000008E-2</v>
      </c>
      <c r="P29" s="117" cm="1">
        <f t="array" ref="P29">PRODUCT(IF(H29:M29,$H$17:$M$17,1-$H$17:$M$17))</f>
        <v>5.1199999999999996E-3</v>
      </c>
      <c r="Q29" s="117">
        <f t="shared" si="11"/>
        <v>3.3280000000000004E-2</v>
      </c>
      <c r="R29" s="117"/>
      <c r="S29" s="136">
        <f t="shared" si="8"/>
        <v>0.92307692307692313</v>
      </c>
      <c r="T29" s="118">
        <f t="shared" si="9"/>
        <v>7.6923076923076913E-2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35"/>
  </cols>
  <sheetData/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419</v>
      </c>
    </row>
    <row r="2" spans="1:1" ht="26" x14ac:dyDescent="0.3">
      <c r="A2" s="1" t="s">
        <v>418</v>
      </c>
    </row>
    <row r="3" spans="1:1" ht="26" x14ac:dyDescent="0.3">
      <c r="A3" s="1" t="s">
        <v>417</v>
      </c>
    </row>
    <row r="4" spans="1:1" ht="26" x14ac:dyDescent="0.3">
      <c r="A4" s="1" t="s">
        <v>416</v>
      </c>
    </row>
    <row r="5" spans="1:1" ht="26" x14ac:dyDescent="0.3">
      <c r="A5" s="1" t="s">
        <v>415</v>
      </c>
    </row>
    <row r="6" spans="1:1" ht="26" x14ac:dyDescent="0.3">
      <c r="A6" s="1" t="s">
        <v>414</v>
      </c>
    </row>
    <row r="7" spans="1:1" ht="26" x14ac:dyDescent="0.3">
      <c r="A7" s="1" t="s">
        <v>413</v>
      </c>
    </row>
    <row r="8" spans="1:1" ht="26" x14ac:dyDescent="0.3">
      <c r="A8" s="1" t="s">
        <v>412</v>
      </c>
    </row>
    <row r="9" spans="1:1" ht="26" x14ac:dyDescent="0.3">
      <c r="A9" s="1" t="s">
        <v>411</v>
      </c>
    </row>
    <row r="10" spans="1:1" ht="26" x14ac:dyDescent="0.3">
      <c r="A10" s="1" t="s">
        <v>410</v>
      </c>
    </row>
    <row r="11" spans="1:1" ht="26" x14ac:dyDescent="0.3">
      <c r="A11" s="1" t="s">
        <v>409</v>
      </c>
    </row>
    <row r="12" spans="1:1" ht="26" x14ac:dyDescent="0.3">
      <c r="A12" s="1" t="s">
        <v>408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37"/>
  </cols>
  <sheetData>
    <row r="2" spans="2:4" x14ac:dyDescent="0.35">
      <c r="B2" s="137" t="s">
        <v>422</v>
      </c>
    </row>
    <row r="4" spans="2:4" x14ac:dyDescent="0.35">
      <c r="C4" s="137" t="s">
        <v>421</v>
      </c>
    </row>
    <row r="6" spans="2:4" x14ac:dyDescent="0.35">
      <c r="D6" s="137" t="s">
        <v>420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0.33203125" style="135" bestFit="1" customWidth="1"/>
    <col min="3" max="3" width="7" style="135" bestFit="1" customWidth="1"/>
    <col min="4" max="4" width="6.1640625" style="135" bestFit="1" customWidth="1"/>
    <col min="5" max="5" width="9.6640625" style="135" bestFit="1" customWidth="1"/>
    <col min="6" max="6" width="12.6640625" style="135" bestFit="1" customWidth="1"/>
    <col min="7" max="7" width="7.83203125" style="135" bestFit="1" customWidth="1"/>
    <col min="8" max="8" width="7.6640625" style="135" bestFit="1" customWidth="1"/>
    <col min="9" max="9" width="13.6640625" style="135" bestFit="1" customWidth="1"/>
    <col min="10" max="10" width="15" style="135" bestFit="1" customWidth="1"/>
    <col min="11" max="11" width="10.83203125" style="135"/>
    <col min="12" max="12" width="15" style="135" bestFit="1" customWidth="1"/>
    <col min="13" max="16384" width="10.83203125" style="135"/>
  </cols>
  <sheetData>
    <row r="3" spans="2:9" x14ac:dyDescent="0.3">
      <c r="B3" s="135" t="s">
        <v>430</v>
      </c>
      <c r="C3" s="135" t="s">
        <v>429</v>
      </c>
      <c r="D3" s="135" t="s">
        <v>428</v>
      </c>
      <c r="E3" s="135" t="s">
        <v>427</v>
      </c>
      <c r="F3" s="135" t="s">
        <v>426</v>
      </c>
      <c r="G3" s="135" t="s">
        <v>425</v>
      </c>
      <c r="H3" s="135" t="s">
        <v>424</v>
      </c>
      <c r="I3" s="135" t="s">
        <v>423</v>
      </c>
    </row>
    <row r="4" spans="2:9" x14ac:dyDescent="0.3">
      <c r="B4" s="135">
        <v>1</v>
      </c>
      <c r="C4" s="135">
        <v>1</v>
      </c>
      <c r="D4" s="135">
        <v>1</v>
      </c>
      <c r="E4" s="135">
        <v>1</v>
      </c>
      <c r="F4" s="135">
        <v>1</v>
      </c>
      <c r="G4" s="135">
        <v>0</v>
      </c>
      <c r="H4" s="135">
        <v>0</v>
      </c>
      <c r="I4" s="135">
        <v>0</v>
      </c>
    </row>
    <row r="5" spans="2:9" x14ac:dyDescent="0.3">
      <c r="B5" s="135">
        <v>1</v>
      </c>
      <c r="C5" s="135">
        <v>0</v>
      </c>
      <c r="D5" s="135">
        <v>1</v>
      </c>
      <c r="E5" s="135">
        <v>1</v>
      </c>
      <c r="F5" s="135">
        <v>0</v>
      </c>
      <c r="G5" s="135">
        <v>0</v>
      </c>
      <c r="H5" s="135">
        <v>0</v>
      </c>
      <c r="I5" s="135">
        <v>1</v>
      </c>
    </row>
    <row r="6" spans="2:9" x14ac:dyDescent="0.3">
      <c r="B6" s="135">
        <v>0</v>
      </c>
      <c r="C6" s="135">
        <v>1</v>
      </c>
      <c r="D6" s="135">
        <v>1</v>
      </c>
      <c r="E6" s="135">
        <v>1</v>
      </c>
      <c r="F6" s="135">
        <v>0</v>
      </c>
      <c r="G6" s="135">
        <v>1</v>
      </c>
      <c r="H6" s="135">
        <v>1</v>
      </c>
      <c r="I6" s="135">
        <v>1</v>
      </c>
    </row>
    <row r="7" spans="2:9" x14ac:dyDescent="0.3">
      <c r="B7" s="135">
        <v>1</v>
      </c>
      <c r="C7" s="135">
        <v>0</v>
      </c>
      <c r="D7" s="135">
        <v>1</v>
      </c>
      <c r="E7" s="135">
        <v>1</v>
      </c>
      <c r="F7" s="135">
        <v>0</v>
      </c>
      <c r="G7" s="135">
        <v>0</v>
      </c>
      <c r="H7" s="135">
        <v>0</v>
      </c>
      <c r="I7" s="135">
        <v>1</v>
      </c>
    </row>
    <row r="8" spans="2:9" x14ac:dyDescent="0.3">
      <c r="B8" s="135">
        <v>1</v>
      </c>
      <c r="C8" s="135">
        <v>1</v>
      </c>
      <c r="D8" s="135">
        <v>1</v>
      </c>
      <c r="E8" s="135">
        <v>1</v>
      </c>
      <c r="F8" s="135">
        <v>1</v>
      </c>
      <c r="G8" s="135">
        <v>0</v>
      </c>
      <c r="H8" s="135">
        <v>0</v>
      </c>
      <c r="I8" s="135">
        <v>0</v>
      </c>
    </row>
    <row r="9" spans="2:9" x14ac:dyDescent="0.3">
      <c r="B9" s="135">
        <v>1</v>
      </c>
      <c r="C9" s="135">
        <v>0</v>
      </c>
      <c r="D9" s="135">
        <v>1</v>
      </c>
      <c r="E9" s="135">
        <v>1</v>
      </c>
      <c r="F9" s="135">
        <v>0</v>
      </c>
      <c r="G9" s="135">
        <v>0</v>
      </c>
      <c r="H9" s="135">
        <v>0</v>
      </c>
      <c r="I9" s="135">
        <v>1</v>
      </c>
    </row>
    <row r="10" spans="2:9" x14ac:dyDescent="0.3">
      <c r="B10" s="135">
        <v>0</v>
      </c>
      <c r="C10" s="135">
        <v>1</v>
      </c>
      <c r="D10" s="135">
        <v>1</v>
      </c>
      <c r="E10" s="135">
        <v>1</v>
      </c>
      <c r="F10" s="135">
        <v>0</v>
      </c>
      <c r="G10" s="135">
        <v>1</v>
      </c>
      <c r="H10" s="135">
        <v>1</v>
      </c>
      <c r="I10" s="135">
        <v>1</v>
      </c>
    </row>
    <row r="11" spans="2:9" x14ac:dyDescent="0.3">
      <c r="B11" s="135">
        <v>1</v>
      </c>
      <c r="C11" s="135">
        <v>0</v>
      </c>
      <c r="D11" s="135">
        <v>1</v>
      </c>
      <c r="E11" s="135">
        <v>1</v>
      </c>
      <c r="F11" s="135">
        <v>0</v>
      </c>
      <c r="G11" s="135">
        <v>0</v>
      </c>
      <c r="H11" s="135">
        <v>0</v>
      </c>
      <c r="I11" s="135">
        <v>1</v>
      </c>
    </row>
    <row r="12" spans="2:9" x14ac:dyDescent="0.3">
      <c r="B12" s="135">
        <v>0</v>
      </c>
      <c r="C12" s="135">
        <v>1</v>
      </c>
      <c r="D12" s="135">
        <v>1</v>
      </c>
      <c r="E12" s="135">
        <v>1</v>
      </c>
      <c r="F12" s="135">
        <v>0</v>
      </c>
      <c r="G12" s="135">
        <v>1</v>
      </c>
      <c r="H12" s="135">
        <v>1</v>
      </c>
      <c r="I12" s="135">
        <v>1</v>
      </c>
    </row>
    <row r="13" spans="2:9" x14ac:dyDescent="0.3">
      <c r="B13" s="135">
        <v>1</v>
      </c>
      <c r="C13" s="135">
        <v>0</v>
      </c>
      <c r="D13" s="135">
        <v>1</v>
      </c>
      <c r="E13" s="135">
        <v>1</v>
      </c>
      <c r="F13" s="135">
        <v>0</v>
      </c>
      <c r="G13" s="135">
        <v>0</v>
      </c>
      <c r="H13" s="135">
        <v>0</v>
      </c>
      <c r="I13" s="135">
        <v>1</v>
      </c>
    </row>
    <row r="14" spans="2:9" x14ac:dyDescent="0.3">
      <c r="B14" s="135">
        <v>1</v>
      </c>
      <c r="C14" s="135">
        <v>0</v>
      </c>
      <c r="D14" s="135">
        <v>1</v>
      </c>
      <c r="E14" s="135">
        <v>1</v>
      </c>
      <c r="F14" s="135">
        <v>0</v>
      </c>
      <c r="G14" s="135">
        <v>0</v>
      </c>
      <c r="H14" s="135">
        <v>0</v>
      </c>
      <c r="I14" s="135">
        <v>1</v>
      </c>
    </row>
    <row r="15" spans="2:9" x14ac:dyDescent="0.3">
      <c r="B15" s="135">
        <v>1</v>
      </c>
      <c r="C15" s="135">
        <v>1</v>
      </c>
      <c r="D15" s="135">
        <v>1</v>
      </c>
      <c r="E15" s="135">
        <v>1</v>
      </c>
      <c r="F15" s="135">
        <v>1</v>
      </c>
      <c r="G15" s="135">
        <v>0</v>
      </c>
      <c r="H15" s="135">
        <v>0</v>
      </c>
      <c r="I15" s="135">
        <v>0</v>
      </c>
    </row>
    <row r="16" spans="2:9" x14ac:dyDescent="0.3">
      <c r="B16" s="135">
        <v>0</v>
      </c>
      <c r="C16" s="135">
        <v>1</v>
      </c>
      <c r="D16" s="135">
        <v>1</v>
      </c>
      <c r="E16" s="135">
        <v>1</v>
      </c>
      <c r="F16" s="135">
        <v>0</v>
      </c>
      <c r="G16" s="135">
        <v>1</v>
      </c>
      <c r="H16" s="135">
        <v>1</v>
      </c>
      <c r="I16" s="135">
        <v>1</v>
      </c>
    </row>
    <row r="17" spans="2:9" x14ac:dyDescent="0.3">
      <c r="B17" s="135">
        <v>0</v>
      </c>
      <c r="C17" s="135">
        <v>1</v>
      </c>
      <c r="D17" s="135">
        <v>1</v>
      </c>
      <c r="E17" s="135">
        <v>1</v>
      </c>
      <c r="F17" s="135">
        <v>0</v>
      </c>
      <c r="G17" s="135">
        <v>1</v>
      </c>
      <c r="H17" s="135">
        <v>1</v>
      </c>
      <c r="I17" s="135">
        <v>1</v>
      </c>
    </row>
    <row r="18" spans="2:9" x14ac:dyDescent="0.3">
      <c r="B18" s="135">
        <v>1</v>
      </c>
      <c r="C18" s="135">
        <v>1</v>
      </c>
      <c r="D18" s="135">
        <v>1</v>
      </c>
      <c r="E18" s="135">
        <v>1</v>
      </c>
      <c r="F18" s="135">
        <v>1</v>
      </c>
      <c r="G18" s="135">
        <v>0</v>
      </c>
      <c r="H18" s="135">
        <v>0</v>
      </c>
      <c r="I18" s="135">
        <v>0</v>
      </c>
    </row>
    <row r="19" spans="2:9" x14ac:dyDescent="0.3">
      <c r="B19" s="135">
        <v>0</v>
      </c>
      <c r="C19" s="135">
        <v>1</v>
      </c>
      <c r="D19" s="135">
        <v>1</v>
      </c>
      <c r="E19" s="135">
        <v>1</v>
      </c>
      <c r="F19" s="135">
        <v>0</v>
      </c>
      <c r="G19" s="135">
        <v>1</v>
      </c>
      <c r="H19" s="135">
        <v>1</v>
      </c>
      <c r="I19" s="135">
        <v>1</v>
      </c>
    </row>
    <row r="20" spans="2:9" x14ac:dyDescent="0.3">
      <c r="B20" s="135">
        <v>1</v>
      </c>
      <c r="C20" s="135">
        <v>0</v>
      </c>
      <c r="D20" s="135">
        <v>1</v>
      </c>
      <c r="E20" s="135">
        <v>1</v>
      </c>
      <c r="F20" s="135">
        <v>0</v>
      </c>
      <c r="G20" s="135">
        <v>0</v>
      </c>
      <c r="H20" s="135">
        <v>0</v>
      </c>
      <c r="I20" s="135">
        <v>1</v>
      </c>
    </row>
    <row r="21" spans="2:9" x14ac:dyDescent="0.3">
      <c r="B21" s="135">
        <v>1</v>
      </c>
      <c r="C21" s="135">
        <v>0</v>
      </c>
      <c r="D21" s="135">
        <v>1</v>
      </c>
      <c r="E21" s="135">
        <v>1</v>
      </c>
      <c r="F21" s="135">
        <v>0</v>
      </c>
      <c r="G21" s="135">
        <v>0</v>
      </c>
      <c r="H21" s="135">
        <v>0</v>
      </c>
      <c r="I21" s="135">
        <v>1</v>
      </c>
    </row>
    <row r="22" spans="2:9" x14ac:dyDescent="0.3">
      <c r="B22" s="135">
        <v>0</v>
      </c>
      <c r="C22" s="135">
        <v>1</v>
      </c>
      <c r="D22" s="135">
        <v>1</v>
      </c>
      <c r="E22" s="135">
        <v>1</v>
      </c>
      <c r="F22" s="135">
        <v>0</v>
      </c>
      <c r="G22" s="135">
        <v>1</v>
      </c>
      <c r="H22" s="135">
        <v>1</v>
      </c>
      <c r="I22" s="135">
        <v>1</v>
      </c>
    </row>
    <row r="23" spans="2:9" x14ac:dyDescent="0.3">
      <c r="B23" s="135">
        <v>1</v>
      </c>
      <c r="C23" s="135">
        <v>0</v>
      </c>
      <c r="D23" s="135">
        <v>1</v>
      </c>
      <c r="E23" s="135">
        <v>1</v>
      </c>
      <c r="F23" s="135">
        <v>0</v>
      </c>
      <c r="G23" s="135">
        <v>0</v>
      </c>
      <c r="H23" s="135">
        <v>0</v>
      </c>
      <c r="I23" s="135">
        <v>1</v>
      </c>
    </row>
    <row r="24" spans="2:9" x14ac:dyDescent="0.3">
      <c r="B24" s="135">
        <v>1</v>
      </c>
      <c r="C24" s="135">
        <v>0</v>
      </c>
      <c r="D24" s="135">
        <v>1</v>
      </c>
      <c r="E24" s="135">
        <v>1</v>
      </c>
      <c r="F24" s="135">
        <v>0</v>
      </c>
      <c r="G24" s="135">
        <v>0</v>
      </c>
      <c r="H24" s="135">
        <v>0</v>
      </c>
      <c r="I24" s="135">
        <v>1</v>
      </c>
    </row>
    <row r="25" spans="2:9" x14ac:dyDescent="0.3">
      <c r="B25" s="135">
        <v>1</v>
      </c>
      <c r="C25" s="135">
        <v>1</v>
      </c>
      <c r="D25" s="135">
        <v>1</v>
      </c>
      <c r="E25" s="135">
        <v>1</v>
      </c>
      <c r="F25" s="135">
        <v>1</v>
      </c>
      <c r="G25" s="135">
        <v>0</v>
      </c>
      <c r="H25" s="135">
        <v>0</v>
      </c>
      <c r="I25" s="135">
        <v>0</v>
      </c>
    </row>
    <row r="26" spans="2:9" x14ac:dyDescent="0.3">
      <c r="B26" s="135">
        <v>0</v>
      </c>
      <c r="C26" s="135">
        <v>1</v>
      </c>
      <c r="D26" s="135">
        <v>1</v>
      </c>
      <c r="E26" s="135">
        <v>1</v>
      </c>
      <c r="F26" s="135">
        <v>0</v>
      </c>
      <c r="G26" s="135">
        <v>1</v>
      </c>
      <c r="H26" s="135">
        <v>1</v>
      </c>
      <c r="I26" s="135">
        <v>1</v>
      </c>
    </row>
    <row r="27" spans="2:9" x14ac:dyDescent="0.3">
      <c r="B27" s="135">
        <v>0</v>
      </c>
      <c r="C27" s="135">
        <v>1</v>
      </c>
      <c r="D27" s="135">
        <v>1</v>
      </c>
      <c r="E27" s="135">
        <v>1</v>
      </c>
      <c r="F27" s="135">
        <v>0</v>
      </c>
      <c r="G27" s="135">
        <v>1</v>
      </c>
      <c r="H27" s="135">
        <v>1</v>
      </c>
      <c r="I27" s="135">
        <v>1</v>
      </c>
    </row>
  </sheetData>
  <dataConsolidate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33203125" style="135" bestFit="1" customWidth="1"/>
    <col min="4" max="4" width="7" style="135" bestFit="1" customWidth="1"/>
    <col min="5" max="5" width="6.1640625" style="135" bestFit="1" customWidth="1"/>
    <col min="6" max="6" width="9.6640625" style="135" bestFit="1" customWidth="1"/>
    <col min="7" max="7" width="12.6640625" style="135" bestFit="1" customWidth="1"/>
    <col min="8" max="8" width="7.83203125" style="135" bestFit="1" customWidth="1"/>
    <col min="9" max="9" width="7.6640625" style="135" bestFit="1" customWidth="1"/>
    <col min="10" max="10" width="13.6640625" style="135" bestFit="1" customWidth="1"/>
    <col min="11" max="11" width="13.6640625" style="135" customWidth="1"/>
    <col min="12" max="12" width="15" style="135" bestFit="1" customWidth="1"/>
    <col min="13" max="13" width="10.83203125" style="135"/>
    <col min="14" max="14" width="15" style="135" bestFit="1" customWidth="1"/>
    <col min="15" max="15" width="15.83203125" style="135" bestFit="1" customWidth="1"/>
    <col min="16" max="16384" width="10.83203125" style="135"/>
  </cols>
  <sheetData>
    <row r="3" spans="2:15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</row>
    <row r="4" spans="2:15" x14ac:dyDescent="0.3">
      <c r="B4" s="100" t="str">
        <f t="shared" ref="B4:B27" si="0">VLOOKUP(L4,$N$4:$O$6,2,0)</f>
        <v>Athletic</v>
      </c>
      <c r="C4" s="135">
        <v>1</v>
      </c>
      <c r="D4" s="135">
        <v>1</v>
      </c>
      <c r="E4" s="135">
        <v>1</v>
      </c>
      <c r="F4" s="135">
        <v>1</v>
      </c>
      <c r="G4" s="135">
        <v>1</v>
      </c>
      <c r="H4" s="135">
        <v>0</v>
      </c>
      <c r="I4" s="135">
        <v>0</v>
      </c>
      <c r="J4" s="135">
        <v>0</v>
      </c>
      <c r="L4" s="135" t="str">
        <f t="shared" ref="L4:L27" si="1">C4&amp;D4&amp;E4&amp;F4&amp;G4&amp;H4&amp;I4&amp;J4</f>
        <v>11111000</v>
      </c>
      <c r="N4" s="135" t="s">
        <v>436</v>
      </c>
      <c r="O4" s="135" t="s">
        <v>435</v>
      </c>
    </row>
    <row r="5" spans="2:15" x14ac:dyDescent="0.3">
      <c r="B5" s="100" t="str">
        <f t="shared" si="0"/>
        <v>Brutish</v>
      </c>
      <c r="C5" s="135">
        <v>1</v>
      </c>
      <c r="D5" s="135">
        <v>0</v>
      </c>
      <c r="E5" s="135">
        <v>1</v>
      </c>
      <c r="F5" s="135">
        <v>1</v>
      </c>
      <c r="G5" s="135">
        <v>0</v>
      </c>
      <c r="H5" s="135">
        <v>0</v>
      </c>
      <c r="I5" s="135">
        <v>0</v>
      </c>
      <c r="J5" s="135">
        <v>1</v>
      </c>
      <c r="L5" s="135" t="str">
        <f t="shared" si="1"/>
        <v>10110001</v>
      </c>
      <c r="N5" s="135" t="s">
        <v>434</v>
      </c>
      <c r="O5" s="135" t="s">
        <v>433</v>
      </c>
    </row>
    <row r="6" spans="2:15" x14ac:dyDescent="0.3">
      <c r="B6" s="100" t="str">
        <f t="shared" si="0"/>
        <v>Aggressive</v>
      </c>
      <c r="C6" s="135">
        <v>0</v>
      </c>
      <c r="D6" s="135">
        <v>1</v>
      </c>
      <c r="E6" s="135">
        <v>1</v>
      </c>
      <c r="F6" s="135">
        <v>1</v>
      </c>
      <c r="G6" s="135">
        <v>0</v>
      </c>
      <c r="H6" s="135">
        <v>1</v>
      </c>
      <c r="I6" s="135">
        <v>1</v>
      </c>
      <c r="J6" s="135">
        <v>1</v>
      </c>
      <c r="L6" s="135" t="str">
        <f t="shared" si="1"/>
        <v>01110111</v>
      </c>
      <c r="N6" s="135" t="s">
        <v>432</v>
      </c>
      <c r="O6" s="135" t="s">
        <v>431</v>
      </c>
    </row>
    <row r="7" spans="2:15" x14ac:dyDescent="0.3">
      <c r="B7" s="100" t="str">
        <f t="shared" si="0"/>
        <v>Brutish</v>
      </c>
      <c r="C7" s="135">
        <v>1</v>
      </c>
      <c r="D7" s="135">
        <v>0</v>
      </c>
      <c r="E7" s="135">
        <v>1</v>
      </c>
      <c r="F7" s="135">
        <v>1</v>
      </c>
      <c r="G7" s="135">
        <v>0</v>
      </c>
      <c r="H7" s="135">
        <v>0</v>
      </c>
      <c r="I7" s="135">
        <v>0</v>
      </c>
      <c r="J7" s="135">
        <v>1</v>
      </c>
      <c r="L7" s="135" t="str">
        <f t="shared" si="1"/>
        <v>10110001</v>
      </c>
    </row>
    <row r="8" spans="2:15" x14ac:dyDescent="0.3">
      <c r="B8" s="100" t="str">
        <f t="shared" si="0"/>
        <v>Athletic</v>
      </c>
      <c r="C8" s="135">
        <v>1</v>
      </c>
      <c r="D8" s="135">
        <v>1</v>
      </c>
      <c r="E8" s="135">
        <v>1</v>
      </c>
      <c r="F8" s="135">
        <v>1</v>
      </c>
      <c r="G8" s="135">
        <v>1</v>
      </c>
      <c r="H8" s="135">
        <v>0</v>
      </c>
      <c r="I8" s="135">
        <v>0</v>
      </c>
      <c r="J8" s="135">
        <v>0</v>
      </c>
      <c r="L8" s="135" t="str">
        <f t="shared" si="1"/>
        <v>11111000</v>
      </c>
    </row>
    <row r="9" spans="2:15" x14ac:dyDescent="0.3">
      <c r="B9" s="100" t="str">
        <f t="shared" si="0"/>
        <v>Brutish</v>
      </c>
      <c r="C9" s="135">
        <v>1</v>
      </c>
      <c r="D9" s="135">
        <v>0</v>
      </c>
      <c r="E9" s="135">
        <v>1</v>
      </c>
      <c r="F9" s="135">
        <v>1</v>
      </c>
      <c r="G9" s="135">
        <v>0</v>
      </c>
      <c r="H9" s="135">
        <v>0</v>
      </c>
      <c r="I9" s="135">
        <v>0</v>
      </c>
      <c r="J9" s="135">
        <v>1</v>
      </c>
      <c r="L9" s="135" t="str">
        <f t="shared" si="1"/>
        <v>10110001</v>
      </c>
    </row>
    <row r="10" spans="2:15" x14ac:dyDescent="0.3">
      <c r="B10" s="100" t="str">
        <f t="shared" si="0"/>
        <v>Aggressive</v>
      </c>
      <c r="C10" s="135">
        <v>0</v>
      </c>
      <c r="D10" s="135">
        <v>1</v>
      </c>
      <c r="E10" s="135">
        <v>1</v>
      </c>
      <c r="F10" s="135">
        <v>1</v>
      </c>
      <c r="G10" s="135">
        <v>0</v>
      </c>
      <c r="H10" s="135">
        <v>1</v>
      </c>
      <c r="I10" s="135">
        <v>1</v>
      </c>
      <c r="J10" s="135">
        <v>1</v>
      </c>
      <c r="L10" s="135" t="str">
        <f t="shared" si="1"/>
        <v>01110111</v>
      </c>
    </row>
    <row r="11" spans="2:15" x14ac:dyDescent="0.3">
      <c r="B11" s="100" t="str">
        <f t="shared" si="0"/>
        <v>Brutish</v>
      </c>
      <c r="C11" s="135">
        <v>1</v>
      </c>
      <c r="D11" s="135">
        <v>0</v>
      </c>
      <c r="E11" s="135">
        <v>1</v>
      </c>
      <c r="F11" s="135">
        <v>1</v>
      </c>
      <c r="G11" s="135">
        <v>0</v>
      </c>
      <c r="H11" s="135">
        <v>0</v>
      </c>
      <c r="I11" s="135">
        <v>0</v>
      </c>
      <c r="J11" s="135">
        <v>1</v>
      </c>
      <c r="L11" s="135" t="str">
        <f t="shared" si="1"/>
        <v>10110001</v>
      </c>
    </row>
    <row r="12" spans="2:15" x14ac:dyDescent="0.3">
      <c r="B12" s="100" t="str">
        <f t="shared" si="0"/>
        <v>Aggressive</v>
      </c>
      <c r="C12" s="135">
        <v>0</v>
      </c>
      <c r="D12" s="135">
        <v>1</v>
      </c>
      <c r="E12" s="135">
        <v>1</v>
      </c>
      <c r="F12" s="135">
        <v>1</v>
      </c>
      <c r="G12" s="135">
        <v>0</v>
      </c>
      <c r="H12" s="135">
        <v>1</v>
      </c>
      <c r="I12" s="135">
        <v>1</v>
      </c>
      <c r="J12" s="135">
        <v>1</v>
      </c>
      <c r="L12" s="135" t="str">
        <f t="shared" si="1"/>
        <v>01110111</v>
      </c>
    </row>
    <row r="13" spans="2:15" x14ac:dyDescent="0.3">
      <c r="B13" s="100" t="str">
        <f t="shared" si="0"/>
        <v>Brutish</v>
      </c>
      <c r="C13" s="135">
        <v>1</v>
      </c>
      <c r="D13" s="135">
        <v>0</v>
      </c>
      <c r="E13" s="135">
        <v>1</v>
      </c>
      <c r="F13" s="135">
        <v>1</v>
      </c>
      <c r="G13" s="135">
        <v>0</v>
      </c>
      <c r="H13" s="135">
        <v>0</v>
      </c>
      <c r="I13" s="135">
        <v>0</v>
      </c>
      <c r="J13" s="135">
        <v>1</v>
      </c>
      <c r="L13" s="135" t="str">
        <f t="shared" si="1"/>
        <v>10110001</v>
      </c>
    </row>
    <row r="14" spans="2:15" x14ac:dyDescent="0.3">
      <c r="B14" s="100" t="str">
        <f t="shared" si="0"/>
        <v>Brutish</v>
      </c>
      <c r="C14" s="135">
        <v>1</v>
      </c>
      <c r="D14" s="135">
        <v>0</v>
      </c>
      <c r="E14" s="135">
        <v>1</v>
      </c>
      <c r="F14" s="135">
        <v>1</v>
      </c>
      <c r="G14" s="135">
        <v>0</v>
      </c>
      <c r="H14" s="135">
        <v>0</v>
      </c>
      <c r="I14" s="135">
        <v>0</v>
      </c>
      <c r="J14" s="135">
        <v>1</v>
      </c>
      <c r="L14" s="135" t="str">
        <f t="shared" si="1"/>
        <v>10110001</v>
      </c>
    </row>
    <row r="15" spans="2:15" x14ac:dyDescent="0.3">
      <c r="B15" s="100" t="str">
        <f t="shared" si="0"/>
        <v>Athletic</v>
      </c>
      <c r="C15" s="135">
        <v>1</v>
      </c>
      <c r="D15" s="135">
        <v>1</v>
      </c>
      <c r="E15" s="135">
        <v>1</v>
      </c>
      <c r="F15" s="135">
        <v>1</v>
      </c>
      <c r="G15" s="135">
        <v>1</v>
      </c>
      <c r="H15" s="135">
        <v>0</v>
      </c>
      <c r="I15" s="135">
        <v>0</v>
      </c>
      <c r="J15" s="135">
        <v>0</v>
      </c>
      <c r="L15" s="135" t="str">
        <f t="shared" si="1"/>
        <v>11111000</v>
      </c>
    </row>
    <row r="16" spans="2:15" x14ac:dyDescent="0.3">
      <c r="B16" s="100" t="str">
        <f t="shared" si="0"/>
        <v>Aggressive</v>
      </c>
      <c r="C16" s="135">
        <v>0</v>
      </c>
      <c r="D16" s="135">
        <v>1</v>
      </c>
      <c r="E16" s="135">
        <v>1</v>
      </c>
      <c r="F16" s="135">
        <v>1</v>
      </c>
      <c r="G16" s="135">
        <v>0</v>
      </c>
      <c r="H16" s="135">
        <v>1</v>
      </c>
      <c r="I16" s="135">
        <v>1</v>
      </c>
      <c r="J16" s="135">
        <v>1</v>
      </c>
      <c r="L16" s="135" t="str">
        <f t="shared" si="1"/>
        <v>01110111</v>
      </c>
    </row>
    <row r="17" spans="2:12" x14ac:dyDescent="0.3">
      <c r="B17" s="100" t="str">
        <f t="shared" si="0"/>
        <v>Aggressive</v>
      </c>
      <c r="C17" s="135">
        <v>0</v>
      </c>
      <c r="D17" s="135">
        <v>1</v>
      </c>
      <c r="E17" s="135">
        <v>1</v>
      </c>
      <c r="F17" s="135">
        <v>1</v>
      </c>
      <c r="G17" s="135">
        <v>0</v>
      </c>
      <c r="H17" s="135">
        <v>1</v>
      </c>
      <c r="I17" s="135">
        <v>1</v>
      </c>
      <c r="J17" s="135">
        <v>1</v>
      </c>
      <c r="L17" s="135" t="str">
        <f t="shared" si="1"/>
        <v>01110111</v>
      </c>
    </row>
    <row r="18" spans="2:12" x14ac:dyDescent="0.3">
      <c r="B18" s="100" t="str">
        <f t="shared" si="0"/>
        <v>Athletic</v>
      </c>
      <c r="C18" s="135">
        <v>1</v>
      </c>
      <c r="D18" s="135">
        <v>1</v>
      </c>
      <c r="E18" s="135">
        <v>1</v>
      </c>
      <c r="F18" s="135">
        <v>1</v>
      </c>
      <c r="G18" s="135">
        <v>1</v>
      </c>
      <c r="H18" s="135">
        <v>0</v>
      </c>
      <c r="I18" s="135">
        <v>0</v>
      </c>
      <c r="J18" s="135">
        <v>0</v>
      </c>
      <c r="L18" s="135" t="str">
        <f t="shared" si="1"/>
        <v>11111000</v>
      </c>
    </row>
    <row r="19" spans="2:12" x14ac:dyDescent="0.3">
      <c r="B19" s="100" t="str">
        <f t="shared" si="0"/>
        <v>Aggressive</v>
      </c>
      <c r="C19" s="135">
        <v>0</v>
      </c>
      <c r="D19" s="135">
        <v>1</v>
      </c>
      <c r="E19" s="135">
        <v>1</v>
      </c>
      <c r="F19" s="135">
        <v>1</v>
      </c>
      <c r="G19" s="135">
        <v>0</v>
      </c>
      <c r="H19" s="135">
        <v>1</v>
      </c>
      <c r="I19" s="135">
        <v>1</v>
      </c>
      <c r="J19" s="135">
        <v>1</v>
      </c>
      <c r="L19" s="135" t="str">
        <f t="shared" si="1"/>
        <v>01110111</v>
      </c>
    </row>
    <row r="20" spans="2:12" x14ac:dyDescent="0.3">
      <c r="B20" s="100" t="str">
        <f t="shared" si="0"/>
        <v>Brutish</v>
      </c>
      <c r="C20" s="135">
        <v>1</v>
      </c>
      <c r="D20" s="135">
        <v>0</v>
      </c>
      <c r="E20" s="135">
        <v>1</v>
      </c>
      <c r="F20" s="135">
        <v>1</v>
      </c>
      <c r="G20" s="135">
        <v>0</v>
      </c>
      <c r="H20" s="135">
        <v>0</v>
      </c>
      <c r="I20" s="135">
        <v>0</v>
      </c>
      <c r="J20" s="135">
        <v>1</v>
      </c>
      <c r="L20" s="135" t="str">
        <f t="shared" si="1"/>
        <v>10110001</v>
      </c>
    </row>
    <row r="21" spans="2:12" x14ac:dyDescent="0.3">
      <c r="B21" s="100" t="str">
        <f t="shared" si="0"/>
        <v>Brutish</v>
      </c>
      <c r="C21" s="135">
        <v>1</v>
      </c>
      <c r="D21" s="135">
        <v>0</v>
      </c>
      <c r="E21" s="135">
        <v>1</v>
      </c>
      <c r="F21" s="135">
        <v>1</v>
      </c>
      <c r="G21" s="135">
        <v>0</v>
      </c>
      <c r="H21" s="135">
        <v>0</v>
      </c>
      <c r="I21" s="135">
        <v>0</v>
      </c>
      <c r="J21" s="135">
        <v>1</v>
      </c>
      <c r="L21" s="135" t="str">
        <f t="shared" si="1"/>
        <v>10110001</v>
      </c>
    </row>
    <row r="22" spans="2:12" x14ac:dyDescent="0.3">
      <c r="B22" s="100" t="str">
        <f t="shared" si="0"/>
        <v>Aggressive</v>
      </c>
      <c r="C22" s="135">
        <v>0</v>
      </c>
      <c r="D22" s="135">
        <v>1</v>
      </c>
      <c r="E22" s="135">
        <v>1</v>
      </c>
      <c r="F22" s="135">
        <v>1</v>
      </c>
      <c r="G22" s="135">
        <v>0</v>
      </c>
      <c r="H22" s="135">
        <v>1</v>
      </c>
      <c r="I22" s="135">
        <v>1</v>
      </c>
      <c r="J22" s="135">
        <v>1</v>
      </c>
      <c r="L22" s="135" t="str">
        <f t="shared" si="1"/>
        <v>01110111</v>
      </c>
    </row>
    <row r="23" spans="2:12" x14ac:dyDescent="0.3">
      <c r="B23" s="100" t="str">
        <f t="shared" si="0"/>
        <v>Brutish</v>
      </c>
      <c r="C23" s="135">
        <v>1</v>
      </c>
      <c r="D23" s="135">
        <v>0</v>
      </c>
      <c r="E23" s="135">
        <v>1</v>
      </c>
      <c r="F23" s="135">
        <v>1</v>
      </c>
      <c r="G23" s="135">
        <v>0</v>
      </c>
      <c r="H23" s="135">
        <v>0</v>
      </c>
      <c r="I23" s="135">
        <v>0</v>
      </c>
      <c r="J23" s="135">
        <v>1</v>
      </c>
      <c r="L23" s="135" t="str">
        <f t="shared" si="1"/>
        <v>10110001</v>
      </c>
    </row>
    <row r="24" spans="2:12" x14ac:dyDescent="0.3">
      <c r="B24" s="100" t="str">
        <f t="shared" si="0"/>
        <v>Brutish</v>
      </c>
      <c r="C24" s="135">
        <v>1</v>
      </c>
      <c r="D24" s="135">
        <v>0</v>
      </c>
      <c r="E24" s="135">
        <v>1</v>
      </c>
      <c r="F24" s="135">
        <v>1</v>
      </c>
      <c r="G24" s="135">
        <v>0</v>
      </c>
      <c r="H24" s="135">
        <v>0</v>
      </c>
      <c r="I24" s="135">
        <v>0</v>
      </c>
      <c r="J24" s="135">
        <v>1</v>
      </c>
      <c r="L24" s="135" t="str">
        <f t="shared" si="1"/>
        <v>10110001</v>
      </c>
    </row>
    <row r="25" spans="2:12" x14ac:dyDescent="0.3">
      <c r="B25" s="100" t="str">
        <f t="shared" si="0"/>
        <v>Athletic</v>
      </c>
      <c r="C25" s="135">
        <v>1</v>
      </c>
      <c r="D25" s="135">
        <v>1</v>
      </c>
      <c r="E25" s="135">
        <v>1</v>
      </c>
      <c r="F25" s="135">
        <v>1</v>
      </c>
      <c r="G25" s="135">
        <v>1</v>
      </c>
      <c r="H25" s="135">
        <v>0</v>
      </c>
      <c r="I25" s="135">
        <v>0</v>
      </c>
      <c r="J25" s="135">
        <v>0</v>
      </c>
      <c r="L25" s="135" t="str">
        <f t="shared" si="1"/>
        <v>11111000</v>
      </c>
    </row>
    <row r="26" spans="2:12" x14ac:dyDescent="0.3">
      <c r="B26" s="100" t="str">
        <f t="shared" si="0"/>
        <v>Aggressive</v>
      </c>
      <c r="C26" s="135">
        <v>0</v>
      </c>
      <c r="D26" s="135">
        <v>1</v>
      </c>
      <c r="E26" s="135">
        <v>1</v>
      </c>
      <c r="F26" s="135">
        <v>1</v>
      </c>
      <c r="G26" s="135">
        <v>0</v>
      </c>
      <c r="H26" s="135">
        <v>1</v>
      </c>
      <c r="I26" s="135">
        <v>1</v>
      </c>
      <c r="J26" s="135">
        <v>1</v>
      </c>
      <c r="L26" s="135" t="str">
        <f t="shared" si="1"/>
        <v>01110111</v>
      </c>
    </row>
    <row r="27" spans="2:12" x14ac:dyDescent="0.3">
      <c r="B27" s="100" t="str">
        <f t="shared" si="0"/>
        <v>Aggressive</v>
      </c>
      <c r="C27" s="135">
        <v>0</v>
      </c>
      <c r="D27" s="135">
        <v>1</v>
      </c>
      <c r="E27" s="135">
        <v>1</v>
      </c>
      <c r="F27" s="135">
        <v>1</v>
      </c>
      <c r="G27" s="135">
        <v>0</v>
      </c>
      <c r="H27" s="135">
        <v>1</v>
      </c>
      <c r="I27" s="135">
        <v>1</v>
      </c>
      <c r="J27" s="135">
        <v>1</v>
      </c>
      <c r="L27" s="135" t="str">
        <f t="shared" si="1"/>
        <v>01110111</v>
      </c>
    </row>
  </sheetData>
  <dataConsolidate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5" style="135" bestFit="1" customWidth="1"/>
    <col min="4" max="5" width="7.33203125" style="135" bestFit="1" customWidth="1"/>
    <col min="6" max="6" width="9.83203125" style="135" bestFit="1" customWidth="1"/>
    <col min="7" max="7" width="12.83203125" style="135" bestFit="1" customWidth="1"/>
    <col min="8" max="8" width="8" style="135" bestFit="1" customWidth="1"/>
    <col min="9" max="9" width="7.83203125" style="135" bestFit="1" customWidth="1"/>
    <col min="10" max="10" width="13.83203125" style="135" bestFit="1" customWidth="1"/>
    <col min="11" max="11" width="13.6640625" style="135" customWidth="1"/>
    <col min="12" max="12" width="15" style="135" bestFit="1" customWidth="1"/>
    <col min="13" max="13" width="10.83203125" style="135"/>
    <col min="14" max="14" width="15" style="135" bestFit="1" customWidth="1"/>
    <col min="15" max="15" width="15.83203125" style="135" bestFit="1" customWidth="1"/>
    <col min="16" max="16384" width="10.83203125" style="135"/>
  </cols>
  <sheetData>
    <row r="3" spans="2:18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</row>
    <row r="4" spans="2:18" x14ac:dyDescent="0.3">
      <c r="B4" s="100" t="s">
        <v>435</v>
      </c>
      <c r="C4" s="117">
        <v>8.3830358839885815</v>
      </c>
      <c r="D4" s="117">
        <v>9.4549122846191409</v>
      </c>
      <c r="E4" s="117">
        <v>7.9904725452811967</v>
      </c>
      <c r="F4" s="117">
        <v>7.7703277820694137</v>
      </c>
      <c r="G4" s="117">
        <v>8.2040543775696442</v>
      </c>
      <c r="H4" s="117">
        <v>1.5592917761111025</v>
      </c>
      <c r="I4" s="117">
        <v>3.4559881155421022</v>
      </c>
      <c r="J4" s="117">
        <v>3.5439432666766981</v>
      </c>
      <c r="K4" s="138"/>
      <c r="L4" s="138"/>
      <c r="M4" s="138"/>
      <c r="N4" s="138"/>
      <c r="O4" s="138"/>
      <c r="P4" s="138"/>
      <c r="Q4" s="138"/>
      <c r="R4" s="138"/>
    </row>
    <row r="5" spans="2:18" x14ac:dyDescent="0.3">
      <c r="B5" s="100" t="s">
        <v>431</v>
      </c>
      <c r="C5" s="117">
        <v>9.6155900286805682</v>
      </c>
      <c r="D5" s="117">
        <v>1.7960754918718824</v>
      </c>
      <c r="E5" s="117">
        <v>9.5639526180169554</v>
      </c>
      <c r="F5" s="117">
        <v>7.2610802333371094</v>
      </c>
      <c r="G5" s="117">
        <v>0.80971436006217834</v>
      </c>
      <c r="H5" s="117">
        <v>1.6939758640662901</v>
      </c>
      <c r="I5" s="117">
        <v>9.7043699931936178E-2</v>
      </c>
      <c r="J5" s="117">
        <v>9.7421891000969065</v>
      </c>
      <c r="K5" s="138"/>
      <c r="L5" s="138"/>
      <c r="M5" s="138"/>
      <c r="N5" s="138"/>
      <c r="O5" s="138"/>
      <c r="P5" s="138"/>
      <c r="Q5" s="138"/>
      <c r="R5" s="138"/>
    </row>
    <row r="6" spans="2:18" x14ac:dyDescent="0.3">
      <c r="B6" s="100" t="s">
        <v>433</v>
      </c>
      <c r="C6" s="117">
        <v>2.1942233258793484</v>
      </c>
      <c r="D6" s="117">
        <v>8.9183954362339009</v>
      </c>
      <c r="E6" s="117">
        <v>7.73823626817145</v>
      </c>
      <c r="F6" s="117">
        <v>8.2683242546317075</v>
      </c>
      <c r="G6" s="117">
        <v>1.9696006956310628</v>
      </c>
      <c r="H6" s="117">
        <v>8.8390439914554779</v>
      </c>
      <c r="I6" s="117">
        <v>9.642816300900769</v>
      </c>
      <c r="J6" s="117">
        <v>9.5215297487882857</v>
      </c>
      <c r="K6" s="138"/>
      <c r="L6" s="138"/>
      <c r="M6" s="138"/>
      <c r="N6" s="138"/>
      <c r="O6" s="138"/>
      <c r="P6" s="138"/>
      <c r="Q6" s="138"/>
      <c r="R6" s="138"/>
    </row>
    <row r="7" spans="2:18" x14ac:dyDescent="0.3">
      <c r="B7" s="100" t="s">
        <v>431</v>
      </c>
      <c r="C7" s="117">
        <v>9.9143793427835512</v>
      </c>
      <c r="D7" s="117">
        <v>3.5545972187087851</v>
      </c>
      <c r="E7" s="117">
        <v>7.6889676697504123</v>
      </c>
      <c r="F7" s="117">
        <v>9.111571487481541</v>
      </c>
      <c r="G7" s="117">
        <v>3.163750294557107</v>
      </c>
      <c r="H7" s="117">
        <v>2.6187607795041652</v>
      </c>
      <c r="I7" s="117">
        <v>3.0428750387995125</v>
      </c>
      <c r="J7" s="117">
        <v>8.0662706623981038</v>
      </c>
      <c r="K7" s="138"/>
      <c r="L7" s="138"/>
      <c r="M7" s="138"/>
      <c r="N7" s="138"/>
      <c r="O7" s="138"/>
      <c r="P7" s="138"/>
      <c r="Q7" s="138"/>
      <c r="R7" s="138"/>
    </row>
    <row r="8" spans="2:18" x14ac:dyDescent="0.3">
      <c r="B8" s="100" t="s">
        <v>435</v>
      </c>
      <c r="C8" s="117">
        <v>8.1285220418221158</v>
      </c>
      <c r="D8" s="117">
        <v>9.7733235994570062</v>
      </c>
      <c r="E8" s="117">
        <v>7.5214279533111164</v>
      </c>
      <c r="F8" s="117">
        <v>9.5069399198799029</v>
      </c>
      <c r="G8" s="117">
        <v>8.4499841614825257</v>
      </c>
      <c r="H8" s="117">
        <v>0.35994856070150894</v>
      </c>
      <c r="I8" s="117">
        <v>1.9026668429663918</v>
      </c>
      <c r="J8" s="117">
        <v>1.1299367690691624</v>
      </c>
      <c r="K8" s="138"/>
      <c r="L8" s="138"/>
      <c r="M8" s="138"/>
      <c r="N8" s="138"/>
      <c r="O8" s="138"/>
      <c r="P8" s="138"/>
      <c r="Q8" s="138"/>
      <c r="R8" s="138"/>
    </row>
    <row r="9" spans="2:18" x14ac:dyDescent="0.3">
      <c r="B9" s="100" t="s">
        <v>431</v>
      </c>
      <c r="C9" s="117">
        <v>7.5424430619961962</v>
      </c>
      <c r="D9" s="117">
        <v>0.94788287939712523</v>
      </c>
      <c r="E9" s="117">
        <v>8.368299684255625</v>
      </c>
      <c r="F9" s="117">
        <v>9.3000642603242696</v>
      </c>
      <c r="G9" s="117">
        <v>2.755584687187127</v>
      </c>
      <c r="H9" s="117">
        <v>0.54197721302143753</v>
      </c>
      <c r="I9" s="117">
        <v>0.43782857199314362</v>
      </c>
      <c r="J9" s="117">
        <v>9.8642442165019286</v>
      </c>
      <c r="K9" s="138"/>
      <c r="L9" s="138"/>
      <c r="M9" s="138"/>
      <c r="N9" s="138"/>
      <c r="O9" s="138"/>
      <c r="P9" s="138"/>
      <c r="Q9" s="138"/>
      <c r="R9" s="138"/>
    </row>
    <row r="10" spans="2:18" x14ac:dyDescent="0.3">
      <c r="B10" s="100" t="s">
        <v>433</v>
      </c>
      <c r="C10" s="117">
        <v>1.7718111172569193</v>
      </c>
      <c r="D10" s="117">
        <v>7.3431955128827315</v>
      </c>
      <c r="E10" s="117">
        <v>7.9247321765696546</v>
      </c>
      <c r="F10" s="117">
        <v>8.7477144669364044</v>
      </c>
      <c r="G10" s="117">
        <v>1.6652346416815944</v>
      </c>
      <c r="H10" s="117">
        <v>9.258663590078001</v>
      </c>
      <c r="I10" s="117">
        <v>9.8824423855965158</v>
      </c>
      <c r="J10" s="117">
        <v>7.8913349673825319</v>
      </c>
      <c r="K10" s="138"/>
      <c r="L10" s="138"/>
      <c r="M10" s="138"/>
      <c r="N10" s="138"/>
      <c r="O10" s="138"/>
      <c r="P10" s="138"/>
      <c r="Q10" s="138"/>
      <c r="R10" s="138"/>
    </row>
    <row r="11" spans="2:18" x14ac:dyDescent="0.3">
      <c r="B11" s="100" t="s">
        <v>431</v>
      </c>
      <c r="C11" s="117">
        <v>7.5555798249028445</v>
      </c>
      <c r="D11" s="117">
        <v>3.1696577139281832</v>
      </c>
      <c r="E11" s="117">
        <v>8.9989805640385878</v>
      </c>
      <c r="F11" s="117">
        <v>7.969513544842985</v>
      </c>
      <c r="G11" s="117">
        <v>3.0368055482694238</v>
      </c>
      <c r="H11" s="117">
        <v>2.1589748386457419</v>
      </c>
      <c r="I11" s="117">
        <v>2.2223466976158686</v>
      </c>
      <c r="J11" s="117">
        <v>9.0078044596646123</v>
      </c>
      <c r="K11" s="138"/>
      <c r="L11" s="138"/>
      <c r="M11" s="138"/>
      <c r="N11" s="138"/>
      <c r="O11" s="138"/>
      <c r="P11" s="138"/>
      <c r="Q11" s="138"/>
      <c r="R11" s="138"/>
    </row>
    <row r="12" spans="2:18" x14ac:dyDescent="0.3">
      <c r="B12" s="100" t="s">
        <v>433</v>
      </c>
      <c r="C12" s="117">
        <v>3.7058239397834041</v>
      </c>
      <c r="D12" s="117">
        <v>7.9632890268409486</v>
      </c>
      <c r="E12" s="117">
        <v>8.4001636679380827</v>
      </c>
      <c r="F12" s="117">
        <v>9.1384346495091933</v>
      </c>
      <c r="G12" s="117">
        <v>2.0446723553787454</v>
      </c>
      <c r="H12" s="117">
        <v>9.2954178220537234</v>
      </c>
      <c r="I12" s="117">
        <v>9.5324206397042079</v>
      </c>
      <c r="J12" s="117">
        <v>7.5623159203789356</v>
      </c>
      <c r="K12" s="138"/>
      <c r="L12" s="138"/>
      <c r="M12" s="138"/>
      <c r="N12" s="138"/>
      <c r="O12" s="138"/>
      <c r="P12" s="138"/>
      <c r="Q12" s="138"/>
      <c r="R12" s="138"/>
    </row>
    <row r="13" spans="2:18" x14ac:dyDescent="0.3">
      <c r="B13" s="100" t="s">
        <v>431</v>
      </c>
      <c r="C13" s="117">
        <v>9.0599452193721852</v>
      </c>
      <c r="D13" s="117">
        <v>8.772631900141592E-2</v>
      </c>
      <c r="E13" s="117">
        <v>9.6495084391913188</v>
      </c>
      <c r="F13" s="117">
        <v>8.3025958296002464</v>
      </c>
      <c r="G13" s="117">
        <v>3.7980360979010057</v>
      </c>
      <c r="H13" s="117">
        <v>1.6875586195325711</v>
      </c>
      <c r="I13" s="117">
        <v>1.1630277152193362</v>
      </c>
      <c r="J13" s="117">
        <v>9.5301503406658874</v>
      </c>
      <c r="K13" s="138"/>
      <c r="L13" s="138"/>
      <c r="M13" s="138"/>
      <c r="N13" s="138"/>
      <c r="O13" s="138"/>
      <c r="P13" s="138"/>
      <c r="Q13" s="138"/>
      <c r="R13" s="138"/>
    </row>
    <row r="14" spans="2:18" x14ac:dyDescent="0.3">
      <c r="B14" s="100" t="s">
        <v>431</v>
      </c>
      <c r="C14" s="117">
        <v>7.179188523090505</v>
      </c>
      <c r="D14" s="117">
        <v>3.1187127617381725</v>
      </c>
      <c r="E14" s="117">
        <v>8.7800873440943672</v>
      </c>
      <c r="F14" s="117">
        <v>9.6732296618491738</v>
      </c>
      <c r="G14" s="117">
        <v>1.8974973729594891</v>
      </c>
      <c r="H14" s="117">
        <v>2.6354871228391432</v>
      </c>
      <c r="I14" s="117">
        <v>0.40291506914261177</v>
      </c>
      <c r="J14" s="117">
        <v>9.6684701383460112</v>
      </c>
      <c r="K14" s="138"/>
      <c r="L14" s="138"/>
      <c r="M14" s="138"/>
      <c r="N14" s="138"/>
      <c r="O14" s="138"/>
      <c r="P14" s="138"/>
      <c r="Q14" s="138"/>
      <c r="R14" s="138"/>
    </row>
    <row r="15" spans="2:18" x14ac:dyDescent="0.3">
      <c r="B15" s="100" t="s">
        <v>435</v>
      </c>
      <c r="C15" s="117">
        <v>7.3641537773670471</v>
      </c>
      <c r="D15" s="117">
        <v>9.0311082781393477</v>
      </c>
      <c r="E15" s="117">
        <v>8.9578093982371847</v>
      </c>
      <c r="F15" s="117">
        <v>9.6997369638997348</v>
      </c>
      <c r="G15" s="117">
        <v>8.747485732284435</v>
      </c>
      <c r="H15" s="117">
        <v>2.1446014265262674</v>
      </c>
      <c r="I15" s="117">
        <v>3.9042809837607049</v>
      </c>
      <c r="J15" s="117">
        <v>2.7510282694600585</v>
      </c>
      <c r="K15" s="138"/>
      <c r="L15" s="138"/>
      <c r="M15" s="138"/>
      <c r="N15" s="138"/>
      <c r="O15" s="138"/>
      <c r="P15" s="138"/>
      <c r="Q15" s="138"/>
      <c r="R15" s="138"/>
    </row>
    <row r="16" spans="2:18" x14ac:dyDescent="0.3">
      <c r="B16" s="100" t="s">
        <v>433</v>
      </c>
      <c r="C16" s="117">
        <v>1.6995180776384395</v>
      </c>
      <c r="D16" s="117">
        <v>8.3911339886788614</v>
      </c>
      <c r="E16" s="117">
        <v>9.2493943825508751</v>
      </c>
      <c r="F16" s="117">
        <v>7.2954042134389727</v>
      </c>
      <c r="G16" s="117">
        <v>0.89520256510558793</v>
      </c>
      <c r="H16" s="117">
        <v>9.3856463102615297</v>
      </c>
      <c r="I16" s="117">
        <v>8.0973997540028524</v>
      </c>
      <c r="J16" s="117">
        <v>7.4028696961109155</v>
      </c>
      <c r="K16" s="138"/>
      <c r="L16" s="138"/>
      <c r="M16" s="138"/>
      <c r="N16" s="138"/>
      <c r="O16" s="138"/>
      <c r="P16" s="138"/>
      <c r="Q16" s="138"/>
      <c r="R16" s="138"/>
    </row>
    <row r="17" spans="2:18" x14ac:dyDescent="0.3">
      <c r="B17" s="100" t="s">
        <v>433</v>
      </c>
      <c r="C17" s="117">
        <v>2.6514857056768157</v>
      </c>
      <c r="D17" s="117">
        <v>9.5752152034001128</v>
      </c>
      <c r="E17" s="117">
        <v>8.1608317352358011</v>
      </c>
      <c r="F17" s="117">
        <v>8.4887864157349746</v>
      </c>
      <c r="G17" s="117">
        <v>2.5977764000618269</v>
      </c>
      <c r="H17" s="117">
        <v>7.0070896682909618</v>
      </c>
      <c r="I17" s="117">
        <v>8.8166445524226358</v>
      </c>
      <c r="J17" s="117">
        <v>8.9929158422858784</v>
      </c>
      <c r="K17" s="138"/>
      <c r="L17" s="138"/>
      <c r="M17" s="138"/>
      <c r="N17" s="138"/>
      <c r="O17" s="138"/>
      <c r="P17" s="138"/>
      <c r="Q17" s="138"/>
      <c r="R17" s="138"/>
    </row>
    <row r="18" spans="2:18" x14ac:dyDescent="0.3">
      <c r="B18" s="100" t="s">
        <v>435</v>
      </c>
      <c r="C18" s="117">
        <v>7.4061269602946931</v>
      </c>
      <c r="D18" s="117">
        <v>8.523800770350956</v>
      </c>
      <c r="E18" s="117">
        <v>8.6676781623768058</v>
      </c>
      <c r="F18" s="117">
        <v>7.8368335283808133</v>
      </c>
      <c r="G18" s="117">
        <v>9.9584137559025621</v>
      </c>
      <c r="H18" s="117">
        <v>2.5368405911727847</v>
      </c>
      <c r="I18" s="117">
        <v>1.0448706331487054</v>
      </c>
      <c r="J18" s="117">
        <v>3.4220192283177568</v>
      </c>
      <c r="K18" s="138"/>
      <c r="L18" s="138"/>
      <c r="M18" s="138"/>
      <c r="N18" s="138"/>
      <c r="O18" s="138"/>
      <c r="P18" s="138"/>
      <c r="Q18" s="138"/>
      <c r="R18" s="138"/>
    </row>
    <row r="19" spans="2:18" x14ac:dyDescent="0.3">
      <c r="B19" s="100" t="s">
        <v>433</v>
      </c>
      <c r="C19" s="117">
        <v>0.30882664127743498</v>
      </c>
      <c r="D19" s="117">
        <v>9.1182257726070794</v>
      </c>
      <c r="E19" s="117">
        <v>8.0140777885987369</v>
      </c>
      <c r="F19" s="117">
        <v>8.4101955221332769</v>
      </c>
      <c r="G19" s="117">
        <v>1.6049423986086859</v>
      </c>
      <c r="H19" s="117">
        <v>7.1654353766429359</v>
      </c>
      <c r="I19" s="117">
        <v>7.0408098762794138</v>
      </c>
      <c r="J19" s="117">
        <v>7.28151545860515</v>
      </c>
      <c r="K19" s="138"/>
      <c r="L19" s="138"/>
      <c r="M19" s="138"/>
      <c r="N19" s="138"/>
      <c r="O19" s="138"/>
      <c r="P19" s="138"/>
      <c r="Q19" s="138"/>
      <c r="R19" s="138"/>
    </row>
    <row r="20" spans="2:18" x14ac:dyDescent="0.3">
      <c r="B20" s="100" t="s">
        <v>431</v>
      </c>
      <c r="C20" s="117">
        <v>7.5512321546014727</v>
      </c>
      <c r="D20" s="117">
        <v>2.8729878528944135</v>
      </c>
      <c r="E20" s="117">
        <v>7.5651188544811063</v>
      </c>
      <c r="F20" s="117">
        <v>7.7666265788907918</v>
      </c>
      <c r="G20" s="117">
        <v>0.31136992303303712</v>
      </c>
      <c r="H20" s="117">
        <v>8.3635300924818079E-2</v>
      </c>
      <c r="I20" s="117">
        <v>3.1480381217234115</v>
      </c>
      <c r="J20" s="117">
        <v>9.6417051620523608</v>
      </c>
      <c r="K20" s="138"/>
      <c r="L20" s="138"/>
      <c r="M20" s="138"/>
      <c r="N20" s="138"/>
      <c r="O20" s="138"/>
      <c r="P20" s="138"/>
      <c r="Q20" s="138"/>
      <c r="R20" s="138"/>
    </row>
    <row r="21" spans="2:18" x14ac:dyDescent="0.3">
      <c r="B21" s="100" t="s">
        <v>431</v>
      </c>
      <c r="C21" s="117">
        <v>7.2566542520951671</v>
      </c>
      <c r="D21" s="117">
        <v>3.7418812931370522</v>
      </c>
      <c r="E21" s="117">
        <v>8.4883664343264673</v>
      </c>
      <c r="F21" s="117">
        <v>9.3188663477703191</v>
      </c>
      <c r="G21" s="117">
        <v>3.8813037468867635</v>
      </c>
      <c r="H21" s="117">
        <v>2.163563531719555</v>
      </c>
      <c r="I21" s="117">
        <v>3.1601653152397144</v>
      </c>
      <c r="J21" s="117">
        <v>9.0687057202135755</v>
      </c>
      <c r="K21" s="138"/>
      <c r="L21" s="138"/>
      <c r="M21" s="138"/>
      <c r="N21" s="138"/>
      <c r="O21" s="138"/>
      <c r="P21" s="138"/>
      <c r="Q21" s="138"/>
      <c r="R21" s="138"/>
    </row>
    <row r="22" spans="2:18" x14ac:dyDescent="0.3">
      <c r="B22" s="100" t="s">
        <v>433</v>
      </c>
      <c r="C22" s="117">
        <v>1.1714130855975782</v>
      </c>
      <c r="D22" s="117">
        <v>7.3762558215199325</v>
      </c>
      <c r="E22" s="117">
        <v>8.3339708154616883</v>
      </c>
      <c r="F22" s="117">
        <v>8.437109801303988</v>
      </c>
      <c r="G22" s="117">
        <v>3.4995369008519064</v>
      </c>
      <c r="H22" s="117">
        <v>9.1317266599537863</v>
      </c>
      <c r="I22" s="117">
        <v>9.4415684601769971</v>
      </c>
      <c r="J22" s="117">
        <v>8.5410837369429924</v>
      </c>
      <c r="K22" s="138"/>
      <c r="L22" s="138"/>
      <c r="M22" s="138"/>
      <c r="N22" s="138"/>
      <c r="O22" s="138"/>
      <c r="P22" s="138"/>
      <c r="Q22" s="138"/>
      <c r="R22" s="138"/>
    </row>
    <row r="23" spans="2:18" x14ac:dyDescent="0.3">
      <c r="B23" s="100" t="s">
        <v>431</v>
      </c>
      <c r="C23" s="117">
        <v>9.4056140264459813</v>
      </c>
      <c r="D23" s="117">
        <v>2.5918487756174731</v>
      </c>
      <c r="E23" s="117">
        <v>7.2315224459411489</v>
      </c>
      <c r="F23" s="117">
        <v>9.3724381040078377</v>
      </c>
      <c r="G23" s="117">
        <v>3.9626993887393258</v>
      </c>
      <c r="H23" s="117">
        <v>0.15036210720714216</v>
      </c>
      <c r="I23" s="117">
        <v>1.2605288433505217</v>
      </c>
      <c r="J23" s="117">
        <v>7.6882005690349224</v>
      </c>
      <c r="K23" s="138"/>
      <c r="L23" s="138"/>
      <c r="M23" s="138"/>
      <c r="N23" s="138"/>
      <c r="O23" s="138"/>
      <c r="P23" s="138"/>
      <c r="Q23" s="138"/>
      <c r="R23" s="138"/>
    </row>
    <row r="24" spans="2:18" x14ac:dyDescent="0.3">
      <c r="B24" s="100" t="s">
        <v>431</v>
      </c>
      <c r="C24" s="117">
        <v>7.1891996750154865</v>
      </c>
      <c r="D24" s="117">
        <v>0.36262515116013194</v>
      </c>
      <c r="E24" s="117">
        <v>7.1422119999396569</v>
      </c>
      <c r="F24" s="117">
        <v>7.643731721082478</v>
      </c>
      <c r="G24" s="117">
        <v>2.5412411058806867</v>
      </c>
      <c r="H24" s="117">
        <v>3.0926968175265936</v>
      </c>
      <c r="I24" s="117">
        <v>1.4472444649994411</v>
      </c>
      <c r="J24" s="117">
        <v>9.5754126160592445</v>
      </c>
      <c r="K24" s="138"/>
      <c r="L24" s="138"/>
      <c r="M24" s="138"/>
      <c r="N24" s="138"/>
      <c r="O24" s="138"/>
      <c r="P24" s="138"/>
      <c r="Q24" s="138"/>
      <c r="R24" s="138"/>
    </row>
    <row r="25" spans="2:18" x14ac:dyDescent="0.3">
      <c r="B25" s="100" t="s">
        <v>435</v>
      </c>
      <c r="C25" s="117">
        <v>7.665873682129436</v>
      </c>
      <c r="D25" s="117">
        <v>8.3556834242560285</v>
      </c>
      <c r="E25" s="117">
        <v>7.9585302582038278</v>
      </c>
      <c r="F25" s="117">
        <v>7.3425082423930688</v>
      </c>
      <c r="G25" s="117">
        <v>8.358891927797135</v>
      </c>
      <c r="H25" s="117">
        <v>2.5760006720134476</v>
      </c>
      <c r="I25" s="117">
        <v>1.6365741631903745</v>
      </c>
      <c r="J25" s="117">
        <v>1.4811107770245422</v>
      </c>
      <c r="K25" s="138"/>
      <c r="L25" s="138"/>
      <c r="M25" s="138"/>
      <c r="N25" s="138"/>
      <c r="O25" s="138"/>
      <c r="P25" s="138"/>
      <c r="Q25" s="138"/>
      <c r="R25" s="138"/>
    </row>
    <row r="26" spans="2:18" x14ac:dyDescent="0.3">
      <c r="B26" s="100" t="s">
        <v>433</v>
      </c>
      <c r="C26" s="117">
        <v>1.3984516223069039</v>
      </c>
      <c r="D26" s="117">
        <v>8.5736414898296225</v>
      </c>
      <c r="E26" s="117">
        <v>8.6206850373658384</v>
      </c>
      <c r="F26" s="117">
        <v>8.960533002021343</v>
      </c>
      <c r="G26" s="117">
        <v>2.1153897911914119</v>
      </c>
      <c r="H26" s="117">
        <v>7.5663140458935132</v>
      </c>
      <c r="I26" s="117">
        <v>9.2857837021620444</v>
      </c>
      <c r="J26" s="117">
        <v>9.3145876292111893</v>
      </c>
      <c r="K26" s="138"/>
      <c r="L26" s="138"/>
      <c r="M26" s="138"/>
      <c r="N26" s="138"/>
      <c r="O26" s="138"/>
      <c r="P26" s="138"/>
      <c r="Q26" s="138"/>
      <c r="R26" s="138"/>
    </row>
    <row r="27" spans="2:18" x14ac:dyDescent="0.3">
      <c r="B27" s="100" t="s">
        <v>433</v>
      </c>
      <c r="C27" s="117">
        <v>1.6113208235859706</v>
      </c>
      <c r="D27" s="117">
        <v>9.4003297828057146</v>
      </c>
      <c r="E27" s="117">
        <v>7.658626696454844</v>
      </c>
      <c r="F27" s="117">
        <v>8.7169933721635182</v>
      </c>
      <c r="G27" s="117">
        <v>1.8821113614122034</v>
      </c>
      <c r="H27" s="117">
        <v>9.5347022508583557</v>
      </c>
      <c r="I27" s="117">
        <v>8.5874468142672402</v>
      </c>
      <c r="J27" s="117">
        <v>9.602134456695655</v>
      </c>
      <c r="K27" s="138"/>
      <c r="L27" s="138"/>
      <c r="M27" s="138"/>
      <c r="N27" s="138"/>
      <c r="O27" s="138"/>
      <c r="P27" s="138"/>
      <c r="Q27" s="138"/>
      <c r="R27" s="138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3" s="99" customFormat="1" x14ac:dyDescent="0.2">
      <c r="B2" s="99" t="s">
        <v>438</v>
      </c>
      <c r="C2" s="99" t="s">
        <v>437</v>
      </c>
    </row>
    <row r="3" spans="2:3" x14ac:dyDescent="0.2">
      <c r="B3" s="18">
        <f t="shared" ref="B3:B24" ca="1" si="0">RANDBETWEEN(1,5)</f>
        <v>5</v>
      </c>
      <c r="C3" s="18">
        <f t="shared" ref="C3:C24" ca="1" si="1">B3</f>
        <v>5</v>
      </c>
    </row>
    <row r="4" spans="2:3" x14ac:dyDescent="0.2">
      <c r="B4" s="18">
        <f t="shared" ca="1" si="0"/>
        <v>3</v>
      </c>
      <c r="C4" s="18">
        <f t="shared" ca="1" si="1"/>
        <v>3</v>
      </c>
    </row>
    <row r="5" spans="2:3" x14ac:dyDescent="0.2">
      <c r="B5" s="18">
        <f t="shared" ca="1" si="0"/>
        <v>1</v>
      </c>
      <c r="C5" s="18">
        <f t="shared" ca="1" si="1"/>
        <v>1</v>
      </c>
    </row>
    <row r="6" spans="2:3" x14ac:dyDescent="0.2">
      <c r="B6" s="18">
        <f t="shared" ca="1" si="0"/>
        <v>5</v>
      </c>
      <c r="C6" s="18">
        <f t="shared" ca="1" si="1"/>
        <v>5</v>
      </c>
    </row>
    <row r="7" spans="2:3" x14ac:dyDescent="0.2">
      <c r="B7" s="18">
        <f t="shared" ca="1" si="0"/>
        <v>1</v>
      </c>
      <c r="C7" s="18">
        <f t="shared" ca="1" si="1"/>
        <v>1</v>
      </c>
    </row>
    <row r="8" spans="2:3" x14ac:dyDescent="0.2">
      <c r="B8" s="18">
        <f t="shared" ca="1" si="0"/>
        <v>4</v>
      </c>
      <c r="C8" s="18">
        <f t="shared" ca="1" si="1"/>
        <v>4</v>
      </c>
    </row>
    <row r="9" spans="2:3" x14ac:dyDescent="0.2">
      <c r="B9" s="18">
        <f t="shared" ca="1" si="0"/>
        <v>1</v>
      </c>
      <c r="C9" s="18">
        <f t="shared" ca="1" si="1"/>
        <v>1</v>
      </c>
    </row>
    <row r="10" spans="2:3" x14ac:dyDescent="0.2">
      <c r="B10" s="18">
        <f t="shared" ca="1" si="0"/>
        <v>5</v>
      </c>
      <c r="C10" s="18">
        <f t="shared" ca="1" si="1"/>
        <v>5</v>
      </c>
    </row>
    <row r="11" spans="2:3" x14ac:dyDescent="0.2">
      <c r="B11" s="18">
        <f t="shared" ca="1" si="0"/>
        <v>5</v>
      </c>
      <c r="C11" s="18">
        <f t="shared" ca="1" si="1"/>
        <v>5</v>
      </c>
    </row>
    <row r="12" spans="2:3" x14ac:dyDescent="0.2">
      <c r="B12" s="18">
        <f t="shared" ca="1" si="0"/>
        <v>1</v>
      </c>
      <c r="C12" s="18">
        <f t="shared" ca="1" si="1"/>
        <v>1</v>
      </c>
    </row>
    <row r="13" spans="2:3" x14ac:dyDescent="0.2">
      <c r="B13" s="18">
        <f t="shared" ca="1" si="0"/>
        <v>5</v>
      </c>
      <c r="C13" s="18">
        <f t="shared" ca="1" si="1"/>
        <v>5</v>
      </c>
    </row>
    <row r="14" spans="2:3" x14ac:dyDescent="0.2">
      <c r="B14" s="18">
        <f t="shared" ca="1" si="0"/>
        <v>4</v>
      </c>
      <c r="C14" s="18">
        <f t="shared" ca="1" si="1"/>
        <v>4</v>
      </c>
    </row>
    <row r="15" spans="2:3" x14ac:dyDescent="0.2">
      <c r="B15" s="18">
        <f t="shared" ca="1" si="0"/>
        <v>1</v>
      </c>
      <c r="C15" s="18">
        <f t="shared" ca="1" si="1"/>
        <v>1</v>
      </c>
    </row>
    <row r="16" spans="2:3" x14ac:dyDescent="0.2">
      <c r="B16" s="18">
        <f t="shared" ca="1" si="0"/>
        <v>4</v>
      </c>
      <c r="C16" s="18">
        <f t="shared" ca="1" si="1"/>
        <v>4</v>
      </c>
    </row>
    <row r="17" spans="2:3" x14ac:dyDescent="0.2">
      <c r="B17" s="18">
        <f t="shared" ca="1" si="0"/>
        <v>2</v>
      </c>
      <c r="C17" s="18">
        <f t="shared" ca="1" si="1"/>
        <v>2</v>
      </c>
    </row>
    <row r="18" spans="2:3" x14ac:dyDescent="0.2">
      <c r="B18" s="18">
        <f t="shared" ca="1" si="0"/>
        <v>3</v>
      </c>
      <c r="C18" s="18">
        <f t="shared" ca="1" si="1"/>
        <v>3</v>
      </c>
    </row>
    <row r="19" spans="2:3" x14ac:dyDescent="0.2">
      <c r="B19" s="18">
        <f t="shared" ca="1" si="0"/>
        <v>4</v>
      </c>
      <c r="C19" s="18">
        <f t="shared" ca="1" si="1"/>
        <v>4</v>
      </c>
    </row>
    <row r="20" spans="2:3" x14ac:dyDescent="0.2">
      <c r="B20" s="18">
        <f t="shared" ca="1" si="0"/>
        <v>5</v>
      </c>
      <c r="C20" s="18">
        <f t="shared" ca="1" si="1"/>
        <v>5</v>
      </c>
    </row>
    <row r="21" spans="2:3" x14ac:dyDescent="0.2">
      <c r="B21" s="18">
        <f t="shared" ca="1" si="0"/>
        <v>3</v>
      </c>
      <c r="C21" s="18">
        <f t="shared" ca="1" si="1"/>
        <v>3</v>
      </c>
    </row>
    <row r="22" spans="2:3" x14ac:dyDescent="0.2">
      <c r="B22" s="18">
        <f t="shared" ca="1" si="0"/>
        <v>5</v>
      </c>
      <c r="C22" s="18">
        <f t="shared" ca="1" si="1"/>
        <v>5</v>
      </c>
    </row>
    <row r="23" spans="2:3" x14ac:dyDescent="0.2">
      <c r="B23" s="18">
        <f t="shared" ca="1" si="0"/>
        <v>2</v>
      </c>
      <c r="C23" s="18">
        <f t="shared" ca="1" si="1"/>
        <v>2</v>
      </c>
    </row>
    <row r="24" spans="2:3" x14ac:dyDescent="0.2">
      <c r="B24" s="18">
        <f t="shared" ca="1" si="0"/>
        <v>3</v>
      </c>
      <c r="C24" s="18">
        <f t="shared" ca="1" si="1"/>
        <v>3</v>
      </c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6" s="99" customFormat="1" x14ac:dyDescent="0.2">
      <c r="B2" s="99" t="s">
        <v>438</v>
      </c>
      <c r="C2" s="99" t="s">
        <v>437</v>
      </c>
      <c r="E2" s="99" t="s">
        <v>440</v>
      </c>
      <c r="F2" s="99" t="s">
        <v>439</v>
      </c>
    </row>
    <row r="3" spans="2:6" x14ac:dyDescent="0.2">
      <c r="B3" s="142">
        <f t="shared" ref="B3:B24" ca="1" si="0">RANDBETWEEN(1,5)</f>
        <v>4</v>
      </c>
      <c r="C3" s="141">
        <f t="shared" ref="C3:C24" ca="1" si="1">B3</f>
        <v>4</v>
      </c>
      <c r="E3" s="140">
        <f t="shared" ref="E3:E24" ca="1" si="2">0.5*B3+0.5*C3</f>
        <v>4</v>
      </c>
      <c r="F3" s="144">
        <f t="shared" ref="F3:F24" ca="1" si="3">0.01*B3-0.01*C3</f>
        <v>0</v>
      </c>
    </row>
    <row r="4" spans="2:6" x14ac:dyDescent="0.2">
      <c r="B4" s="142">
        <f t="shared" ca="1" si="0"/>
        <v>3</v>
      </c>
      <c r="C4" s="141">
        <f t="shared" ca="1" si="1"/>
        <v>3</v>
      </c>
      <c r="E4" s="140">
        <f t="shared" ca="1" si="2"/>
        <v>3</v>
      </c>
      <c r="F4" s="143">
        <f t="shared" ca="1" si="3"/>
        <v>0</v>
      </c>
    </row>
    <row r="5" spans="2:6" x14ac:dyDescent="0.2">
      <c r="B5" s="142">
        <f t="shared" ca="1" si="0"/>
        <v>5</v>
      </c>
      <c r="C5" s="141">
        <f t="shared" ca="1" si="1"/>
        <v>5</v>
      </c>
      <c r="E5" s="140">
        <f t="shared" ca="1" si="2"/>
        <v>5</v>
      </c>
      <c r="F5" s="143">
        <f t="shared" ca="1" si="3"/>
        <v>0</v>
      </c>
    </row>
    <row r="6" spans="2:6" x14ac:dyDescent="0.2">
      <c r="B6" s="142">
        <f t="shared" ca="1" si="0"/>
        <v>3</v>
      </c>
      <c r="C6" s="141">
        <f t="shared" ca="1" si="1"/>
        <v>3</v>
      </c>
      <c r="E6" s="140">
        <f t="shared" ca="1" si="2"/>
        <v>3</v>
      </c>
      <c r="F6" s="143">
        <f t="shared" ca="1" si="3"/>
        <v>0</v>
      </c>
    </row>
    <row r="7" spans="2:6" x14ac:dyDescent="0.2">
      <c r="B7" s="142">
        <f t="shared" ca="1" si="0"/>
        <v>4</v>
      </c>
      <c r="C7" s="141">
        <f t="shared" ca="1" si="1"/>
        <v>4</v>
      </c>
      <c r="E7" s="140">
        <f t="shared" ca="1" si="2"/>
        <v>4</v>
      </c>
      <c r="F7" s="143">
        <f t="shared" ca="1" si="3"/>
        <v>0</v>
      </c>
    </row>
    <row r="8" spans="2:6" x14ac:dyDescent="0.2">
      <c r="B8" s="142">
        <f t="shared" ca="1" si="0"/>
        <v>3</v>
      </c>
      <c r="C8" s="141">
        <f t="shared" ca="1" si="1"/>
        <v>3</v>
      </c>
      <c r="E8" s="140">
        <f t="shared" ca="1" si="2"/>
        <v>3</v>
      </c>
      <c r="F8" s="143">
        <f t="shared" ca="1" si="3"/>
        <v>0</v>
      </c>
    </row>
    <row r="9" spans="2:6" x14ac:dyDescent="0.2">
      <c r="B9" s="142">
        <f t="shared" ca="1" si="0"/>
        <v>1</v>
      </c>
      <c r="C9" s="141">
        <f t="shared" ca="1" si="1"/>
        <v>1</v>
      </c>
      <c r="E9" s="140">
        <f t="shared" ca="1" si="2"/>
        <v>1</v>
      </c>
      <c r="F9" s="143">
        <f t="shared" ca="1" si="3"/>
        <v>0</v>
      </c>
    </row>
    <row r="10" spans="2:6" x14ac:dyDescent="0.2">
      <c r="B10" s="142">
        <f t="shared" ca="1" si="0"/>
        <v>3</v>
      </c>
      <c r="C10" s="141">
        <f t="shared" ca="1" si="1"/>
        <v>3</v>
      </c>
      <c r="E10" s="140">
        <f t="shared" ca="1" si="2"/>
        <v>3</v>
      </c>
      <c r="F10" s="143">
        <f t="shared" ca="1" si="3"/>
        <v>0</v>
      </c>
    </row>
    <row r="11" spans="2:6" x14ac:dyDescent="0.2">
      <c r="B11" s="142">
        <f t="shared" ca="1" si="0"/>
        <v>1</v>
      </c>
      <c r="C11" s="141">
        <f t="shared" ca="1" si="1"/>
        <v>1</v>
      </c>
      <c r="E11" s="140">
        <f t="shared" ca="1" si="2"/>
        <v>1</v>
      </c>
      <c r="F11" s="143">
        <f t="shared" ca="1" si="3"/>
        <v>0</v>
      </c>
    </row>
    <row r="12" spans="2:6" x14ac:dyDescent="0.2">
      <c r="B12" s="142">
        <f t="shared" ca="1" si="0"/>
        <v>4</v>
      </c>
      <c r="C12" s="141">
        <f t="shared" ca="1" si="1"/>
        <v>4</v>
      </c>
      <c r="E12" s="140">
        <f t="shared" ca="1" si="2"/>
        <v>4</v>
      </c>
      <c r="F12" s="143">
        <f t="shared" ca="1" si="3"/>
        <v>0</v>
      </c>
    </row>
    <row r="13" spans="2:6" x14ac:dyDescent="0.2">
      <c r="B13" s="142">
        <f t="shared" ca="1" si="0"/>
        <v>1</v>
      </c>
      <c r="C13" s="141">
        <f t="shared" ca="1" si="1"/>
        <v>1</v>
      </c>
      <c r="E13" s="140">
        <f t="shared" ca="1" si="2"/>
        <v>1</v>
      </c>
      <c r="F13" s="143">
        <f t="shared" ca="1" si="3"/>
        <v>0</v>
      </c>
    </row>
    <row r="14" spans="2:6" x14ac:dyDescent="0.2">
      <c r="B14" s="142">
        <f t="shared" ca="1" si="0"/>
        <v>5</v>
      </c>
      <c r="C14" s="141">
        <f t="shared" ca="1" si="1"/>
        <v>5</v>
      </c>
      <c r="E14" s="140">
        <f t="shared" ca="1" si="2"/>
        <v>5</v>
      </c>
      <c r="F14" s="143">
        <f t="shared" ca="1" si="3"/>
        <v>0</v>
      </c>
    </row>
    <row r="15" spans="2:6" x14ac:dyDescent="0.2">
      <c r="B15" s="142">
        <f t="shared" ca="1" si="0"/>
        <v>2</v>
      </c>
      <c r="C15" s="141">
        <f t="shared" ca="1" si="1"/>
        <v>2</v>
      </c>
      <c r="E15" s="140">
        <f t="shared" ca="1" si="2"/>
        <v>2</v>
      </c>
      <c r="F15" s="143">
        <f t="shared" ca="1" si="3"/>
        <v>0</v>
      </c>
    </row>
    <row r="16" spans="2:6" x14ac:dyDescent="0.2">
      <c r="B16" s="142">
        <f t="shared" ca="1" si="0"/>
        <v>3</v>
      </c>
      <c r="C16" s="141">
        <f t="shared" ca="1" si="1"/>
        <v>3</v>
      </c>
      <c r="E16" s="140">
        <f t="shared" ca="1" si="2"/>
        <v>3</v>
      </c>
      <c r="F16" s="143">
        <f t="shared" ca="1" si="3"/>
        <v>0</v>
      </c>
    </row>
    <row r="17" spans="2:6" x14ac:dyDescent="0.2">
      <c r="B17" s="142">
        <f t="shared" ca="1" si="0"/>
        <v>5</v>
      </c>
      <c r="C17" s="141">
        <f t="shared" ca="1" si="1"/>
        <v>5</v>
      </c>
      <c r="E17" s="140">
        <f t="shared" ca="1" si="2"/>
        <v>5</v>
      </c>
      <c r="F17" s="143">
        <f t="shared" ca="1" si="3"/>
        <v>0</v>
      </c>
    </row>
    <row r="18" spans="2:6" x14ac:dyDescent="0.2">
      <c r="B18" s="142">
        <f t="shared" ca="1" si="0"/>
        <v>1</v>
      </c>
      <c r="C18" s="141">
        <f t="shared" ca="1" si="1"/>
        <v>1</v>
      </c>
      <c r="E18" s="140">
        <f t="shared" ca="1" si="2"/>
        <v>1</v>
      </c>
      <c r="F18" s="143">
        <f t="shared" ca="1" si="3"/>
        <v>0</v>
      </c>
    </row>
    <row r="19" spans="2:6" x14ac:dyDescent="0.2">
      <c r="B19" s="142">
        <f t="shared" ca="1" si="0"/>
        <v>5</v>
      </c>
      <c r="C19" s="141">
        <f t="shared" ca="1" si="1"/>
        <v>5</v>
      </c>
      <c r="E19" s="140">
        <f t="shared" ca="1" si="2"/>
        <v>5</v>
      </c>
      <c r="F19" s="143">
        <f t="shared" ca="1" si="3"/>
        <v>0</v>
      </c>
    </row>
    <row r="20" spans="2:6" x14ac:dyDescent="0.2">
      <c r="B20" s="142">
        <f t="shared" ca="1" si="0"/>
        <v>3</v>
      </c>
      <c r="C20" s="141">
        <f t="shared" ca="1" si="1"/>
        <v>3</v>
      </c>
      <c r="E20" s="140">
        <f t="shared" ca="1" si="2"/>
        <v>3</v>
      </c>
      <c r="F20" s="143">
        <f t="shared" ca="1" si="3"/>
        <v>0</v>
      </c>
    </row>
    <row r="21" spans="2:6" x14ac:dyDescent="0.2">
      <c r="B21" s="142">
        <f t="shared" ca="1" si="0"/>
        <v>5</v>
      </c>
      <c r="C21" s="141">
        <f t="shared" ca="1" si="1"/>
        <v>5</v>
      </c>
      <c r="E21" s="140">
        <f t="shared" ca="1" si="2"/>
        <v>5</v>
      </c>
      <c r="F21" s="143">
        <f t="shared" ca="1" si="3"/>
        <v>0</v>
      </c>
    </row>
    <row r="22" spans="2:6" x14ac:dyDescent="0.2">
      <c r="B22" s="142">
        <f t="shared" ca="1" si="0"/>
        <v>3</v>
      </c>
      <c r="C22" s="141">
        <f t="shared" ca="1" si="1"/>
        <v>3</v>
      </c>
      <c r="E22" s="140">
        <f t="shared" ca="1" si="2"/>
        <v>3</v>
      </c>
      <c r="F22" s="143">
        <f t="shared" ca="1" si="3"/>
        <v>0</v>
      </c>
    </row>
    <row r="23" spans="2:6" x14ac:dyDescent="0.2">
      <c r="B23" s="142">
        <f t="shared" ca="1" si="0"/>
        <v>1</v>
      </c>
      <c r="C23" s="141">
        <f t="shared" ca="1" si="1"/>
        <v>1</v>
      </c>
      <c r="E23" s="140">
        <f t="shared" ca="1" si="2"/>
        <v>1</v>
      </c>
      <c r="F23" s="143">
        <f t="shared" ca="1" si="3"/>
        <v>0</v>
      </c>
    </row>
    <row r="24" spans="2:6" x14ac:dyDescent="0.2">
      <c r="B24" s="142">
        <f t="shared" ca="1" si="0"/>
        <v>5</v>
      </c>
      <c r="C24" s="141">
        <f t="shared" ca="1" si="1"/>
        <v>5</v>
      </c>
      <c r="E24" s="140">
        <f t="shared" ca="1" si="2"/>
        <v>5</v>
      </c>
      <c r="F24" s="139">
        <f t="shared" ca="1" si="3"/>
        <v>0</v>
      </c>
    </row>
  </sheetData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3:9" s="99" customFormat="1" x14ac:dyDescent="0.2">
      <c r="C2" s="99" t="s">
        <v>438</v>
      </c>
      <c r="D2" s="99" t="s">
        <v>437</v>
      </c>
      <c r="E2" s="99" t="s">
        <v>442</v>
      </c>
      <c r="G2" s="99" t="s">
        <v>440</v>
      </c>
      <c r="H2" s="99" t="s">
        <v>439</v>
      </c>
      <c r="I2" s="99" t="s">
        <v>441</v>
      </c>
    </row>
    <row r="3" spans="3:9" x14ac:dyDescent="0.2">
      <c r="C3" s="142">
        <f t="shared" ref="C3:C24" ca="1" si="0">RANDBETWEEN(1,5)</f>
        <v>1</v>
      </c>
      <c r="D3" s="141">
        <f t="shared" ref="D3:E24" ca="1" si="1">C3</f>
        <v>1</v>
      </c>
      <c r="E3" s="148">
        <f t="shared" ca="1" si="1"/>
        <v>1</v>
      </c>
      <c r="G3" s="147">
        <f t="shared" ref="G3:G24" ca="1" si="2">0.33*C3+0.33*D3+0.33*E3</f>
        <v>0.99</v>
      </c>
      <c r="H3" s="150">
        <f t="shared" ref="H3:H24" ca="1" si="3">0.04*C3-0.04*D3+0*E3</f>
        <v>0</v>
      </c>
      <c r="I3" s="149">
        <f t="shared" ref="I3:I24" ca="1" si="4">-0.001*C3-0.001*D3+0.002*E3</f>
        <v>0</v>
      </c>
    </row>
    <row r="4" spans="3:9" x14ac:dyDescent="0.2">
      <c r="C4" s="142">
        <f t="shared" ca="1" si="0"/>
        <v>1</v>
      </c>
      <c r="D4" s="141">
        <f t="shared" ca="1" si="1"/>
        <v>1</v>
      </c>
      <c r="E4" s="148">
        <f t="shared" ca="1" si="1"/>
        <v>1</v>
      </c>
      <c r="G4" s="147">
        <f t="shared" ca="1" si="2"/>
        <v>0.99</v>
      </c>
      <c r="H4" s="42">
        <f t="shared" ca="1" si="3"/>
        <v>0</v>
      </c>
      <c r="I4" s="43">
        <f t="shared" ca="1" si="4"/>
        <v>0</v>
      </c>
    </row>
    <row r="5" spans="3:9" x14ac:dyDescent="0.2">
      <c r="C5" s="142">
        <f t="shared" ca="1" si="0"/>
        <v>3</v>
      </c>
      <c r="D5" s="141">
        <f t="shared" ca="1" si="1"/>
        <v>3</v>
      </c>
      <c r="E5" s="148">
        <f t="shared" ca="1" si="1"/>
        <v>3</v>
      </c>
      <c r="G5" s="147">
        <f t="shared" ca="1" si="2"/>
        <v>2.9699999999999998</v>
      </c>
      <c r="H5" s="42">
        <f t="shared" ca="1" si="3"/>
        <v>0</v>
      </c>
      <c r="I5" s="43">
        <f t="shared" ca="1" si="4"/>
        <v>0</v>
      </c>
    </row>
    <row r="6" spans="3:9" x14ac:dyDescent="0.2">
      <c r="C6" s="142">
        <f t="shared" ca="1" si="0"/>
        <v>3</v>
      </c>
      <c r="D6" s="141">
        <f t="shared" ca="1" si="1"/>
        <v>3</v>
      </c>
      <c r="E6" s="148">
        <f t="shared" ca="1" si="1"/>
        <v>3</v>
      </c>
      <c r="G6" s="147">
        <f t="shared" ca="1" si="2"/>
        <v>2.9699999999999998</v>
      </c>
      <c r="H6" s="42">
        <f t="shared" ca="1" si="3"/>
        <v>0</v>
      </c>
      <c r="I6" s="43">
        <f t="shared" ca="1" si="4"/>
        <v>0</v>
      </c>
    </row>
    <row r="7" spans="3:9" x14ac:dyDescent="0.2">
      <c r="C7" s="142">
        <f t="shared" ca="1" si="0"/>
        <v>4</v>
      </c>
      <c r="D7" s="141">
        <f t="shared" ca="1" si="1"/>
        <v>4</v>
      </c>
      <c r="E7" s="148">
        <f t="shared" ca="1" si="1"/>
        <v>4</v>
      </c>
      <c r="G7" s="147">
        <f t="shared" ca="1" si="2"/>
        <v>3.96</v>
      </c>
      <c r="H7" s="42">
        <f t="shared" ca="1" si="3"/>
        <v>0</v>
      </c>
      <c r="I7" s="43">
        <f t="shared" ca="1" si="4"/>
        <v>0</v>
      </c>
    </row>
    <row r="8" spans="3:9" x14ac:dyDescent="0.2">
      <c r="C8" s="142">
        <f t="shared" ca="1" si="0"/>
        <v>2</v>
      </c>
      <c r="D8" s="141">
        <f t="shared" ca="1" si="1"/>
        <v>2</v>
      </c>
      <c r="E8" s="148">
        <f t="shared" ca="1" si="1"/>
        <v>2</v>
      </c>
      <c r="G8" s="147">
        <f t="shared" ca="1" si="2"/>
        <v>1.98</v>
      </c>
      <c r="H8" s="42">
        <f t="shared" ca="1" si="3"/>
        <v>0</v>
      </c>
      <c r="I8" s="43">
        <f t="shared" ca="1" si="4"/>
        <v>0</v>
      </c>
    </row>
    <row r="9" spans="3:9" x14ac:dyDescent="0.2">
      <c r="C9" s="142">
        <f t="shared" ca="1" si="0"/>
        <v>5</v>
      </c>
      <c r="D9" s="141">
        <f t="shared" ca="1" si="1"/>
        <v>5</v>
      </c>
      <c r="E9" s="148">
        <f t="shared" ca="1" si="1"/>
        <v>5</v>
      </c>
      <c r="G9" s="147">
        <f t="shared" ca="1" si="2"/>
        <v>4.95</v>
      </c>
      <c r="H9" s="42">
        <f t="shared" ca="1" si="3"/>
        <v>0</v>
      </c>
      <c r="I9" s="43">
        <f t="shared" ca="1" si="4"/>
        <v>0</v>
      </c>
    </row>
    <row r="10" spans="3:9" x14ac:dyDescent="0.2">
      <c r="C10" s="142">
        <f t="shared" ca="1" si="0"/>
        <v>5</v>
      </c>
      <c r="D10" s="141">
        <f t="shared" ca="1" si="1"/>
        <v>5</v>
      </c>
      <c r="E10" s="148">
        <f t="shared" ca="1" si="1"/>
        <v>5</v>
      </c>
      <c r="G10" s="147">
        <f t="shared" ca="1" si="2"/>
        <v>4.95</v>
      </c>
      <c r="H10" s="42">
        <f t="shared" ca="1" si="3"/>
        <v>0</v>
      </c>
      <c r="I10" s="43">
        <f t="shared" ca="1" si="4"/>
        <v>0</v>
      </c>
    </row>
    <row r="11" spans="3:9" x14ac:dyDescent="0.2">
      <c r="C11" s="142">
        <f t="shared" ca="1" si="0"/>
        <v>5</v>
      </c>
      <c r="D11" s="141">
        <f t="shared" ca="1" si="1"/>
        <v>5</v>
      </c>
      <c r="E11" s="148">
        <f t="shared" ca="1" si="1"/>
        <v>5</v>
      </c>
      <c r="G11" s="147">
        <f t="shared" ca="1" si="2"/>
        <v>4.95</v>
      </c>
      <c r="H11" s="42">
        <f t="shared" ca="1" si="3"/>
        <v>0</v>
      </c>
      <c r="I11" s="43">
        <f t="shared" ca="1" si="4"/>
        <v>0</v>
      </c>
    </row>
    <row r="12" spans="3:9" x14ac:dyDescent="0.2">
      <c r="C12" s="142">
        <f t="shared" ca="1" si="0"/>
        <v>1</v>
      </c>
      <c r="D12" s="141">
        <f t="shared" ca="1" si="1"/>
        <v>1</v>
      </c>
      <c r="E12" s="148">
        <f t="shared" ca="1" si="1"/>
        <v>1</v>
      </c>
      <c r="G12" s="147">
        <f t="shared" ca="1" si="2"/>
        <v>0.99</v>
      </c>
      <c r="H12" s="42">
        <f t="shared" ca="1" si="3"/>
        <v>0</v>
      </c>
      <c r="I12" s="43">
        <f t="shared" ca="1" si="4"/>
        <v>0</v>
      </c>
    </row>
    <row r="13" spans="3:9" x14ac:dyDescent="0.2">
      <c r="C13" s="142">
        <f t="shared" ca="1" si="0"/>
        <v>3</v>
      </c>
      <c r="D13" s="141">
        <f t="shared" ca="1" si="1"/>
        <v>3</v>
      </c>
      <c r="E13" s="148">
        <f t="shared" ca="1" si="1"/>
        <v>3</v>
      </c>
      <c r="G13" s="147">
        <f t="shared" ca="1" si="2"/>
        <v>2.9699999999999998</v>
      </c>
      <c r="H13" s="42">
        <f t="shared" ca="1" si="3"/>
        <v>0</v>
      </c>
      <c r="I13" s="43">
        <f t="shared" ca="1" si="4"/>
        <v>0</v>
      </c>
    </row>
    <row r="14" spans="3:9" x14ac:dyDescent="0.2">
      <c r="C14" s="142">
        <f t="shared" ca="1" si="0"/>
        <v>2</v>
      </c>
      <c r="D14" s="141">
        <f t="shared" ca="1" si="1"/>
        <v>2</v>
      </c>
      <c r="E14" s="148">
        <f t="shared" ca="1" si="1"/>
        <v>2</v>
      </c>
      <c r="G14" s="147">
        <f t="shared" ca="1" si="2"/>
        <v>1.98</v>
      </c>
      <c r="H14" s="42">
        <f t="shared" ca="1" si="3"/>
        <v>0</v>
      </c>
      <c r="I14" s="43">
        <f t="shared" ca="1" si="4"/>
        <v>0</v>
      </c>
    </row>
    <row r="15" spans="3:9" x14ac:dyDescent="0.2">
      <c r="C15" s="142">
        <f t="shared" ca="1" si="0"/>
        <v>1</v>
      </c>
      <c r="D15" s="141">
        <f t="shared" ca="1" si="1"/>
        <v>1</v>
      </c>
      <c r="E15" s="148">
        <f t="shared" ca="1" si="1"/>
        <v>1</v>
      </c>
      <c r="G15" s="147">
        <f t="shared" ca="1" si="2"/>
        <v>0.99</v>
      </c>
      <c r="H15" s="42">
        <f t="shared" ca="1" si="3"/>
        <v>0</v>
      </c>
      <c r="I15" s="43">
        <f t="shared" ca="1" si="4"/>
        <v>0</v>
      </c>
    </row>
    <row r="16" spans="3:9" x14ac:dyDescent="0.2">
      <c r="C16" s="142">
        <f t="shared" ca="1" si="0"/>
        <v>2</v>
      </c>
      <c r="D16" s="141">
        <f t="shared" ca="1" si="1"/>
        <v>2</v>
      </c>
      <c r="E16" s="148">
        <f t="shared" ca="1" si="1"/>
        <v>2</v>
      </c>
      <c r="G16" s="147">
        <f t="shared" ca="1" si="2"/>
        <v>1.98</v>
      </c>
      <c r="H16" s="42">
        <f t="shared" ca="1" si="3"/>
        <v>0</v>
      </c>
      <c r="I16" s="43">
        <f t="shared" ca="1" si="4"/>
        <v>0</v>
      </c>
    </row>
    <row r="17" spans="3:9" x14ac:dyDescent="0.2">
      <c r="C17" s="142">
        <f t="shared" ca="1" si="0"/>
        <v>5</v>
      </c>
      <c r="D17" s="141">
        <f t="shared" ca="1" si="1"/>
        <v>5</v>
      </c>
      <c r="E17" s="148">
        <f t="shared" ca="1" si="1"/>
        <v>5</v>
      </c>
      <c r="G17" s="147">
        <f t="shared" ca="1" si="2"/>
        <v>4.95</v>
      </c>
      <c r="H17" s="42">
        <f t="shared" ca="1" si="3"/>
        <v>0</v>
      </c>
      <c r="I17" s="43">
        <f t="shared" ca="1" si="4"/>
        <v>0</v>
      </c>
    </row>
    <row r="18" spans="3:9" x14ac:dyDescent="0.2">
      <c r="C18" s="142">
        <f t="shared" ca="1" si="0"/>
        <v>2</v>
      </c>
      <c r="D18" s="141">
        <f t="shared" ca="1" si="1"/>
        <v>2</v>
      </c>
      <c r="E18" s="148">
        <f t="shared" ca="1" si="1"/>
        <v>2</v>
      </c>
      <c r="G18" s="147">
        <f t="shared" ca="1" si="2"/>
        <v>1.98</v>
      </c>
      <c r="H18" s="42">
        <f t="shared" ca="1" si="3"/>
        <v>0</v>
      </c>
      <c r="I18" s="43">
        <f t="shared" ca="1" si="4"/>
        <v>0</v>
      </c>
    </row>
    <row r="19" spans="3:9" x14ac:dyDescent="0.2">
      <c r="C19" s="142">
        <f t="shared" ca="1" si="0"/>
        <v>5</v>
      </c>
      <c r="D19" s="141">
        <f t="shared" ca="1" si="1"/>
        <v>5</v>
      </c>
      <c r="E19" s="148">
        <f t="shared" ca="1" si="1"/>
        <v>5</v>
      </c>
      <c r="G19" s="147">
        <f t="shared" ca="1" si="2"/>
        <v>4.95</v>
      </c>
      <c r="H19" s="42">
        <f t="shared" ca="1" si="3"/>
        <v>0</v>
      </c>
      <c r="I19" s="43">
        <f t="shared" ca="1" si="4"/>
        <v>0</v>
      </c>
    </row>
    <row r="20" spans="3:9" x14ac:dyDescent="0.2">
      <c r="C20" s="142">
        <f t="shared" ca="1" si="0"/>
        <v>2</v>
      </c>
      <c r="D20" s="141">
        <f t="shared" ca="1" si="1"/>
        <v>2</v>
      </c>
      <c r="E20" s="148">
        <f t="shared" ca="1" si="1"/>
        <v>2</v>
      </c>
      <c r="G20" s="147">
        <f t="shared" ca="1" si="2"/>
        <v>1.98</v>
      </c>
      <c r="H20" s="42">
        <f t="shared" ca="1" si="3"/>
        <v>0</v>
      </c>
      <c r="I20" s="43">
        <f t="shared" ca="1" si="4"/>
        <v>0</v>
      </c>
    </row>
    <row r="21" spans="3:9" x14ac:dyDescent="0.2">
      <c r="C21" s="142">
        <f t="shared" ca="1" si="0"/>
        <v>4</v>
      </c>
      <c r="D21" s="141">
        <f t="shared" ca="1" si="1"/>
        <v>4</v>
      </c>
      <c r="E21" s="148">
        <f t="shared" ca="1" si="1"/>
        <v>4</v>
      </c>
      <c r="G21" s="147">
        <f t="shared" ca="1" si="2"/>
        <v>3.96</v>
      </c>
      <c r="H21" s="42">
        <f t="shared" ca="1" si="3"/>
        <v>0</v>
      </c>
      <c r="I21" s="43">
        <f t="shared" ca="1" si="4"/>
        <v>0</v>
      </c>
    </row>
    <row r="22" spans="3:9" x14ac:dyDescent="0.2">
      <c r="C22" s="142">
        <f t="shared" ca="1" si="0"/>
        <v>1</v>
      </c>
      <c r="D22" s="141">
        <f t="shared" ca="1" si="1"/>
        <v>1</v>
      </c>
      <c r="E22" s="148">
        <f t="shared" ca="1" si="1"/>
        <v>1</v>
      </c>
      <c r="G22" s="147">
        <f t="shared" ca="1" si="2"/>
        <v>0.99</v>
      </c>
      <c r="H22" s="42">
        <f t="shared" ca="1" si="3"/>
        <v>0</v>
      </c>
      <c r="I22" s="43">
        <f t="shared" ca="1" si="4"/>
        <v>0</v>
      </c>
    </row>
    <row r="23" spans="3:9" x14ac:dyDescent="0.2">
      <c r="C23" s="142">
        <f t="shared" ca="1" si="0"/>
        <v>4</v>
      </c>
      <c r="D23" s="141">
        <f t="shared" ca="1" si="1"/>
        <v>4</v>
      </c>
      <c r="E23" s="148">
        <f t="shared" ca="1" si="1"/>
        <v>4</v>
      </c>
      <c r="G23" s="147">
        <f t="shared" ca="1" si="2"/>
        <v>3.96</v>
      </c>
      <c r="H23" s="42">
        <f t="shared" ca="1" si="3"/>
        <v>0</v>
      </c>
      <c r="I23" s="43">
        <f t="shared" ca="1" si="4"/>
        <v>0</v>
      </c>
    </row>
    <row r="24" spans="3:9" x14ac:dyDescent="0.2">
      <c r="C24" s="142">
        <f t="shared" ca="1" si="0"/>
        <v>1</v>
      </c>
      <c r="D24" s="141">
        <f t="shared" ca="1" si="1"/>
        <v>1</v>
      </c>
      <c r="E24" s="148">
        <f t="shared" ca="1" si="1"/>
        <v>1</v>
      </c>
      <c r="G24" s="147">
        <f t="shared" ca="1" si="2"/>
        <v>0.99</v>
      </c>
      <c r="H24" s="146">
        <f t="shared" ca="1" si="3"/>
        <v>0</v>
      </c>
      <c r="I24" s="145">
        <f t="shared" ca="1" si="4"/>
        <v>0</v>
      </c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5" style="135" bestFit="1" customWidth="1"/>
    <col min="4" max="5" width="7.33203125" style="135" bestFit="1" customWidth="1"/>
    <col min="6" max="6" width="9.83203125" style="135" bestFit="1" customWidth="1"/>
    <col min="7" max="7" width="12.83203125" style="135" bestFit="1" customWidth="1"/>
    <col min="8" max="8" width="8" style="135" bestFit="1" customWidth="1"/>
    <col min="9" max="9" width="7.83203125" style="135" bestFit="1" customWidth="1"/>
    <col min="10" max="10" width="13.83203125" style="135" bestFit="1" customWidth="1"/>
    <col min="11" max="11" width="13.6640625" style="135" customWidth="1"/>
    <col min="12" max="12" width="15.83203125" style="135" bestFit="1" customWidth="1"/>
    <col min="13" max="13" width="10.33203125" style="135" bestFit="1" customWidth="1"/>
    <col min="14" max="15" width="8.1640625" style="135" bestFit="1" customWidth="1"/>
    <col min="16" max="16" width="9.6640625" style="135" bestFit="1" customWidth="1"/>
    <col min="17" max="17" width="12.6640625" style="135" bestFit="1" customWidth="1"/>
    <col min="18" max="19" width="9.1640625" style="135" bestFit="1" customWidth="1"/>
    <col min="20" max="20" width="13.6640625" style="135" bestFit="1" customWidth="1"/>
    <col min="21" max="16384" width="10.83203125" style="135"/>
  </cols>
  <sheetData>
    <row r="1" spans="1:20" x14ac:dyDescent="0.3">
      <c r="A1" s="135" t="s">
        <v>443</v>
      </c>
    </row>
    <row r="3" spans="1:20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  <c r="M3" s="135" t="s">
        <v>430</v>
      </c>
      <c r="N3" s="135" t="s">
        <v>429</v>
      </c>
      <c r="O3" s="135" t="s">
        <v>428</v>
      </c>
      <c r="P3" s="135" t="s">
        <v>427</v>
      </c>
      <c r="Q3" s="135" t="s">
        <v>426</v>
      </c>
      <c r="R3" s="135" t="s">
        <v>425</v>
      </c>
      <c r="S3" s="135" t="s">
        <v>424</v>
      </c>
      <c r="T3" s="135" t="s">
        <v>423</v>
      </c>
    </row>
    <row r="4" spans="1:20" x14ac:dyDescent="0.3">
      <c r="B4" s="100" t="s">
        <v>435</v>
      </c>
      <c r="C4" s="117">
        <v>8.3830358839885815</v>
      </c>
      <c r="D4" s="117">
        <v>9.4549122846191409</v>
      </c>
      <c r="E4" s="117">
        <v>7.9904725452811967</v>
      </c>
      <c r="F4" s="117">
        <v>7.7703277820694137</v>
      </c>
      <c r="G4" s="117">
        <v>8.2040543775696442</v>
      </c>
      <c r="H4" s="117">
        <v>1.5592917761111025</v>
      </c>
      <c r="I4" s="117">
        <v>3.4559881155421022</v>
      </c>
      <c r="J4" s="117">
        <v>3.5439432666766981</v>
      </c>
      <c r="K4" s="138"/>
      <c r="L4" s="151" t="s">
        <v>435</v>
      </c>
      <c r="M4" s="135">
        <v>0.44</v>
      </c>
      <c r="N4" s="135">
        <v>0.43</v>
      </c>
      <c r="O4" s="135">
        <v>0.45</v>
      </c>
      <c r="P4" s="135">
        <v>0.41</v>
      </c>
      <c r="Q4" s="135">
        <v>0.42</v>
      </c>
      <c r="R4" s="135">
        <v>0.01</v>
      </c>
      <c r="S4" s="135">
        <v>0.02</v>
      </c>
      <c r="T4" s="135">
        <v>0.01</v>
      </c>
    </row>
    <row r="5" spans="1:20" x14ac:dyDescent="0.3">
      <c r="B5" s="100" t="s">
        <v>431</v>
      </c>
      <c r="C5" s="117">
        <v>9.6155900286805682</v>
      </c>
      <c r="D5" s="117">
        <v>1.7960754918718824</v>
      </c>
      <c r="E5" s="117">
        <v>9.5639526180169554</v>
      </c>
      <c r="F5" s="117">
        <v>7.2610802333371094</v>
      </c>
      <c r="G5" s="117">
        <v>0.80971436006217834</v>
      </c>
      <c r="H5" s="117">
        <v>1.6939758640662901</v>
      </c>
      <c r="I5" s="117">
        <v>9.7043699931936178E-2</v>
      </c>
      <c r="J5" s="117">
        <v>9.7421891000969065</v>
      </c>
      <c r="K5" s="138"/>
      <c r="L5" s="151" t="s">
        <v>431</v>
      </c>
      <c r="M5" s="135">
        <v>0.3</v>
      </c>
      <c r="N5" s="135">
        <v>0.01</v>
      </c>
      <c r="O5" s="135">
        <v>0.4</v>
      </c>
      <c r="P5" s="135">
        <v>0.4</v>
      </c>
      <c r="Q5" s="135">
        <v>0.01</v>
      </c>
      <c r="R5" s="135">
        <v>-0.11</v>
      </c>
      <c r="S5" s="135">
        <v>-0.21</v>
      </c>
      <c r="T5" s="135">
        <v>0.64</v>
      </c>
    </row>
    <row r="6" spans="1:20" x14ac:dyDescent="0.3">
      <c r="B6" s="100" t="s">
        <v>433</v>
      </c>
      <c r="C6" s="117">
        <v>2.1942233258793484</v>
      </c>
      <c r="D6" s="117">
        <v>8.9183954362339009</v>
      </c>
      <c r="E6" s="117">
        <v>7.73823626817145</v>
      </c>
      <c r="F6" s="117">
        <v>8.2683242546317075</v>
      </c>
      <c r="G6" s="117">
        <v>1.9696006956310628</v>
      </c>
      <c r="H6" s="117">
        <v>8.8390439914554779</v>
      </c>
      <c r="I6" s="117">
        <v>9.642816300900769</v>
      </c>
      <c r="J6" s="117">
        <v>9.5215297487882857</v>
      </c>
      <c r="K6" s="138"/>
      <c r="L6" s="151" t="s">
        <v>433</v>
      </c>
      <c r="M6" s="135">
        <v>0.01</v>
      </c>
      <c r="N6" s="135">
        <v>1</v>
      </c>
      <c r="O6" s="135">
        <v>1</v>
      </c>
      <c r="P6" s="135">
        <v>1</v>
      </c>
      <c r="Q6" s="135">
        <v>0.01</v>
      </c>
      <c r="R6" s="135">
        <v>1</v>
      </c>
      <c r="S6" s="135">
        <v>1</v>
      </c>
      <c r="T6" s="135">
        <v>1</v>
      </c>
    </row>
    <row r="7" spans="1:20" x14ac:dyDescent="0.3">
      <c r="B7" s="100" t="s">
        <v>431</v>
      </c>
      <c r="C7" s="117">
        <v>9.9143793427835512</v>
      </c>
      <c r="D7" s="117">
        <v>3.5545972187087851</v>
      </c>
      <c r="E7" s="117">
        <v>7.6889676697504123</v>
      </c>
      <c r="F7" s="117">
        <v>9.111571487481541</v>
      </c>
      <c r="G7" s="117">
        <v>3.163750294557107</v>
      </c>
      <c r="H7" s="117">
        <v>2.6187607795041652</v>
      </c>
      <c r="I7" s="117">
        <v>3.0428750387995125</v>
      </c>
      <c r="J7" s="117">
        <v>8.0662706623981038</v>
      </c>
      <c r="K7" s="138"/>
      <c r="L7" s="138"/>
      <c r="M7" s="138"/>
      <c r="N7" s="138"/>
      <c r="O7" s="138"/>
      <c r="P7" s="138"/>
      <c r="Q7" s="138"/>
      <c r="R7" s="138"/>
    </row>
    <row r="8" spans="1:20" x14ac:dyDescent="0.3">
      <c r="B8" s="100" t="s">
        <v>435</v>
      </c>
      <c r="C8" s="117">
        <v>8.1285220418221158</v>
      </c>
      <c r="D8" s="117">
        <v>9.7733235994570062</v>
      </c>
      <c r="E8" s="117">
        <v>7.5214279533111164</v>
      </c>
      <c r="F8" s="117">
        <v>9.5069399198799029</v>
      </c>
      <c r="G8" s="117">
        <v>8.4499841614825257</v>
      </c>
      <c r="H8" s="117">
        <v>0.35994856070150894</v>
      </c>
      <c r="I8" s="117">
        <v>1.9026668429663918</v>
      </c>
      <c r="J8" s="117">
        <v>1.1299367690691624</v>
      </c>
      <c r="K8" s="138"/>
      <c r="L8" s="138"/>
      <c r="M8" s="138"/>
      <c r="N8" s="138"/>
      <c r="O8" s="138"/>
      <c r="P8" s="138"/>
      <c r="Q8" s="138"/>
      <c r="R8" s="138"/>
    </row>
    <row r="9" spans="1:20" x14ac:dyDescent="0.3">
      <c r="B9" s="100" t="s">
        <v>431</v>
      </c>
      <c r="C9" s="117">
        <v>7.5424430619961962</v>
      </c>
      <c r="D9" s="117">
        <v>0.94788287939712523</v>
      </c>
      <c r="E9" s="117">
        <v>8.368299684255625</v>
      </c>
      <c r="F9" s="117">
        <v>9.3000642603242696</v>
      </c>
      <c r="G9" s="117">
        <v>2.755584687187127</v>
      </c>
      <c r="H9" s="117">
        <v>0.54197721302143753</v>
      </c>
      <c r="I9" s="117">
        <v>0.43782857199314362</v>
      </c>
      <c r="J9" s="117">
        <v>9.8642442165019286</v>
      </c>
      <c r="K9" s="138"/>
      <c r="L9" s="138"/>
      <c r="M9" s="138"/>
      <c r="N9" s="138"/>
      <c r="O9" s="138"/>
      <c r="P9" s="138"/>
      <c r="Q9" s="138"/>
      <c r="R9" s="138"/>
    </row>
    <row r="10" spans="1:20" x14ac:dyDescent="0.3">
      <c r="B10" s="100" t="s">
        <v>433</v>
      </c>
      <c r="C10" s="117">
        <v>1.7718111172569193</v>
      </c>
      <c r="D10" s="117">
        <v>7.3431955128827315</v>
      </c>
      <c r="E10" s="117">
        <v>7.9247321765696546</v>
      </c>
      <c r="F10" s="117">
        <v>8.7477144669364044</v>
      </c>
      <c r="G10" s="117">
        <v>1.6652346416815944</v>
      </c>
      <c r="H10" s="117">
        <v>9.258663590078001</v>
      </c>
      <c r="I10" s="117">
        <v>9.8824423855965158</v>
      </c>
      <c r="J10" s="117">
        <v>7.8913349673825319</v>
      </c>
      <c r="K10" s="138"/>
      <c r="L10" s="138"/>
      <c r="M10" s="138"/>
      <c r="N10" s="138"/>
      <c r="O10" s="138"/>
      <c r="P10" s="138"/>
      <c r="Q10" s="138"/>
      <c r="R10" s="138"/>
    </row>
    <row r="11" spans="1:20" x14ac:dyDescent="0.3">
      <c r="B11" s="100" t="s">
        <v>431</v>
      </c>
      <c r="C11" s="117">
        <v>7.5555798249028445</v>
      </c>
      <c r="D11" s="117">
        <v>3.1696577139281832</v>
      </c>
      <c r="E11" s="117">
        <v>8.9989805640385878</v>
      </c>
      <c r="F11" s="117">
        <v>7.969513544842985</v>
      </c>
      <c r="G11" s="117">
        <v>3.0368055482694238</v>
      </c>
      <c r="H11" s="117">
        <v>2.1589748386457419</v>
      </c>
      <c r="I11" s="117">
        <v>2.2223466976158686</v>
      </c>
      <c r="J11" s="117">
        <v>9.0078044596646123</v>
      </c>
      <c r="K11" s="138"/>
      <c r="L11" s="138"/>
      <c r="M11" s="138"/>
      <c r="N11" s="138"/>
      <c r="O11" s="138"/>
      <c r="P11" s="138"/>
      <c r="Q11" s="138"/>
      <c r="R11" s="138"/>
    </row>
    <row r="12" spans="1:20" x14ac:dyDescent="0.3">
      <c r="B12" s="100" t="s">
        <v>433</v>
      </c>
      <c r="C12" s="117">
        <v>3.7058239397834041</v>
      </c>
      <c r="D12" s="117">
        <v>7.9632890268409486</v>
      </c>
      <c r="E12" s="117">
        <v>8.4001636679380827</v>
      </c>
      <c r="F12" s="117">
        <v>9.1384346495091933</v>
      </c>
      <c r="G12" s="117">
        <v>2.0446723553787454</v>
      </c>
      <c r="H12" s="117">
        <v>9.2954178220537234</v>
      </c>
      <c r="I12" s="117">
        <v>9.5324206397042079</v>
      </c>
      <c r="J12" s="117">
        <v>7.5623159203789356</v>
      </c>
      <c r="K12" s="138"/>
      <c r="L12" s="138"/>
      <c r="M12" s="138"/>
      <c r="N12" s="138"/>
      <c r="O12" s="138"/>
      <c r="P12" s="138"/>
      <c r="Q12" s="138"/>
      <c r="R12" s="138"/>
    </row>
    <row r="13" spans="1:20" x14ac:dyDescent="0.3">
      <c r="B13" s="100" t="s">
        <v>431</v>
      </c>
      <c r="C13" s="117">
        <v>9.0599452193721852</v>
      </c>
      <c r="D13" s="117">
        <v>8.772631900141592E-2</v>
      </c>
      <c r="E13" s="117">
        <v>9.6495084391913188</v>
      </c>
      <c r="F13" s="117">
        <v>8.3025958296002464</v>
      </c>
      <c r="G13" s="117">
        <v>3.7980360979010057</v>
      </c>
      <c r="H13" s="117">
        <v>1.6875586195325711</v>
      </c>
      <c r="I13" s="117">
        <v>1.1630277152193362</v>
      </c>
      <c r="J13" s="117">
        <v>9.5301503406658874</v>
      </c>
      <c r="K13" s="138"/>
      <c r="L13" s="138"/>
      <c r="M13" s="138"/>
      <c r="N13" s="138"/>
      <c r="O13" s="138"/>
      <c r="P13" s="138"/>
      <c r="Q13" s="138"/>
      <c r="R13" s="138"/>
    </row>
    <row r="14" spans="1:20" x14ac:dyDescent="0.3">
      <c r="B14" s="100" t="s">
        <v>431</v>
      </c>
      <c r="C14" s="117">
        <v>7.179188523090505</v>
      </c>
      <c r="D14" s="117">
        <v>3.1187127617381725</v>
      </c>
      <c r="E14" s="117">
        <v>8.7800873440943672</v>
      </c>
      <c r="F14" s="117">
        <v>9.6732296618491738</v>
      </c>
      <c r="G14" s="117">
        <v>1.8974973729594891</v>
      </c>
      <c r="H14" s="117">
        <v>2.6354871228391432</v>
      </c>
      <c r="I14" s="117">
        <v>0.40291506914261177</v>
      </c>
      <c r="J14" s="117">
        <v>9.6684701383460112</v>
      </c>
      <c r="K14" s="138"/>
      <c r="L14" s="138"/>
      <c r="M14" s="138"/>
      <c r="N14" s="138"/>
      <c r="O14" s="138"/>
      <c r="P14" s="138"/>
      <c r="Q14" s="138"/>
      <c r="R14" s="138"/>
    </row>
    <row r="15" spans="1:20" x14ac:dyDescent="0.3">
      <c r="B15" s="100" t="s">
        <v>435</v>
      </c>
      <c r="C15" s="117">
        <v>7.3641537773670471</v>
      </c>
      <c r="D15" s="117">
        <v>9.0311082781393477</v>
      </c>
      <c r="E15" s="117">
        <v>8.9578093982371847</v>
      </c>
      <c r="F15" s="117">
        <v>9.6997369638997348</v>
      </c>
      <c r="G15" s="117">
        <v>8.747485732284435</v>
      </c>
      <c r="H15" s="117">
        <v>2.1446014265262674</v>
      </c>
      <c r="I15" s="117">
        <v>3.9042809837607049</v>
      </c>
      <c r="J15" s="117">
        <v>2.7510282694600585</v>
      </c>
      <c r="K15" s="138"/>
      <c r="L15" s="138"/>
      <c r="M15" s="138"/>
      <c r="N15" s="138"/>
      <c r="O15" s="138"/>
      <c r="P15" s="138"/>
      <c r="Q15" s="138"/>
      <c r="R15" s="138"/>
    </row>
    <row r="16" spans="1:20" x14ac:dyDescent="0.3">
      <c r="B16" s="100" t="s">
        <v>433</v>
      </c>
      <c r="C16" s="117">
        <v>1.6995180776384395</v>
      </c>
      <c r="D16" s="117">
        <v>8.3911339886788614</v>
      </c>
      <c r="E16" s="117">
        <v>9.2493943825508751</v>
      </c>
      <c r="F16" s="117">
        <v>7.2954042134389727</v>
      </c>
      <c r="G16" s="117">
        <v>0.89520256510558793</v>
      </c>
      <c r="H16" s="117">
        <v>9.3856463102615297</v>
      </c>
      <c r="I16" s="117">
        <v>8.0973997540028524</v>
      </c>
      <c r="J16" s="117">
        <v>7.4028696961109155</v>
      </c>
      <c r="K16" s="138"/>
      <c r="L16" s="138"/>
      <c r="M16" s="138"/>
      <c r="N16" s="138"/>
      <c r="O16" s="138"/>
      <c r="P16" s="138"/>
      <c r="Q16" s="138"/>
      <c r="R16" s="138"/>
    </row>
    <row r="17" spans="2:18" x14ac:dyDescent="0.3">
      <c r="B17" s="100" t="s">
        <v>433</v>
      </c>
      <c r="C17" s="117">
        <v>2.6514857056768157</v>
      </c>
      <c r="D17" s="117">
        <v>9.5752152034001128</v>
      </c>
      <c r="E17" s="117">
        <v>8.1608317352358011</v>
      </c>
      <c r="F17" s="117">
        <v>8.4887864157349746</v>
      </c>
      <c r="G17" s="117">
        <v>2.5977764000618269</v>
      </c>
      <c r="H17" s="117">
        <v>7.0070896682909618</v>
      </c>
      <c r="I17" s="117">
        <v>8.8166445524226358</v>
      </c>
      <c r="J17" s="117">
        <v>8.9929158422858784</v>
      </c>
      <c r="K17" s="138"/>
      <c r="L17" s="138"/>
      <c r="M17" s="138"/>
      <c r="N17" s="138"/>
      <c r="O17" s="138"/>
      <c r="P17" s="138"/>
      <c r="Q17" s="138"/>
      <c r="R17" s="138"/>
    </row>
    <row r="18" spans="2:18" x14ac:dyDescent="0.3">
      <c r="B18" s="100" t="s">
        <v>435</v>
      </c>
      <c r="C18" s="117">
        <v>7.4061269602946931</v>
      </c>
      <c r="D18" s="117">
        <v>8.523800770350956</v>
      </c>
      <c r="E18" s="117">
        <v>8.6676781623768058</v>
      </c>
      <c r="F18" s="117">
        <v>7.8368335283808133</v>
      </c>
      <c r="G18" s="117">
        <v>9.9584137559025621</v>
      </c>
      <c r="H18" s="117">
        <v>2.5368405911727847</v>
      </c>
      <c r="I18" s="117">
        <v>1.0448706331487054</v>
      </c>
      <c r="J18" s="117">
        <v>3.4220192283177568</v>
      </c>
      <c r="K18" s="138"/>
      <c r="L18" s="138"/>
      <c r="M18" s="138"/>
      <c r="N18" s="138"/>
      <c r="O18" s="138"/>
      <c r="P18" s="138"/>
      <c r="Q18" s="138"/>
      <c r="R18" s="138"/>
    </row>
    <row r="19" spans="2:18" x14ac:dyDescent="0.3">
      <c r="B19" s="100" t="s">
        <v>433</v>
      </c>
      <c r="C19" s="117">
        <v>0.30882664127743498</v>
      </c>
      <c r="D19" s="117">
        <v>9.1182257726070794</v>
      </c>
      <c r="E19" s="117">
        <v>8.0140777885987369</v>
      </c>
      <c r="F19" s="117">
        <v>8.4101955221332769</v>
      </c>
      <c r="G19" s="117">
        <v>1.6049423986086859</v>
      </c>
      <c r="H19" s="117">
        <v>7.1654353766429359</v>
      </c>
      <c r="I19" s="117">
        <v>7.0408098762794138</v>
      </c>
      <c r="J19" s="117">
        <v>7.28151545860515</v>
      </c>
      <c r="K19" s="138"/>
      <c r="L19" s="138"/>
      <c r="M19" s="138"/>
      <c r="N19" s="138"/>
      <c r="O19" s="138"/>
      <c r="P19" s="138"/>
      <c r="Q19" s="138"/>
      <c r="R19" s="138"/>
    </row>
    <row r="20" spans="2:18" x14ac:dyDescent="0.3">
      <c r="B20" s="100" t="s">
        <v>431</v>
      </c>
      <c r="C20" s="117">
        <v>7.5512321546014727</v>
      </c>
      <c r="D20" s="117">
        <v>2.8729878528944135</v>
      </c>
      <c r="E20" s="117">
        <v>7.5651188544811063</v>
      </c>
      <c r="F20" s="117">
        <v>7.7666265788907918</v>
      </c>
      <c r="G20" s="117">
        <v>0.31136992303303712</v>
      </c>
      <c r="H20" s="117">
        <v>8.3635300924818079E-2</v>
      </c>
      <c r="I20" s="117">
        <v>3.1480381217234115</v>
      </c>
      <c r="J20" s="117">
        <v>9.6417051620523608</v>
      </c>
      <c r="K20" s="138"/>
      <c r="L20" s="138"/>
      <c r="M20" s="138"/>
      <c r="N20" s="138"/>
      <c r="O20" s="138"/>
      <c r="P20" s="138"/>
      <c r="Q20" s="138"/>
      <c r="R20" s="138"/>
    </row>
    <row r="21" spans="2:18" x14ac:dyDescent="0.3">
      <c r="B21" s="100" t="s">
        <v>431</v>
      </c>
      <c r="C21" s="117">
        <v>7.2566542520951671</v>
      </c>
      <c r="D21" s="117">
        <v>3.7418812931370522</v>
      </c>
      <c r="E21" s="117">
        <v>8.4883664343264673</v>
      </c>
      <c r="F21" s="117">
        <v>9.3188663477703191</v>
      </c>
      <c r="G21" s="117">
        <v>3.8813037468867635</v>
      </c>
      <c r="H21" s="117">
        <v>2.163563531719555</v>
      </c>
      <c r="I21" s="117">
        <v>3.1601653152397144</v>
      </c>
      <c r="J21" s="117">
        <v>9.0687057202135755</v>
      </c>
      <c r="K21" s="138"/>
      <c r="L21" s="138"/>
      <c r="M21" s="138"/>
      <c r="N21" s="138"/>
      <c r="O21" s="138"/>
      <c r="P21" s="138"/>
      <c r="Q21" s="138"/>
      <c r="R21" s="138"/>
    </row>
    <row r="22" spans="2:18" x14ac:dyDescent="0.3">
      <c r="B22" s="100" t="s">
        <v>433</v>
      </c>
      <c r="C22" s="117">
        <v>1.1714130855975782</v>
      </c>
      <c r="D22" s="117">
        <v>7.3762558215199325</v>
      </c>
      <c r="E22" s="117">
        <v>8.3339708154616883</v>
      </c>
      <c r="F22" s="117">
        <v>8.437109801303988</v>
      </c>
      <c r="G22" s="117">
        <v>3.4995369008519064</v>
      </c>
      <c r="H22" s="117">
        <v>9.1317266599537863</v>
      </c>
      <c r="I22" s="117">
        <v>9.4415684601769971</v>
      </c>
      <c r="J22" s="117">
        <v>8.5410837369429924</v>
      </c>
      <c r="K22" s="138"/>
      <c r="L22" s="138"/>
      <c r="M22" s="138"/>
      <c r="N22" s="138"/>
      <c r="O22" s="138"/>
      <c r="P22" s="138"/>
      <c r="Q22" s="138"/>
      <c r="R22" s="138"/>
    </row>
    <row r="23" spans="2:18" x14ac:dyDescent="0.3">
      <c r="B23" s="100" t="s">
        <v>431</v>
      </c>
      <c r="C23" s="117">
        <v>9.4056140264459813</v>
      </c>
      <c r="D23" s="117">
        <v>2.5918487756174731</v>
      </c>
      <c r="E23" s="117">
        <v>7.2315224459411489</v>
      </c>
      <c r="F23" s="117">
        <v>9.3724381040078377</v>
      </c>
      <c r="G23" s="117">
        <v>3.9626993887393258</v>
      </c>
      <c r="H23" s="117">
        <v>0.15036210720714216</v>
      </c>
      <c r="I23" s="117">
        <v>1.2605288433505217</v>
      </c>
      <c r="J23" s="117">
        <v>7.6882005690349224</v>
      </c>
      <c r="K23" s="138"/>
      <c r="L23" s="138"/>
      <c r="M23" s="138"/>
      <c r="N23" s="138"/>
      <c r="O23" s="138"/>
      <c r="P23" s="138"/>
      <c r="Q23" s="138"/>
      <c r="R23" s="138"/>
    </row>
    <row r="24" spans="2:18" x14ac:dyDescent="0.3">
      <c r="B24" s="100" t="s">
        <v>431</v>
      </c>
      <c r="C24" s="117">
        <v>7.1891996750154865</v>
      </c>
      <c r="D24" s="117">
        <v>0.36262515116013194</v>
      </c>
      <c r="E24" s="117">
        <v>7.1422119999396569</v>
      </c>
      <c r="F24" s="117">
        <v>7.643731721082478</v>
      </c>
      <c r="G24" s="117">
        <v>2.5412411058806867</v>
      </c>
      <c r="H24" s="117">
        <v>3.0926968175265936</v>
      </c>
      <c r="I24" s="117">
        <v>1.4472444649994411</v>
      </c>
      <c r="J24" s="117">
        <v>9.5754126160592445</v>
      </c>
      <c r="K24" s="138"/>
      <c r="L24" s="138"/>
      <c r="M24" s="138"/>
      <c r="N24" s="138"/>
      <c r="O24" s="138"/>
      <c r="P24" s="138"/>
      <c r="Q24" s="138"/>
      <c r="R24" s="138"/>
    </row>
    <row r="25" spans="2:18" x14ac:dyDescent="0.3">
      <c r="B25" s="100" t="s">
        <v>435</v>
      </c>
      <c r="C25" s="117">
        <v>7.665873682129436</v>
      </c>
      <c r="D25" s="117">
        <v>8.3556834242560285</v>
      </c>
      <c r="E25" s="117">
        <v>7.9585302582038278</v>
      </c>
      <c r="F25" s="117">
        <v>7.3425082423930688</v>
      </c>
      <c r="G25" s="117">
        <v>8.358891927797135</v>
      </c>
      <c r="H25" s="117">
        <v>2.5760006720134476</v>
      </c>
      <c r="I25" s="117">
        <v>1.6365741631903745</v>
      </c>
      <c r="J25" s="117">
        <v>1.4811107770245422</v>
      </c>
      <c r="K25" s="138"/>
      <c r="L25" s="138"/>
      <c r="M25" s="138"/>
      <c r="N25" s="138"/>
      <c r="O25" s="138"/>
      <c r="P25" s="138"/>
      <c r="Q25" s="138"/>
      <c r="R25" s="138"/>
    </row>
    <row r="26" spans="2:18" x14ac:dyDescent="0.3">
      <c r="B26" s="100" t="s">
        <v>433</v>
      </c>
      <c r="C26" s="117">
        <v>1.3984516223069039</v>
      </c>
      <c r="D26" s="117">
        <v>8.5736414898296225</v>
      </c>
      <c r="E26" s="117">
        <v>8.6206850373658384</v>
      </c>
      <c r="F26" s="117">
        <v>8.960533002021343</v>
      </c>
      <c r="G26" s="117">
        <v>2.1153897911914119</v>
      </c>
      <c r="H26" s="117">
        <v>7.5663140458935132</v>
      </c>
      <c r="I26" s="117">
        <v>9.2857837021620444</v>
      </c>
      <c r="J26" s="117">
        <v>9.3145876292111893</v>
      </c>
      <c r="K26" s="138"/>
      <c r="L26" s="138"/>
      <c r="M26" s="138"/>
      <c r="N26" s="138"/>
      <c r="O26" s="138"/>
      <c r="P26" s="138"/>
      <c r="Q26" s="138"/>
      <c r="R26" s="138"/>
    </row>
    <row r="27" spans="2:18" x14ac:dyDescent="0.3">
      <c r="B27" s="100" t="s">
        <v>433</v>
      </c>
      <c r="C27" s="117">
        <v>1.6113208235859706</v>
      </c>
      <c r="D27" s="117">
        <v>9.4003297828057146</v>
      </c>
      <c r="E27" s="117">
        <v>7.658626696454844</v>
      </c>
      <c r="F27" s="117">
        <v>8.7169933721635182</v>
      </c>
      <c r="G27" s="117">
        <v>1.8821113614122034</v>
      </c>
      <c r="H27" s="117">
        <v>9.5347022508583557</v>
      </c>
      <c r="I27" s="117">
        <v>8.5874468142672402</v>
      </c>
      <c r="J27" s="117">
        <v>9.602134456695655</v>
      </c>
      <c r="K27" s="138"/>
      <c r="L27" s="138"/>
      <c r="M27" s="138"/>
      <c r="N27" s="138"/>
      <c r="O27" s="138"/>
      <c r="P27" s="138"/>
      <c r="Q27" s="138"/>
      <c r="R27" s="138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448</v>
      </c>
    </row>
    <row r="4" spans="2:2" x14ac:dyDescent="0.3">
      <c r="B4" s="1" t="s">
        <v>447</v>
      </c>
    </row>
    <row r="6" spans="2:2" x14ac:dyDescent="0.3">
      <c r="B6" s="1" t="s">
        <v>446</v>
      </c>
    </row>
    <row r="8" spans="2:2" x14ac:dyDescent="0.3">
      <c r="B8" s="1" t="s">
        <v>445</v>
      </c>
    </row>
    <row r="10" spans="2:2" x14ac:dyDescent="0.3">
      <c r="B10" s="1" t="s">
        <v>444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450</v>
      </c>
    </row>
    <row r="3" spans="2:2" x14ac:dyDescent="0.3">
      <c r="B3" s="3" t="s">
        <v>449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486</v>
      </c>
    </row>
    <row r="2" spans="1:1" ht="26" x14ac:dyDescent="0.3">
      <c r="A2" s="1" t="s">
        <v>487</v>
      </c>
    </row>
    <row r="3" spans="1:1" ht="26" x14ac:dyDescent="0.3">
      <c r="A3" s="1" t="s">
        <v>488</v>
      </c>
    </row>
    <row r="4" spans="1:1" ht="26" x14ac:dyDescent="0.3">
      <c r="A4" s="1" t="s">
        <v>489</v>
      </c>
    </row>
    <row r="5" spans="1:1" ht="26" x14ac:dyDescent="0.3">
      <c r="A5" s="1" t="s">
        <v>490</v>
      </c>
    </row>
    <row r="6" spans="1:1" ht="26" x14ac:dyDescent="0.3">
      <c r="A6" s="1" t="s">
        <v>491</v>
      </c>
    </row>
  </sheetData>
  <phoneticPr fontId="7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479</v>
      </c>
      <c r="B1" s="1" t="s">
        <v>480</v>
      </c>
    </row>
    <row r="2" spans="1:2" x14ac:dyDescent="0.3">
      <c r="A2" s="1" t="s">
        <v>481</v>
      </c>
      <c r="B2" s="1" t="s">
        <v>465</v>
      </c>
    </row>
    <row r="3" spans="1:2" x14ac:dyDescent="0.3">
      <c r="A3" s="1" t="s">
        <v>481</v>
      </c>
      <c r="B3" s="1" t="s">
        <v>466</v>
      </c>
    </row>
    <row r="4" spans="1:2" x14ac:dyDescent="0.3">
      <c r="A4" s="1" t="s">
        <v>481</v>
      </c>
      <c r="B4" s="1" t="s">
        <v>467</v>
      </c>
    </row>
    <row r="5" spans="1:2" x14ac:dyDescent="0.3">
      <c r="A5" s="1" t="s">
        <v>482</v>
      </c>
      <c r="B5" s="1" t="s">
        <v>465</v>
      </c>
    </row>
    <row r="6" spans="1:2" x14ac:dyDescent="0.3">
      <c r="A6" s="1" t="s">
        <v>482</v>
      </c>
      <c r="B6" s="1" t="s">
        <v>468</v>
      </c>
    </row>
    <row r="7" spans="1:2" x14ac:dyDescent="0.3">
      <c r="A7" s="1" t="s">
        <v>482</v>
      </c>
      <c r="B7" s="1" t="s">
        <v>469</v>
      </c>
    </row>
    <row r="8" spans="1:2" x14ac:dyDescent="0.3">
      <c r="A8" s="1" t="s">
        <v>482</v>
      </c>
      <c r="B8" s="1" t="s">
        <v>470</v>
      </c>
    </row>
    <row r="9" spans="1:2" x14ac:dyDescent="0.3">
      <c r="A9" s="1" t="s">
        <v>483</v>
      </c>
      <c r="B9" s="1" t="s">
        <v>465</v>
      </c>
    </row>
    <row r="10" spans="1:2" x14ac:dyDescent="0.3">
      <c r="A10" s="1" t="s">
        <v>483</v>
      </c>
      <c r="B10" s="1" t="s">
        <v>466</v>
      </c>
    </row>
    <row r="11" spans="1:2" x14ac:dyDescent="0.3">
      <c r="A11" s="1" t="s">
        <v>483</v>
      </c>
      <c r="B11" s="1" t="s">
        <v>470</v>
      </c>
    </row>
    <row r="12" spans="1:2" x14ac:dyDescent="0.3">
      <c r="A12" s="1" t="s">
        <v>484</v>
      </c>
      <c r="B12" s="1" t="s">
        <v>467</v>
      </c>
    </row>
    <row r="13" spans="1:2" x14ac:dyDescent="0.3">
      <c r="A13" s="1" t="s">
        <v>484</v>
      </c>
      <c r="B13" s="1" t="s">
        <v>468</v>
      </c>
    </row>
    <row r="14" spans="1:2" x14ac:dyDescent="0.3">
      <c r="A14" s="1" t="s">
        <v>484</v>
      </c>
      <c r="B14" s="1" t="s">
        <v>469</v>
      </c>
    </row>
    <row r="15" spans="1:2" x14ac:dyDescent="0.3">
      <c r="A15" s="1" t="s">
        <v>485</v>
      </c>
      <c r="B15" s="1" t="s">
        <v>465</v>
      </c>
    </row>
    <row r="16" spans="1:2" x14ac:dyDescent="0.3">
      <c r="A16" s="1" t="s">
        <v>485</v>
      </c>
      <c r="B16" s="1" t="s">
        <v>466</v>
      </c>
    </row>
    <row r="17" spans="1:2" x14ac:dyDescent="0.3">
      <c r="A17" s="1" t="s">
        <v>485</v>
      </c>
      <c r="B17" s="1" t="s">
        <v>467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465</v>
      </c>
      <c r="B1" s="1" t="s">
        <v>466</v>
      </c>
      <c r="C1" s="1" t="s">
        <v>467</v>
      </c>
    </row>
    <row r="2" spans="1:4" x14ac:dyDescent="0.3">
      <c r="A2" s="1" t="s">
        <v>465</v>
      </c>
      <c r="B2" s="1" t="s">
        <v>468</v>
      </c>
      <c r="C2" s="1" t="s">
        <v>469</v>
      </c>
      <c r="D2" s="1" t="s">
        <v>470</v>
      </c>
    </row>
    <row r="3" spans="1:4" x14ac:dyDescent="0.3">
      <c r="A3" s="1" t="s">
        <v>465</v>
      </c>
      <c r="B3" s="1" t="s">
        <v>466</v>
      </c>
      <c r="C3" s="1" t="s">
        <v>470</v>
      </c>
    </row>
    <row r="4" spans="1:4" x14ac:dyDescent="0.3">
      <c r="A4" s="1" t="s">
        <v>467</v>
      </c>
      <c r="B4" s="1" t="s">
        <v>468</v>
      </c>
      <c r="C4" s="1" t="s">
        <v>469</v>
      </c>
    </row>
    <row r="5" spans="1:4" x14ac:dyDescent="0.3">
      <c r="A5" s="1" t="s">
        <v>465</v>
      </c>
      <c r="B5" s="1" t="s">
        <v>466</v>
      </c>
      <c r="C5" s="1" t="s">
        <v>467</v>
      </c>
    </row>
  </sheetData>
  <pageMargins left="0.7" right="0.7" top="0.75" bottom="0.75" header="0.3" footer="0.3"/>
  <pageSetup orientation="portrait" horizontalDpi="0" verticalDpi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459</v>
      </c>
    </row>
    <row r="2" spans="1:1" x14ac:dyDescent="0.3">
      <c r="A2" s="1" t="s">
        <v>460</v>
      </c>
    </row>
    <row r="3" spans="1:1" x14ac:dyDescent="0.3">
      <c r="A3" s="1" t="s">
        <v>461</v>
      </c>
    </row>
    <row r="4" spans="1:1" x14ac:dyDescent="0.3">
      <c r="A4" s="1" t="s">
        <v>462</v>
      </c>
    </row>
    <row r="5" spans="1:1" x14ac:dyDescent="0.3">
      <c r="A5" s="1" t="s">
        <v>459</v>
      </c>
    </row>
  </sheetData>
  <pageMargins left="0.7" right="0.7" top="0.75" bottom="0.75" header="0.3" footer="0.3"/>
  <pageSetup orientation="portrait" horizontalDpi="0" verticalDpi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52"/>
    <col min="2" max="2" width="12.6640625" style="152" bestFit="1" customWidth="1"/>
    <col min="3" max="16384" width="21.83203125" style="152"/>
  </cols>
  <sheetData>
    <row r="2" spans="4:10" x14ac:dyDescent="0.3">
      <c r="D2" s="152" t="s">
        <v>463</v>
      </c>
    </row>
    <row r="3" spans="4:10" x14ac:dyDescent="0.3">
      <c r="D3" s="153" t="s">
        <v>464</v>
      </c>
      <c r="E3" s="153" t="s">
        <v>465</v>
      </c>
      <c r="F3" s="153" t="s">
        <v>466</v>
      </c>
      <c r="G3" s="153" t="s">
        <v>467</v>
      </c>
      <c r="H3" s="153" t="s">
        <v>468</v>
      </c>
      <c r="I3" s="153" t="s">
        <v>469</v>
      </c>
      <c r="J3" s="153" t="s">
        <v>470</v>
      </c>
    </row>
    <row r="4" spans="4:10" x14ac:dyDescent="0.3">
      <c r="D4" s="154" t="s">
        <v>471</v>
      </c>
      <c r="E4" s="154">
        <v>1</v>
      </c>
      <c r="F4" s="154">
        <v>1</v>
      </c>
      <c r="G4" s="154">
        <v>1</v>
      </c>
      <c r="H4" s="154">
        <v>0</v>
      </c>
      <c r="I4" s="154">
        <v>0</v>
      </c>
      <c r="J4" s="154">
        <v>0</v>
      </c>
    </row>
    <row r="5" spans="4:10" x14ac:dyDescent="0.3">
      <c r="D5" s="154" t="s">
        <v>472</v>
      </c>
      <c r="E5" s="154">
        <v>1</v>
      </c>
      <c r="F5" s="154">
        <v>0</v>
      </c>
      <c r="G5" s="154">
        <v>0</v>
      </c>
      <c r="H5" s="154">
        <v>1</v>
      </c>
      <c r="I5" s="154">
        <v>1</v>
      </c>
      <c r="J5" s="154">
        <v>1</v>
      </c>
    </row>
    <row r="6" spans="4:10" x14ac:dyDescent="0.3">
      <c r="D6" s="154" t="s">
        <v>473</v>
      </c>
      <c r="E6" s="154">
        <v>1</v>
      </c>
      <c r="F6" s="154">
        <v>1</v>
      </c>
      <c r="G6" s="154">
        <v>0</v>
      </c>
      <c r="H6" s="154">
        <v>0</v>
      </c>
      <c r="I6" s="154">
        <v>0</v>
      </c>
      <c r="J6" s="154">
        <v>1</v>
      </c>
    </row>
    <row r="7" spans="4:10" x14ac:dyDescent="0.3">
      <c r="D7" s="154" t="s">
        <v>474</v>
      </c>
      <c r="E7" s="154">
        <v>0</v>
      </c>
      <c r="F7" s="154">
        <v>0</v>
      </c>
      <c r="G7" s="154">
        <v>1</v>
      </c>
      <c r="H7" s="154">
        <v>1</v>
      </c>
      <c r="I7" s="154">
        <v>1</v>
      </c>
      <c r="J7" s="154">
        <v>0</v>
      </c>
    </row>
    <row r="8" spans="4:10" x14ac:dyDescent="0.3">
      <c r="D8" s="154" t="s">
        <v>475</v>
      </c>
      <c r="E8" s="154">
        <v>1</v>
      </c>
      <c r="F8" s="154">
        <v>1</v>
      </c>
      <c r="G8" s="154">
        <v>1</v>
      </c>
      <c r="H8" s="154">
        <v>0</v>
      </c>
      <c r="I8" s="154">
        <v>0</v>
      </c>
      <c r="J8" s="154">
        <v>0</v>
      </c>
    </row>
    <row r="9" spans="4:10" x14ac:dyDescent="0.3">
      <c r="D9" s="152" t="s">
        <v>476</v>
      </c>
      <c r="E9" s="155">
        <f t="shared" ref="E9:J9" si="0">SUM(E4:E8)</f>
        <v>4</v>
      </c>
      <c r="F9" s="155">
        <f t="shared" si="0"/>
        <v>3</v>
      </c>
      <c r="G9" s="155">
        <f t="shared" si="0"/>
        <v>3</v>
      </c>
      <c r="H9" s="155">
        <f t="shared" si="0"/>
        <v>2</v>
      </c>
      <c r="I9" s="155">
        <f t="shared" si="0"/>
        <v>2</v>
      </c>
      <c r="J9" s="155">
        <f t="shared" si="0"/>
        <v>2</v>
      </c>
    </row>
    <row r="12" spans="4:10" x14ac:dyDescent="0.3">
      <c r="D12" s="152" t="s">
        <v>477</v>
      </c>
      <c r="E12" s="153" t="s">
        <v>465</v>
      </c>
      <c r="F12" s="153" t="s">
        <v>466</v>
      </c>
      <c r="G12" s="153" t="s">
        <v>467</v>
      </c>
      <c r="H12" s="153" t="s">
        <v>468</v>
      </c>
      <c r="I12" s="153" t="s">
        <v>469</v>
      </c>
      <c r="J12" s="153" t="s">
        <v>470</v>
      </c>
    </row>
    <row r="13" spans="4:10" x14ac:dyDescent="0.3">
      <c r="D13" s="153" t="s">
        <v>465</v>
      </c>
      <c r="E13" s="156" cm="1">
        <f t="array" aca="1" ref="E13" ca="1">SUM(INDIRECT($D13)*INDIRECT(E$12))/SUM(INDIRECT(E$12))</f>
        <v>1</v>
      </c>
      <c r="F13" s="156" cm="1">
        <f t="array" aca="1" ref="F13" ca="1">SUM(INDIRECT($D13)*INDIRECT(F$12))/SUM(INDIRECT(F$12))</f>
        <v>1</v>
      </c>
      <c r="G13" s="156" cm="1">
        <f t="array" aca="1" ref="G13" ca="1">SUM(INDIRECT($D13)*INDIRECT(G$12))/SUM(INDIRECT(G$12))</f>
        <v>0.66666666666666663</v>
      </c>
      <c r="H13" s="156" cm="1">
        <f t="array" aca="1" ref="H13" ca="1">SUM(INDIRECT($D13)*INDIRECT(H$12))/SUM(INDIRECT(H$12))</f>
        <v>0.5</v>
      </c>
      <c r="I13" s="156" cm="1">
        <f t="array" aca="1" ref="I13" ca="1">SUM(INDIRECT($D13)*INDIRECT(I$12))/SUM(INDIRECT(I$12))</f>
        <v>0.5</v>
      </c>
      <c r="J13" s="156" cm="1">
        <f t="array" aca="1" ref="J13" ca="1">SUM(INDIRECT($D13)*INDIRECT(J$12))/SUM(INDIRECT(J$12))</f>
        <v>1</v>
      </c>
    </row>
    <row r="14" spans="4:10" x14ac:dyDescent="0.3">
      <c r="D14" s="153" t="s">
        <v>466</v>
      </c>
      <c r="E14" s="156" cm="1">
        <f t="array" aca="1" ref="E14" ca="1">SUM(INDIRECT($D14)*INDIRECT(E$12))/SUM(INDIRECT(E$12))</f>
        <v>0.75</v>
      </c>
      <c r="F14" s="156" cm="1">
        <f t="array" aca="1" ref="F14" ca="1">SUM(INDIRECT($D14)*INDIRECT(F$12))/SUM(INDIRECT(F$12))</f>
        <v>1</v>
      </c>
      <c r="G14" s="156" cm="1">
        <f t="array" aca="1" ref="G14" ca="1">SUM(INDIRECT($D14)*INDIRECT(G$12))/SUM(INDIRECT(G$12))</f>
        <v>0.66666666666666663</v>
      </c>
      <c r="H14" s="156" cm="1">
        <f t="array" aca="1" ref="H14" ca="1">SUM(INDIRECT($D14)*INDIRECT(H$12))/SUM(INDIRECT(H$12))</f>
        <v>0</v>
      </c>
      <c r="I14" s="156" cm="1">
        <f t="array" aca="1" ref="I14" ca="1">SUM(INDIRECT($D14)*INDIRECT(I$12))/SUM(INDIRECT(I$12))</f>
        <v>0</v>
      </c>
      <c r="J14" s="156" cm="1">
        <f t="array" aca="1" ref="J14" ca="1">SUM(INDIRECT($D14)*INDIRECT(J$12))/SUM(INDIRECT(J$12))</f>
        <v>0.5</v>
      </c>
    </row>
    <row r="15" spans="4:10" x14ac:dyDescent="0.3">
      <c r="D15" s="153" t="s">
        <v>467</v>
      </c>
      <c r="E15" s="156" cm="1">
        <f t="array" aca="1" ref="E15" ca="1">SUM(INDIRECT($D15)*INDIRECT(E$12))/SUM(INDIRECT(E$12))</f>
        <v>0.5</v>
      </c>
      <c r="F15" s="156" cm="1">
        <f t="array" aca="1" ref="F15" ca="1">SUM(INDIRECT($D15)*INDIRECT(F$12))/SUM(INDIRECT(F$12))</f>
        <v>0.66666666666666663</v>
      </c>
      <c r="G15" s="156" cm="1">
        <f t="array" aca="1" ref="G15" ca="1">SUM(INDIRECT($D15)*INDIRECT(G$12))/SUM(INDIRECT(G$12))</f>
        <v>1</v>
      </c>
      <c r="H15" s="156" cm="1">
        <f t="array" aca="1" ref="H15" ca="1">SUM(INDIRECT($D15)*INDIRECT(H$12))/SUM(INDIRECT(H$12))</f>
        <v>0.5</v>
      </c>
      <c r="I15" s="156" cm="1">
        <f t="array" aca="1" ref="I15" ca="1">SUM(INDIRECT($D15)*INDIRECT(I$12))/SUM(INDIRECT(I$12))</f>
        <v>0.5</v>
      </c>
      <c r="J15" s="156" cm="1">
        <f t="array" aca="1" ref="J15" ca="1">SUM(INDIRECT($D15)*INDIRECT(J$12))/SUM(INDIRECT(J$12))</f>
        <v>0</v>
      </c>
    </row>
    <row r="16" spans="4:10" x14ac:dyDescent="0.3">
      <c r="D16" s="153" t="s">
        <v>468</v>
      </c>
      <c r="E16" s="156" cm="1">
        <f t="array" aca="1" ref="E16" ca="1">SUM(INDIRECT($D16)*INDIRECT(E$12))/SUM(INDIRECT(E$12))</f>
        <v>0.25</v>
      </c>
      <c r="F16" s="156" cm="1">
        <f t="array" aca="1" ref="F16" ca="1">SUM(INDIRECT($D16)*INDIRECT(F$12))/SUM(INDIRECT(F$12))</f>
        <v>0</v>
      </c>
      <c r="G16" s="156" cm="1">
        <f t="array" aca="1" ref="G16" ca="1">SUM(INDIRECT($D16)*INDIRECT(G$12))/SUM(INDIRECT(G$12))</f>
        <v>0.33333333333333331</v>
      </c>
      <c r="H16" s="156" cm="1">
        <f t="array" aca="1" ref="H16" ca="1">SUM(INDIRECT($D16)*INDIRECT(H$12))/SUM(INDIRECT(H$12))</f>
        <v>1</v>
      </c>
      <c r="I16" s="156" cm="1">
        <f t="array" aca="1" ref="I16" ca="1">SUM(INDIRECT($D16)*INDIRECT(I$12))/SUM(INDIRECT(I$12))</f>
        <v>1</v>
      </c>
      <c r="J16" s="156" cm="1">
        <f t="array" aca="1" ref="J16" ca="1">SUM(INDIRECT($D16)*INDIRECT(J$12))/SUM(INDIRECT(J$12))</f>
        <v>0.5</v>
      </c>
    </row>
    <row r="17" spans="2:10" x14ac:dyDescent="0.3">
      <c r="D17" s="153" t="s">
        <v>469</v>
      </c>
      <c r="E17" s="156" cm="1">
        <f t="array" aca="1" ref="E17" ca="1">SUM(INDIRECT($D17)*INDIRECT(E$12))/SUM(INDIRECT(E$12))</f>
        <v>0.25</v>
      </c>
      <c r="F17" s="156" cm="1">
        <f t="array" aca="1" ref="F17" ca="1">SUM(INDIRECT($D17)*INDIRECT(F$12))/SUM(INDIRECT(F$12))</f>
        <v>0</v>
      </c>
      <c r="G17" s="156" cm="1">
        <f t="array" aca="1" ref="G17" ca="1">SUM(INDIRECT($D17)*INDIRECT(G$12))/SUM(INDIRECT(G$12))</f>
        <v>0.33333333333333331</v>
      </c>
      <c r="H17" s="156" cm="1">
        <f t="array" aca="1" ref="H17" ca="1">SUM(INDIRECT($D17)*INDIRECT(H$12))/SUM(INDIRECT(H$12))</f>
        <v>1</v>
      </c>
      <c r="I17" s="156" cm="1">
        <f t="array" aca="1" ref="I17" ca="1">SUM(INDIRECT($D17)*INDIRECT(I$12))/SUM(INDIRECT(I$12))</f>
        <v>1</v>
      </c>
      <c r="J17" s="156" cm="1">
        <f t="array" aca="1" ref="J17" ca="1">SUM(INDIRECT($D17)*INDIRECT(J$12))/SUM(INDIRECT(J$12))</f>
        <v>0.5</v>
      </c>
    </row>
    <row r="18" spans="2:10" x14ac:dyDescent="0.3">
      <c r="D18" s="153" t="s">
        <v>470</v>
      </c>
      <c r="E18" s="156" cm="1">
        <f t="array" aca="1" ref="E18" ca="1">SUM(INDIRECT($D18)*INDIRECT(E$12))/SUM(INDIRECT(E$12))</f>
        <v>0.5</v>
      </c>
      <c r="F18" s="156" cm="1">
        <f t="array" aca="1" ref="F18" ca="1">SUM(INDIRECT($D18)*INDIRECT(F$12))/SUM(INDIRECT(F$12))</f>
        <v>0.33333333333333331</v>
      </c>
      <c r="G18" s="156" cm="1">
        <f t="array" aca="1" ref="G18" ca="1">SUM(INDIRECT($D18)*INDIRECT(G$12))/SUM(INDIRECT(G$12))</f>
        <v>0</v>
      </c>
      <c r="H18" s="156" cm="1">
        <f t="array" aca="1" ref="H18" ca="1">SUM(INDIRECT($D18)*INDIRECT(H$12))/SUM(INDIRECT(H$12))</f>
        <v>0.5</v>
      </c>
      <c r="I18" s="156" cm="1">
        <f t="array" aca="1" ref="I18" ca="1">SUM(INDIRECT($D18)*INDIRECT(I$12))/SUM(INDIRECT(I$12))</f>
        <v>0.5</v>
      </c>
      <c r="J18" s="156" cm="1">
        <f t="array" aca="1" ref="J18" ca="1">SUM(INDIRECT($D18)*INDIRECT(J$12))/SUM(INDIRECT(J$12))</f>
        <v>1</v>
      </c>
    </row>
    <row r="22" spans="2:10" x14ac:dyDescent="0.3">
      <c r="B22" s="155" t="s">
        <v>463</v>
      </c>
      <c r="D22" s="152" t="s">
        <v>478</v>
      </c>
      <c r="E22" s="153" t="s">
        <v>465</v>
      </c>
      <c r="F22" s="153" t="s">
        <v>466</v>
      </c>
      <c r="G22" s="153" t="s">
        <v>467</v>
      </c>
      <c r="H22" s="153" t="s">
        <v>468</v>
      </c>
      <c r="I22" s="153" t="s">
        <v>469</v>
      </c>
      <c r="J22" s="153" t="s">
        <v>470</v>
      </c>
    </row>
    <row r="23" spans="2:10" x14ac:dyDescent="0.3">
      <c r="B23" s="155" cm="1">
        <f t="array" ref="B23:B28">TRANSPOSE(E9:J9)/5</f>
        <v>0.8</v>
      </c>
      <c r="D23" s="153" t="s">
        <v>465</v>
      </c>
      <c r="E23" s="156">
        <f ca="1">E13/$B23</f>
        <v>1.25</v>
      </c>
      <c r="F23" s="156">
        <f t="shared" ref="F23:J23" ca="1" si="1">F13/$B23</f>
        <v>1.25</v>
      </c>
      <c r="G23" s="156">
        <f t="shared" ca="1" si="1"/>
        <v>0.83333333333333326</v>
      </c>
      <c r="H23" s="156">
        <f t="shared" ca="1" si="1"/>
        <v>0.625</v>
      </c>
      <c r="I23" s="156">
        <f t="shared" ca="1" si="1"/>
        <v>0.625</v>
      </c>
      <c r="J23" s="156">
        <f t="shared" ca="1" si="1"/>
        <v>1.25</v>
      </c>
    </row>
    <row r="24" spans="2:10" x14ac:dyDescent="0.3">
      <c r="B24" s="155">
        <v>0.6</v>
      </c>
      <c r="D24" s="153" t="s">
        <v>466</v>
      </c>
      <c r="E24" s="156">
        <f t="shared" ref="E24:J28" ca="1" si="2">E14/$B24</f>
        <v>1.25</v>
      </c>
      <c r="F24" s="156">
        <f t="shared" ca="1" si="2"/>
        <v>1.6666666666666667</v>
      </c>
      <c r="G24" s="156">
        <f t="shared" ca="1" si="2"/>
        <v>1.1111111111111112</v>
      </c>
      <c r="H24" s="156">
        <f t="shared" ca="1" si="2"/>
        <v>0</v>
      </c>
      <c r="I24" s="156">
        <f t="shared" ca="1" si="2"/>
        <v>0</v>
      </c>
      <c r="J24" s="156">
        <f t="shared" ca="1" si="2"/>
        <v>0.83333333333333337</v>
      </c>
    </row>
    <row r="25" spans="2:10" x14ac:dyDescent="0.3">
      <c r="B25" s="155">
        <v>0.6</v>
      </c>
      <c r="D25" s="153" t="s">
        <v>467</v>
      </c>
      <c r="E25" s="156">
        <f t="shared" ca="1" si="2"/>
        <v>0.83333333333333337</v>
      </c>
      <c r="F25" s="156">
        <f t="shared" ca="1" si="2"/>
        <v>1.1111111111111112</v>
      </c>
      <c r="G25" s="156">
        <f t="shared" ca="1" si="2"/>
        <v>1.6666666666666667</v>
      </c>
      <c r="H25" s="156">
        <f t="shared" ca="1" si="2"/>
        <v>0.83333333333333337</v>
      </c>
      <c r="I25" s="156">
        <f t="shared" ca="1" si="2"/>
        <v>0.83333333333333337</v>
      </c>
      <c r="J25" s="156">
        <f t="shared" ca="1" si="2"/>
        <v>0</v>
      </c>
    </row>
    <row r="26" spans="2:10" x14ac:dyDescent="0.3">
      <c r="B26" s="155">
        <v>0.4</v>
      </c>
      <c r="D26" s="153" t="s">
        <v>468</v>
      </c>
      <c r="E26" s="156">
        <f t="shared" ca="1" si="2"/>
        <v>0.625</v>
      </c>
      <c r="F26" s="156">
        <f t="shared" ca="1" si="2"/>
        <v>0</v>
      </c>
      <c r="G26" s="156">
        <f t="shared" ca="1" si="2"/>
        <v>0.83333333333333326</v>
      </c>
      <c r="H26" s="156">
        <f t="shared" ca="1" si="2"/>
        <v>2.5</v>
      </c>
      <c r="I26" s="156">
        <f t="shared" ca="1" si="2"/>
        <v>2.5</v>
      </c>
      <c r="J26" s="156">
        <f t="shared" ca="1" si="2"/>
        <v>1.25</v>
      </c>
    </row>
    <row r="27" spans="2:10" x14ac:dyDescent="0.3">
      <c r="B27" s="155">
        <v>0.4</v>
      </c>
      <c r="D27" s="153" t="s">
        <v>469</v>
      </c>
      <c r="E27" s="156">
        <f t="shared" ca="1" si="2"/>
        <v>0.625</v>
      </c>
      <c r="F27" s="156">
        <f t="shared" ca="1" si="2"/>
        <v>0</v>
      </c>
      <c r="G27" s="156">
        <f t="shared" ca="1" si="2"/>
        <v>0.83333333333333326</v>
      </c>
      <c r="H27" s="156">
        <f t="shared" ca="1" si="2"/>
        <v>2.5</v>
      </c>
      <c r="I27" s="156">
        <f t="shared" ca="1" si="2"/>
        <v>2.5</v>
      </c>
      <c r="J27" s="156">
        <f t="shared" ca="1" si="2"/>
        <v>1.25</v>
      </c>
    </row>
    <row r="28" spans="2:10" x14ac:dyDescent="0.3">
      <c r="B28" s="155">
        <v>0.4</v>
      </c>
      <c r="D28" s="153" t="s">
        <v>470</v>
      </c>
      <c r="E28" s="156">
        <f t="shared" ca="1" si="2"/>
        <v>1.25</v>
      </c>
      <c r="F28" s="156">
        <f t="shared" ca="1" si="2"/>
        <v>0.83333333333333326</v>
      </c>
      <c r="G28" s="156">
        <f t="shared" ca="1" si="2"/>
        <v>0</v>
      </c>
      <c r="H28" s="156">
        <f t="shared" ca="1" si="2"/>
        <v>1.25</v>
      </c>
      <c r="I28" s="156">
        <f t="shared" ca="1" si="2"/>
        <v>1.25</v>
      </c>
      <c r="J28" s="156">
        <f t="shared" ca="1" si="2"/>
        <v>2.5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301</v>
      </c>
    </row>
    <row r="4" spans="2:2" x14ac:dyDescent="0.3">
      <c r="B4" s="1" t="s">
        <v>304</v>
      </c>
    </row>
    <row r="6" spans="2:2" x14ac:dyDescent="0.3">
      <c r="B6" s="1" t="s">
        <v>336</v>
      </c>
    </row>
    <row r="8" spans="2:2" x14ac:dyDescent="0.3">
      <c r="B8" s="1" t="s">
        <v>303</v>
      </c>
    </row>
    <row r="10" spans="2:2" x14ac:dyDescent="0.3">
      <c r="B10" s="1" t="s">
        <v>302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39</v>
      </c>
      <c r="C2" s="13" t="s">
        <v>40</v>
      </c>
    </row>
    <row r="3" spans="1:3" x14ac:dyDescent="0.3">
      <c r="A3" s="1">
        <v>1</v>
      </c>
      <c r="B3" s="1" t="s">
        <v>537</v>
      </c>
      <c r="C3" s="1">
        <v>5</v>
      </c>
    </row>
    <row r="4" spans="1:3" x14ac:dyDescent="0.3">
      <c r="A4" s="1">
        <v>2</v>
      </c>
      <c r="B4" s="1" t="s">
        <v>538</v>
      </c>
      <c r="C4" s="1">
        <v>5</v>
      </c>
    </row>
    <row r="5" spans="1:3" x14ac:dyDescent="0.3">
      <c r="A5" s="1">
        <v>3</v>
      </c>
      <c r="B5" s="1" t="s">
        <v>302</v>
      </c>
      <c r="C5" s="1">
        <v>10</v>
      </c>
    </row>
  </sheetData>
  <phoneticPr fontId="7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309</v>
      </c>
    </row>
    <row r="3" spans="1:2" x14ac:dyDescent="0.3">
      <c r="B3" s="1" t="s">
        <v>529</v>
      </c>
    </row>
    <row r="4" spans="1:2" x14ac:dyDescent="0.3">
      <c r="B4" s="1" t="s">
        <v>310</v>
      </c>
    </row>
    <row r="5" spans="1:2" x14ac:dyDescent="0.3">
      <c r="A5" s="1">
        <v>1</v>
      </c>
      <c r="B5" s="1" t="s">
        <v>311</v>
      </c>
    </row>
    <row r="6" spans="1:2" x14ac:dyDescent="0.3">
      <c r="A6" s="1">
        <v>2</v>
      </c>
      <c r="B6" s="1" t="s">
        <v>312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B2: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530</v>
      </c>
    </row>
    <row r="3" spans="2:2" x14ac:dyDescent="0.3">
      <c r="B3" s="1" t="s">
        <v>531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533</v>
      </c>
    </row>
    <row r="4" spans="2:2" x14ac:dyDescent="0.3">
      <c r="B4" s="1" t="s">
        <v>534</v>
      </c>
    </row>
    <row r="5" spans="2:2" x14ac:dyDescent="0.3">
      <c r="B5" s="1" t="s">
        <v>535</v>
      </c>
    </row>
    <row r="6" spans="2:2" x14ac:dyDescent="0.3">
      <c r="B6" s="1" t="s">
        <v>536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186</vt:i4>
      </vt:variant>
    </vt:vector>
  </HeadingPairs>
  <TitlesOfParts>
    <vt:vector size="202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PCA</vt:lpstr>
      <vt:lpstr>MarketBasketAnalysis</vt:lpstr>
      <vt:lpstr>PreWork4NextClass</vt:lpstr>
      <vt:lpstr>InClassProjects</vt:lpstr>
      <vt:lpstr>Q_OrdinalRegression</vt:lpstr>
      <vt:lpstr>Q_HClusterAnalysis</vt:lpstr>
      <vt:lpstr>Q_PCA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2022-07-14T14:38:50Z</dcterms:modified>
</cp:coreProperties>
</file>